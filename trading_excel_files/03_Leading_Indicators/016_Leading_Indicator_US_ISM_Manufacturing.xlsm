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2.xml" ContentType="application/vnd.openxmlformats-officedocument.drawing+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drawings/drawing4.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5.xml" ContentType="application/vnd.openxmlformats-officedocument.drawing+xml"/>
  <Override PartName="/xl/worksheets/sheet13.xml" ContentType="application/vnd.openxmlformats-officedocument.spreadsheetml.worksheet+xml"/>
  <Override PartName="/xl/drawings/drawing6.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7.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8.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4850" yWindow="-21225" windowWidth="43245" windowHeight="20310" tabRatio="941" firstSheet="0" activeTab="1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5">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
      <left style="medium">
        <color indexed="64"/>
      </left>
      <right/>
      <top/>
      <bottom/>
      <diagonal/>
    </border>
  </borders>
  <cellStyleXfs count="4">
    <xf numFmtId="0" fontId="19" fillId="0" borderId="0"/>
    <xf numFmtId="0" fontId="7" fillId="0" borderId="0"/>
    <xf numFmtId="0" fontId="9" fillId="0" borderId="0"/>
    <xf numFmtId="9" fontId="19" fillId="0" borderId="0"/>
  </cellStyleXfs>
  <cellXfs count="124">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8" pivotButton="0" quotePrefix="0" xfId="0"/>
    <xf numFmtId="0" fontId="2" fillId="2" borderId="11" pivotButton="0" quotePrefix="0" xfId="0"/>
    <xf numFmtId="0" fontId="2" fillId="2" borderId="5" pivotButton="0" quotePrefix="0" xfId="0"/>
    <xf numFmtId="0" fontId="2" fillId="2" borderId="7" pivotButton="0" quotePrefix="0" xfId="0"/>
    <xf numFmtId="0" fontId="2" fillId="2" borderId="10"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2" fillId="2" borderId="3" applyAlignment="1" pivotButton="0" quotePrefix="0" xfId="0">
      <alignment horizontal="center" vertical="center"/>
    </xf>
    <xf numFmtId="17" fontId="12" fillId="2" borderId="5" applyAlignment="1" pivotButton="0" quotePrefix="0" xfId="0">
      <alignment horizontal="center" vertical="center"/>
    </xf>
    <xf numFmtId="17" fontId="12" fillId="2" borderId="4" applyAlignment="1" pivotButton="0" quotePrefix="0" xfId="0">
      <alignment horizontal="center" vertical="center"/>
    </xf>
    <xf numFmtId="17" fontId="12" fillId="2" borderId="9" applyAlignment="1" pivotButton="0" quotePrefix="0" xfId="0">
      <alignment horizontal="center" vertical="center"/>
    </xf>
    <xf numFmtId="17" fontId="12" fillId="2" borderId="20" applyAlignment="1" pivotButton="0" quotePrefix="0" xfId="0">
      <alignment horizontal="center" vertical="center"/>
    </xf>
    <xf numFmtId="17" fontId="12" fillId="2" borderId="6" applyAlignment="1" pivotButton="0" quotePrefix="0" xfId="0">
      <alignment horizontal="center" vertical="center"/>
    </xf>
    <xf numFmtId="0" fontId="15" fillId="0" borderId="0" pivotButton="0" quotePrefix="0" xfId="0"/>
    <xf numFmtId="0" fontId="0" fillId="2" borderId="0" applyAlignment="1" pivotButton="0" quotePrefix="0" xfId="0">
      <alignment vertical="center"/>
    </xf>
    <xf numFmtId="17" fontId="17" fillId="2" borderId="0" pivotButton="0" quotePrefix="0" xfId="0"/>
    <xf numFmtId="0" fontId="17" fillId="2" borderId="0" pivotButton="0" quotePrefix="0" xfId="0"/>
    <xf numFmtId="17" fontId="0" fillId="2" borderId="0" applyAlignment="1" pivotButton="0" quotePrefix="0" xfId="0">
      <alignment horizontal="center"/>
    </xf>
    <xf numFmtId="0" fontId="0" fillId="3" borderId="13" applyAlignment="1" pivotButton="0" quotePrefix="0" xfId="0">
      <alignment horizontal="center"/>
    </xf>
    <xf numFmtId="0" fontId="0" fillId="3" borderId="14" applyAlignment="1" pivotButton="0" quotePrefix="0" xfId="0">
      <alignment horizontal="center"/>
    </xf>
    <xf numFmtId="0" fontId="0" fillId="3" borderId="15"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0" fillId="3" borderId="13" applyAlignment="1" pivotButton="0" quotePrefix="0" xfId="0">
      <alignment horizontal="center"/>
    </xf>
    <xf numFmtId="0" fontId="10" fillId="3" borderId="14" applyAlignment="1" pivotButton="0" quotePrefix="0" xfId="0">
      <alignment horizontal="center"/>
    </xf>
    <xf numFmtId="0" fontId="10" fillId="3" borderId="15"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0" pivotButton="0" quotePrefix="0" xfId="0"/>
    <xf numFmtId="164" fontId="3" fillId="2" borderId="10" applyAlignment="1" pivotButton="0" quotePrefix="0" xfId="0">
      <alignment horizontal="center" vertical="center"/>
    </xf>
    <xf numFmtId="10" fontId="0" fillId="2" borderId="10" applyAlignment="1" pivotButton="0" quotePrefix="0" xfId="0">
      <alignment horizontal="center"/>
    </xf>
    <xf numFmtId="0" fontId="14" fillId="3" borderId="24" applyAlignment="1" pivotButton="0" quotePrefix="0" xfId="0">
      <alignment horizontal="center" vertical="center"/>
    </xf>
    <xf numFmtId="164" fontId="18" fillId="3" borderId="25" applyAlignment="1" pivotButton="0" quotePrefix="0" xfId="0">
      <alignment horizontal="center" vertical="center" wrapText="1"/>
    </xf>
    <xf numFmtId="10" fontId="18" fillId="3" borderId="26" applyAlignment="1" pivotButton="0" quotePrefix="0" xfId="0">
      <alignment horizontal="center" vertical="center" wrapText="1"/>
    </xf>
    <xf numFmtId="164" fontId="18" fillId="3" borderId="26" applyAlignment="1" pivotButton="0" quotePrefix="0" xfId="0">
      <alignment horizontal="center" vertical="center" wrapText="1"/>
    </xf>
    <xf numFmtId="2" fontId="18" fillId="3" borderId="27" applyAlignment="1" pivotButton="0" quotePrefix="0" xfId="0">
      <alignment horizontal="center" vertical="center" wrapText="1"/>
    </xf>
    <xf numFmtId="2" fontId="1" fillId="2" borderId="1" applyAlignment="1" pivotButton="0" quotePrefix="0" xfId="0">
      <alignment horizontal="center"/>
    </xf>
    <xf numFmtId="14" fontId="1" fillId="2" borderId="10" applyAlignment="1" pivotButton="0" quotePrefix="0" xfId="0">
      <alignment horizontal="center"/>
    </xf>
    <xf numFmtId="2" fontId="1" fillId="2" borderId="10" applyAlignment="1" pivotButton="0" quotePrefix="0" xfId="0">
      <alignment horizontal="center"/>
    </xf>
    <xf numFmtId="0" fontId="0" fillId="2" borderId="10" applyAlignment="1" pivotButton="0" quotePrefix="0" xfId="0">
      <alignment horizontal="center"/>
    </xf>
    <xf numFmtId="0" fontId="10" fillId="3" borderId="2" applyAlignment="1" pivotButton="0" quotePrefix="0" xfId="0">
      <alignment horizontal="center" wrapText="1"/>
    </xf>
    <xf numFmtId="0" fontId="10" fillId="3" borderId="21" applyAlignment="1" pivotButton="0" quotePrefix="0" xfId="0">
      <alignment horizontal="center" wrapText="1"/>
    </xf>
    <xf numFmtId="0" fontId="10" fillId="3" borderId="22" applyAlignment="1" pivotButton="0" quotePrefix="0" xfId="0">
      <alignment horizontal="center" wrapText="1"/>
    </xf>
    <xf numFmtId="17" fontId="0" fillId="2" borderId="0" pivotButton="0" quotePrefix="0" xfId="0"/>
    <xf numFmtId="0" fontId="11" fillId="3" borderId="31" applyAlignment="1" pivotButton="0" quotePrefix="0" xfId="0">
      <alignment horizontal="center" wrapText="1"/>
    </xf>
    <xf numFmtId="17" fontId="0" fillId="2" borderId="32" pivotButton="0" quotePrefix="0" xfId="0"/>
    <xf numFmtId="0" fontId="0" fillId="2" borderId="33" pivotButton="0" quotePrefix="0" xfId="0"/>
    <xf numFmtId="0" fontId="0" fillId="2" borderId="34" pivotButton="0" quotePrefix="0" xfId="0"/>
    <xf numFmtId="17" fontId="0" fillId="2" borderId="35" pivotButton="0" quotePrefix="0" xfId="0"/>
    <xf numFmtId="0" fontId="0" fillId="2" borderId="36" pivotButton="0" quotePrefix="0" xfId="0"/>
    <xf numFmtId="17" fontId="0" fillId="2" borderId="37" pivotButton="0" quotePrefix="0" xfId="0"/>
    <xf numFmtId="0" fontId="0" fillId="2" borderId="28" pivotButton="0" quotePrefix="0" xfId="0"/>
    <xf numFmtId="0" fontId="0" fillId="2" borderId="38" pivotButton="0" quotePrefix="0" xfId="0"/>
    <xf numFmtId="14" fontId="20" fillId="2" borderId="18" applyAlignment="1" pivotButton="0" quotePrefix="0" xfId="0">
      <alignment horizontal="center"/>
    </xf>
    <xf numFmtId="14" fontId="10" fillId="2" borderId="18" applyAlignment="1" pivotButton="0" quotePrefix="0" xfId="0">
      <alignment horizontal="center"/>
    </xf>
    <xf numFmtId="0" fontId="10" fillId="2" borderId="15" applyAlignment="1" pivotButton="0" quotePrefix="0" xfId="0">
      <alignment horizontal="center"/>
    </xf>
    <xf numFmtId="0" fontId="10" fillId="2" borderId="39" applyAlignment="1" pivotButton="0" quotePrefix="0" xfId="0">
      <alignment horizontal="center"/>
    </xf>
    <xf numFmtId="0" fontId="10" fillId="2" borderId="16" applyAlignment="1" pivotButton="0" quotePrefix="0" xfId="0">
      <alignment horizontal="center"/>
    </xf>
    <xf numFmtId="0" fontId="0" fillId="2" borderId="33" applyAlignment="1" pivotButton="0" quotePrefix="0" xfId="0">
      <alignment horizontal="center"/>
    </xf>
    <xf numFmtId="164" fontId="0" fillId="2" borderId="34" applyAlignment="1" pivotButton="0" quotePrefix="0" xfId="3">
      <alignment horizontal="center"/>
    </xf>
    <xf numFmtId="164" fontId="0" fillId="2" borderId="36" applyAlignment="1" pivotButton="0" quotePrefix="0" xfId="3">
      <alignment horizontal="center"/>
    </xf>
    <xf numFmtId="0" fontId="0" fillId="2" borderId="28" applyAlignment="1" pivotButton="0" quotePrefix="0" xfId="0">
      <alignment horizontal="center"/>
    </xf>
    <xf numFmtId="164" fontId="0" fillId="2" borderId="38" applyAlignment="1" pivotButton="0" quotePrefix="0" xfId="3">
      <alignment horizontal="center"/>
    </xf>
    <xf numFmtId="0" fontId="11" fillId="3" borderId="29" applyAlignment="1" pivotButton="0" quotePrefix="0" xfId="0">
      <alignment horizontal="center" wrapText="1"/>
    </xf>
    <xf numFmtId="0" fontId="11" fillId="3" borderId="30" applyAlignment="1" pivotButton="0" quotePrefix="0" xfId="0">
      <alignment horizontal="center" wrapText="1"/>
    </xf>
    <xf numFmtId="0" fontId="21" fillId="2" borderId="0" pivotButton="0" quotePrefix="0" xfId="0"/>
    <xf numFmtId="0" fontId="22" fillId="2" borderId="0" pivotButton="0" quotePrefix="0" xfId="0"/>
    <xf numFmtId="0" fontId="0" fillId="5" borderId="0" pivotButton="0" quotePrefix="0" xfId="0"/>
    <xf numFmtId="0" fontId="23" fillId="4" borderId="1" pivotButton="0" quotePrefix="0" xfId="0"/>
    <xf numFmtId="2" fontId="0" fillId="2" borderId="10" applyAlignment="1" pivotButton="0" quotePrefix="0" xfId="0">
      <alignment horizontal="center"/>
    </xf>
    <xf numFmtId="0" fontId="24" fillId="0" borderId="0" pivotButton="0" quotePrefix="0" xfId="0"/>
    <xf numFmtId="0" fontId="0" fillId="2" borderId="0" pivotButton="0" quotePrefix="0" xfId="0"/>
    <xf numFmtId="0" fontId="0" fillId="2" borderId="0" applyAlignment="1" pivotButton="0" quotePrefix="0" xfId="0">
      <alignment wrapText="1"/>
    </xf>
    <xf numFmtId="0" fontId="9" fillId="2" borderId="0" pivotButton="0" quotePrefix="0" xfId="2"/>
    <xf numFmtId="0" fontId="10" fillId="2" borderId="0" pivotButton="0" quotePrefix="0" xfId="0"/>
    <xf numFmtId="0" fontId="0" fillId="2" borderId="1" applyAlignment="1" pivotButton="0" quotePrefix="0" xfId="0">
      <alignment horizontal="center"/>
    </xf>
    <xf numFmtId="165" fontId="0" fillId="0" borderId="0" pivotButton="0" quotePrefix="0" xfId="0"/>
    <xf numFmtId="0" fontId="10" fillId="2" borderId="17" applyAlignment="1" pivotButton="0" quotePrefix="0" xfId="0">
      <alignment horizontal="center" vertical="center"/>
    </xf>
    <xf numFmtId="0" fontId="0" fillId="2" borderId="0" pivotButton="0" quotePrefix="0" xfId="0"/>
    <xf numFmtId="0" fontId="0" fillId="0" borderId="17" pivotButton="0" quotePrefix="0" xfId="0"/>
    <xf numFmtId="0" fontId="11" fillId="3" borderId="40" applyAlignment="1" pivotButton="0" quotePrefix="0" xfId="0">
      <alignment horizontal="center"/>
    </xf>
    <xf numFmtId="0" fontId="0" fillId="0" borderId="21" pivotButton="0" quotePrefix="0" xfId="0"/>
    <xf numFmtId="0" fontId="0" fillId="0" borderId="22" pivotButton="0" quotePrefix="0" xfId="0"/>
    <xf numFmtId="0" fontId="10" fillId="4" borderId="1" applyAlignment="1" pivotButton="0" quotePrefix="0" xfId="0">
      <alignment horizontal="center"/>
    </xf>
    <xf numFmtId="0" fontId="0" fillId="0" borderId="23" pivotButton="0" quotePrefix="0" xfId="0"/>
    <xf numFmtId="0" fontId="0" fillId="0" borderId="12" pivotButton="0" quotePrefix="0" xfId="0"/>
    <xf numFmtId="0" fontId="16" fillId="2" borderId="0" applyAlignment="1" pivotButton="0" quotePrefix="0" xfId="0">
      <alignment wrapText="1"/>
    </xf>
    <xf numFmtId="0" fontId="10" fillId="4" borderId="35" applyAlignment="1" pivotButton="0" quotePrefix="0" xfId="0">
      <alignment horizontal="center" wrapText="1"/>
    </xf>
    <xf numFmtId="0" fontId="10" fillId="4" borderId="32" applyAlignment="1" pivotButton="0" quotePrefix="0" xfId="0">
      <alignment horizontal="center" wrapText="1"/>
    </xf>
    <xf numFmtId="0" fontId="0" fillId="0" borderId="41" pivotButton="0" quotePrefix="0" xfId="0"/>
    <xf numFmtId="0" fontId="0" fillId="2" borderId="0" applyAlignment="1" pivotButton="0" quotePrefix="0" xfId="0">
      <alignment wrapText="1"/>
    </xf>
    <xf numFmtId="0" fontId="9" fillId="2" borderId="0" pivotButton="0" quotePrefix="0" xfId="2"/>
    <xf numFmtId="0" fontId="10" fillId="4" borderId="40" applyAlignment="1" pivotButton="0" quotePrefix="0" xfId="0">
      <alignment horizontal="center"/>
    </xf>
    <xf numFmtId="0" fontId="0" fillId="0" borderId="0" applyAlignment="1" pivotButton="0" quotePrefix="0" xfId="0">
      <alignment vertical="center"/>
    </xf>
    <xf numFmtId="0" fontId="10" fillId="2" borderId="0" pivotButton="0" quotePrefix="0" xfId="0"/>
    <xf numFmtId="0" fontId="10" fillId="4" borderId="37" applyAlignment="1" pivotButton="0" quotePrefix="0" xfId="0">
      <alignment horizontal="center" wrapText="1"/>
    </xf>
    <xf numFmtId="0" fontId="0" fillId="0" borderId="42" pivotButton="0" quotePrefix="0" xfId="0"/>
    <xf numFmtId="0" fontId="13" fillId="3" borderId="40" applyAlignment="1" pivotButton="0" quotePrefix="0" xfId="0">
      <alignment horizontal="center" vertical="center"/>
    </xf>
    <xf numFmtId="0" fontId="0" fillId="0" borderId="19" pivotButton="0" quotePrefix="0" xfId="0"/>
    <xf numFmtId="0" fontId="17" fillId="2" borderId="0" applyAlignment="1" pivotButton="0" quotePrefix="0" xfId="0">
      <alignment horizontal="center"/>
    </xf>
    <xf numFmtId="0" fontId="0" fillId="2" borderId="1" applyAlignment="1" pivotButton="0" quotePrefix="0" xfId="0">
      <alignment horizontal="center"/>
    </xf>
    <xf numFmtId="0" fontId="12" fillId="2" borderId="4" applyAlignment="1" pivotButton="0" quotePrefix="0" xfId="0">
      <alignment horizontal="center" vertical="center"/>
    </xf>
    <xf numFmtId="0" fontId="0" fillId="0" borderId="7"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cent" xfId="3" builtinId="5"/>
  </cellStyles>
  <dxfs count="81">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pt idx="83">
                  <v>44896</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pt idx="83">
                  <v>48.4</v>
                </pt>
              </numCache>
            </numRef>
          </val>
          <smooth val="0"/>
        </ser>
        <dLbls>
          <showLegendKey val="0"/>
          <showVal val="0"/>
          <showCatName val="0"/>
          <showSerName val="0"/>
          <showPercent val="0"/>
          <showBubbleSize val="0"/>
        </dLbls>
        <smooth val="0"/>
        <axId val="668100328"/>
        <axId val="668100720"/>
      </lineChart>
      <dateAx>
        <axId val="668100328"/>
        <scaling>
          <orientation val="minMax"/>
          <max val="44621"/>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Details!$A$6:$A$919</f>
              <numCache>
                <formatCode>m/d/yyyy</formatCode>
                <ptCount val="914"/>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Details!$B$6:$B$919</f>
              <numCache>
                <formatCode>0.00</formatCode>
                <ptCount val="914"/>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pt idx="900">
                  <v>42.5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Sectors!$C$6:$C$11</f>
              <numCache>
                <formatCode>General</formatCode>
                <ptCount val="6"/>
                <pt idx="0">
                  <v>7</v>
                </pt>
                <pt idx="1">
                  <v>2</v>
                </pt>
                <pt idx="2">
                  <v>-2</v>
                </pt>
                <pt idx="3">
                  <v>-4</v>
                </pt>
                <pt idx="4">
                  <v>-5</v>
                </pt>
                <pt idx="5">
                  <v>2</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Sectors!$B$6:$B$11</f>
              <numCache>
                <formatCode>General</formatCode>
                <ptCount val="6"/>
                <pt idx="0">
                  <v>3</v>
                </pt>
                <pt idx="1">
                  <v>8</v>
                </pt>
                <pt idx="2">
                  <v>6</v>
                </pt>
                <pt idx="3">
                  <v>-2</v>
                </pt>
                <pt idx="4">
                  <v>-4</v>
                </pt>
                <pt idx="5">
                  <v>7</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Sectors!$D$6:$D$11</f>
              <numCache>
                <formatCode>General</formatCode>
                <ptCount val="6"/>
                <pt idx="0">
                  <v>-4</v>
                </pt>
                <pt idx="1">
                  <v>-3</v>
                </pt>
                <pt idx="2">
                  <v>-8</v>
                </pt>
                <pt idx="3">
                  <v>-10</v>
                </pt>
                <pt idx="4">
                  <v>-10</v>
                </pt>
                <pt idx="5">
                  <v>14</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Sectors!$E$6:$E$11</f>
              <numCache>
                <formatCode>General</formatCode>
                <ptCount val="6"/>
                <pt idx="0">
                  <v>-6</v>
                </pt>
                <pt idx="1">
                  <v>5</v>
                </pt>
                <pt idx="2">
                  <v>8</v>
                </pt>
                <pt idx="3">
                  <v>6</v>
                </pt>
                <pt idx="4">
                  <v>-6</v>
                </pt>
                <pt idx="5">
                  <v>15</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Sectors!$F$6:$F$11</f>
              <numCache>
                <formatCode>General</formatCode>
                <ptCount val="6"/>
                <pt idx="0">
                  <v>6</v>
                </pt>
                <pt idx="1">
                  <v>-4</v>
                </pt>
                <pt idx="2">
                  <v>-6</v>
                </pt>
                <pt idx="3">
                  <v>-12</v>
                </pt>
                <pt idx="4">
                  <v>0</v>
                </pt>
                <pt idx="5">
                  <v>0</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Sectors!$G$6:$G$11</f>
              <numCache>
                <formatCode>General</formatCode>
                <ptCount val="6"/>
                <pt idx="0">
                  <v>4</v>
                </pt>
                <pt idx="1">
                  <v>0</v>
                </pt>
                <pt idx="2">
                  <v>-3</v>
                </pt>
                <pt idx="3">
                  <v>4</v>
                </pt>
                <pt idx="4">
                  <v>2</v>
                </pt>
                <pt idx="5">
                  <v>9</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Sectors!$H$6:$H$11</f>
              <numCache>
                <formatCode>General</formatCode>
                <ptCount val="6"/>
                <pt idx="0">
                  <v>10</v>
                </pt>
                <pt idx="1">
                  <v>9</v>
                </pt>
                <pt idx="2">
                  <v>7</v>
                </pt>
                <pt idx="3">
                  <v>5</v>
                </pt>
                <pt idx="4">
                  <v>0</v>
                </pt>
                <pt idx="5">
                  <v>13</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Sectors!$I$6:$I$11</f>
              <numCache>
                <formatCode>General</formatCode>
                <ptCount val="6"/>
                <pt idx="0">
                  <v>9</v>
                </pt>
                <pt idx="1">
                  <v>0</v>
                </pt>
                <pt idx="2">
                  <v>5</v>
                </pt>
                <pt idx="3">
                  <v>2</v>
                </pt>
                <pt idx="4">
                  <v>1</v>
                </pt>
                <pt idx="5">
                  <v>6</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Sectors!$J$6:$J$11</f>
              <numCache>
                <formatCode>General</formatCode>
                <ptCount val="6"/>
                <pt idx="0">
                  <v>5</v>
                </pt>
                <pt idx="1">
                  <v>7</v>
                </pt>
                <pt idx="2">
                  <v>2</v>
                </pt>
                <pt idx="3">
                  <v>-5</v>
                </pt>
                <pt idx="4">
                  <v>-9</v>
                </pt>
                <pt idx="5">
                  <v>10</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Sectors!$K$6:$K$11</f>
              <numCache>
                <formatCode>General</formatCode>
                <ptCount val="6"/>
                <pt idx="0">
                  <v>2</v>
                </pt>
                <pt idx="1">
                  <v>6</v>
                </pt>
                <pt idx="2">
                  <v>3</v>
                </pt>
                <pt idx="3">
                  <v>3</v>
                </pt>
                <pt idx="4">
                  <v>-1</v>
                </pt>
                <pt idx="5">
                  <v>4</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Sectors!$L$6:$L$11</f>
              <numCache>
                <formatCode>General</formatCode>
                <ptCount val="6"/>
                <pt idx="0">
                  <v>1</v>
                </pt>
                <pt idx="1">
                  <v>3</v>
                </pt>
                <pt idx="2">
                  <v>-1</v>
                </pt>
                <pt idx="3">
                  <v>-3</v>
                </pt>
                <pt idx="4">
                  <v>-3</v>
                </pt>
                <pt idx="5">
                  <v>5</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Sectors!$M$6:$M$11</f>
              <numCache>
                <formatCode>General</formatCode>
                <ptCount val="6"/>
                <pt idx="0">
                  <v>-5</v>
                </pt>
                <pt idx="1">
                  <v>-7</v>
                </pt>
                <pt idx="2">
                  <v>-10</v>
                </pt>
                <pt idx="3">
                  <v>-7</v>
                </pt>
                <pt idx="4">
                  <v>-7</v>
                </pt>
                <pt idx="5">
                  <v>11</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Sectors!$N$6:$N$11</f>
              <numCache>
                <formatCode>General</formatCode>
                <ptCount val="6"/>
                <pt idx="0">
                  <v>8</v>
                </pt>
                <pt idx="1">
                  <v>4</v>
                </pt>
                <pt idx="2">
                  <v>4</v>
                </pt>
                <pt idx="3">
                  <v>1</v>
                </pt>
                <pt idx="4">
                  <v>-2</v>
                </pt>
                <pt idx="5">
                  <v>1</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Sectors!$O$6:$O$11</f>
              <numCache>
                <formatCode>General</formatCode>
                <ptCount val="6"/>
                <pt idx="0">
                  <v>-3</v>
                </pt>
                <pt idx="1">
                  <v>-2</v>
                </pt>
                <pt idx="2">
                  <v>-4</v>
                </pt>
                <pt idx="3">
                  <v>-6</v>
                </pt>
                <pt idx="4">
                  <v>-11</v>
                </pt>
                <pt idx="5">
                  <v>3</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Sectors!$P$6:$P$11</f>
              <numCache>
                <formatCode>General</formatCode>
                <ptCount val="6"/>
                <pt idx="0">
                  <v>-2</v>
                </pt>
                <pt idx="1">
                  <v>-1</v>
                </pt>
                <pt idx="2">
                  <v>-5</v>
                </pt>
                <pt idx="3">
                  <v>-8</v>
                </pt>
                <pt idx="4">
                  <v>-12</v>
                </pt>
                <pt idx="5">
                  <v>8</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Sectors!$Q$6:$Q$11</f>
              <numCache>
                <formatCode>General</formatCode>
                <ptCount val="6"/>
                <pt idx="0">
                  <v>-1</v>
                </pt>
                <pt idx="1">
                  <v>1</v>
                </pt>
                <pt idx="2">
                  <v>1</v>
                </pt>
                <pt idx="3">
                  <v>-1</v>
                </pt>
                <pt idx="4">
                  <v>-8</v>
                </pt>
                <pt idx="5">
                  <v>12</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Sectors!$R$6:$R$11</f>
              <numCache>
                <formatCode>General</formatCode>
                <ptCount val="6"/>
                <pt idx="0">
                  <v>0</v>
                </pt>
                <pt idx="1">
                  <v>-6</v>
                </pt>
                <pt idx="2">
                  <v>-7</v>
                </pt>
                <pt idx="3">
                  <v>-9</v>
                </pt>
                <pt idx="4">
                  <v>0</v>
                </pt>
                <pt idx="5">
                  <v>16</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xPr>
        <a:bodyPr xmlns:a="http://schemas.openxmlformats.org/drawingml/2006/main"/>
        <a:lstStyle xmlns:a="http://schemas.openxmlformats.org/drawingml/2006/main"/>
        <a:p xmlns:a="http://schemas.openxmlformats.org/drawingml/2006/main">
          <a:pPr>
            <a:defRPr sz="1400"/>
          </a:pPr>
          <a:r>
            <a:t>None</a:t>
          </a:r>
          <a:endParaRPr lang="en-US"/>
        </a:p>
      </tx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44774</v>
                </pt>
                <pt idx="1">
                  <v>44805</v>
                </pt>
                <pt idx="2">
                  <v>44835</v>
                </pt>
                <pt idx="3">
                  <v>44866</v>
                </pt>
                <pt idx="4">
                  <v>44896</v>
                </pt>
                <pt idx="5">
                  <v>44927</v>
                </pt>
              </numCache>
            </numRef>
          </cat>
          <val>
            <numRef>
              <f>Sectors!$S$6:$S$11</f>
              <numCache>
                <formatCode>General</formatCode>
                <ptCount val="6"/>
                <pt idx="0">
                  <v>-7</v>
                </pt>
                <pt idx="1">
                  <v>-5</v>
                </pt>
                <pt idx="2">
                  <v>-9</v>
                </pt>
                <pt idx="3">
                  <v>-11</v>
                </pt>
                <pt idx="4">
                  <v>-13</v>
                </pt>
                <pt idx="5">
                  <v>17</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SectorsNewOrders!$C$6:$C$11</f>
              <numCache>
                <formatCode>General</formatCode>
                <ptCount val="6"/>
                <pt idx="0">
                  <v>5</v>
                </pt>
                <pt idx="1">
                  <v>0</v>
                </pt>
                <pt idx="2">
                  <v>0</v>
                </pt>
                <pt idx="3">
                  <v>1</v>
                </pt>
                <pt idx="4">
                  <v>2</v>
                </pt>
                <pt idx="5">
                  <v>2</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SectorsNewOrders!$B$6:$B$11</f>
              <numCache>
                <formatCode>General</formatCode>
                <ptCount val="6"/>
                <pt idx="0">
                  <v>-2</v>
                </pt>
                <pt idx="1">
                  <v>0</v>
                </pt>
                <pt idx="2">
                  <v>0</v>
                </pt>
                <pt idx="3">
                  <v>7</v>
                </pt>
                <pt idx="4">
                  <v>1</v>
                </pt>
                <pt idx="5">
                  <v>7</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SectorsNewOrders!$D$6:$D$11</f>
              <numCache>
                <formatCode>General</formatCode>
                <ptCount val="6"/>
                <pt idx="0">
                  <v>0</v>
                </pt>
                <pt idx="1">
                  <v>6</v>
                </pt>
                <pt idx="2">
                  <v>9</v>
                </pt>
                <pt idx="3">
                  <v>12</v>
                </pt>
                <pt idx="4">
                  <v>0</v>
                </pt>
                <pt idx="5">
                  <v>14</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SectorsNewOrders!$E$6:$E$11</f>
              <numCache>
                <formatCode>General</formatCode>
                <ptCount val="6"/>
                <pt idx="0">
                  <v>0</v>
                </pt>
                <pt idx="1">
                  <v>7</v>
                </pt>
                <pt idx="2">
                  <v>0</v>
                </pt>
                <pt idx="3">
                  <v>0</v>
                </pt>
                <pt idx="4">
                  <v>0</v>
                </pt>
                <pt idx="5">
                  <v>15</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SectorsNewOrders!$F$6:$F$11</f>
              <numCache>
                <formatCode>General</formatCode>
                <ptCount val="6"/>
                <pt idx="0">
                  <v>0</v>
                </pt>
                <pt idx="1">
                  <v>8</v>
                </pt>
                <pt idx="2">
                  <v>10</v>
                </pt>
                <pt idx="3">
                  <v>13</v>
                </pt>
                <pt idx="4">
                  <v>0</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SectorsNewOrders!$G$6:$G$11</f>
              <numCache>
                <formatCode>General</formatCode>
                <ptCount val="6"/>
                <pt idx="0">
                  <v>2</v>
                </pt>
                <pt idx="1">
                  <v>2</v>
                </pt>
                <pt idx="2">
                  <v>6</v>
                </pt>
                <pt idx="3">
                  <v>11</v>
                </pt>
                <pt idx="4">
                  <v>0</v>
                </pt>
                <pt idx="5">
                  <v>9</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SectorsNewOrders!$H$6:$H$11</f>
              <numCache>
                <formatCode>General</formatCode>
                <ptCount val="6"/>
                <pt idx="0">
                  <v>4</v>
                </pt>
                <pt idx="1">
                  <v>0</v>
                </pt>
                <pt idx="2">
                  <v>5</v>
                </pt>
                <pt idx="3">
                  <v>10</v>
                </pt>
                <pt idx="4">
                  <v>10</v>
                </pt>
                <pt idx="5">
                  <v>13</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SectorsNewOrders!$I$6:$I$11</f>
              <numCache>
                <formatCode>General</formatCode>
                <ptCount val="6"/>
                <pt idx="0">
                  <v>0</v>
                </pt>
                <pt idx="1">
                  <v>0</v>
                </pt>
                <pt idx="2">
                  <v>0</v>
                </pt>
                <pt idx="3">
                  <v>0</v>
                </pt>
                <pt idx="4">
                  <v>0</v>
                </pt>
                <pt idx="5">
                  <v>6</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SectorsNewOrders!$J$6:$J$11</f>
              <numCache>
                <formatCode>General</formatCode>
                <ptCount val="6"/>
                <pt idx="0">
                  <v>1</v>
                </pt>
                <pt idx="1">
                  <v>0</v>
                </pt>
                <pt idx="2">
                  <v>0</v>
                </pt>
                <pt idx="3">
                  <v>6</v>
                </pt>
                <pt idx="4">
                  <v>5</v>
                </pt>
                <pt idx="5">
                  <v>10</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SectorsNewOrders!$K$6:$K$11</f>
              <numCache>
                <formatCode>General</formatCode>
                <ptCount val="6"/>
                <pt idx="0">
                  <v>-1</v>
                </pt>
                <pt idx="1">
                  <v>0</v>
                </pt>
                <pt idx="2">
                  <v>1</v>
                </pt>
                <pt idx="3">
                  <v>3</v>
                </pt>
                <pt idx="4">
                  <v>3</v>
                </pt>
                <pt idx="5">
                  <v>4</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SectorsNewOrders!$L$6:$L$11</f>
              <numCache>
                <formatCode>General</formatCode>
                <ptCount val="6"/>
                <pt idx="0">
                  <v>-3</v>
                </pt>
                <pt idx="1">
                  <v>1</v>
                </pt>
                <pt idx="2">
                  <v>4</v>
                </pt>
                <pt idx="3">
                  <v>2</v>
                </pt>
                <pt idx="4">
                  <v>8</v>
                </pt>
                <pt idx="5">
                  <v>5</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SectorsNewOrders!$M$6:$M$11</f>
              <numCache>
                <formatCode>General</formatCode>
                <ptCount val="6"/>
                <pt idx="0">
                  <v>-7</v>
                </pt>
                <pt idx="1">
                  <v>11</v>
                </pt>
                <pt idx="2">
                  <v>11</v>
                </pt>
                <pt idx="3">
                  <v>0</v>
                </pt>
                <pt idx="4">
                  <v>6</v>
                </pt>
                <pt idx="5">
                  <v>11</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SectorsNewOrders!$N$6:$N$11</f>
              <numCache>
                <formatCode>General</formatCode>
                <ptCount val="6"/>
                <pt idx="0">
                  <v>3</v>
                </pt>
                <pt idx="1">
                  <v>0</v>
                </pt>
                <pt idx="2">
                  <v>3</v>
                </pt>
                <pt idx="3">
                  <v>4</v>
                </pt>
                <pt idx="4">
                  <v>0</v>
                </pt>
                <pt idx="5">
                  <v>1</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SectorsNewOrders!$O$6:$O$11</f>
              <numCache>
                <formatCode>General</formatCode>
                <ptCount val="6"/>
                <pt idx="0">
                  <v>-5</v>
                </pt>
                <pt idx="1">
                  <v>4</v>
                </pt>
                <pt idx="2">
                  <v>2</v>
                </pt>
                <pt idx="3">
                  <v>5</v>
                </pt>
                <pt idx="4">
                  <v>7</v>
                </pt>
                <pt idx="5">
                  <v>3</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SectorsNewOrders!$P$6:$P$11</f>
              <numCache>
                <formatCode>General</formatCode>
                <ptCount val="6"/>
                <pt idx="0">
                  <v>-4</v>
                </pt>
                <pt idx="1">
                  <v>5</v>
                </pt>
                <pt idx="2">
                  <v>7</v>
                </pt>
                <pt idx="3">
                  <v>8</v>
                </pt>
                <pt idx="4">
                  <v>9</v>
                </pt>
                <pt idx="5">
                  <v>8</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SectorsNewOrders!$Q$6:$Q$11</f>
              <numCache>
                <formatCode>General</formatCode>
                <ptCount val="6"/>
                <pt idx="0">
                  <v>-6</v>
                </pt>
                <pt idx="1">
                  <v>3</v>
                </pt>
                <pt idx="2">
                  <v>0</v>
                </pt>
                <pt idx="3">
                  <v>9</v>
                </pt>
                <pt idx="4">
                  <v>4</v>
                </pt>
                <pt idx="5">
                  <v>12</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SectorsNewOrders!$R$6:$R$11</f>
              <numCache>
                <formatCode>General</formatCode>
                <ptCount val="6"/>
                <pt idx="0">
                  <v>6</v>
                </pt>
                <pt idx="1">
                  <v>9</v>
                </pt>
                <pt idx="2">
                  <v>8</v>
                </pt>
                <pt idx="3">
                  <v>0</v>
                </pt>
                <pt idx="4">
                  <v>0</v>
                </pt>
                <pt idx="5">
                  <v>16</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44774</v>
                </pt>
                <pt idx="1">
                  <v>44805</v>
                </pt>
                <pt idx="2">
                  <v>44835</v>
                </pt>
                <pt idx="3">
                  <v>44866</v>
                </pt>
                <pt idx="4">
                  <v>44896</v>
                </pt>
                <pt idx="5">
                  <v>44927</v>
                </pt>
              </numCache>
            </numRef>
          </cat>
          <val>
            <numRef>
              <f>SectorsNewOrders!$S$6:$S$11</f>
              <numCache>
                <formatCode>General</formatCode>
                <ptCount val="6"/>
                <pt idx="0">
                  <v>-8</v>
                </pt>
                <pt idx="1">
                  <v>10</v>
                </pt>
                <pt idx="2">
                  <v>12</v>
                </pt>
                <pt idx="3">
                  <v>14</v>
                </pt>
                <pt idx="4">
                  <v>11</v>
                </pt>
                <pt idx="5">
                  <v>17</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SectorsProduction!$C$6:$C$11</f>
              <numCache>
                <formatCode>General</formatCode>
                <ptCount val="6"/>
                <pt idx="0">
                  <v>0</v>
                </pt>
                <pt idx="1">
                  <v>1</v>
                </pt>
                <pt idx="2">
                  <v>5</v>
                </pt>
                <pt idx="3">
                  <v>4</v>
                </pt>
                <pt idx="4">
                  <v>-1</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SectorsProduction!$B$6:$B$11</f>
              <numCache>
                <formatCode>General</formatCode>
                <ptCount val="6"/>
                <pt idx="0">
                  <v>2</v>
                </pt>
                <pt idx="1">
                  <v>5</v>
                </pt>
                <pt idx="2">
                  <v>2</v>
                </pt>
                <pt idx="3">
                  <v>-4</v>
                </pt>
                <pt idx="4">
                  <v>1</v>
                </pt>
                <pt idx="5">
                  <v>4</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SectorsProduction!$D$6:$D$11</f>
              <numCache>
                <formatCode>General</formatCode>
                <ptCount val="6"/>
                <pt idx="0">
                  <v>-6</v>
                </pt>
                <pt idx="1">
                  <v>0</v>
                </pt>
                <pt idx="2">
                  <v>-5</v>
                </pt>
                <pt idx="3">
                  <v>0</v>
                </pt>
                <pt idx="4">
                  <v>-6</v>
                </pt>
                <pt idx="5">
                  <v>11</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SectorsProduction!$E$6:$E$11</f>
              <numCache>
                <formatCode>General</formatCode>
                <ptCount val="6"/>
                <pt idx="0">
                  <v>-9</v>
                </pt>
                <pt idx="1">
                  <v>0</v>
                </pt>
                <pt idx="2">
                  <v>0</v>
                </pt>
                <pt idx="3">
                  <v>7</v>
                </pt>
                <pt idx="4">
                  <v>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SectorsProduction!$F$6:$F$11</f>
              <numCache>
                <formatCode>General</formatCode>
                <ptCount val="6"/>
                <pt idx="0">
                  <v>0</v>
                </pt>
                <pt idx="1">
                  <v>-6</v>
                </pt>
                <pt idx="2">
                  <v>0</v>
                </pt>
                <pt idx="3">
                  <v>-7</v>
                </pt>
                <pt idx="4">
                  <v>0</v>
                </pt>
                <pt idx="5">
                  <v>12</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SectorsProduction!$G$6:$G$11</f>
              <numCache>
                <formatCode>General</formatCode>
                <ptCount val="6"/>
                <pt idx="0">
                  <v>-5</v>
                </pt>
                <pt idx="1">
                  <v>7</v>
                </pt>
                <pt idx="2">
                  <v>3</v>
                </pt>
                <pt idx="3">
                  <v>6</v>
                </pt>
                <pt idx="4">
                  <v>4</v>
                </pt>
                <pt idx="5">
                  <v>8</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SectorsProduction!$H$6:$H$11</f>
              <numCache>
                <formatCode>General</formatCode>
                <ptCount val="6"/>
                <pt idx="0">
                  <v>6</v>
                </pt>
                <pt idx="1">
                  <v>8</v>
                </pt>
                <pt idx="2">
                  <v>0</v>
                </pt>
                <pt idx="3">
                  <v>5</v>
                </pt>
                <pt idx="4">
                  <v>0</v>
                </pt>
                <pt idx="5">
                  <v>13</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SectorsProduction!$I$6:$I$11</f>
              <numCache>
                <formatCode>General</formatCode>
                <ptCount val="6"/>
                <pt idx="0">
                  <v>4</v>
                </pt>
                <pt idx="1">
                  <v>-3</v>
                </pt>
                <pt idx="2">
                  <v>-4</v>
                </pt>
                <pt idx="3">
                  <v>0</v>
                </pt>
                <pt idx="4">
                  <v>0</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SectorsProduction!$J$6:$J$11</f>
              <numCache>
                <formatCode>General</formatCode>
                <ptCount val="6"/>
                <pt idx="0">
                  <v>1</v>
                </pt>
                <pt idx="1">
                  <v>6</v>
                </pt>
                <pt idx="2">
                  <v>6</v>
                </pt>
                <pt idx="3">
                  <v>3</v>
                </pt>
                <pt idx="4">
                  <v>-3</v>
                </pt>
                <pt idx="5">
                  <v>10</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SectorsProduction!$K$6:$K$11</f>
              <numCache>
                <formatCode>General</formatCode>
                <ptCount val="6"/>
                <pt idx="0">
                  <v>-2</v>
                </pt>
                <pt idx="1">
                  <v>3</v>
                </pt>
                <pt idx="2">
                  <v>0</v>
                </pt>
                <pt idx="3">
                  <v>-2</v>
                </pt>
                <pt idx="4">
                  <v>-2</v>
                </pt>
                <pt idx="5">
                  <v>3</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SectorsProduction!$L$6:$L$11</f>
              <numCache>
                <formatCode>General</formatCode>
                <ptCount val="6"/>
                <pt idx="0">
                  <v>-3</v>
                </pt>
                <pt idx="1">
                  <v>-1</v>
                </pt>
                <pt idx="2">
                  <v>-2</v>
                </pt>
                <pt idx="3">
                  <v>-3</v>
                </pt>
                <pt idx="4">
                  <v>0</v>
                </pt>
                <pt idx="5">
                  <v>5</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SectorsProduction!$M$6:$M$11</f>
              <numCache>
                <formatCode>General</formatCode>
                <ptCount val="6"/>
                <pt idx="0">
                  <v>0</v>
                </pt>
                <pt idx="1">
                  <v>-5</v>
                </pt>
                <pt idx="2">
                  <v>-7</v>
                </pt>
                <pt idx="3">
                  <v>-5</v>
                </pt>
                <pt idx="4">
                  <v>-4</v>
                </pt>
                <pt idx="5">
                  <v>7</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SectorsProduction!$N$6:$N$11</f>
              <numCache>
                <formatCode>General</formatCode>
                <ptCount val="6"/>
                <pt idx="0">
                  <v>3</v>
                </pt>
                <pt idx="1">
                  <v>0</v>
                </pt>
                <pt idx="2">
                  <v>4</v>
                </pt>
                <pt idx="3">
                  <v>2</v>
                </pt>
                <pt idx="4">
                  <v>2</v>
                </pt>
                <pt idx="5">
                  <v>2</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SectorsProduction!$O$6:$O$11</f>
              <numCache>
                <formatCode>General</formatCode>
                <ptCount val="6"/>
                <pt idx="0">
                  <v>-4</v>
                </pt>
                <pt idx="1">
                  <v>-2</v>
                </pt>
                <pt idx="2">
                  <v>-1</v>
                </pt>
                <pt idx="3">
                  <v>0</v>
                </pt>
                <pt idx="4">
                  <v>-8</v>
                </pt>
                <pt idx="5">
                  <v>1</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SectorsProduction!$P$6:$P$11</f>
              <numCache>
                <formatCode>General</formatCode>
                <ptCount val="6"/>
                <pt idx="0">
                  <v>-1</v>
                </pt>
                <pt idx="1">
                  <v>2</v>
                </pt>
                <pt idx="2">
                  <v>1</v>
                </pt>
                <pt idx="3">
                  <v>-1</v>
                </pt>
                <pt idx="4">
                  <v>-5</v>
                </pt>
                <pt idx="5">
                  <v>0</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SectorsProduction!$Q$6:$Q$11</f>
              <numCache>
                <formatCode>General</formatCode>
                <ptCount val="6"/>
                <pt idx="0">
                  <v>5</v>
                </pt>
                <pt idx="1">
                  <v>4</v>
                </pt>
                <pt idx="2">
                  <v>-3</v>
                </pt>
                <pt idx="3">
                  <v>1</v>
                </pt>
                <pt idx="4">
                  <v>3</v>
                </pt>
                <pt idx="5">
                  <v>6</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SectorsProduction!$R$6:$R$11</f>
              <numCache>
                <formatCode>General</formatCode>
                <ptCount val="6"/>
                <pt idx="0">
                  <v>-8</v>
                </pt>
                <pt idx="1">
                  <v>-7</v>
                </pt>
                <pt idx="2">
                  <v>-8</v>
                </pt>
                <pt idx="3">
                  <v>-6</v>
                </pt>
                <pt idx="4">
                  <v>0</v>
                </pt>
                <pt idx="5">
                  <v>14</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44774</v>
                </pt>
                <pt idx="1">
                  <v>44805</v>
                </pt>
                <pt idx="2">
                  <v>44835</v>
                </pt>
                <pt idx="3">
                  <v>44866</v>
                </pt>
                <pt idx="4">
                  <v>44896</v>
                </pt>
                <pt idx="5">
                  <v>44927</v>
                </pt>
              </numCache>
            </numRef>
          </cat>
          <val>
            <numRef>
              <f>SectorsProduction!$S$6:$S$11</f>
              <numCache>
                <formatCode>General</formatCode>
                <ptCount val="6"/>
                <pt idx="0">
                  <v>-7</v>
                </pt>
                <pt idx="1">
                  <v>-4</v>
                </pt>
                <pt idx="2">
                  <v>-6</v>
                </pt>
                <pt idx="3">
                  <v>0</v>
                </pt>
                <pt idx="4">
                  <v>-7</v>
                </pt>
                <pt idx="5">
                  <v>9</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Details!$B$6:$B$907</f>
              <numCache>
                <formatCode>0.00</formatCode>
                <ptCount val="90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pt idx="900">
                  <v>42.5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Details!$B$6:$B$907</f>
              <numCache>
                <formatCode>0.00</formatCode>
                <ptCount val="902"/>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pt idx="888">
                  <v>57.9</v>
                </pt>
                <pt idx="889">
                  <v>61.7</v>
                </pt>
                <pt idx="890">
                  <v>53.8</v>
                </pt>
                <pt idx="891">
                  <v>53.5</v>
                </pt>
                <pt idx="892">
                  <v>55.1</v>
                </pt>
                <pt idx="893">
                  <v>49.2</v>
                </pt>
                <pt idx="894">
                  <v>48</v>
                </pt>
                <pt idx="895">
                  <v>51.3</v>
                </pt>
                <pt idx="896">
                  <v>47.1</v>
                </pt>
                <pt idx="897">
                  <v>49.2</v>
                </pt>
                <pt idx="898">
                  <v>47.2</v>
                </pt>
                <pt idx="899">
                  <v>45.2</v>
                </pt>
                <pt idx="900">
                  <v>42.5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Details!$C$6:$C$907</f>
              <numCache>
                <formatCode>0.00</formatCode>
                <ptCount val="902"/>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pt idx="899">
                  <v>45.1</v>
                </pt>
                <pt idx="900">
                  <v>47.8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Details!$C$6:$C$907</f>
              <numCache>
                <formatCode>0.00</formatCode>
                <ptCount val="902"/>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pt idx="888">
                  <v>55.1</v>
                </pt>
                <pt idx="889">
                  <v>55.4</v>
                </pt>
                <pt idx="890">
                  <v>51.8</v>
                </pt>
                <pt idx="891">
                  <v>51.4</v>
                </pt>
                <pt idx="892">
                  <v>48.7</v>
                </pt>
                <pt idx="893">
                  <v>50.7</v>
                </pt>
                <pt idx="894">
                  <v>54.4</v>
                </pt>
                <pt idx="895">
                  <v>52.5</v>
                </pt>
                <pt idx="896">
                  <v>52.6</v>
                </pt>
                <pt idx="897">
                  <v>50.8</v>
                </pt>
                <pt idx="898">
                  <v>46.6</v>
                </pt>
                <pt idx="899">
                  <v>45.1</v>
                </pt>
                <pt idx="900">
                  <v>47.8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Details!$D$6:$D$907</f>
              <numCache>
                <formatCode>0.00</formatCode>
                <ptCount val="902"/>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pt idx="900">
                  <v>43.4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Details!$D$6:$D$907</f>
              <numCache>
                <formatCode>0.00</formatCode>
                <ptCount val="902"/>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pt idx="900">
                  <v>43.4</v>
                </pt>
              </numCache>
            </numRef>
          </val>
          <smooth val="0"/>
        </ser>
        <ser>
          <idx val="1"/>
          <order val="1"/>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Details!$D$6:$D$907</f>
              <numCache>
                <formatCode>0.00</formatCode>
                <ptCount val="902"/>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pt idx="888">
                  <v>56.4</v>
                </pt>
                <pt idx="889">
                  <v>65</v>
                </pt>
                <pt idx="890">
                  <v>60</v>
                </pt>
                <pt idx="891">
                  <v>56</v>
                </pt>
                <pt idx="892">
                  <v>58.7</v>
                </pt>
                <pt idx="893">
                  <v>53.2</v>
                </pt>
                <pt idx="894">
                  <v>51.3</v>
                </pt>
                <pt idx="895">
                  <v>53</v>
                </pt>
                <pt idx="896">
                  <v>50.9</v>
                </pt>
                <pt idx="897">
                  <v>45.3</v>
                </pt>
                <pt idx="898">
                  <v>40</v>
                </pt>
                <pt idx="899">
                  <v>41.4</v>
                </pt>
                <pt idx="900">
                  <v>43.4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Details!$E$6:$E$907</f>
              <numCache>
                <formatCode>0.00</formatCode>
                <ptCount val="902"/>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pt idx="899">
                  <v>39.4</v>
                </pt>
                <pt idx="900">
                  <v>44.5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Details!$E$6:$E$907</f>
              <numCache>
                <formatCode>0.00</formatCode>
                <ptCount val="902"/>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pt idx="888">
                  <v>76.09999999999999</v>
                </pt>
                <pt idx="889">
                  <v>75.59999999999999</v>
                </pt>
                <pt idx="890">
                  <v>87.09999999999999</v>
                </pt>
                <pt idx="891">
                  <v>84.59999999999999</v>
                </pt>
                <pt idx="892">
                  <v>82.2</v>
                </pt>
                <pt idx="893">
                  <v>78.5</v>
                </pt>
                <pt idx="894">
                  <v>60</v>
                </pt>
                <pt idx="895">
                  <v>52.5</v>
                </pt>
                <pt idx="896">
                  <v>51.7</v>
                </pt>
                <pt idx="897">
                  <v>46.6</v>
                </pt>
                <pt idx="898">
                  <v>43</v>
                </pt>
                <pt idx="899">
                  <v>39.4</v>
                </pt>
                <pt idx="900">
                  <v>44.5</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Details!$F$6:$F$907</f>
              <numCache>
                <formatCode>0.00</formatCode>
                <ptCount val="902"/>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pt idx="899">
                  <v>48.5</v>
                </pt>
                <pt idx="900">
                  <v>48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Details!$F$6:$F$907</f>
              <numCache>
                <formatCode>0.00</formatCode>
                <ptCount val="902"/>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pt idx="888">
                  <v>57.8</v>
                </pt>
                <pt idx="889">
                  <v>58.5</v>
                </pt>
                <pt idx="890">
                  <v>54.5</v>
                </pt>
                <pt idx="891">
                  <v>53.6</v>
                </pt>
                <pt idx="892">
                  <v>54.2</v>
                </pt>
                <pt idx="893">
                  <v>54.9</v>
                </pt>
                <pt idx="894">
                  <v>53.5</v>
                </pt>
                <pt idx="895">
                  <v>50.4</v>
                </pt>
                <pt idx="896">
                  <v>50.6</v>
                </pt>
                <pt idx="897">
                  <v>52.3</v>
                </pt>
                <pt idx="898">
                  <v>51.5</v>
                </pt>
                <pt idx="899">
                  <v>48.5</v>
                </pt>
                <pt idx="900">
                  <v>48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Details!$G$6:$G$907</f>
              <numCache>
                <formatCode>General</formatCode>
                <ptCount val="902"/>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pt idx="899">
                  <formatCode>0.00</formatCode>
                  <v>48.2</v>
                </pt>
                <pt idx="900">
                  <formatCode>0.00</formatCode>
                  <v>47.4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Details!$G$6:$G$907</f>
              <numCache>
                <formatCode>General</formatCode>
                <ptCount val="902"/>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pt idx="888">
                  <formatCode>0.00</formatCode>
                  <v>33</v>
                </pt>
                <pt idx="889">
                  <formatCode>0.00</formatCode>
                  <v>31.8</v>
                </pt>
                <pt idx="890">
                  <formatCode>0.00</formatCode>
                  <v>34.1</v>
                </pt>
                <pt idx="891">
                  <formatCode>0.00</formatCode>
                  <v>37.1</v>
                </pt>
                <pt idx="892">
                  <formatCode>0.00</formatCode>
                  <v>32.7</v>
                </pt>
                <pt idx="893">
                  <formatCode>0.00</formatCode>
                  <v>35.2</v>
                </pt>
                <pt idx="894">
                  <formatCode>0.00</formatCode>
                  <v>39.5</v>
                </pt>
                <pt idx="895">
                  <formatCode>0.00</formatCode>
                  <v>38.9</v>
                </pt>
                <pt idx="896">
                  <formatCode>0.00</formatCode>
                  <v>41.6</v>
                </pt>
                <pt idx="897">
                  <formatCode>0.00</formatCode>
                  <v>41.6</v>
                </pt>
                <pt idx="898">
                  <formatCode>0.00</formatCode>
                  <v>48.7</v>
                </pt>
                <pt idx="899">
                  <formatCode>0.00</formatCode>
                  <v>48.2</v>
                </pt>
                <pt idx="900">
                  <formatCode>0.00</formatCode>
                  <v>47.4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Details!$H$6:$H$907</f>
              <numCache>
                <formatCode>0.00</formatCode>
                <ptCount val="902"/>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pt idx="899">
                  <v>51.8</v>
                </pt>
                <pt idx="900">
                  <v>50.2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Details!$H$6:$H$907</f>
              <numCache>
                <formatCode>0.00</formatCode>
                <ptCount val="902"/>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pt idx="888">
                  <v>53.2</v>
                </pt>
                <pt idx="889">
                  <v>53.6</v>
                </pt>
                <pt idx="890">
                  <v>55.5</v>
                </pt>
                <pt idx="891">
                  <v>51.6</v>
                </pt>
                <pt idx="892">
                  <v>55.9</v>
                </pt>
                <pt idx="893">
                  <v>56</v>
                </pt>
                <pt idx="894">
                  <v>57.3</v>
                </pt>
                <pt idx="895">
                  <v>53.1</v>
                </pt>
                <pt idx="896">
                  <v>55.5</v>
                </pt>
                <pt idx="897">
                  <v>52.5</v>
                </pt>
                <pt idx="898">
                  <v>50.9</v>
                </pt>
                <pt idx="899">
                  <v>51.8</v>
                </pt>
                <pt idx="900">
                  <v>50.2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Details!$I$6:$I$907</f>
              <numCache>
                <formatCode>0.00</formatCode>
                <ptCount val="902"/>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pt idx="899">
                  <v>45.1</v>
                </pt>
                <pt idx="900">
                  <v>45.6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Details!$I$6:$I$907</f>
              <numCache>
                <formatCode>0.00</formatCode>
                <ptCount val="902"/>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pt idx="888">
                  <v>64.59999999999999</v>
                </pt>
                <pt idx="889">
                  <v>66.09999999999999</v>
                </pt>
                <pt idx="890">
                  <v>65.40000000000001</v>
                </pt>
                <pt idx="891">
                  <v>67.2</v>
                </pt>
                <pt idx="892">
                  <v>65.7</v>
                </pt>
                <pt idx="893">
                  <v>57.3</v>
                </pt>
                <pt idx="894">
                  <v>55.2</v>
                </pt>
                <pt idx="895">
                  <v>55.1</v>
                </pt>
                <pt idx="896">
                  <v>52.4</v>
                </pt>
                <pt idx="897">
                  <v>46.8</v>
                </pt>
                <pt idx="898">
                  <v>47.2</v>
                </pt>
                <pt idx="899">
                  <v>45.1</v>
                </pt>
                <pt idx="900">
                  <v>45.6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Details!$J$6:$J$907</f>
              <numCache>
                <formatCode>0.00</formatCode>
                <ptCount val="902"/>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pt idx="899">
                  <v>51.4</v>
                </pt>
                <pt idx="900">
                  <v>50.6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Details!$J$6:$J$907</f>
              <numCache>
                <formatCode>0.00</formatCode>
                <ptCount val="902"/>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pt idx="888">
                  <v>54.5</v>
                </pt>
                <pt idx="889">
                  <v>52.9</v>
                </pt>
                <pt idx="890">
                  <v>56.3</v>
                </pt>
                <pt idx="891">
                  <v>50.9</v>
                </pt>
                <pt idx="892">
                  <v>49.6</v>
                </pt>
                <pt idx="893">
                  <v>47.3</v>
                </pt>
                <pt idx="894">
                  <v>49.9</v>
                </pt>
                <pt idx="895">
                  <v>54.2</v>
                </pt>
                <pt idx="896">
                  <v>48.7</v>
                </pt>
                <pt idx="897">
                  <v>50</v>
                </pt>
                <pt idx="898">
                  <v>48.4</v>
                </pt>
                <pt idx="899">
                  <v>51.4</v>
                </pt>
                <pt idx="900">
                  <v>50.6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Details!$K$6:$K$907</f>
              <numCache>
                <formatCode>General</formatCode>
                <ptCount val="902"/>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pt idx="899">
                  <formatCode>0.00</formatCode>
                  <v>46.2</v>
                </pt>
                <pt idx="900">
                  <formatCode>0.00</formatCode>
                  <v>49.4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Details!$A$6:$A$907</f>
              <numCache>
                <formatCode>m/d/yyyy</formatCode>
                <ptCount val="90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Details!$K$6:$K$907</f>
              <numCache>
                <formatCode>General</formatCode>
                <ptCount val="902"/>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pt idx="888">
                  <formatCode>0.00</formatCode>
                  <v>53.7</v>
                </pt>
                <pt idx="889">
                  <formatCode>0.00</formatCode>
                  <v>57.1</v>
                </pt>
                <pt idx="890">
                  <formatCode>0.00</formatCode>
                  <v>53.2</v>
                </pt>
                <pt idx="891">
                  <formatCode>0.00</formatCode>
                  <v>52.7</v>
                </pt>
                <pt idx="892">
                  <formatCode>0.00</formatCode>
                  <v>52.9</v>
                </pt>
                <pt idx="893">
                  <formatCode>0.00</formatCode>
                  <v>50.7</v>
                </pt>
                <pt idx="894">
                  <formatCode>0.00</formatCode>
                  <v>52.6</v>
                </pt>
                <pt idx="895">
                  <formatCode>0.00</formatCode>
                  <v>49.4</v>
                </pt>
                <pt idx="896">
                  <formatCode>0.00</formatCode>
                  <v>47.8</v>
                </pt>
                <pt idx="897">
                  <formatCode>0.00</formatCode>
                  <v>46.5</v>
                </pt>
                <pt idx="898">
                  <formatCode>0.00</formatCode>
                  <v>48.4</v>
                </pt>
                <pt idx="899">
                  <formatCode>0.00</formatCode>
                  <v>46.2</v>
                </pt>
                <pt idx="900">
                  <formatCode>0.00</formatCode>
                  <v>49.4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'ISM Manufacturing vs GDP'!$D$6:$D$906</f>
              <numCache>
                <formatCode>0.00%</formatCode>
                <ptCount val="901"/>
                <pt idx="0">
                  <v>0.01504200324044458</v>
                </pt>
                <pt idx="1">
                  <v>0</v>
                </pt>
                <pt idx="2">
                  <v>0</v>
                </pt>
                <pt idx="3">
                  <v>0.01650680593760204</v>
                </pt>
                <pt idx="4">
                  <v>0</v>
                </pt>
                <pt idx="5">
                  <v>0</v>
                </pt>
                <pt idx="6">
                  <v>0.0057293019130506</v>
                </pt>
                <pt idx="7">
                  <v>0</v>
                </pt>
                <pt idx="8">
                  <v>0</v>
                </pt>
                <pt idx="9">
                  <v>0.001117121575066453</v>
                </pt>
                <pt idx="10">
                  <v>0</v>
                </pt>
                <pt idx="11">
                  <v>0</v>
                </pt>
                <pt idx="12">
                  <v>-0.01377946490423314</v>
                </pt>
                <pt idx="13">
                  <v>0</v>
                </pt>
                <pt idx="14">
                  <v>0</v>
                </pt>
                <pt idx="15">
                  <v>-0.003411009297100643</v>
                </pt>
                <pt idx="16">
                  <v>0</v>
                </pt>
                <pt idx="17">
                  <v>0</v>
                </pt>
                <pt idx="18">
                  <v>0.010324247766707</v>
                </pt>
                <pt idx="19">
                  <v>0</v>
                </pt>
                <pt idx="20">
                  <v>0</v>
                </pt>
                <pt idx="21">
                  <v>-0.008392674404299159</v>
                </pt>
                <pt idx="22">
                  <v>0</v>
                </pt>
                <pt idx="23">
                  <v>0</v>
                </pt>
                <pt idx="24">
                  <v>0.03930097999323078</v>
                </pt>
                <pt idx="25">
                  <v>0</v>
                </pt>
                <pt idx="26">
                  <v>0</v>
                </pt>
                <pt idx="27">
                  <v>0.03049810987643888</v>
                </pt>
                <pt idx="28">
                  <v>0</v>
                </pt>
                <pt idx="29">
                  <v>0</v>
                </pt>
                <pt idx="30">
                  <v>0.03864414603347914</v>
                </pt>
                <pt idx="31">
                  <v>0</v>
                </pt>
                <pt idx="32">
                  <v>0</v>
                </pt>
                <pt idx="33">
                  <v>0.01914780147275002</v>
                </pt>
                <pt idx="34">
                  <v>0</v>
                </pt>
                <pt idx="35">
                  <v>0</v>
                </pt>
                <pt idx="36">
                  <v>0.01358158764235281</v>
                </pt>
                <pt idx="37">
                  <v>0</v>
                </pt>
                <pt idx="38">
                  <v>0</v>
                </pt>
                <pt idx="39">
                  <v>0.01732710437341317</v>
                </pt>
                <pt idx="40">
                  <v>0</v>
                </pt>
                <pt idx="41">
                  <v>0</v>
                </pt>
                <pt idx="42">
                  <v>0.02060998797981137</v>
                </pt>
                <pt idx="43">
                  <v>0</v>
                </pt>
                <pt idx="44">
                  <v>0</v>
                </pt>
                <pt idx="45">
                  <v>0.002202495736847894</v>
                </pt>
                <pt idx="46">
                  <v>0</v>
                </pt>
                <pt idx="47">
                  <v>0</v>
                </pt>
                <pt idx="48">
                  <v>0.01068534408732109</v>
                </pt>
                <pt idx="49">
                  <v>0</v>
                </pt>
                <pt idx="50">
                  <v>0</v>
                </pt>
                <pt idx="51">
                  <v>0.002153966941563661</v>
                </pt>
                <pt idx="52">
                  <v>0</v>
                </pt>
                <pt idx="53">
                  <v>0</v>
                </pt>
                <pt idx="54">
                  <v>0.007218492151150547</v>
                </pt>
                <pt idx="55">
                  <v>0</v>
                </pt>
                <pt idx="56">
                  <v>0</v>
                </pt>
                <pt idx="57">
                  <v>0.03284215711222217</v>
                </pt>
                <pt idx="58">
                  <v>0</v>
                </pt>
                <pt idx="59">
                  <v>0</v>
                </pt>
                <pt idx="60">
                  <v>0.01858867482307595</v>
                </pt>
                <pt idx="61">
                  <v>0</v>
                </pt>
                <pt idx="62">
                  <v>0</v>
                </pt>
                <pt idx="63">
                  <v>0.007729380201274192</v>
                </pt>
                <pt idx="64">
                  <v>0</v>
                </pt>
                <pt idx="65">
                  <v>0</v>
                </pt>
                <pt idx="66">
                  <v>-0.005626770311766005</v>
                </pt>
                <pt idx="67">
                  <v>0</v>
                </pt>
                <pt idx="68">
                  <v>0</v>
                </pt>
                <pt idx="69">
                  <v>-0.01513940629692239</v>
                </pt>
                <pt idx="70">
                  <v>0</v>
                </pt>
                <pt idx="71">
                  <v>0</v>
                </pt>
                <pt idx="72">
                  <v>-0.004780238876824148</v>
                </pt>
                <pt idx="73">
                  <v>0</v>
                </pt>
                <pt idx="74">
                  <v>0</v>
                </pt>
                <pt idx="75">
                  <v>0.001089921955553936</v>
                </pt>
                <pt idx="76">
                  <v>0</v>
                </pt>
                <pt idx="77">
                  <v>0</v>
                </pt>
                <pt idx="78">
                  <v>0.01129346276600556</v>
                </pt>
                <pt idx="79">
                  <v>0</v>
                </pt>
                <pt idx="80">
                  <v>0</v>
                </pt>
                <pt idx="81">
                  <v>0.01956688076518173</v>
                </pt>
                <pt idx="82">
                  <v>0</v>
                </pt>
                <pt idx="83">
                  <v>0</v>
                </pt>
                <pt idx="84">
                  <v>0.0285623465450719</v>
                </pt>
                <pt idx="85">
                  <v>0</v>
                </pt>
                <pt idx="86">
                  <v>0</v>
                </pt>
                <pt idx="87">
                  <v>0.016272049572063</v>
                </pt>
                <pt idx="88">
                  <v>0</v>
                </pt>
                <pt idx="89">
                  <v>0</v>
                </pt>
                <pt idx="90">
                  <v>0.01350464287636728</v>
                </pt>
                <pt idx="91">
                  <v>0</v>
                </pt>
                <pt idx="92">
                  <v>0</v>
                </pt>
                <pt idx="93">
                  <v>0.006003287374921507</v>
                </pt>
                <pt idx="94">
                  <v>0</v>
                </pt>
                <pt idx="95">
                  <v>0</v>
                </pt>
                <pt idx="96">
                  <v>-0.003883804681889066</v>
                </pt>
                <pt idx="97">
                  <v>0</v>
                </pt>
                <pt idx="98">
                  <v>0</v>
                </pt>
                <pt idx="99">
                  <v>0.0082631942666304</v>
                </pt>
                <pt idx="100">
                  <v>0</v>
                </pt>
                <pt idx="101">
                  <v>0</v>
                </pt>
                <pt idx="102">
                  <v>-0.0008983959263615927</v>
                </pt>
                <pt idx="103">
                  <v>0</v>
                </pt>
                <pt idx="104">
                  <v>0</v>
                </pt>
                <pt idx="105">
                  <v>0.01645864038477166</v>
                </pt>
                <pt idx="106">
                  <v>0</v>
                </pt>
                <pt idx="107">
                  <v>0</v>
                </pt>
                <pt idx="108">
                  <v>0.006402911526551642</v>
                </pt>
                <pt idx="109">
                  <v>0</v>
                </pt>
                <pt idx="110">
                  <v>0</v>
                </pt>
                <pt idx="111">
                  <v>-0.002190859240967446</v>
                </pt>
                <pt idx="112">
                  <v>0</v>
                </pt>
                <pt idx="113">
                  <v>0</v>
                </pt>
                <pt idx="114">
                  <v>0.009800184021214903</v>
                </pt>
                <pt idx="115">
                  <v>0</v>
                </pt>
                <pt idx="116">
                  <v>0</v>
                </pt>
                <pt idx="117">
                  <v>-0.01034279655244525</v>
                </pt>
                <pt idx="118">
                  <v>0</v>
                </pt>
                <pt idx="119">
                  <v>0</v>
                </pt>
                <pt idx="120">
                  <v>-0.02595440044879475</v>
                </pt>
                <pt idx="121">
                  <v>0</v>
                </pt>
                <pt idx="122">
                  <v>0</v>
                </pt>
                <pt idx="123">
                  <v>0.006572267260281944</v>
                </pt>
                <pt idx="124">
                  <v>0</v>
                </pt>
                <pt idx="125">
                  <v>0</v>
                </pt>
                <pt idx="126">
                  <v>0.02313217041089436</v>
                </pt>
                <pt idx="127">
                  <v>0</v>
                </pt>
                <pt idx="128">
                  <v>0</v>
                </pt>
                <pt idx="129">
                  <v>0.02338109559842837</v>
                </pt>
                <pt idx="130">
                  <v>0</v>
                </pt>
                <pt idx="131">
                  <v>0</v>
                </pt>
                <pt idx="132">
                  <v>0.0191955280360675</v>
                </pt>
                <pt idx="133">
                  <v>0</v>
                </pt>
                <pt idx="134">
                  <v>0</v>
                </pt>
                <pt idx="135">
                  <v>0.02255169530643302</v>
                </pt>
                <pt idx="136">
                  <v>0</v>
                </pt>
                <pt idx="137">
                  <v>0</v>
                </pt>
                <pt idx="138">
                  <v>0.0007056034114390727</v>
                </pt>
                <pt idx="139">
                  <v>0</v>
                </pt>
                <pt idx="140">
                  <v>0</v>
                </pt>
                <pt idx="141">
                  <v>0.002848890553113953</v>
                </pt>
                <pt idx="142">
                  <v>0</v>
                </pt>
                <pt idx="143">
                  <v>0</v>
                </pt>
                <pt idx="144">
                  <v>0.02247714291953005</v>
                </pt>
                <pt idx="145">
                  <v>0</v>
                </pt>
                <pt idx="146">
                  <v>0</v>
                </pt>
                <pt idx="147">
                  <v>-0.005390733612642711</v>
                </pt>
                <pt idx="148">
                  <v>0</v>
                </pt>
                <pt idx="149">
                  <v>0</v>
                </pt>
                <pt idx="150">
                  <v>0.004894212798875544</v>
                </pt>
                <pt idx="151">
                  <v>0</v>
                </pt>
                <pt idx="152">
                  <v>0</v>
                </pt>
                <pt idx="153">
                  <v>-0.01283403329474103</v>
                </pt>
                <pt idx="154">
                  <v>0</v>
                </pt>
                <pt idx="155">
                  <v>0</v>
                </pt>
                <pt idx="156">
                  <v>0.006749045402922131</v>
                </pt>
                <pt idx="157">
                  <v>0</v>
                </pt>
                <pt idx="158">
                  <v>0</v>
                </pt>
                <pt idx="159">
                  <v>0.01697434268841248</v>
                </pt>
                <pt idx="160">
                  <v>0</v>
                </pt>
                <pt idx="161">
                  <v>0</v>
                </pt>
                <pt idx="162">
                  <v>0.01919586999321395</v>
                </pt>
                <pt idx="163">
                  <v>0</v>
                </pt>
                <pt idx="164">
                  <v>0</v>
                </pt>
                <pt idx="165">
                  <v>0.01961098063200084</v>
                </pt>
                <pt idx="166">
                  <v>0</v>
                </pt>
                <pt idx="167">
                  <v>0</v>
                </pt>
                <pt idx="168">
                  <v>0.01783648810610167</v>
                </pt>
                <pt idx="169">
                  <v>0</v>
                </pt>
                <pt idx="170">
                  <v>0</v>
                </pt>
                <pt idx="171">
                  <v>0.009036638230099307</v>
                </pt>
                <pt idx="172">
                  <v>0</v>
                </pt>
                <pt idx="173">
                  <v>0</v>
                </pt>
                <pt idx="174">
                  <v>0.01228513047875363</v>
                </pt>
                <pt idx="175">
                  <v>0</v>
                </pt>
                <pt idx="176">
                  <v>0</v>
                </pt>
                <pt idx="177">
                  <v>0.003289015760775699</v>
                </pt>
                <pt idx="178">
                  <v>0</v>
                </pt>
                <pt idx="179">
                  <v>0</v>
                </pt>
                <pt idx="180">
                  <v>0.01091574332261203</v>
                </pt>
                <pt idx="181">
                  <v>0</v>
                </pt>
                <pt idx="182">
                  <v>0</v>
                </pt>
                <pt idx="183">
                  <v>0.01122121452821232</v>
                </pt>
                <pt idx="184">
                  <v>0</v>
                </pt>
                <pt idx="185">
                  <v>0</v>
                </pt>
                <pt idx="186">
                  <v>0.02198434459337918</v>
                </pt>
                <pt idx="187">
                  <v>0</v>
                </pt>
                <pt idx="188">
                  <v>0</v>
                </pt>
                <pt idx="189">
                  <v>0.006556024365806074</v>
                </pt>
                <pt idx="190">
                  <v>0</v>
                </pt>
                <pt idx="191">
                  <v>0</v>
                </pt>
                <pt idx="192">
                  <v>0.0210825209895227</v>
                </pt>
                <pt idx="193">
                  <v>0</v>
                </pt>
                <pt idx="194">
                  <v>0</v>
                </pt>
                <pt idx="195">
                  <v>0.01088733689947807</v>
                </pt>
                <pt idx="196">
                  <v>0</v>
                </pt>
                <pt idx="197">
                  <v>0</v>
                </pt>
                <pt idx="198">
                  <v>0.01562300666385509</v>
                </pt>
                <pt idx="199">
                  <v>0</v>
                </pt>
                <pt idx="200">
                  <v>0</v>
                </pt>
                <pt idx="201">
                  <v>0.003088718582379014</v>
                </pt>
                <pt idx="202">
                  <v>0</v>
                </pt>
                <pt idx="203">
                  <v>0</v>
                </pt>
                <pt idx="204">
                  <v>0.02419751879498433</v>
                </pt>
                <pt idx="205">
                  <v>0</v>
                </pt>
                <pt idx="206">
                  <v>0</v>
                </pt>
                <pt idx="207">
                  <v>0.01263298248548859</v>
                </pt>
                <pt idx="208">
                  <v>0</v>
                </pt>
                <pt idx="209">
                  <v>0</v>
                </pt>
                <pt idx="210">
                  <v>0.02223252281739749</v>
                </pt>
                <pt idx="211">
                  <v>0</v>
                </pt>
                <pt idx="212">
                  <v>0</v>
                </pt>
                <pt idx="213">
                  <v>0.02304040465974701</v>
                </pt>
                <pt idx="214">
                  <v>0</v>
                </pt>
                <pt idx="215">
                  <v>0</v>
                </pt>
                <pt idx="216">
                  <v>0.0243422875900957</v>
                </pt>
                <pt idx="217">
                  <v>0</v>
                </pt>
                <pt idx="218">
                  <v>0</v>
                </pt>
                <pt idx="219">
                  <v>0.003416019619377923</v>
                </pt>
                <pt idx="220">
                  <v>0</v>
                </pt>
                <pt idx="221">
                  <v>0</v>
                </pt>
                <pt idx="222">
                  <v>0.008469050515743695</v>
                </pt>
                <pt idx="223">
                  <v>0</v>
                </pt>
                <pt idx="224">
                  <v>0</v>
                </pt>
                <pt idx="225">
                  <v>0.008204071085663924</v>
                </pt>
                <pt idx="226">
                  <v>0</v>
                </pt>
                <pt idx="227">
                  <v>0</v>
                </pt>
                <pt idx="228">
                  <v>0.008855525867702769</v>
                </pt>
                <pt idx="229">
                  <v>0</v>
                </pt>
                <pt idx="230">
                  <v>0</v>
                </pt>
                <pt idx="231">
                  <v>0.0006129781262435619</v>
                </pt>
                <pt idx="232">
                  <v>0</v>
                </pt>
                <pt idx="233">
                  <v>0</v>
                </pt>
                <pt idx="234">
                  <v>0.009461209174505944</v>
                </pt>
                <pt idx="235">
                  <v>0</v>
                </pt>
                <pt idx="236">
                  <v>0</v>
                </pt>
                <pt idx="237">
                  <v>0.007540171273531089</v>
                </pt>
                <pt idx="238">
                  <v>0</v>
                </pt>
                <pt idx="239">
                  <v>0</v>
                </pt>
                <pt idx="240">
                  <v>0.02039507128672915</v>
                </pt>
                <pt idx="241">
                  <v>0</v>
                </pt>
                <pt idx="242">
                  <v>0</v>
                </pt>
                <pt idx="243">
                  <v>0.01670799550096719</v>
                </pt>
                <pt idx="244">
                  <v>0</v>
                </pt>
                <pt idx="245">
                  <v>0</v>
                </pt>
                <pt idx="246">
                  <v>0.007749556634537891</v>
                </pt>
                <pt idx="247">
                  <v>0</v>
                </pt>
                <pt idx="248">
                  <v>0</v>
                </pt>
                <pt idx="249">
                  <v>0.003933200411191717</v>
                </pt>
                <pt idx="250">
                  <v>0</v>
                </pt>
                <pt idx="251">
                  <v>0</v>
                </pt>
                <pt idx="252">
                  <v>0.01565115509134396</v>
                </pt>
                <pt idx="253">
                  <v>0</v>
                </pt>
                <pt idx="254">
                  <v>0</v>
                </pt>
                <pt idx="255">
                  <v>0.003039953206492568</v>
                </pt>
                <pt idx="256">
                  <v>0</v>
                </pt>
                <pt idx="257">
                  <v>0</v>
                </pt>
                <pt idx="258">
                  <v>0.006605142052771502</v>
                </pt>
                <pt idx="259">
                  <v>0</v>
                </pt>
                <pt idx="260">
                  <v>0</v>
                </pt>
                <pt idx="261">
                  <v>-0.004876945875254361</v>
                </pt>
                <pt idx="262">
                  <v>0</v>
                </pt>
                <pt idx="263">
                  <v>0</v>
                </pt>
                <pt idx="264">
                  <v>-0.001484707012425907</v>
                </pt>
                <pt idx="265">
                  <v>0</v>
                </pt>
                <pt idx="266">
                  <v>0</v>
                </pt>
                <pt idx="267">
                  <v>0.001419300010385208</v>
                </pt>
                <pt idx="268">
                  <v>0</v>
                </pt>
                <pt idx="269">
                  <v>0</v>
                </pt>
                <pt idx="270">
                  <v>0.009215508301376359</v>
                </pt>
                <pt idx="271">
                  <v>0</v>
                </pt>
                <pt idx="272">
                  <v>0</v>
                </pt>
                <pt idx="273">
                  <v>-0.01071638106008845</v>
                </pt>
                <pt idx="274">
                  <v>0</v>
                </pt>
                <pt idx="275">
                  <v>0</v>
                </pt>
                <pt idx="276">
                  <v>0.02715992789424762</v>
                </pt>
                <pt idx="277">
                  <v>0</v>
                </pt>
                <pt idx="278">
                  <v>0</v>
                </pt>
                <pt idx="279">
                  <v>0.005411200797319773</v>
                </pt>
                <pt idx="280">
                  <v>0</v>
                </pt>
                <pt idx="281">
                  <v>0</v>
                </pt>
                <pt idx="282">
                  <v>0.008229670850417514</v>
                </pt>
                <pt idx="283">
                  <v>0</v>
                </pt>
                <pt idx="284">
                  <v>0</v>
                </pt>
                <pt idx="285">
                  <v>0.002357838388214737</v>
                </pt>
                <pt idx="286">
                  <v>0</v>
                </pt>
                <pt idx="287">
                  <v>0</v>
                </pt>
                <pt idx="288">
                  <v>0.01838958884262785</v>
                </pt>
                <pt idx="289">
                  <v>0</v>
                </pt>
                <pt idx="290">
                  <v>0</v>
                </pt>
                <pt idx="291">
                  <v>0.02269772354108704</v>
                </pt>
                <pt idx="292">
                  <v>0</v>
                </pt>
                <pt idx="293">
                  <v>0</v>
                </pt>
                <pt idx="294">
                  <v>0.009443818880000693</v>
                </pt>
                <pt idx="295">
                  <v>0</v>
                </pt>
                <pt idx="296">
                  <v>0</v>
                </pt>
                <pt idx="297">
                  <v>0.01674458737699258</v>
                </pt>
                <pt idx="298">
                  <v>0</v>
                </pt>
                <pt idx="299">
                  <v>0</v>
                </pt>
                <pt idx="300">
                  <v>0.02474806376709953</v>
                </pt>
                <pt idx="301">
                  <v>0</v>
                </pt>
                <pt idx="302">
                  <v>0</v>
                </pt>
                <pt idx="303">
                  <v>0.01088662529669947</v>
                </pt>
                <pt idx="304">
                  <v>0</v>
                </pt>
                <pt idx="305">
                  <v>0</v>
                </pt>
                <pt idx="306">
                  <v>-0.005258985362896589</v>
                </pt>
                <pt idx="307">
                  <v>0</v>
                </pt>
                <pt idx="308">
                  <v>0</v>
                </pt>
                <pt idx="309">
                  <v>0.009492160434313687</v>
                </pt>
                <pt idx="310">
                  <v>0</v>
                </pt>
                <pt idx="311">
                  <v>0</v>
                </pt>
                <pt idx="312">
                  <v>-0.008597725743732246</v>
                </pt>
                <pt idx="313">
                  <v>0</v>
                </pt>
                <pt idx="314">
                  <v>0</v>
                </pt>
                <pt idx="315">
                  <v>0.002376832273531812</v>
                </pt>
                <pt idx="316">
                  <v>0</v>
                </pt>
                <pt idx="317">
                  <v>0</v>
                </pt>
                <pt idx="318">
                  <v>-0.009451427782885907</v>
                </pt>
                <pt idx="319">
                  <v>0</v>
                </pt>
                <pt idx="320">
                  <v>0</v>
                </pt>
                <pt idx="321">
                  <v>-0.003881407827863123</v>
                </pt>
                <pt idx="322">
                  <v>0</v>
                </pt>
                <pt idx="323">
                  <v>0</v>
                </pt>
                <pt idx="324">
                  <v>-0.01217285875797099</v>
                </pt>
                <pt idx="325">
                  <v>0</v>
                </pt>
                <pt idx="326">
                  <v>0</v>
                </pt>
                <pt idx="327">
                  <v>0.007145362161192387</v>
                </pt>
                <pt idx="328">
                  <v>0</v>
                </pt>
                <pt idx="329">
                  <v>0</v>
                </pt>
                <pt idx="330">
                  <v>0.0171165196725963</v>
                </pt>
                <pt idx="331">
                  <v>0</v>
                </pt>
                <pt idx="332">
                  <v>0</v>
                </pt>
                <pt idx="333">
                  <v>0.01346524151995556</v>
                </pt>
                <pt idx="334">
                  <v>0</v>
                </pt>
                <pt idx="335">
                  <v>0</v>
                </pt>
                <pt idx="336">
                  <v>0.02248760120513595</v>
                </pt>
                <pt idx="337">
                  <v>0</v>
                </pt>
                <pt idx="338">
                  <v>0</v>
                </pt>
                <pt idx="339">
                  <v>0.00733700576725076</v>
                </pt>
                <pt idx="340">
                  <v>0</v>
                </pt>
                <pt idx="341">
                  <v>0</v>
                </pt>
                <pt idx="342">
                  <v>0.005487057642404611</v>
                </pt>
                <pt idx="343">
                  <v>0</v>
                </pt>
                <pt idx="344">
                  <v>0</v>
                </pt>
                <pt idx="345">
                  <v>0.007248509780973248</v>
                </pt>
                <pt idx="346">
                  <v>0</v>
                </pt>
                <pt idx="347">
                  <v>0</v>
                </pt>
                <pt idx="348">
                  <v>0.01181483598110289</v>
                </pt>
                <pt idx="349">
                  <v>0</v>
                </pt>
                <pt idx="350">
                  <v>0</v>
                </pt>
                <pt idx="351">
                  <v>0.01944113077722606</v>
                </pt>
                <pt idx="352">
                  <v>0</v>
                </pt>
                <pt idx="353">
                  <v>0</v>
                </pt>
                <pt idx="354">
                  <v>0.01804355898961884</v>
                </pt>
                <pt idx="355">
                  <v>0</v>
                </pt>
                <pt idx="356">
                  <v>0</v>
                </pt>
                <pt idx="357">
                  <v>2.185771923568307e-05</v>
                </pt>
                <pt idx="358">
                  <v>0</v>
                </pt>
                <pt idx="359">
                  <v>0</v>
                </pt>
                <pt idx="360">
                  <v>0.003191632414415807</v>
                </pt>
                <pt idx="361">
                  <v>0</v>
                </pt>
                <pt idx="362">
                  <v>0</v>
                </pt>
                <pt idx="363">
                  <v>0.03864270187727897</v>
                </pt>
                <pt idx="364">
                  <v>0</v>
                </pt>
                <pt idx="365">
                  <v>0</v>
                </pt>
                <pt idx="366">
                  <v>0.010055171271113</v>
                </pt>
                <pt idx="367">
                  <v>0</v>
                </pt>
                <pt idx="368">
                  <v>0</v>
                </pt>
                <pt idx="369">
                  <v>0.01344143063836532</v>
                </pt>
                <pt idx="370">
                  <v>0</v>
                </pt>
                <pt idx="371">
                  <v>0</v>
                </pt>
                <pt idx="372">
                  <v>0.001797872875968448</v>
                </pt>
                <pt idx="373">
                  <v>0</v>
                </pt>
                <pt idx="374">
                  <v>0</v>
                </pt>
                <pt idx="375">
                  <v>0.001069198313236971</v>
                </pt>
                <pt idx="376">
                  <v>0</v>
                </pt>
                <pt idx="377">
                  <v>0</v>
                </pt>
                <pt idx="378">
                  <v>0.007428714679400205</v>
                </pt>
                <pt idx="379">
                  <v>0</v>
                </pt>
                <pt idx="380">
                  <v>0</v>
                </pt>
                <pt idx="381">
                  <v>0.002500750342688359</v>
                </pt>
                <pt idx="382">
                  <v>0</v>
                </pt>
                <pt idx="383">
                  <v>0</v>
                </pt>
                <pt idx="384">
                  <v>0.003145190755262202</v>
                </pt>
                <pt idx="385">
                  <v>0</v>
                </pt>
                <pt idx="386">
                  <v>0</v>
                </pt>
                <pt idx="387">
                  <v>-0.02060472164377091</v>
                </pt>
                <pt idx="388">
                  <v>0</v>
                </pt>
                <pt idx="389">
                  <v>0</v>
                </pt>
                <pt idx="390">
                  <v>-0.001188471173007907</v>
                </pt>
                <pt idx="391">
                  <v>0</v>
                </pt>
                <pt idx="392">
                  <v>0</v>
                </pt>
                <pt idx="393">
                  <v>0.01864925605274221</v>
                </pt>
                <pt idx="394">
                  <v>0</v>
                </pt>
                <pt idx="395">
                  <v>0</v>
                </pt>
                <pt idx="396">
                  <v>0.01959429460935417</v>
                </pt>
                <pt idx="397">
                  <v>0</v>
                </pt>
                <pt idx="398">
                  <v>0</v>
                </pt>
                <pt idx="399">
                  <v>-0.00741063612935064</v>
                </pt>
                <pt idx="400">
                  <v>0</v>
                </pt>
                <pt idx="401">
                  <v>0</v>
                </pt>
                <pt idx="402">
                  <v>0.01197525210218013</v>
                </pt>
                <pt idx="403">
                  <v>0</v>
                </pt>
                <pt idx="404">
                  <v>0</v>
                </pt>
                <pt idx="405">
                  <v>-0.010895640870053</v>
                </pt>
                <pt idx="406">
                  <v>0</v>
                </pt>
                <pt idx="407">
                  <v>0</v>
                </pt>
                <pt idx="408">
                  <v>-0.01553544479433885</v>
                </pt>
                <pt idx="409">
                  <v>0</v>
                </pt>
                <pt idx="410">
                  <v>0</v>
                </pt>
                <pt idx="411">
                  <v>0.004561985153325386</v>
                </pt>
                <pt idx="412">
                  <v>0</v>
                </pt>
                <pt idx="413">
                  <v>0</v>
                </pt>
                <pt idx="414">
                  <v>-0.00382299274214082</v>
                </pt>
                <pt idx="415">
                  <v>0</v>
                </pt>
                <pt idx="416">
                  <v>0</v>
                </pt>
                <pt idx="417">
                  <v>0.0003994627387829448</v>
                </pt>
                <pt idx="418">
                  <v>0</v>
                </pt>
                <pt idx="419">
                  <v>0</v>
                </pt>
                <pt idx="420">
                  <v>0.01317847576348375</v>
                </pt>
                <pt idx="421">
                  <v>0</v>
                </pt>
                <pt idx="422">
                  <v>0</v>
                </pt>
                <pt idx="423">
                  <v>0.02275612439301274</v>
                </pt>
                <pt idx="424">
                  <v>0</v>
                </pt>
                <pt idx="425">
                  <v>0</v>
                </pt>
                <pt idx="426">
                  <v>0.01999064294321967</v>
                </pt>
                <pt idx="427">
                  <v>0</v>
                </pt>
                <pt idx="428">
                  <v>0</v>
                </pt>
                <pt idx="429">
                  <v>0.02086217479342563</v>
                </pt>
                <pt idx="430">
                  <v>0</v>
                </pt>
                <pt idx="431">
                  <v>0</v>
                </pt>
                <pt idx="432">
                  <v>0.01954770288962085</v>
                </pt>
                <pt idx="433">
                  <v>0</v>
                </pt>
                <pt idx="434">
                  <v>0</v>
                </pt>
                <pt idx="435">
                  <v>0.01727792662743756</v>
                </pt>
                <pt idx="436">
                  <v>0</v>
                </pt>
                <pt idx="437">
                  <v>0</v>
                </pt>
                <pt idx="438">
                  <v>0.00964063628357004</v>
                </pt>
                <pt idx="439">
                  <v>0</v>
                </pt>
                <pt idx="440">
                  <v>0</v>
                </pt>
                <pt idx="441">
                  <v>0.008208571463863279</v>
                </pt>
                <pt idx="442">
                  <v>0</v>
                </pt>
                <pt idx="443">
                  <v>0</v>
                </pt>
                <pt idx="444">
                  <v>0.00969072300559819</v>
                </pt>
                <pt idx="445">
                  <v>0</v>
                </pt>
                <pt idx="446">
                  <v>0</v>
                </pt>
                <pt idx="447">
                  <v>0.008804663531419342</v>
                </pt>
                <pt idx="448">
                  <v>0</v>
                </pt>
                <pt idx="449">
                  <v>0</v>
                </pt>
                <pt idx="450">
                  <v>0.01527121263417938</v>
                </pt>
                <pt idx="451">
                  <v>0</v>
                </pt>
                <pt idx="452">
                  <v>0</v>
                </pt>
                <pt idx="453">
                  <v>0.007433273444971662</v>
                </pt>
                <pt idx="454">
                  <v>0</v>
                </pt>
                <pt idx="455">
                  <v>0</v>
                </pt>
                <pt idx="456">
                  <v>0.009335247075075961</v>
                </pt>
                <pt idx="457">
                  <v>0</v>
                </pt>
                <pt idx="458">
                  <v>0</v>
                </pt>
                <pt idx="459">
                  <v>0.004503773625863378</v>
                </pt>
                <pt idx="460">
                  <v>0</v>
                </pt>
                <pt idx="461">
                  <v>0</v>
                </pt>
                <pt idx="462">
                  <v>0.009569928864379325</v>
                </pt>
                <pt idx="463">
                  <v>0</v>
                </pt>
                <pt idx="464">
                  <v>0</v>
                </pt>
                <pt idx="465">
                  <v>0.005369857182333668</v>
                </pt>
                <pt idx="466">
                  <v>0</v>
                </pt>
                <pt idx="467">
                  <v>0</v>
                </pt>
                <pt idx="468">
                  <v>0.007450196299007655</v>
                </pt>
                <pt idx="469">
                  <v>0</v>
                </pt>
                <pt idx="470">
                  <v>0</v>
                </pt>
                <pt idx="471">
                  <v>0.01078842316084223</v>
                </pt>
                <pt idx="472">
                  <v>0</v>
                </pt>
                <pt idx="473">
                  <v>0</v>
                </pt>
                <pt idx="474">
                  <v>0.008675668556268291</v>
                </pt>
                <pt idx="475">
                  <v>0</v>
                </pt>
                <pt idx="476">
                  <v>0</v>
                </pt>
                <pt idx="477">
                  <v>0.01717036095830037</v>
                </pt>
                <pt idx="478">
                  <v>0</v>
                </pt>
                <pt idx="479">
                  <v>0</v>
                </pt>
                <pt idx="480">
                  <v>0.005166541671857194</v>
                </pt>
                <pt idx="481">
                  <v>0</v>
                </pt>
                <pt idx="482">
                  <v>0</v>
                </pt>
                <pt idx="483">
                  <v>0.01313900617474086</v>
                </pt>
                <pt idx="484">
                  <v>0</v>
                </pt>
                <pt idx="485">
                  <v>0</v>
                </pt>
                <pt idx="486">
                  <v>0.005859283143099971</v>
                </pt>
                <pt idx="487">
                  <v>0</v>
                </pt>
                <pt idx="488">
                  <v>0</v>
                </pt>
                <pt idx="489">
                  <v>0.01332500553269732</v>
                </pt>
                <pt idx="490">
                  <v>0</v>
                </pt>
                <pt idx="491">
                  <v>0</v>
                </pt>
                <pt idx="492">
                  <v>0.01016597673759032</v>
                </pt>
                <pt idx="493">
                  <v>0</v>
                </pt>
                <pt idx="494">
                  <v>0</v>
                </pt>
                <pt idx="495">
                  <v>0.007632656565920425</v>
                </pt>
                <pt idx="496">
                  <v>0</v>
                </pt>
                <pt idx="497">
                  <v>0</v>
                </pt>
                <pt idx="498">
                  <v>0.007408769937583154</v>
                </pt>
                <pt idx="499">
                  <v>0</v>
                </pt>
                <pt idx="500">
                  <v>0</v>
                </pt>
                <pt idx="501">
                  <v>0.001970509742973655</v>
                </pt>
                <pt idx="502">
                  <v>0</v>
                </pt>
                <pt idx="503">
                  <v>0</v>
                </pt>
                <pt idx="504">
                  <v>0.01092795415929108</v>
                </pt>
                <pt idx="505">
                  <v>0</v>
                </pt>
                <pt idx="506">
                  <v>0</v>
                </pt>
                <pt idx="507">
                  <v>0.003629117904577434</v>
                </pt>
                <pt idx="508">
                  <v>0</v>
                </pt>
                <pt idx="509">
                  <v>0</v>
                </pt>
                <pt idx="510">
                  <v>0.0006651243216418434</v>
                </pt>
                <pt idx="511">
                  <v>0</v>
                </pt>
                <pt idx="512">
                  <v>0</v>
                </pt>
                <pt idx="513">
                  <v>-0.009103945411629843</v>
                </pt>
                <pt idx="514">
                  <v>0</v>
                </pt>
                <pt idx="515">
                  <v>0</v>
                </pt>
                <pt idx="516">
                  <v>-0.004678675840305243</v>
                </pt>
                <pt idx="517">
                  <v>0</v>
                </pt>
                <pt idx="518">
                  <v>0</v>
                </pt>
                <pt idx="519">
                  <v>0.007797180375009856</v>
                </pt>
                <pt idx="520">
                  <v>0</v>
                </pt>
                <pt idx="521">
                  <v>0</v>
                </pt>
                <pt idx="522">
                  <v>0.005053384308288108</v>
                </pt>
                <pt idx="523">
                  <v>0</v>
                </pt>
                <pt idx="524">
                  <v>0</v>
                </pt>
                <pt idx="525">
                  <v>0.003485639022466963</v>
                </pt>
                <pt idx="526">
                  <v>0</v>
                </pt>
                <pt idx="527">
                  <v>0</v>
                </pt>
                <pt idx="528">
                  <v>0.0119715757414335</v>
                </pt>
                <pt idx="529">
                  <v>0</v>
                </pt>
                <pt idx="530">
                  <v>0</v>
                </pt>
                <pt idx="531">
                  <v>0.0108432060394674</v>
                </pt>
                <pt idx="532">
                  <v>0</v>
                </pt>
                <pt idx="533">
                  <v>0</v>
                </pt>
                <pt idx="534">
                  <v>0.009881071886633277</v>
                </pt>
                <pt idx="535">
                  <v>0</v>
                </pt>
                <pt idx="536">
                  <v>0</v>
                </pt>
                <pt idx="537">
                  <v>0.01042879871365018</v>
                </pt>
                <pt idx="538">
                  <v>0</v>
                </pt>
                <pt idx="539">
                  <v>0</v>
                </pt>
                <pt idx="540">
                  <v>0.001669790919454932</v>
                </pt>
                <pt idx="541">
                  <v>0</v>
                </pt>
                <pt idx="542">
                  <v>0</v>
                </pt>
                <pt idx="543">
                  <v>0.005821134532830724</v>
                </pt>
                <pt idx="544">
                  <v>0</v>
                </pt>
                <pt idx="545">
                  <v>0</v>
                </pt>
                <pt idx="546">
                  <v>0.004771565873036193</v>
                </pt>
                <pt idx="547">
                  <v>0</v>
                </pt>
                <pt idx="548">
                  <v>0</v>
                </pt>
                <pt idx="549">
                  <v>0.01360075560087943</v>
                </pt>
                <pt idx="550">
                  <v>0</v>
                </pt>
                <pt idx="551">
                  <v>0</v>
                </pt>
                <pt idx="552">
                  <v>0.009703128401259713</v>
                </pt>
                <pt idx="553">
                  <v>0</v>
                </pt>
                <pt idx="554">
                  <v>0</v>
                </pt>
                <pt idx="555">
                  <v>0.01355099752455496</v>
                </pt>
                <pt idx="556">
                  <v>0</v>
                </pt>
                <pt idx="557">
                  <v>0</v>
                </pt>
                <pt idx="558">
                  <v>0.005845360161300549</v>
                </pt>
                <pt idx="559">
                  <v>0</v>
                </pt>
                <pt idx="560">
                  <v>0</v>
                </pt>
                <pt idx="561">
                  <v>0.01145518264658748</v>
                </pt>
                <pt idx="562">
                  <v>0</v>
                </pt>
                <pt idx="563">
                  <v>0</v>
                </pt>
                <pt idx="564">
                  <v>0.003546954702204828</v>
                </pt>
                <pt idx="565">
                  <v>0</v>
                </pt>
                <pt idx="566">
                  <v>0</v>
                </pt>
                <pt idx="567">
                  <v>0.002983056990776784</v>
                </pt>
                <pt idx="568">
                  <v>0</v>
                </pt>
                <pt idx="569">
                  <v>0</v>
                </pt>
                <pt idx="570">
                  <v>0.008506648680937822</v>
                </pt>
                <pt idx="571">
                  <v>0</v>
                </pt>
                <pt idx="572">
                  <v>0</v>
                </pt>
                <pt idx="573">
                  <v>0.006790365355671227</v>
                </pt>
                <pt idx="574">
                  <v>0</v>
                </pt>
                <pt idx="575">
                  <v>0</v>
                </pt>
                <pt idx="576">
                  <v>0.007489713290041279</v>
                </pt>
                <pt idx="577">
                  <v>0</v>
                </pt>
                <pt idx="578">
                  <v>0</v>
                </pt>
                <pt idx="579">
                  <v>0.0166788394735952</v>
                </pt>
                <pt idx="580">
                  <v>0</v>
                </pt>
                <pt idx="581">
                  <v>0</v>
                </pt>
                <pt idx="582">
                  <v>0.008970109358134323</v>
                </pt>
                <pt idx="583">
                  <v>0</v>
                </pt>
                <pt idx="584">
                  <v>0</v>
                </pt>
                <pt idx="585">
                  <v>0.01038397649121684</v>
                </pt>
                <pt idx="586">
                  <v>0</v>
                </pt>
                <pt idx="587">
                  <v>0</v>
                </pt>
                <pt idx="588">
                  <v>0.006455607769440447</v>
                </pt>
                <pt idx="589">
                  <v>0</v>
                </pt>
                <pt idx="590">
                  <v>0</v>
                </pt>
                <pt idx="591">
                  <v>0.01661978105089011</v>
                </pt>
                <pt idx="592">
                  <v>0</v>
                </pt>
                <pt idx="593">
                  <v>0</v>
                </pt>
                <pt idx="594">
                  <v>0.01250778573313949</v>
                </pt>
                <pt idx="595">
                  <v>0</v>
                </pt>
                <pt idx="596">
                  <v>0</v>
                </pt>
                <pt idx="597">
                  <v>0.008587435626066455</v>
                </pt>
                <pt idx="598">
                  <v>0</v>
                </pt>
                <pt idx="599">
                  <v>0</v>
                </pt>
                <pt idx="600">
                  <v>0.009993754010374081</v>
                </pt>
                <pt idx="601">
                  <v>0</v>
                </pt>
                <pt idx="602">
                  <v>0</v>
                </pt>
                <pt idx="603">
                  <v>0.009258205069039573</v>
                </pt>
                <pt idx="604">
                  <v>0</v>
                </pt>
                <pt idx="605">
                  <v>0</v>
                </pt>
                <pt idx="606">
                  <v>0.01252764552668854</v>
                </pt>
                <pt idx="607">
                  <v>0</v>
                </pt>
                <pt idx="608">
                  <v>0</v>
                </pt>
                <pt idx="609">
                  <v>0.01616190702337028</v>
                </pt>
                <pt idx="610">
                  <v>0</v>
                </pt>
                <pt idx="611">
                  <v>0</v>
                </pt>
                <pt idx="612">
                  <v>0.009438266145912767</v>
                </pt>
                <pt idx="613">
                  <v>0</v>
                </pt>
                <pt idx="614">
                  <v>0</v>
                </pt>
                <pt idx="615">
                  <v>0.008350000298127901</v>
                </pt>
                <pt idx="616">
                  <v>0</v>
                </pt>
                <pt idx="617">
                  <v>0</v>
                </pt>
                <pt idx="618">
                  <v>0.01323027026128614</v>
                </pt>
                <pt idx="619">
                  <v>0</v>
                </pt>
                <pt idx="620">
                  <v>0</v>
                </pt>
                <pt idx="621">
                  <v>0.01642779005040782</v>
                </pt>
                <pt idx="622">
                  <v>0</v>
                </pt>
                <pt idx="623">
                  <v>0</v>
                </pt>
                <pt idx="624">
                  <v>0.003644473611337272</v>
                </pt>
                <pt idx="625">
                  <v>0</v>
                </pt>
                <pt idx="626">
                  <v>0</v>
                </pt>
                <pt idx="627">
                  <v>0.01820583008355766</v>
                </pt>
                <pt idx="628">
                  <v>0</v>
                </pt>
                <pt idx="629">
                  <v>0</v>
                </pt>
                <pt idx="630">
                  <v>0.0009977412825952132</v>
                </pt>
                <pt idx="631">
                  <v>0</v>
                </pt>
                <pt idx="632">
                  <v>0</v>
                </pt>
                <pt idx="633">
                  <v>0.005943617551420755</v>
                </pt>
                <pt idx="634">
                  <v>0</v>
                </pt>
                <pt idx="635">
                  <v>0</v>
                </pt>
                <pt idx="636">
                  <v>-0.003242210032234334</v>
                </pt>
                <pt idx="637">
                  <v>0</v>
                </pt>
                <pt idx="638">
                  <v>0</v>
                </pt>
                <pt idx="639">
                  <v>0.00621389214865502</v>
                </pt>
                <pt idx="640">
                  <v>0</v>
                </pt>
                <pt idx="641">
                  <v>0</v>
                </pt>
                <pt idx="642">
                  <v>-0.004003490160505012</v>
                </pt>
                <pt idx="643">
                  <v>0</v>
                </pt>
                <pt idx="644">
                  <v>0</v>
                </pt>
                <pt idx="645">
                  <v>0.002773143584964562</v>
                </pt>
                <pt idx="646">
                  <v>0</v>
                </pt>
                <pt idx="647">
                  <v>0</v>
                </pt>
                <pt idx="648">
                  <v>0.00828227215584396</v>
                </pt>
                <pt idx="649">
                  <v>0</v>
                </pt>
                <pt idx="650">
                  <v>0</v>
                </pt>
                <pt idx="651">
                  <v>0.006155024557835768</v>
                </pt>
                <pt idx="652">
                  <v>0</v>
                </pt>
                <pt idx="653">
                  <v>0</v>
                </pt>
                <pt idx="654">
                  <v>0.004035287039980262</v>
                </pt>
                <pt idx="655">
                  <v>0</v>
                </pt>
                <pt idx="656">
                  <v>0</v>
                </pt>
                <pt idx="657">
                  <v>0.001306557670590968</v>
                </pt>
                <pt idx="658">
                  <v>0</v>
                </pt>
                <pt idx="659">
                  <v>0</v>
                </pt>
                <pt idx="660">
                  <v>0.005167231869169835</v>
                </pt>
                <pt idx="661">
                  <v>0</v>
                </pt>
                <pt idx="662">
                  <v>0</v>
                </pt>
                <pt idx="663">
                  <v>0.008933778011626672</v>
                </pt>
                <pt idx="664">
                  <v>0</v>
                </pt>
                <pt idx="665">
                  <v>0</v>
                </pt>
                <pt idx="666">
                  <v>0.01666896269711016</v>
                </pt>
                <pt idx="667">
                  <v>0</v>
                </pt>
                <pt idx="668">
                  <v>0</v>
                </pt>
                <pt idx="669">
                  <v>0.01154045727617818</v>
                </pt>
                <pt idx="670">
                  <v>0</v>
                </pt>
                <pt idx="671">
                  <v>0</v>
                </pt>
                <pt idx="672">
                  <v>0.005729164860697553</v>
                </pt>
                <pt idx="673">
                  <v>0</v>
                </pt>
                <pt idx="674">
                  <v>0</v>
                </pt>
                <pt idx="675">
                  <v>0.00778738758008883</v>
                </pt>
                <pt idx="676">
                  <v>0</v>
                </pt>
                <pt idx="677">
                  <v>0</v>
                </pt>
                <pt idx="678">
                  <v>0.009412472246594451</v>
                </pt>
                <pt idx="679">
                  <v>0</v>
                </pt>
                <pt idx="680">
                  <v>0</v>
                </pt>
                <pt idx="681">
                  <v>0.01022027368972049</v>
                </pt>
                <pt idx="682">
                  <v>0</v>
                </pt>
                <pt idx="683">
                  <v>0</v>
                </pt>
                <pt idx="684">
                  <v>0.01110882507696538</v>
                </pt>
                <pt idx="685">
                  <v>0</v>
                </pt>
                <pt idx="686">
                  <v>0</v>
                </pt>
                <pt idx="687">
                  <v>0.004866044784053191</v>
                </pt>
                <pt idx="688">
                  <v>0</v>
                </pt>
                <pt idx="689">
                  <v>0</v>
                </pt>
                <pt idx="690">
                  <v>0.007856219802722447</v>
                </pt>
                <pt idx="691">
                  <v>0</v>
                </pt>
                <pt idx="692">
                  <v>0</v>
                </pt>
                <pt idx="693">
                  <v>0.005679282383580309</v>
                </pt>
                <pt idx="694">
                  <v>0</v>
                </pt>
                <pt idx="695">
                  <v>0</v>
                </pt>
                <pt idx="696">
                  <v>0.01348666119902943</v>
                </pt>
                <pt idx="697">
                  <v>0</v>
                </pt>
                <pt idx="698">
                  <v>0</v>
                </pt>
                <pt idx="699">
                  <v>0.00245583730558364</v>
                </pt>
                <pt idx="700">
                  <v>0</v>
                </pt>
                <pt idx="701">
                  <v>0</v>
                </pt>
                <pt idx="702">
                  <v>0.001504561881094995</v>
                </pt>
                <pt idx="703">
                  <v>0</v>
                </pt>
                <pt idx="704">
                  <v>0</v>
                </pt>
                <pt idx="705">
                  <v>0.008437116963573578</v>
                </pt>
                <pt idx="706">
                  <v>0</v>
                </pt>
                <pt idx="707">
                  <v>0</v>
                </pt>
                <pt idx="708">
                  <v>0.002935988606189744</v>
                </pt>
                <pt idx="709">
                  <v>0</v>
                </pt>
                <pt idx="710">
                  <v>0</v>
                </pt>
                <pt idx="711">
                  <v>0.00638434530080713</v>
                </pt>
                <pt idx="712">
                  <v>0</v>
                </pt>
                <pt idx="713">
                  <v>0</v>
                </pt>
                <pt idx="714">
                  <v>0.006023066574509698</v>
                </pt>
                <pt idx="715">
                  <v>0</v>
                </pt>
                <pt idx="716">
                  <v>0</v>
                </pt>
                <pt idx="717">
                  <v>0.006096440026404512</v>
                </pt>
                <pt idx="718">
                  <v>0</v>
                </pt>
                <pt idx="719">
                  <v>0</v>
                </pt>
                <pt idx="720">
                  <v>-0.004074294739200093</v>
                </pt>
                <pt idx="721">
                  <v>0</v>
                </pt>
                <pt idx="722">
                  <v>0</v>
                </pt>
                <pt idx="723">
                  <v>0.005722953445686955</v>
                </pt>
                <pt idx="724">
                  <v>0</v>
                </pt>
                <pt idx="725">
                  <v>0</v>
                </pt>
                <pt idx="726">
                  <v>-0.005268929022154585</v>
                </pt>
                <pt idx="727">
                  <v>0</v>
                </pt>
                <pt idx="728">
                  <v>0</v>
                </pt>
                <pt idx="729">
                  <v>-0.02183097148093626</v>
                </pt>
                <pt idx="730">
                  <v>0</v>
                </pt>
                <pt idx="731">
                  <v>0</v>
                </pt>
                <pt idx="732">
                  <v>-0.01165722530679672</v>
                </pt>
                <pt idx="733">
                  <v>0</v>
                </pt>
                <pt idx="734">
                  <v>0</v>
                </pt>
                <pt idx="735">
                  <v>-0.001692381386635996</v>
                </pt>
                <pt idx="736">
                  <v>0</v>
                </pt>
                <pt idx="737">
                  <v>0</v>
                </pt>
                <pt idx="738">
                  <v>0.00361929990768889</v>
                </pt>
                <pt idx="739">
                  <v>0</v>
                </pt>
                <pt idx="740">
                  <v>0</v>
                </pt>
                <pt idx="741">
                  <v>0.01067961949830339</v>
                </pt>
                <pt idx="742">
                  <v>0</v>
                </pt>
                <pt idx="743">
                  <v>0</v>
                </pt>
                <pt idx="744">
                  <v>0.00500053481481906</v>
                </pt>
                <pt idx="745">
                  <v>0</v>
                </pt>
                <pt idx="746">
                  <v>0</v>
                </pt>
                <pt idx="747">
                  <v>0.009677046393262431</v>
                </pt>
                <pt idx="748">
                  <v>0</v>
                </pt>
                <pt idx="749">
                  <v>0</v>
                </pt>
                <pt idx="750">
                  <v>0.007731441503026897</v>
                </pt>
                <pt idx="751">
                  <v>0</v>
                </pt>
                <pt idx="752">
                  <v>0</v>
                </pt>
                <pt idx="753">
                  <v>0.005195951592372664</v>
                </pt>
                <pt idx="754">
                  <v>0</v>
                </pt>
                <pt idx="755">
                  <v>0</v>
                </pt>
                <pt idx="756">
                  <v>-0.002409160681035181</v>
                </pt>
                <pt idx="757">
                  <v>0</v>
                </pt>
                <pt idx="758">
                  <v>0</v>
                </pt>
                <pt idx="759">
                  <v>0.006780507512058875</v>
                </pt>
                <pt idx="760">
                  <v>0</v>
                </pt>
                <pt idx="761">
                  <v>0</v>
                </pt>
                <pt idx="762">
                  <v>-0.0003876716265750793</v>
                </pt>
                <pt idx="763">
                  <v>0</v>
                </pt>
                <pt idx="764">
                  <v>0</v>
                </pt>
                <pt idx="765">
                  <v>0.01121678183498582</v>
                </pt>
                <pt idx="766">
                  <v>0</v>
                </pt>
                <pt idx="767">
                  <v>0</v>
                </pt>
                <pt idx="768">
                  <v>0.008179228450998806</v>
                </pt>
                <pt idx="769">
                  <v>0</v>
                </pt>
                <pt idx="770">
                  <v>0</v>
                </pt>
                <pt idx="771">
                  <v>0.004558599868677108</v>
                </pt>
                <pt idx="772">
                  <v>0</v>
                </pt>
                <pt idx="773">
                  <v>0</v>
                </pt>
                <pt idx="774">
                  <v>0.001748829776015621</v>
                </pt>
                <pt idx="775">
                  <v>0</v>
                </pt>
                <pt idx="776">
                  <v>0</v>
                </pt>
                <pt idx="777">
                  <v>0.001098380674641822</v>
                </pt>
                <pt idx="778">
                  <v>0</v>
                </pt>
                <pt idx="779">
                  <v>0</v>
                </pt>
                <pt idx="780">
                  <v>0.008677895476911597</v>
                </pt>
                <pt idx="781">
                  <v>0</v>
                </pt>
                <pt idx="782">
                  <v>0</v>
                </pt>
                <pt idx="783">
                  <v>0.001393852197657185</v>
                </pt>
                <pt idx="784">
                  <v>0</v>
                </pt>
                <pt idx="785">
                  <v>0</v>
                </pt>
                <pt idx="786">
                  <v>0.007916534107950009</v>
                </pt>
                <pt idx="787">
                  <v>0</v>
                </pt>
                <pt idx="788">
                  <v>0</v>
                </pt>
                <pt idx="789">
                  <v>0.007111710015635665</v>
                </pt>
                <pt idx="790">
                  <v>0</v>
                </pt>
                <pt idx="791">
                  <v>0</v>
                </pt>
                <pt idx="792">
                  <v>-0.003501097365126946</v>
                </pt>
                <pt idx="793">
                  <v>0</v>
                </pt>
                <pt idx="794">
                  <v>0</v>
                </pt>
                <pt idx="795">
                  <v>0.01284128907179058</v>
                </pt>
                <pt idx="796">
                  <v>0</v>
                </pt>
                <pt idx="797">
                  <v>0</v>
                </pt>
                <pt idx="798">
                  <v>0.01164961644485469</v>
                </pt>
                <pt idx="799">
                  <v>0</v>
                </pt>
                <pt idx="800">
                  <v>0</v>
                </pt>
                <pt idx="801">
                  <v>0.004489934024885105</v>
                </pt>
                <pt idx="802">
                  <v>0</v>
                </pt>
                <pt idx="803">
                  <v>0</v>
                </pt>
                <pt idx="804">
                  <v>0.008133136264685727</v>
                </pt>
                <pt idx="805">
                  <v>0</v>
                </pt>
                <pt idx="806">
                  <v>0</v>
                </pt>
                <pt idx="807">
                  <v>0.005800014316593537</v>
                </pt>
                <pt idx="808">
                  <v>0</v>
                </pt>
                <pt idx="809">
                  <v>0</v>
                </pt>
                <pt idx="810">
                  <v>0.003233726725495796</v>
                </pt>
                <pt idx="811">
                  <v>0</v>
                </pt>
                <pt idx="812">
                  <v>0</v>
                </pt>
                <pt idx="813">
                  <v>0.001462343465763751</v>
                </pt>
                <pt idx="814">
                  <v>0</v>
                </pt>
                <pt idx="815">
                  <v>0</v>
                </pt>
                <pt idx="816">
                  <v>0.005891798685635071</v>
                </pt>
                <pt idx="817">
                  <v>0</v>
                </pt>
                <pt idx="818">
                  <v>0</v>
                </pt>
                <pt idx="819">
                  <v>0.003023888066726282</v>
                </pt>
                <pt idx="820">
                  <v>0</v>
                </pt>
                <pt idx="821">
                  <v>0</v>
                </pt>
                <pt idx="822">
                  <v>0.006011153792692107</v>
                </pt>
                <pt idx="823">
                  <v>0</v>
                </pt>
                <pt idx="824">
                  <v>0</v>
                </pt>
                <pt idx="825">
                  <v>0.004968887960606363</v>
                </pt>
                <pt idx="826">
                  <v>0</v>
                </pt>
                <pt idx="827">
                  <v>0</v>
                </pt>
                <pt idx="828">
                  <v>0.004296631141172277</v>
                </pt>
                <pt idx="829">
                  <v>0</v>
                </pt>
                <pt idx="830">
                  <v>0</v>
                </pt>
                <pt idx="831">
                  <v>0.005037929813550076</v>
                </pt>
                <pt idx="832">
                  <v>0</v>
                </pt>
                <pt idx="833">
                  <v>0</v>
                </pt>
                <pt idx="834">
                  <v>0.008274887150264155</v>
                </pt>
                <pt idx="835">
                  <v>0</v>
                </pt>
                <pt idx="836">
                  <v>0</v>
                </pt>
                <pt idx="837">
                  <v>0.01005660085721567</v>
                </pt>
                <pt idx="838">
                  <v>0</v>
                </pt>
                <pt idx="839">
                  <v>0</v>
                </pt>
                <pt idx="840">
                  <v>0.006926538614878027</v>
                </pt>
                <pt idx="841">
                  <v>0</v>
                </pt>
                <pt idx="842">
                  <v>0</v>
                </pt>
                <pt idx="843">
                  <v>0.006973429211611966</v>
                </pt>
                <pt idx="844">
                  <v>0</v>
                </pt>
                <pt idx="845">
                  <v>0</v>
                </pt>
                <pt idx="846">
                  <v>0.007220359138684612</v>
                </pt>
                <pt idx="847">
                  <v>0</v>
                </pt>
                <pt idx="848">
                  <v>0</v>
                </pt>
                <pt idx="849">
                  <v>0.001817831983618293</v>
                </pt>
                <pt idx="850">
                  <v>0</v>
                </pt>
                <pt idx="851">
                  <v>0</v>
                </pt>
                <pt idx="852">
                  <v>0.005427106096961533</v>
                </pt>
                <pt idx="853">
                  <v>0</v>
                </pt>
                <pt idx="854">
                  <v>0</v>
                </pt>
                <pt idx="855">
                  <v>0.006730089404473266</v>
                </pt>
                <pt idx="856">
                  <v>0</v>
                </pt>
                <pt idx="857">
                  <v>0</v>
                </pt>
                <pt idx="858">
                  <v>0.008899664727279514</v>
                </pt>
                <pt idx="859">
                  <v>0</v>
                </pt>
                <pt idx="860">
                  <v>0</v>
                </pt>
                <pt idx="861">
                  <v>0.004430468938993573</v>
                </pt>
                <pt idx="862">
                  <v>0</v>
                </pt>
                <pt idx="863">
                  <v>0</v>
                </pt>
                <pt idx="864">
                  <v>-0.01175154200803908</v>
                </pt>
                <pt idx="865">
                  <v>0</v>
                </pt>
                <pt idx="866">
                  <v>0</v>
                </pt>
                <pt idx="867">
                  <v>-0.08484336154467988</v>
                </pt>
                <pt idx="868">
                  <v>0</v>
                </pt>
                <pt idx="869">
                  <v>0</v>
                </pt>
                <pt idx="870">
                  <v>0.07854483117045738</v>
                </pt>
                <pt idx="871">
                  <v>0</v>
                </pt>
                <pt idx="872">
                  <v>0</v>
                </pt>
                <pt idx="873">
                  <v>0.009632132789008672</v>
                </pt>
                <pt idx="874">
                  <v>0</v>
                </pt>
                <pt idx="875">
                  <v>0</v>
                </pt>
                <pt idx="876">
                  <v>0.01542791998969363</v>
                </pt>
                <pt idx="877">
                  <v>0</v>
                </pt>
                <pt idx="878">
                  <v>0</v>
                </pt>
                <pt idx="879">
                  <v>0.01707015904893705</v>
                </pt>
                <pt idx="880">
                  <v>0</v>
                </pt>
                <pt idx="881">
                  <v>0</v>
                </pt>
                <pt idx="882">
                  <v>0.006566944913920524</v>
                </pt>
                <pt idx="883">
                  <v>0</v>
                </pt>
                <pt idx="884">
                  <v>0</v>
                </pt>
                <pt idx="885">
                  <v>0.01695694019812535</v>
                </pt>
                <pt idx="886">
                  <v>0</v>
                </pt>
                <pt idx="887">
                  <v>0</v>
                </pt>
                <pt idx="888">
                  <v>-0.004103381849839345</v>
                </pt>
                <pt idx="889">
                  <v>0</v>
                </pt>
                <pt idx="890">
                  <v>0</v>
                </pt>
                <pt idx="891">
                  <v>-0.001446339727068014</v>
                </pt>
                <pt idx="892">
                  <v>0</v>
                </pt>
                <pt idx="893">
                  <v>0</v>
                </pt>
                <pt idx="894">
                  <v>0.008011552091951892</v>
                </pt>
                <pt idx="895">
                  <v>0</v>
                </pt>
                <pt idx="896">
                  <v>0</v>
                </pt>
                <pt idx="897">
                  <v>0.007151852913210253</v>
                </pt>
                <pt idx="898">
                  <v>0</v>
                </pt>
                <pt idx="899">
                  <v>0</v>
                </pt>
                <pt idx="900">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'ISM Manufacturing vs GDP'!$B$6:$B$906</f>
              <numCache>
                <formatCode>0.0</formatCode>
                <ptCount val="901"/>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pt idx="899">
                  <v>48.4</v>
                </pt>
                <pt idx="900">
                  <v>47.4</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GDP'!$A$6:$A$906</f>
              <numCache>
                <formatCode>m/d/yyyy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'ISM Manufacturing vs GDP'!$E$6:$E$906</f>
              <numCache>
                <formatCode>0.00%</formatCode>
                <ptCount val="901"/>
                <pt idx="0">
                  <v>0.06153924905173613</v>
                </pt>
                <pt idx="1">
                  <v>0</v>
                </pt>
                <pt idx="2">
                  <v>0</v>
                </pt>
                <pt idx="3">
                  <v>0.06768013659057992</v>
                </pt>
                <pt idx="4">
                  <v>0</v>
                </pt>
                <pt idx="5">
                  <v>0</v>
                </pt>
                <pt idx="6">
                  <v>0.02311491038720082</v>
                </pt>
                <pt idx="7">
                  <v>0</v>
                </pt>
                <pt idx="8">
                  <v>0</v>
                </pt>
                <pt idx="9">
                  <v>0.004475979641999084</v>
                </pt>
                <pt idx="10">
                  <v>0</v>
                </pt>
                <pt idx="11">
                  <v>0</v>
                </pt>
                <pt idx="12">
                  <v>-0.05398904707599994</v>
                </pt>
                <pt idx="13">
                  <v>0</v>
                </pt>
                <pt idx="14">
                  <v>0</v>
                </pt>
                <pt idx="15">
                  <v>-0.01357438589464066</v>
                </pt>
                <pt idx="16">
                  <v>0</v>
                </pt>
                <pt idx="17">
                  <v>0</v>
                </pt>
                <pt idx="18">
                  <v>0.04194094483004052</v>
                </pt>
                <pt idx="19">
                  <v>0</v>
                </pt>
                <pt idx="20">
                  <v>0</v>
                </pt>
                <pt idx="21">
                  <v>-0.03315043537256779</v>
                </pt>
                <pt idx="22">
                  <v>0</v>
                </pt>
                <pt idx="23">
                  <v>0</v>
                </pt>
                <pt idx="24">
                  <v>0.1667165198223277</v>
                </pt>
                <pt idx="25">
                  <v>0</v>
                </pt>
                <pt idx="26">
                  <v>0</v>
                </pt>
                <pt idx="27">
                  <v>0.1276875822943975</v>
                </pt>
                <pt idx="28">
                  <v>0</v>
                </pt>
                <pt idx="29">
                  <v>0</v>
                </pt>
                <pt idx="30">
                  <v>0.1637698744608329</v>
                </pt>
                <pt idx="31">
                  <v>0</v>
                </pt>
                <pt idx="32">
                  <v>0</v>
                </pt>
                <pt idx="33">
                  <v>0.07881925139170076</v>
                </pt>
                <pt idx="34">
                  <v>0</v>
                </pt>
                <pt idx="35">
                  <v>0</v>
                </pt>
                <pt idx="36">
                  <v>0.05544316274475469</v>
                </pt>
                <pt idx="37">
                  <v>0</v>
                </pt>
                <pt idx="38">
                  <v>0</v>
                </pt>
                <pt idx="39">
                  <v>0.07113068727204253</v>
                </pt>
                <pt idx="40">
                  <v>0</v>
                </pt>
                <pt idx="41">
                  <v>0</v>
                </pt>
                <pt idx="42">
                  <v>0.08502378012798339</v>
                </pt>
                <pt idx="43">
                  <v>0</v>
                </pt>
                <pt idx="44">
                  <v>0</v>
                </pt>
                <pt idx="45">
                  <v>0.008839131632865316</v>
                </pt>
                <pt idx="46">
                  <v>0</v>
                </pt>
                <pt idx="47">
                  <v>0</v>
                </pt>
                <pt idx="48">
                  <v>0.04343132891926405</v>
                </pt>
                <pt idx="49">
                  <v>0</v>
                </pt>
                <pt idx="50">
                  <v>0</v>
                </pt>
                <pt idx="51">
                  <v>0.008643745203244402</v>
                </pt>
                <pt idx="52">
                  <v>0</v>
                </pt>
                <pt idx="53">
                  <v>0</v>
                </pt>
                <pt idx="54">
                  <v>0.02918811561848789</v>
                </pt>
                <pt idx="55">
                  <v>0</v>
                </pt>
                <pt idx="56">
                  <v>0</v>
                </pt>
                <pt idx="57">
                  <v>0.1379831307047703</v>
                </pt>
                <pt idx="58">
                  <v>0</v>
                </pt>
                <pt idx="59">
                  <v>0</v>
                </pt>
                <pt idx="60">
                  <v>0.07645374411537942</v>
                </pt>
                <pt idx="61">
                  <v>0</v>
                </pt>
                <pt idx="62">
                  <v>0</v>
                </pt>
                <pt idx="63">
                  <v>0.03127783139942197</v>
                </pt>
                <pt idx="64">
                  <v>0</v>
                </pt>
                <pt idx="65">
                  <v>0</v>
                </pt>
                <pt idx="66">
                  <v>-0.02231782956626527</v>
                </pt>
                <pt idx="67">
                  <v>0</v>
                </pt>
                <pt idx="68">
                  <v>0</v>
                </pt>
                <pt idx="69">
                  <v>-0.05919624282214508</v>
                </pt>
                <pt idx="70">
                  <v>0</v>
                </pt>
                <pt idx="71">
                  <v>0</v>
                </pt>
                <pt idx="72">
                  <v>-0.01898428780973238</v>
                </pt>
                <pt idx="73">
                  <v>0</v>
                </pt>
                <pt idx="74">
                  <v>0</v>
                </pt>
                <pt idx="75">
                  <v>0.004366820581845898</v>
                </pt>
                <pt idx="76">
                  <v>0</v>
                </pt>
                <pt idx="77">
                  <v>0</v>
                </pt>
                <pt idx="78">
                  <v>0.04594488271546449</v>
                </pt>
                <pt idx="79">
                  <v>0</v>
                </pt>
                <pt idx="80">
                  <v>0</v>
                </pt>
                <pt idx="81">
                  <v>0.08059481230675947</v>
                </pt>
                <pt idx="82">
                  <v>0</v>
                </pt>
                <pt idx="83">
                  <v>0</v>
                </pt>
                <pt idx="84">
                  <v>0.1192381030854879</v>
                </pt>
                <pt idx="85">
                  <v>0</v>
                </pt>
                <pt idx="86">
                  <v>0</v>
                </pt>
                <pt idx="87">
                  <v>0.06669418000707128</v>
                </pt>
                <pt idx="88">
                  <v>0</v>
                </pt>
                <pt idx="89">
                  <v>0</v>
                </pt>
                <pt idx="90">
                  <v>0.05512270869902025</v>
                </pt>
                <pt idx="91">
                  <v>0</v>
                </pt>
                <pt idx="92">
                  <v>0</v>
                </pt>
                <pt idx="93">
                  <v>0.0242302529752878</v>
                </pt>
                <pt idx="94">
                  <v>0</v>
                </pt>
                <pt idx="95">
                  <v>0</v>
                </pt>
                <pt idx="96">
                  <v>-0.01544494919947736</v>
                </pt>
                <pt idx="97">
                  <v>0</v>
                </pt>
                <pt idx="98">
                  <v>0</v>
                </pt>
                <pt idx="99">
                  <v>0.03346472086182173</v>
                </pt>
                <pt idx="100">
                  <v>0</v>
                </pt>
                <pt idx="101">
                  <v>0</v>
                </pt>
                <pt idx="102">
                  <v>-0.003588743913787829</v>
                </pt>
                <pt idx="103">
                  <v>0</v>
                </pt>
                <pt idx="104">
                  <v>0</v>
                </pt>
                <pt idx="105">
                  <v>0.06747778969521656</v>
                </pt>
                <pt idx="106">
                  <v>0</v>
                </pt>
                <pt idx="107">
                  <v>0</v>
                </pt>
                <pt idx="108">
                  <v>0.02585868145080883</v>
                </pt>
                <pt idx="109">
                  <v>0</v>
                </pt>
                <pt idx="110">
                  <v>0</v>
                </pt>
                <pt idx="111">
                  <v>-0.008734679818856006</v>
                </pt>
                <pt idx="112">
                  <v>0</v>
                </pt>
                <pt idx="113">
                  <v>0</v>
                </pt>
                <pt idx="114">
                  <v>0.03978077193041707</v>
                </pt>
                <pt idx="115">
                  <v>0</v>
                </pt>
                <pt idx="116">
                  <v>0</v>
                </pt>
                <pt idx="117">
                  <v>-0.04073375974144</v>
                </pt>
                <pt idx="118">
                  <v>0</v>
                </pt>
                <pt idx="119">
                  <v>0</v>
                </pt>
                <pt idx="120">
                  <v>-0.09984529734545633</v>
                </pt>
                <pt idx="121">
                  <v>0</v>
                </pt>
                <pt idx="122">
                  <v>0</v>
                </pt>
                <pt idx="123">
                  <v>0.02654937463692297</v>
                </pt>
                <pt idx="124">
                  <v>0</v>
                </pt>
                <pt idx="125">
                  <v>0</v>
                </pt>
                <pt idx="126">
                  <v>0.09578906366867135</v>
                </pt>
                <pt idx="127">
                  <v>0</v>
                </pt>
                <pt idx="128">
                  <v>0</v>
                </pt>
                <pt idx="129">
                  <v>0.09685586253705125</v>
                </pt>
                <pt idx="130">
                  <v>0</v>
                </pt>
                <pt idx="131">
                  <v>0</v>
                </pt>
                <pt idx="132">
                  <v>0.07902134946672668</v>
                </pt>
                <pt idx="133">
                  <v>0</v>
                </pt>
                <pt idx="134">
                  <v>0</v>
                </pt>
                <pt idx="135">
                  <v>0.09330439091654563</v>
                </pt>
                <pt idx="136">
                  <v>0</v>
                </pt>
                <pt idx="137">
                  <v>0</v>
                </pt>
                <pt idx="138">
                  <v>0.002825402308261671</v>
                </pt>
                <pt idx="139">
                  <v>0</v>
                </pt>
                <pt idx="140">
                  <v>0</v>
                </pt>
                <pt idx="141">
                  <v>0.01144435183103387</v>
                </pt>
                <pt idx="142">
                  <v>0</v>
                </pt>
                <pt idx="143">
                  <v>0</v>
                </pt>
                <pt idx="144">
                  <v>0.09298558243454158</v>
                </pt>
                <pt idx="145">
                  <v>0</v>
                </pt>
                <pt idx="146">
                  <v>0</v>
                </pt>
                <pt idx="147">
                  <v>-0.02138920017185875</v>
                </pt>
                <pt idx="148">
                  <v>0</v>
                </pt>
                <pt idx="149">
                  <v>0</v>
                </pt>
                <pt idx="150">
                  <v>0.01972104061334812</v>
                </pt>
                <pt idx="151">
                  <v>0</v>
                </pt>
                <pt idx="152">
                  <v>0</v>
                </pt>
                <pt idx="153">
                  <v>-0.05035628728337038</v>
                </pt>
                <pt idx="154">
                  <v>0</v>
                </pt>
                <pt idx="155">
                  <v>0</v>
                </pt>
                <pt idx="156">
                  <v>0.02727071103520817</v>
                </pt>
                <pt idx="157">
                  <v>0</v>
                </pt>
                <pt idx="158">
                  <v>0</v>
                </pt>
                <pt idx="159">
                  <v>0.06964578678446376</v>
                </pt>
                <pt idx="160">
                  <v>0</v>
                </pt>
                <pt idx="161">
                  <v>0</v>
                </pt>
                <pt idx="162">
                  <v>0.07902279758629582</v>
                </pt>
                <pt idx="163">
                  <v>0</v>
                </pt>
                <pt idx="164">
                  <v>0</v>
                </pt>
                <pt idx="165">
                  <v>0.08078178259819491</v>
                </pt>
                <pt idx="166">
                  <v>0</v>
                </pt>
                <pt idx="167">
                  <v>0</v>
                </pt>
                <pt idx="168">
                  <v>0.07327759350869312</v>
                </pt>
                <pt idx="169">
                  <v>0</v>
                </pt>
                <pt idx="170">
                  <v>0</v>
                </pt>
                <pt idx="171">
                  <v>0.03663947632942977</v>
                </pt>
                <pt idx="172">
                  <v>0</v>
                </pt>
                <pt idx="173">
                  <v>0</v>
                </pt>
                <pt idx="174">
                  <v>0.05005350778378181</v>
                </pt>
                <pt idx="175">
                  <v>0</v>
                </pt>
                <pt idx="176">
                  <v>0</v>
                </pt>
                <pt idx="177">
                  <v>0.01322111122552361</v>
                </pt>
                <pt idx="178">
                  <v>0</v>
                </pt>
                <pt idx="179">
                  <v>0</v>
                </pt>
                <pt idx="180">
                  <v>0.04438311079570934</v>
                </pt>
                <pt idx="181">
                  <v>0</v>
                </pt>
                <pt idx="182">
                  <v>0</v>
                </pt>
                <pt idx="183">
                  <v>0.04564601960686088</v>
                </pt>
                <pt idx="184">
                  <v>0</v>
                </pt>
                <pt idx="185">
                  <v>0</v>
                </pt>
                <pt idx="186">
                  <v>0.09087998154472277</v>
                </pt>
                <pt idx="187">
                  <v>0</v>
                </pt>
                <pt idx="188">
                  <v>0</v>
                </pt>
                <pt idx="189">
                  <v>0.02648311519341773</v>
                </pt>
                <pt idx="190">
                  <v>0</v>
                </pt>
                <pt idx="191">
                  <v>0</v>
                </pt>
                <pt idx="192">
                  <v>0.08703460008107822</v>
                </pt>
                <pt idx="193">
                  <v>0</v>
                </pt>
                <pt idx="194">
                  <v>0</v>
                </pt>
                <pt idx="195">
                  <v>0.04426572835975362</v>
                </pt>
                <pt idx="196">
                  <v>0</v>
                </pt>
                <pt idx="197">
                  <v>0</v>
                </pt>
                <pt idx="198">
                  <v>0.06397180920292422</v>
                </pt>
                <pt idx="199">
                  <v>0</v>
                </pt>
                <pt idx="200">
                  <v>0</v>
                </pt>
                <pt idx="201">
                  <v>0.0124122333831731</v>
                </pt>
                <pt idx="202">
                  <v>0</v>
                </pt>
                <pt idx="203">
                  <v>0</v>
                </pt>
                <pt idx="204">
                  <v>0.1003602100251837</v>
                </pt>
                <pt idx="205">
                  <v>0</v>
                </pt>
                <pt idx="206">
                  <v>0</v>
                </pt>
                <pt idx="207">
                  <v>0.05149757339472938</v>
                </pt>
                <pt idx="208">
                  <v>0</v>
                </pt>
                <pt idx="209">
                  <v>0</v>
                </pt>
                <pt idx="210">
                  <v>0.09194000282873915</v>
                </pt>
                <pt idx="211">
                  <v>0</v>
                </pt>
                <pt idx="212">
                  <v>0</v>
                </pt>
                <pt idx="213">
                  <v>0.09539598687252315</v>
                </pt>
                <pt idx="214">
                  <v>0</v>
                </pt>
                <pt idx="215">
                  <v>0</v>
                </pt>
                <pt idx="216">
                  <v>0.100982479057544</v>
                </pt>
                <pt idx="217">
                  <v>0</v>
                </pt>
                <pt idx="218">
                  <v>0</v>
                </pt>
                <pt idx="219">
                  <v>0.01373425320265032</v>
                </pt>
                <pt idx="220">
                  <v>0</v>
                </pt>
                <pt idx="221">
                  <v>0</v>
                </pt>
                <pt idx="222">
                  <v>0.03430898587163456</v>
                </pt>
                <pt idx="223">
                  <v>0</v>
                </pt>
                <pt idx="224">
                  <v>0</v>
                </pt>
                <pt idx="225">
                  <v>0.03322233832563914</v>
                </pt>
                <pt idx="226">
                  <v>0</v>
                </pt>
                <pt idx="227">
                  <v>0</v>
                </pt>
                <pt idx="228">
                  <v>0.03589540946426273</v>
                </pt>
                <pt idx="229">
                  <v>0</v>
                </pt>
                <pt idx="230">
                  <v>0</v>
                </pt>
                <pt idx="231">
                  <v>0.002454167879502034</v>
                </pt>
                <pt idx="232">
                  <v>0</v>
                </pt>
                <pt idx="233">
                  <v>0</v>
                </pt>
                <pt idx="234">
                  <v>0.03838531924596955</v>
                </pt>
                <pt idx="235">
                  <v>0</v>
                </pt>
                <pt idx="236">
                  <v>0</v>
                </pt>
                <pt idx="237">
                  <v>0.03050352818463198</v>
                </pt>
                <pt idx="238">
                  <v>0</v>
                </pt>
                <pt idx="239">
                  <v>0</v>
                </pt>
                <pt idx="240">
                  <v>0.08411014581384135</v>
                </pt>
                <pt idx="241">
                  <v>0</v>
                </pt>
                <pt idx="242">
                  <v>0</v>
                </pt>
                <pt idx="243">
                  <v>0.06852565923772147</v>
                </pt>
                <pt idx="244">
                  <v>0</v>
                </pt>
                <pt idx="245">
                  <v>0</v>
                </pt>
                <pt idx="246">
                  <v>0.03136042553098384</v>
                </pt>
                <pt idx="247">
                  <v>0</v>
                </pt>
                <pt idx="248">
                  <v>0</v>
                </pt>
                <pt idx="249">
                  <v>0.01582586566440858</v>
                </pt>
                <pt idx="250">
                  <v>0</v>
                </pt>
                <pt idx="251">
                  <v>0</v>
                </pt>
                <pt idx="252">
                  <v>0.06408976784792308</v>
                </pt>
                <pt idx="253">
                  <v>0</v>
                </pt>
                <pt idx="254">
                  <v>0</v>
                </pt>
                <pt idx="255">
                  <v>0.01221537317702515</v>
                </pt>
                <pt idx="256">
                  <v>0</v>
                </pt>
                <pt idx="257">
                  <v>0</v>
                </pt>
                <pt idx="258">
                  <v>0.02668349019765204</v>
                </pt>
                <pt idx="259">
                  <v>0</v>
                </pt>
                <pt idx="260">
                  <v>0</v>
                </pt>
                <pt idx="261">
                  <v>-0.01936553931373741</v>
                </pt>
                <pt idx="262">
                  <v>0</v>
                </pt>
                <pt idx="263">
                  <v>0</v>
                </pt>
                <pt idx="264">
                  <v>-0.005925615006652563</v>
                </pt>
                <pt idx="265">
                  <v>0</v>
                </pt>
                <pt idx="266">
                  <v>0</v>
                </pt>
                <pt idx="267">
                  <v>0.00568929795693851</v>
                </pt>
                <pt idx="268">
                  <v>0</v>
                </pt>
                <pt idx="269">
                  <v>0</v>
                </pt>
                <pt idx="270">
                  <v>0.03737472450741652</v>
                </pt>
                <pt idx="271">
                  <v>0</v>
                </pt>
                <pt idx="272">
                  <v>0</v>
                </pt>
                <pt idx="273">
                  <v>-0.04218138882587208</v>
                </pt>
                <pt idx="274">
                  <v>0</v>
                </pt>
                <pt idx="275">
                  <v>0</v>
                </pt>
                <pt idx="276">
                  <v>0.1131463651735802</v>
                </pt>
                <pt idx="277">
                  <v>0</v>
                </pt>
                <pt idx="278">
                  <v>0</v>
                </pt>
                <pt idx="279">
                  <v>0.02182112439459316</v>
                </pt>
                <pt idx="280">
                  <v>0</v>
                </pt>
                <pt idx="281">
                  <v>0</v>
                </pt>
                <pt idx="282">
                  <v>0.03332728238206673</v>
                </pt>
                <pt idx="283">
                  <v>0</v>
                </pt>
                <pt idx="284">
                  <v>0</v>
                </pt>
                <pt idx="285">
                  <v>0.009464762427640272</v>
                </pt>
                <pt idx="286">
                  <v>0</v>
                </pt>
                <pt idx="287">
                  <v>0</v>
                </pt>
                <pt idx="288">
                  <v>0.075612407343296</v>
                </pt>
                <pt idx="289">
                  <v>0</v>
                </pt>
                <pt idx="290">
                  <v>0</v>
                </pt>
                <pt idx="291">
                  <v>0.09392905376229566</v>
                </pt>
                <pt idx="292">
                  <v>0</v>
                </pt>
                <pt idx="293">
                  <v>0</v>
                </pt>
                <pt idx="294">
                  <v>0.03831376677928255</v>
                </pt>
                <pt idx="295">
                  <v>0</v>
                </pt>
                <pt idx="296">
                  <v>0</v>
                </pt>
                <pt idx="297">
                  <v>0.06867949483058555</v>
                </pt>
                <pt idx="298">
                  <v>0</v>
                </pt>
                <pt idx="299">
                  <v>0</v>
                </pt>
                <pt idx="300">
                  <v>0.1027280596009803</v>
                </pt>
                <pt idx="301">
                  <v>0</v>
                </pt>
                <pt idx="302">
                  <v>0</v>
                </pt>
                <pt idx="303">
                  <v>0.04426278796636973</v>
                </pt>
                <pt idx="304">
                  <v>0</v>
                </pt>
                <pt idx="305">
                  <v>0</v>
                </pt>
                <pt idx="306">
                  <v>-0.02087058091389593</v>
                </pt>
                <pt idx="307">
                  <v>0</v>
                </pt>
                <pt idx="308">
                  <v>0</v>
                </pt>
                <pt idx="309">
                  <v>0.03851267753048382</v>
                </pt>
                <pt idx="310">
                  <v>0</v>
                </pt>
                <pt idx="311">
                  <v>0</v>
                </pt>
                <pt idx="312">
                  <v>-0.03394991438893069</v>
                </pt>
                <pt idx="313">
                  <v>0</v>
                </pt>
                <pt idx="314">
                  <v>0</v>
                </pt>
                <pt idx="315">
                  <v>0.009541278826036503</v>
                </pt>
                <pt idx="316">
                  <v>0</v>
                </pt>
                <pt idx="317">
                  <v>0</v>
                </pt>
                <pt idx="318">
                  <v>-0.03727310339376178</v>
                </pt>
                <pt idx="319">
                  <v>0</v>
                </pt>
                <pt idx="320">
                  <v>0</v>
                </pt>
                <pt idx="321">
                  <v>-0.01543547302283976</v>
                </pt>
                <pt idx="322">
                  <v>0</v>
                </pt>
                <pt idx="323">
                  <v>0</v>
                </pt>
                <pt idx="324">
                  <v>-0.04780955715630564</v>
                </pt>
                <pt idx="325">
                  <v>0</v>
                </pt>
                <pt idx="326">
                  <v>0</v>
                </pt>
                <pt idx="327">
                  <v>0.02888924771416268</v>
                </pt>
                <pt idx="328">
                  <v>0</v>
                </pt>
                <pt idx="329">
                  <v>0</v>
                </pt>
                <pt idx="330">
                  <v>0.07024407486532014</v>
                </pt>
                <pt idx="331">
                  <v>0</v>
                </pt>
                <pt idx="332">
                  <v>0</v>
                </pt>
                <pt idx="333">
                  <v>0.05495864100802961</v>
                </pt>
                <pt idx="334">
                  <v>0</v>
                </pt>
                <pt idx="335">
                  <v>0</v>
                </pt>
                <pt idx="336">
                  <v>0.09303030101174148</v>
                </pt>
                <pt idx="337">
                  <v>0</v>
                </pt>
                <pt idx="338">
                  <v>0</v>
                </pt>
                <pt idx="339">
                  <v>0.02967259574123471</v>
                </pt>
                <pt idx="340">
                  <v>0</v>
                </pt>
                <pt idx="341">
                  <v>0</v>
                </pt>
                <pt idx="342">
                  <v>0.02212953909849547</v>
                </pt>
                <pt idx="343">
                  <v>0</v>
                </pt>
                <pt idx="344">
                  <v>0</v>
                </pt>
                <pt idx="345">
                  <v>0.02931081062144569</v>
                </pt>
                <pt idx="346">
                  <v>0</v>
                </pt>
                <pt idx="347">
                  <v>0</v>
                </pt>
                <pt idx="348">
                  <v>0.04810350245376394</v>
                </pt>
                <pt idx="349">
                  <v>0</v>
                </pt>
                <pt idx="350">
                  <v>0</v>
                </pt>
                <pt idx="351">
                  <v>0.08006180304607624</v>
                </pt>
                <pt idx="352">
                  <v>0</v>
                </pt>
                <pt idx="353">
                  <v>0</v>
                </pt>
                <pt idx="354">
                  <v>0.07415125984790261</v>
                </pt>
                <pt idx="355">
                  <v>0</v>
                </pt>
                <pt idx="356">
                  <v>0</v>
                </pt>
                <pt idx="357">
                  <v>8.743374354391875e-05</v>
                </pt>
                <pt idx="358">
                  <v>0</v>
                </pt>
                <pt idx="359">
                  <v>0</v>
                </pt>
                <pt idx="360">
                  <v>0.01282777891271847</v>
                </pt>
                <pt idx="361">
                  <v>0</v>
                </pt>
                <pt idx="362">
                  <v>0</v>
                </pt>
                <pt idx="363">
                  <v>0.1637634019380503</v>
                </pt>
                <pt idx="364">
                  <v>0</v>
                </pt>
                <pt idx="365">
                  <v>0</v>
                </pt>
                <pt idx="366">
                  <v>0.0408314006941799</v>
                </pt>
                <pt idx="367">
                  <v>0</v>
                </pt>
                <pt idx="368">
                  <v>0</v>
                </pt>
                <pt idx="369">
                  <v>0.05485950150521157</v>
                </pt>
                <pt idx="370">
                  <v>0</v>
                </pt>
                <pt idx="371">
                  <v>0</v>
                </pt>
                <pt idx="372">
                  <v>0.007210908840985741</v>
                </pt>
                <pt idx="373">
                  <v>0</v>
                </pt>
                <pt idx="374">
                  <v>0</v>
                </pt>
                <pt idx="375">
                  <v>0.0042836572536189</v>
                </pt>
                <pt idx="376">
                  <v>0</v>
                </pt>
                <pt idx="377">
                  <v>0</v>
                </pt>
                <pt idx="378">
                  <v>0.03004761641210396</v>
                </pt>
                <pt idx="379">
                  <v>0</v>
                </pt>
                <pt idx="380">
                  <v>0</v>
                </pt>
                <pt idx="381">
                  <v>0.01004058647981432</v>
                </pt>
                <pt idx="382">
                  <v>0</v>
                </pt>
                <pt idx="383">
                  <v>0</v>
                </pt>
                <pt idx="384">
                  <v>0.01264024091996396</v>
                </pt>
                <pt idx="385">
                  <v>0</v>
                </pt>
                <pt idx="386">
                  <v>0</v>
                </pt>
                <pt idx="387">
                  <v>-0.07990637031804315</v>
                </pt>
                <pt idx="388">
                  <v>0</v>
                </pt>
                <pt idx="389">
                  <v>0</v>
                </pt>
                <pt idx="390">
                  <v>-0.004745416622351839</v>
                </pt>
                <pt idx="391">
                  <v>0</v>
                </pt>
                <pt idx="392">
                  <v>0</v>
                </pt>
                <pt idx="393">
                  <v>0.07670985813356723</v>
                </pt>
                <pt idx="394">
                  <v>0</v>
                </pt>
                <pt idx="395">
                  <v>0</v>
                </pt>
                <pt idx="396">
                  <v>0.08071103598225138</v>
                </pt>
                <pt idx="397">
                  <v>0</v>
                </pt>
                <pt idx="398">
                  <v>0</v>
                </pt>
                <pt idx="399">
                  <v>-0.02931466422968176</v>
                </pt>
                <pt idx="400">
                  <v>0</v>
                </pt>
                <pt idx="401">
                  <v>0</v>
                </pt>
                <pt idx="402">
                  <v>0.04876833827542182</v>
                </pt>
                <pt idx="403">
                  <v>0</v>
                </pt>
                <pt idx="404">
                  <v>0</v>
                </pt>
                <pt idx="405">
                  <v>-0.04287543335073463</v>
                </pt>
                <pt idx="406">
                  <v>0</v>
                </pt>
                <pt idx="407">
                  <v>0</v>
                </pt>
                <pt idx="408">
                  <v>-0.06070861857896181</v>
                </pt>
                <pt idx="409">
                  <v>0</v>
                </pt>
                <pt idx="410">
                  <v>0</v>
                </pt>
                <pt idx="411">
                  <v>0.01837319106848523</v>
                </pt>
                <pt idx="412">
                  <v>0</v>
                </pt>
                <pt idx="413">
                  <v>0</v>
                </pt>
                <pt idx="414">
                  <v>-0.01520450261025641</v>
                </pt>
                <pt idx="415">
                  <v>0</v>
                </pt>
                <pt idx="416">
                  <v>0</v>
                </pt>
                <pt idx="417">
                  <v>0.001598808633004989</v>
                </pt>
                <pt idx="418">
                  <v>0</v>
                </pt>
                <pt idx="419">
                  <v>0</v>
                </pt>
                <pt idx="420">
                  <v>0.05376512149741908</v>
                </pt>
                <pt idx="421">
                  <v>0</v>
                </pt>
                <pt idx="422">
                  <v>0</v>
                </pt>
                <pt idx="423">
                  <v>0.09417894915071301</v>
                </pt>
                <pt idx="424">
                  <v>0</v>
                </pt>
                <pt idx="425">
                  <v>0</v>
                </pt>
                <pt idx="426">
                  <v>0.08239244141250013</v>
                </pt>
                <pt idx="427">
                  <v>0</v>
                </pt>
                <pt idx="428">
                  <v>0</v>
                </pt>
                <pt idx="429">
                  <v>0.08609659002729053</v>
                </pt>
                <pt idx="430">
                  <v>0</v>
                </pt>
                <pt idx="431">
                  <v>0</v>
                </pt>
                <pt idx="432">
                  <v>0.08051351139935758</v>
                </pt>
                <pt idx="433">
                  <v>0</v>
                </pt>
                <pt idx="434">
                  <v>0</v>
                </pt>
                <pt idx="435">
                  <v>0.0709235878122596</v>
                </pt>
                <pt idx="436">
                  <v>0</v>
                </pt>
                <pt idx="437">
                  <v>0</v>
                </pt>
                <pt idx="438">
                  <v>0.03912378905516167</v>
                </pt>
                <pt idx="439">
                  <v>0</v>
                </pt>
                <pt idx="440">
                  <v>0</v>
                </pt>
                <pt idx="441">
                  <v>0.03324078666384356</v>
                </pt>
                <pt idx="442">
                  <v>0</v>
                </pt>
                <pt idx="443">
                  <v>0</v>
                </pt>
                <pt idx="444">
                  <v>0.03933000174327517</v>
                </pt>
                <pt idx="445">
                  <v>0</v>
                </pt>
                <pt idx="446">
                  <v>0</v>
                </pt>
                <pt idx="447">
                  <v>0.03568652295878616</v>
                </pt>
                <pt idx="448">
                  <v>0</v>
                </pt>
                <pt idx="449">
                  <v>0</v>
                </pt>
                <pt idx="450">
                  <v>0.06249841012954405</v>
                </pt>
                <pt idx="451">
                  <v>0</v>
                </pt>
                <pt idx="452">
                  <v>0</v>
                </pt>
                <pt idx="453">
                  <v>0.03006626101659382</v>
                </pt>
                <pt idx="454">
                  <v>0</v>
                </pt>
                <pt idx="455">
                  <v>0</v>
                </pt>
                <pt idx="456">
                  <v>0.0378671310716483</v>
                </pt>
                <pt idx="457">
                  <v>0</v>
                </pt>
                <pt idx="458">
                  <v>0</v>
                </pt>
                <pt idx="459">
                  <v>0.01813716419389122</v>
                </pt>
                <pt idx="460">
                  <v>0</v>
                </pt>
                <pt idx="461">
                  <v>0</v>
                </pt>
                <pt idx="462">
                  <v>0.03883273086767081</v>
                </pt>
                <pt idx="463">
                  <v>0</v>
                </pt>
                <pt idx="464">
                  <v>0</v>
                </pt>
                <pt idx="465">
                  <v>0.02165306112495746</v>
                </pt>
                <pt idx="466">
                  <v>0</v>
                </pt>
                <pt idx="467">
                  <v>0</v>
                </pt>
                <pt idx="468">
                  <v>0.03013547493148994</v>
                </pt>
                <pt idx="469">
                  <v>0</v>
                </pt>
                <pt idx="470">
                  <v>0</v>
                </pt>
                <pt idx="471">
                  <v>0.04385706929729549</v>
                </pt>
                <pt idx="472">
                  <v>0</v>
                </pt>
                <pt idx="473">
                  <v>0</v>
                </pt>
                <pt idx="474">
                  <v>0.03515689521360321</v>
                </pt>
                <pt idx="475">
                  <v>0</v>
                </pt>
                <pt idx="476">
                  <v>0</v>
                </pt>
                <pt idx="477">
                  <v>0.07047070727767069</v>
                </pt>
                <pt idx="478">
                  <v>0</v>
                </pt>
                <pt idx="479">
                  <v>0</v>
                </pt>
                <pt idx="480">
                  <v>0.02082687796218141</v>
                </pt>
                <pt idx="481">
                  <v>0</v>
                </pt>
                <pt idx="482">
                  <v>0</v>
                </pt>
                <pt idx="483">
                  <v>0.0536009283304526</v>
                </pt>
                <pt idx="484">
                  <v>0</v>
                </pt>
                <pt idx="485">
                  <v>0</v>
                </pt>
                <pt idx="486">
                  <v>0.02364392556959816</v>
                </pt>
                <pt idx="487">
                  <v>0</v>
                </pt>
                <pt idx="488">
                  <v>0</v>
                </pt>
                <pt idx="489">
                  <v>0.05437485201812042</v>
                </pt>
                <pt idx="490">
                  <v>0</v>
                </pt>
                <pt idx="491">
                  <v>0</v>
                </pt>
                <pt idx="492">
                  <v>0.04128820262532429</v>
                </pt>
                <pt idx="493">
                  <v>0</v>
                </pt>
                <pt idx="494">
                  <v>0</v>
                </pt>
                <pt idx="495">
                  <v>0.03088195297144991</v>
                </pt>
                <pt idx="496">
                  <v>0</v>
                </pt>
                <pt idx="497">
                  <v>0</v>
                </pt>
                <pt idx="498">
                  <v>0.02996604866089259</v>
                </pt>
                <pt idx="499">
                  <v>0</v>
                </pt>
                <pt idx="500">
                  <v>0</v>
                </pt>
                <pt idx="501">
                  <v>0.007905367044091838</v>
                </pt>
                <pt idx="502">
                  <v>0</v>
                </pt>
                <pt idx="503">
                  <v>0</v>
                </pt>
                <pt idx="504">
                  <v>0.04443357206409249</v>
                </pt>
                <pt idx="505">
                  <v>0</v>
                </pt>
                <pt idx="506">
                  <v>0</v>
                </pt>
                <pt idx="507">
                  <v>0.01459568596150662</v>
                </pt>
                <pt idx="508">
                  <v>0</v>
                </pt>
                <pt idx="509">
                  <v>0</v>
                </pt>
                <pt idx="510">
                  <v>0.002663152805920666</v>
                </pt>
                <pt idx="511">
                  <v>0</v>
                </pt>
                <pt idx="512">
                  <v>0</v>
                </pt>
                <pt idx="513">
                  <v>-0.03592150205110989</v>
                </pt>
                <pt idx="514">
                  <v>0</v>
                </pt>
                <pt idx="515">
                  <v>0</v>
                </pt>
                <pt idx="516">
                  <v>-0.01858377250133569</v>
                </pt>
                <pt idx="517">
                  <v>0</v>
                </pt>
                <pt idx="518">
                  <v>0</v>
                </pt>
                <pt idx="519">
                  <v>0.03155539747719072</v>
                </pt>
                <pt idx="520">
                  <v>0</v>
                </pt>
                <pt idx="521">
                  <v>0</v>
                </pt>
                <pt idx="522">
                  <v>0.02036727422997253</v>
                </pt>
                <pt idx="523">
                  <v>0</v>
                </pt>
                <pt idx="524">
                  <v>0</v>
                </pt>
                <pt idx="525">
                  <v>0.01401562371143839</v>
                </pt>
                <pt idx="526">
                  <v>0</v>
                </pt>
                <pt idx="527">
                  <v>0</v>
                </pt>
                <pt idx="528">
                  <v>0.04875309825949259</v>
                </pt>
                <pt idx="529">
                  <v>0</v>
                </pt>
                <pt idx="530">
                  <v>0</v>
                </pt>
                <pt idx="531">
                  <v>0.04408338824994829</v>
                </pt>
                <pt idx="532">
                  <v>0</v>
                </pt>
                <pt idx="533">
                  <v>0</v>
                </pt>
                <pt idx="534">
                  <v>0.04011396954581614</v>
                </pt>
                <pt idx="535">
                  <v>0</v>
                </pt>
                <pt idx="536">
                  <v>0</v>
                </pt>
                <pt idx="537">
                  <v>0.04237230267698999</v>
                </pt>
                <pt idx="538">
                  <v>0</v>
                </pt>
                <pt idx="539">
                  <v>0</v>
                </pt>
                <pt idx="540">
                  <v>0.006695911518737718</v>
                </pt>
                <pt idx="541">
                  <v>0</v>
                </pt>
                <pt idx="542">
                  <v>0</v>
                </pt>
                <pt idx="543">
                  <v>0.02348864193376721</v>
                </pt>
                <pt idx="544">
                  <v>0</v>
                </pt>
                <pt idx="545">
                  <v>0</v>
                </pt>
                <pt idx="546">
                  <v>0.01922330560881425</v>
                </pt>
                <pt idx="547">
                  <v>0</v>
                </pt>
                <pt idx="548">
                  <v>0</v>
                </pt>
                <pt idx="549">
                  <v>0.05552300343997651</v>
                </pt>
                <pt idx="550">
                  <v>0</v>
                </pt>
                <pt idx="551">
                  <v>0</v>
                </pt>
                <pt idx="552">
                  <v>0.03938108089937553</v>
                </pt>
                <pt idx="553">
                  <v>0</v>
                </pt>
                <pt idx="554">
                  <v>0</v>
                </pt>
                <pt idx="555">
                  <v>0.05531575447492609</v>
                </pt>
                <pt idx="556">
                  <v>0</v>
                </pt>
                <pt idx="557">
                  <v>0</v>
                </pt>
                <pt idx="558">
                  <v>0.02358725012773033</v>
                </pt>
                <pt idx="559">
                  <v>0</v>
                </pt>
                <pt idx="560">
                  <v>0</v>
                </pt>
                <pt idx="561">
                  <v>0.04661408771384168</v>
                </pt>
                <pt idx="562">
                  <v>0</v>
                </pt>
                <pt idx="563">
                  <v>0</v>
                </pt>
                <pt idx="564">
                  <v>0.01426348278840983</v>
                </pt>
                <pt idx="565">
                  <v>0</v>
                </pt>
                <pt idx="566">
                  <v>0</v>
                </pt>
                <pt idx="567">
                  <v>0.01198572599682368</v>
                </pt>
                <pt idx="568">
                  <v>0</v>
                </pt>
                <pt idx="569">
                  <v>0</v>
                </pt>
                <pt idx="570">
                  <v>0.03446324065976714</v>
                </pt>
                <pt idx="571">
                  <v>0</v>
                </pt>
                <pt idx="572">
                  <v>0</v>
                </pt>
                <pt idx="573">
                  <v>0.02743937030821075</v>
                </pt>
                <pt idx="574">
                  <v>0</v>
                </pt>
                <pt idx="575">
                  <v>0</v>
                </pt>
                <pt idx="576">
                  <v>0.03029711170389682</v>
                </pt>
                <pt idx="577">
                  <v>0</v>
                </pt>
                <pt idx="578">
                  <v>0</v>
                </pt>
                <pt idx="579">
                  <v>0.06840309652184429</v>
                </pt>
                <pt idx="580">
                  <v>0</v>
                </pt>
                <pt idx="581">
                  <v>0</v>
                </pt>
                <pt idx="582">
                  <v>0.03636610812087238</v>
                </pt>
                <pt idx="583">
                  <v>0</v>
                </pt>
                <pt idx="584">
                  <v>0</v>
                </pt>
                <pt idx="585">
                  <v>0.04218735808893692</v>
                </pt>
                <pt idx="586">
                  <v>0</v>
                </pt>
                <pt idx="587">
                  <v>0</v>
                </pt>
                <pt idx="588">
                  <v>0.02607355819109536</v>
                </pt>
                <pt idx="589">
                  <v>0</v>
                </pt>
                <pt idx="590">
                  <v>0</v>
                </pt>
                <pt idx="591">
                  <v>0.06815486590490871</v>
                </pt>
                <pt idx="592">
                  <v>0</v>
                </pt>
                <pt idx="593">
                  <v>0</v>
                </pt>
                <pt idx="594">
                  <v>0.05097766273852433</v>
                </pt>
                <pt idx="595">
                  <v>0</v>
                </pt>
                <pt idx="596">
                  <v>0</v>
                </pt>
                <pt idx="597">
                  <v>0.03479474533539229</v>
                </pt>
                <pt idx="598">
                  <v>0</v>
                </pt>
                <pt idx="599">
                  <v>0</v>
                </pt>
                <pt idx="600">
                  <v>0.04057826924134789</v>
                </pt>
                <pt idx="601">
                  <v>0</v>
                </pt>
                <pt idx="602">
                  <v>0</v>
                </pt>
                <pt idx="603">
                  <v>0.03755028803424176</v>
                </pt>
                <pt idx="604">
                  <v>0</v>
                </pt>
                <pt idx="605">
                  <v>0</v>
                </pt>
                <pt idx="606">
                  <v>0.05106012260225734</v>
                </pt>
                <pt idx="607">
                  <v>0</v>
                </pt>
                <pt idx="608">
                  <v>0</v>
                </pt>
                <pt idx="609">
                  <v>0.06623182618291334</v>
                </pt>
                <pt idx="610">
                  <v>0</v>
                </pt>
                <pt idx="611">
                  <v>0</v>
                </pt>
                <pt idx="612">
                  <v>0.03829092080185514</v>
                </pt>
                <pt idx="613">
                  <v>0</v>
                </pt>
                <pt idx="614">
                  <v>0</v>
                </pt>
                <pt idx="615">
                  <v>0.03382066981536092</v>
                </pt>
                <pt idx="616">
                  <v>0</v>
                </pt>
                <pt idx="617">
                  <v>0</v>
                </pt>
                <pt idx="618">
                  <v>0.05398061530001885</v>
                </pt>
                <pt idx="619">
                  <v>0</v>
                </pt>
                <pt idx="620">
                  <v>0</v>
                </pt>
                <pt idx="621">
                  <v>0.06734820036933864</v>
                </pt>
                <pt idx="622">
                  <v>0</v>
                </pt>
                <pt idx="623">
                  <v>0</v>
                </pt>
                <pt idx="624">
                  <v>0.0146577813755211</v>
                </pt>
                <pt idx="625">
                  <v>0</v>
                </pt>
                <pt idx="626">
                  <v>0</v>
                </pt>
                <pt idx="627">
                  <v>0.07483628114231911</v>
                </pt>
                <pt idx="628">
                  <v>0</v>
                </pt>
                <pt idx="629">
                  <v>0</v>
                </pt>
                <pt idx="630">
                  <v>0.003996942030330519</v>
                </pt>
                <pt idx="631">
                  <v>0</v>
                </pt>
                <pt idx="632">
                  <v>0</v>
                </pt>
                <pt idx="633">
                  <v>0.02398727086218799</v>
                </pt>
                <pt idx="634">
                  <v>0</v>
                </pt>
                <pt idx="635">
                  <v>0</v>
                </pt>
                <pt idx="636">
                  <v>-0.01290590479056442</v>
                </pt>
                <pt idx="637">
                  <v>0</v>
                </pt>
                <pt idx="638">
                  <v>0</v>
                </pt>
                <pt idx="639">
                  <v>0.02508820455389205</v>
                </pt>
                <pt idx="640">
                  <v>0</v>
                </pt>
                <pt idx="641">
                  <v>0</v>
                </pt>
                <pt idx="642">
                  <v>-0.01591804945502973</v>
                </pt>
                <pt idx="643">
                  <v>0</v>
                </pt>
                <pt idx="644">
                  <v>0</v>
                </pt>
                <pt idx="645">
                  <v>0.01113880165656167</v>
                </pt>
                <pt idx="646">
                  <v>0</v>
                </pt>
                <pt idx="647">
                  <v>0</v>
                </pt>
                <pt idx="648">
                  <v>0.03354294204519781</v>
                </pt>
                <pt idx="649">
                  <v>0</v>
                </pt>
                <pt idx="650">
                  <v>0</v>
                </pt>
                <pt idx="651">
                  <v>0.02484833834627009</v>
                </pt>
                <pt idx="652">
                  <v>0</v>
                </pt>
                <pt idx="653">
                  <v>0</v>
                </pt>
                <pt idx="654">
                  <v>0.01623911250910082</v>
                </pt>
                <pt idx="655">
                  <v>0</v>
                </pt>
                <pt idx="656">
                  <v>0</v>
                </pt>
                <pt idx="657">
                  <v>0.00523648216461936</v>
                </pt>
                <pt idx="658">
                  <v>0</v>
                </pt>
                <pt idx="659">
                  <v>0</v>
                </pt>
                <pt idx="660">
                  <v>0.02082968176698108</v>
                </pt>
                <pt idx="661">
                  <v>0</v>
                </pt>
                <pt idx="662">
                  <v>0</v>
                </pt>
                <pt idx="663">
                  <v>0.03621684485857446</v>
                </pt>
                <pt idx="664">
                  <v>0</v>
                </pt>
                <pt idx="665">
                  <v>0</v>
                </pt>
                <pt idx="666">
                  <v>0.06836158006885595</v>
                </pt>
                <pt idx="667">
                  <v>0</v>
                </pt>
                <pt idx="668">
                  <v>0</v>
                </pt>
                <pt idx="669">
                  <v>0.0469670876988979</v>
                </pt>
                <pt idx="670">
                  <v>0</v>
                </pt>
                <pt idx="671">
                  <v>0</v>
                </pt>
                <pt idx="672">
                  <v>0.02311435270124318</v>
                </pt>
                <pt idx="673">
                  <v>0</v>
                </pt>
                <pt idx="674">
                  <v>0</v>
                </pt>
                <pt idx="675">
                  <v>0.03151530344471909</v>
                </pt>
                <pt idx="676">
                  <v>0</v>
                </pt>
                <pt idx="677">
                  <v>0</v>
                </pt>
                <pt idx="678">
                  <v>0.03818480021627169</v>
                </pt>
                <pt idx="679">
                  <v>0</v>
                </pt>
                <pt idx="680">
                  <v>0</v>
                </pt>
                <pt idx="681">
                  <v>0.04151209982891446</v>
                </pt>
                <pt idx="682">
                  <v>0</v>
                </pt>
                <pt idx="683">
                  <v>0</v>
                </pt>
                <pt idx="684">
                  <v>0.04518123508687388</v>
                </pt>
                <pt idx="685">
                  <v>0</v>
                </pt>
                <pt idx="686">
                  <v>0</v>
                </pt>
                <pt idx="687">
                  <v>0.01960671092838173</v>
                </pt>
                <pt idx="688">
                  <v>0</v>
                </pt>
                <pt idx="689">
                  <v>0</v>
                </pt>
                <pt idx="690">
                  <v>0.0317971437073068</v>
                </pt>
                <pt idx="691">
                  <v>0</v>
                </pt>
                <pt idx="692">
                  <v>0</v>
                </pt>
                <pt idx="693">
                  <v>0.02291138878895116</v>
                </pt>
                <pt idx="694">
                  <v>0</v>
                </pt>
                <pt idx="695">
                  <v>0</v>
                </pt>
                <pt idx="696">
                  <v>0.05504783041874162</v>
                </pt>
                <pt idx="697">
                  <v>0</v>
                </pt>
                <pt idx="698">
                  <v>0</v>
                </pt>
                <pt idx="699">
                  <v>0.009859595325901749</v>
                </pt>
                <pt idx="700">
                  <v>0</v>
                </pt>
                <pt idx="701">
                  <v>0</v>
                </pt>
                <pt idx="702">
                  <v>0.006031843391774094</v>
                </pt>
                <pt idx="703">
                  <v>0</v>
                </pt>
                <pt idx="704">
                  <v>0</v>
                </pt>
                <pt idx="705">
                  <v>0.03417798496028124</v>
                </pt>
                <pt idx="706">
                  <v>0</v>
                </pt>
                <pt idx="707">
                  <v>0</v>
                </pt>
                <pt idx="708">
                  <v>0.01179577590686653</v>
                </pt>
                <pt idx="709">
                  <v>0</v>
                </pt>
                <pt idx="710">
                  <v>0</v>
                </pt>
                <pt idx="711">
                  <v>0.02578298295432346</v>
                </pt>
                <pt idx="712">
                  <v>0</v>
                </pt>
                <pt idx="713">
                  <v>0</v>
                </pt>
                <pt idx="714">
                  <v>0.02431080560296794</v>
                </pt>
                <pt idx="715">
                  <v>0</v>
                </pt>
                <pt idx="716">
                  <v>0</v>
                </pt>
                <pt idx="717">
                  <v>0.0246096673082743</v>
                </pt>
                <pt idx="718">
                  <v>0</v>
                </pt>
                <pt idx="719">
                  <v>0</v>
                </pt>
                <pt idx="720">
                  <v>-0.01619784994668938</v>
                </pt>
                <pt idx="721">
                  <v>0</v>
                </pt>
                <pt idx="722">
                  <v>0</v>
                </pt>
                <pt idx="723">
                  <v>0.02308907778947789</v>
                </pt>
                <pt idx="724">
                  <v>0</v>
                </pt>
                <pt idx="725">
                  <v>0</v>
                </pt>
                <pt idx="726">
                  <v>-0.02090973073554281</v>
                </pt>
                <pt idx="727">
                  <v>0</v>
                </pt>
                <pt idx="728">
                  <v>0</v>
                </pt>
                <pt idx="729">
                  <v>-0.08450572869534734</v>
                </pt>
                <pt idx="730">
                  <v>0</v>
                </pt>
                <pt idx="731">
                  <v>0</v>
                </pt>
                <pt idx="732">
                  <v>-0.04581987379316921</v>
                </pt>
                <pt idx="733">
                  <v>0</v>
                </pt>
                <pt idx="734">
                  <v>0</v>
                </pt>
                <pt idx="735">
                  <v>-0.006752359998762336</v>
                </pt>
                <pt idx="736">
                  <v>0</v>
                </pt>
                <pt idx="737">
                  <v>0</v>
                </pt>
                <pt idx="738">
                  <v>0.01455598543492087</v>
                </pt>
                <pt idx="739">
                  <v>0</v>
                </pt>
                <pt idx="740">
                  <v>0</v>
                </pt>
                <pt idx="741">
                  <v>0.0434076888622974</v>
                </pt>
                <pt idx="742">
                  <v>0</v>
                </pt>
                <pt idx="743">
                  <v>0</v>
                </pt>
                <pt idx="744">
                  <v>0.02015267213561023</v>
                </pt>
                <pt idx="745">
                  <v>0</v>
                </pt>
                <pt idx="746">
                  <v>0</v>
                </pt>
                <pt idx="747">
                  <v>0.03927369054068341</v>
                </pt>
                <pt idx="748">
                  <v>0</v>
                </pt>
                <pt idx="749">
                  <v>0</v>
                </pt>
                <pt idx="750">
                  <v>0.03128626930493783</v>
                </pt>
                <pt idx="751">
                  <v>0</v>
                </pt>
                <pt idx="752">
                  <v>0</v>
                </pt>
                <pt idx="753">
                  <v>0.02094635569547498</v>
                </pt>
                <pt idx="754">
                  <v>0</v>
                </pt>
                <pt idx="755">
                  <v>0</v>
                </pt>
                <pt idx="756">
                  <v>-0.009601874290937396</v>
                </pt>
                <pt idx="757">
                  <v>0</v>
                </pt>
                <pt idx="758">
                  <v>0</v>
                </pt>
                <pt idx="759">
                  <v>0.02739913079767153</v>
                </pt>
                <pt idx="760">
                  <v>0</v>
                </pt>
                <pt idx="761">
                  <v>0</v>
                </pt>
                <pt idx="762">
                  <v>-0.001549785003588822</v>
                </pt>
                <pt idx="763">
                  <v>0</v>
                </pt>
                <pt idx="764">
                  <v>0</v>
                </pt>
                <pt idx="765">
                  <v>0.04562768534929051</v>
                </pt>
                <pt idx="766">
                  <v>0</v>
                </pt>
                <pt idx="767">
                  <v>0</v>
                </pt>
                <pt idx="768">
                  <v>0.03312050570216907</v>
                </pt>
                <pt idx="769">
                  <v>0</v>
                </pt>
                <pt idx="770">
                  <v>0</v>
                </pt>
                <pt idx="771">
                  <v>0.01835946382913334</v>
                </pt>
                <pt idx="772">
                  <v>0</v>
                </pt>
                <pt idx="773">
                  <v>0</v>
                </pt>
                <pt idx="774">
                  <v>0.007013690941451989</v>
                </pt>
                <pt idx="775">
                  <v>0</v>
                </pt>
                <pt idx="776">
                  <v>0</v>
                </pt>
                <pt idx="777">
                  <v>0.004400766641183385</v>
                </pt>
                <pt idx="778">
                  <v>0</v>
                </pt>
                <pt idx="779">
                  <v>0</v>
                </pt>
                <pt idx="780">
                  <v>0.03516603678394103</v>
                </pt>
                <pt idx="781">
                  <v>0</v>
                </pt>
                <pt idx="782">
                  <v>0</v>
                </pt>
                <pt idx="783">
                  <v>0.00558707657013402</v>
                </pt>
                <pt idx="784">
                  <v>0</v>
                </pt>
                <pt idx="785">
                  <v>0</v>
                </pt>
                <pt idx="786">
                  <v>0.03204415399787042</v>
                </pt>
                <pt idx="787">
                  <v>0</v>
                </pt>
                <pt idx="788">
                  <v>0</v>
                </pt>
                <pt idx="789">
                  <v>0.02875173987590807</v>
                </pt>
                <pt idx="790">
                  <v>0</v>
                </pt>
                <pt idx="791">
                  <v>0</v>
                </pt>
                <pt idx="792">
                  <v>-0.01393101487505966</v>
                </pt>
                <pt idx="793">
                  <v>0</v>
                </pt>
                <pt idx="794">
                  <v>0</v>
                </pt>
                <pt idx="795">
                  <v>0.05236304575665218</v>
                </pt>
                <pt idx="796">
                  <v>0</v>
                </pt>
                <pt idx="797">
                  <v>0</v>
                </pt>
                <pt idx="798">
                  <v>0.04741908962129937</v>
                </pt>
                <pt idx="799">
                  <v>0</v>
                </pt>
                <pt idx="800">
                  <v>0</v>
                </pt>
                <pt idx="801">
                  <v>0.01808105561066875</v>
                </pt>
                <pt idx="802">
                  <v>0</v>
                </pt>
                <pt idx="803">
                  <v>0</v>
                </pt>
                <pt idx="804">
                  <v>0.03293158882700409</v>
                </pt>
                <pt idx="805">
                  <v>0</v>
                </pt>
                <pt idx="806">
                  <v>0</v>
                </pt>
                <pt idx="807">
                  <v>0.02340267984825029</v>
                </pt>
                <pt idx="808">
                  <v>0</v>
                </pt>
                <pt idx="809">
                  <v>0</v>
                </pt>
                <pt idx="810">
                  <v>0.01299778420271624</v>
                </pt>
                <pt idx="811">
                  <v>0</v>
                </pt>
                <pt idx="812">
                  <v>0</v>
                </pt>
                <pt idx="813">
                  <v>0.005862217066683106</v>
                </pt>
                <pt idx="814">
                  <v>0</v>
                </pt>
                <pt idx="815">
                  <v>0</v>
                </pt>
                <pt idx="816">
                  <v>0.02377629379297197</v>
                </pt>
                <pt idx="817">
                  <v>0</v>
                </pt>
                <pt idx="818">
                  <v>0</v>
                </pt>
                <pt idx="819">
                  <v>0.0121505263452657</v>
                </pt>
                <pt idx="820">
                  <v>0</v>
                </pt>
                <pt idx="821">
                  <v>0</v>
                </pt>
                <pt idx="822">
                  <v>0.02426228912334993</v>
                </pt>
                <pt idx="823">
                  <v>0</v>
                </pt>
                <pt idx="824">
                  <v>0</v>
                </pt>
                <pt idx="825">
                  <v>0.02002418226174996</v>
                </pt>
                <pt idx="826">
                  <v>0</v>
                </pt>
                <pt idx="827">
                  <v>0</v>
                </pt>
                <pt idx="828">
                  <v>0.0172976084215819</v>
                </pt>
                <pt idx="829">
                  <v>0</v>
                </pt>
                <pt idx="830">
                  <v>0</v>
                </pt>
                <pt idx="831">
                  <v>0.02030451578470238</v>
                </pt>
                <pt idx="832">
                  <v>0</v>
                </pt>
                <pt idx="833">
                  <v>0</v>
                </pt>
                <pt idx="834">
                  <v>0.03351266228426941</v>
                </pt>
                <pt idx="835">
                  <v>0</v>
                </pt>
                <pt idx="836">
                  <v>0</v>
                </pt>
                <pt idx="837">
                  <v>0.04083729328819619</v>
                </pt>
                <pt idx="838">
                  <v>0</v>
                </pt>
                <pt idx="839">
                  <v>0</v>
                </pt>
                <pt idx="840">
                  <v>0.027995347640831</v>
                </pt>
                <pt idx="841">
                  <v>0</v>
                </pt>
                <pt idx="842">
                  <v>0</v>
                </pt>
                <pt idx="843">
                  <v>0.02818684793662185</v>
                </pt>
                <pt idx="844">
                  <v>0</v>
                </pt>
                <pt idx="845">
                  <v>0</v>
                </pt>
                <pt idx="846">
                  <v>0.02919574648205758</v>
                </pt>
                <pt idx="847">
                  <v>0</v>
                </pt>
                <pt idx="848">
                  <v>0</v>
                </pt>
                <pt idx="849">
                  <v>0.007291179052316021</v>
                </pt>
                <pt idx="850">
                  <v>0</v>
                </pt>
                <pt idx="851">
                  <v>0</v>
                </pt>
                <pt idx="852">
                  <v>0.02188578552753584</v>
                </pt>
                <pt idx="853">
                  <v>0</v>
                </pt>
                <pt idx="854">
                  <v>0</v>
                </pt>
                <pt idx="855">
                  <v>0.02719334362326342</v>
                </pt>
                <pt idx="856">
                  <v>0</v>
                </pt>
                <pt idx="857">
                  <v>0</v>
                </pt>
                <pt idx="858">
                  <v>0.03607670893327297</v>
                </pt>
                <pt idx="859">
                  <v>0</v>
                </pt>
                <pt idx="860">
                  <v>0</v>
                </pt>
                <pt idx="861">
                  <v>0.01783999833506456</v>
                </pt>
                <pt idx="862">
                  <v>0</v>
                </pt>
                <pt idx="863">
                  <v>0</v>
                </pt>
                <pt idx="864">
                  <v>-0.04618404801605125</v>
                </pt>
                <pt idx="865">
                  <v>0</v>
                </pt>
                <pt idx="866">
                  <v>0</v>
                </pt>
                <pt idx="867">
                  <v>-0.2985741977414337</v>
                </pt>
                <pt idx="868">
                  <v>0</v>
                </pt>
                <pt idx="869">
                  <v>0</v>
                </pt>
                <pt idx="870">
                  <v>0.3531713913729064</v>
                </pt>
                <pt idx="871">
                  <v>0</v>
                </pt>
                <pt idx="872">
                  <v>0</v>
                </pt>
                <pt idx="873">
                  <v>0.03908878225555212</v>
                </pt>
                <pt idx="874">
                  <v>0</v>
                </pt>
                <pt idx="875">
                  <v>0</v>
                </pt>
                <pt idx="876">
                  <v>0.06315454956208622</v>
                </pt>
                <pt idx="877">
                  <v>0</v>
                </pt>
                <pt idx="878">
                  <v>0</v>
                </pt>
                <pt idx="879">
                  <v>0.07004895940091926</v>
                </pt>
                <pt idx="880">
                  <v>0</v>
                </pt>
                <pt idx="881">
                  <v>0</v>
                </pt>
                <pt idx="882">
                  <v>0.02652766290028019</v>
                </pt>
                <pt idx="883">
                  <v>0</v>
                </pt>
                <pt idx="884">
                  <v>0</v>
                </pt>
                <pt idx="885">
                  <v>0.06957257344233025</v>
                </pt>
                <pt idx="886">
                  <v>0</v>
                </pt>
                <pt idx="887">
                  <v>0</v>
                </pt>
                <pt idx="888">
                  <v>-0.01631277702696399</v>
                </pt>
                <pt idx="889">
                  <v>0</v>
                </pt>
                <pt idx="890">
                  <v>0</v>
                </pt>
                <pt idx="891">
                  <v>-0.005772819614643598</v>
                </pt>
                <pt idx="892">
                  <v>0</v>
                </pt>
                <pt idx="893">
                  <v>0</v>
                </pt>
                <pt idx="894">
                  <v>0.03243337917387401</v>
                </pt>
                <pt idx="895">
                  <v>0</v>
                </pt>
                <pt idx="896">
                  <v>0</v>
                </pt>
                <pt idx="897">
                  <v>0.02891577151011537</v>
                </pt>
                <pt idx="898">
                  <v>0</v>
                </pt>
                <pt idx="899">
                  <v>0</v>
                </pt>
                <pt idx="900">
                  <v>0</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GDP'!$A$6:$A$912</f>
              <numCache>
                <formatCode>m/d/yyyy</formatCode>
                <ptCount val="907"/>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pt idx="900">
                  <v>44927</v>
                </pt>
              </numCache>
            </numRef>
          </cat>
          <val>
            <numRef>
              <f>'ISM Manufacturing vs GDP'!$B$6:$B$912</f>
              <numCache>
                <formatCode>0.0</formatCode>
                <ptCount val="907"/>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pt idx="888">
                  <v>57.6</v>
                </pt>
                <pt idx="889">
                  <v>58.6</v>
                </pt>
                <pt idx="890">
                  <v>57.1</v>
                </pt>
                <pt idx="891">
                  <v>55.4</v>
                </pt>
                <pt idx="892">
                  <v>56.1</v>
                </pt>
                <pt idx="893">
                  <v>53</v>
                </pt>
                <pt idx="894">
                  <v>52.8</v>
                </pt>
                <pt idx="895">
                  <v>52.8</v>
                </pt>
                <pt idx="896">
                  <v>50.9</v>
                </pt>
                <pt idx="897">
                  <v>50.2</v>
                </pt>
                <pt idx="898">
                  <v>49</v>
                </pt>
                <pt idx="899">
                  <v>48.4</v>
                </pt>
                <pt idx="900">
                  <v>47.4</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SPX'!$A$630:$A$907</f>
              <numCache>
                <formatCode>m/d/yyyy</formatCode>
                <ptCount val="278"/>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pt idx="276">
                  <v>44927</v>
                </pt>
              </numCache>
            </numRef>
          </cat>
          <val>
            <numRef>
              <f>'ISM Manufacturing vs SPX'!$D$630:$D$907</f>
              <numCache>
                <formatCode>0.00%</formatCode>
                <ptCount val="278"/>
                <pt idx="0">
                  <v>0.08972831810093647</v>
                </pt>
                <pt idx="1">
                  <v>0.1034377689599938</v>
                </pt>
                <pt idx="2">
                  <v>0.1649680587568181</v>
                </pt>
                <pt idx="3">
                  <v>0.0878158714804949</v>
                </pt>
                <pt idx="4">
                  <v>0.09122473797368262</v>
                </pt>
                <pt idx="5">
                  <v>0.05965572989104757</v>
                </pt>
                <pt idx="6">
                  <v>0.07684838611820438</v>
                </pt>
                <pt idx="7">
                  <v>0.1494005759005043</v>
                </pt>
                <pt idx="8">
                  <v>0.119902435867666</v>
                </pt>
                <pt idx="9">
                  <v>0.04876990607268656</v>
                </pt>
                <pt idx="10">
                  <v>-0.0532504490483395</v>
                </pt>
                <pt idx="11">
                  <v>-0.1013918466585843</v>
                </pt>
                <pt idx="12">
                  <v>-0.0204021284001213</v>
                </pt>
                <pt idx="13">
                  <v>-0.09256312002996651</v>
                </pt>
                <pt idx="14">
                  <v>-0.225713682231885</v>
                </pt>
                <pt idx="15">
                  <v>-0.1397451755111045</v>
                </pt>
                <pt idx="16">
                  <v>-0.1159932649083082</v>
                </pt>
                <pt idx="17">
                  <v>-0.1582702973787617</v>
                </pt>
                <pt idx="18">
                  <v>-0.1534773399569114</v>
                </pt>
                <pt idx="19">
                  <v>-0.2530837093872796</v>
                </pt>
                <pt idx="20">
                  <v>-0.2753688214284804</v>
                </pt>
                <pt idx="21">
                  <v>-0.2585840134350783</v>
                </pt>
                <pt idx="22">
                  <v>-0.1334651557221593</v>
                </pt>
                <pt idx="23">
                  <v>-0.1304269317274256</v>
                </pt>
                <pt idx="24">
                  <v>-0.1726268891940327</v>
                </pt>
                <pt idx="25">
                  <v>-0.1074325912805284</v>
                </pt>
                <pt idx="26">
                  <v>-0.01115194978697949</v>
                </pt>
                <pt idx="27">
                  <v>-0.1380915934774949</v>
                </pt>
                <pt idx="28">
                  <v>-0.1502444137777647</v>
                </pt>
                <pt idx="29">
                  <v>-0.1915745084231782</v>
                </pt>
                <pt idx="30">
                  <v>-0.2473601134242173</v>
                </pt>
                <pt idx="31">
                  <v>-0.1918787885836398</v>
                </pt>
                <pt idx="32">
                  <v>-0.216784756865532</v>
                </pt>
                <pt idx="33">
                  <v>-0.164203905263912</v>
                </pt>
                <pt idx="34">
                  <v>-0.1782789611815425</v>
                </pt>
                <pt idx="35">
                  <v>-0.233659639571036</v>
                </pt>
                <pt idx="36">
                  <v>-0.2428773233269227</v>
                </pt>
                <pt idx="37">
                  <v>-0.2399681591188145</v>
                </pt>
                <pt idx="38">
                  <v>-0.2607744691453804</v>
                </pt>
                <pt idx="39">
                  <v>-0.148571903675405</v>
                </pt>
                <pt idx="40">
                  <v>-0.09703505291860229</v>
                </pt>
                <pt idx="41">
                  <v>-0.0154775688618715</v>
                </pt>
                <pt idx="42">
                  <v>0.0863188640693327</v>
                </pt>
                <pt idx="43">
                  <v>0.1003635112014605</v>
                </pt>
                <pt idx="44">
                  <v>0.2216292990300316</v>
                </pt>
                <pt idx="45">
                  <v>0.1862242022142333</v>
                </pt>
                <pt idx="46">
                  <v>0.1301811941890041</v>
                </pt>
                <pt idx="47">
                  <v>0.2638039993281979</v>
                </pt>
                <pt idx="48">
                  <v>0.3218768128393368</v>
                </pt>
                <pt idx="49">
                  <v>0.3611602070674667</v>
                </pt>
                <pt idx="50">
                  <v>0.3277959521122498</v>
                </pt>
                <pt idx="51">
                  <v>0.2076299671359906</v>
                </pt>
                <pt idx="52">
                  <v>0.1630257915475826</v>
                </pt>
                <pt idx="53">
                  <v>0.1706926278299764</v>
                </pt>
                <pt idx="54">
                  <v>0.1125000993822032</v>
                </pt>
                <pt idx="55">
                  <v>0.09546530246373712</v>
                </pt>
                <pt idx="56">
                  <v>0.1190899212230544</v>
                </pt>
                <pt idx="57">
                  <v>0.07565359917540875</v>
                </pt>
                <pt idx="58">
                  <v>0.1092610096883361</v>
                </pt>
                <pt idx="59">
                  <v>0.08993452410946766</v>
                </pt>
                <pt idx="60">
                  <v>0.04432736682078608</v>
                </pt>
                <pt idx="61">
                  <v>0.051234158280512</v>
                </pt>
                <pt idx="62">
                  <v>0.04828584968076828</v>
                </pt>
                <pt idx="63">
                  <v>0.04474841919338169</v>
                </pt>
                <pt idx="64">
                  <v>0.06319372425212179</v>
                </pt>
                <pt idx="65">
                  <v>0.04425685612974777</v>
                </pt>
                <pt idx="66">
                  <v>0.1202302640690774</v>
                </pt>
                <pt idx="67">
                  <v>0.1051311008901904</v>
                </pt>
                <pt idx="68">
                  <v>0.1024871315140152</v>
                </pt>
                <pt idx="69">
                  <v>0.06796147753687977</v>
                </pt>
                <pt idx="70">
                  <v>0.06445625193104028</v>
                </pt>
                <pt idx="71">
                  <v>0.03001022658127532</v>
                </pt>
                <pt idx="72">
                  <v>0.08364720587986105</v>
                </pt>
                <pt idx="73">
                  <v>0.06402464286877002</v>
                </pt>
                <pt idx="74">
                  <v>0.09679908571598815</v>
                </pt>
                <pt idx="75">
                  <v>0.1329126619791348</v>
                </pt>
                <pt idx="76">
                  <v>0.06595884668091653</v>
                </pt>
                <pt idx="77">
                  <v>0.06620331732308637</v>
                </pt>
                <pt idx="78">
                  <v>0.03441959731971118</v>
                </pt>
                <pt idx="79">
                  <v>0.06841591474513682</v>
                </pt>
                <pt idx="80">
                  <v>0.08710859440285215</v>
                </pt>
                <pt idx="81">
                  <v>0.1416143447508077</v>
                </pt>
                <pt idx="82">
                  <v>0.1209703450849666</v>
                </pt>
                <pt idx="83">
                  <v>0.136194317382607</v>
                </pt>
                <pt idx="84">
                  <v>0.1235548087692501</v>
                </pt>
                <pt idx="85">
                  <v>0.09851163364380647</v>
                </pt>
                <pt idx="86">
                  <v>0.09729933561629234</v>
                </pt>
                <pt idx="87">
                  <v>0.1310534878303651</v>
                </pt>
                <pt idx="88">
                  <v>0.2051272242975383</v>
                </pt>
                <pt idx="89">
                  <v>0.1835537973363649</v>
                </pt>
                <pt idx="90">
                  <v>0.1399041096060684</v>
                </pt>
                <pt idx="91">
                  <v>0.1305165214182002</v>
                </pt>
                <pt idx="92">
                  <v>0.1429052871976349</v>
                </pt>
                <pt idx="93">
                  <v>0.1244176602512877</v>
                </pt>
                <pt idx="94">
                  <v>0.05748128305473652</v>
                </pt>
                <pt idx="95">
                  <v>0.0352957306634793</v>
                </pt>
                <pt idx="96">
                  <v>-0.04150207323641651</v>
                </pt>
                <pt idx="97">
                  <v>-0.05415756409142859</v>
                </pt>
                <pt idx="98">
                  <v>-0.06908494516818939</v>
                </pt>
                <pt idx="99">
                  <v>-0.06528736389407627</v>
                </pt>
                <pt idx="100">
                  <v>-0.08508969610344363</v>
                </pt>
                <pt idx="101">
                  <v>-0.1485681838647626</v>
                </pt>
                <pt idx="102">
                  <v>-0.1291100703833357</v>
                </pt>
                <pt idx="103">
                  <v>-0.1296888279066883</v>
                </pt>
                <pt idx="104">
                  <v>-0.236050443522802</v>
                </pt>
                <pt idx="105">
                  <v>-0.3747499019304358</v>
                </pt>
                <pt idx="106">
                  <v>-0.3948985366875625</v>
                </pt>
                <pt idx="107">
                  <v>-0.384857930609067</v>
                </pt>
                <pt idx="108">
                  <v>-0.4009067675236928</v>
                </pt>
                <pt idx="109">
                  <v>-0.4475624146772432</v>
                </pt>
                <pt idx="110">
                  <v>-0.3967868567544007</v>
                </pt>
                <pt idx="111">
                  <v>-0.3700806017010499</v>
                </pt>
                <pt idx="112">
                  <v>-0.3436495726562778</v>
                </pt>
                <pt idx="113">
                  <v>-0.2817812442779541</v>
                </pt>
                <pt idx="114">
                  <v>-0.2208493295899385</v>
                </pt>
                <pt idx="115">
                  <v>-0.2043996242057835</v>
                </pt>
                <pt idx="116">
                  <v>-0.09369322565017103</v>
                </pt>
                <pt idx="117">
                  <v>0.06961542338709678</v>
                </pt>
                <pt idx="118">
                  <v>0.2224739096905224</v>
                </pt>
                <pt idx="119">
                  <v>0.2345419048834076</v>
                </pt>
                <pt idx="120">
                  <v>0.3002736339034673</v>
                </pt>
                <pt idx="121">
                  <v>0.5025234323462486</v>
                </pt>
                <pt idx="122">
                  <v>0.4656899756446881</v>
                </pt>
                <pt idx="123">
                  <v>0.3596200143509296</v>
                </pt>
                <pt idx="124">
                  <v>0.18524927303527</v>
                </pt>
                <pt idx="125">
                  <v>0.1211655927488121</v>
                </pt>
                <pt idx="126">
                  <v>0.1155668948984829</v>
                </pt>
                <pt idx="127">
                  <v>0.02812992208153194</v>
                </pt>
                <pt idx="128">
                  <v>0.07957770330935601</v>
                </pt>
                <pt idx="129">
                  <v>0.1419335031951584</v>
                </pt>
                <pt idx="130">
                  <v>0.07750795758317695</v>
                </pt>
                <pt idx="131">
                  <v>0.1278271385376017</v>
                </pt>
                <pt idx="132">
                  <v>0.1976496232924711</v>
                </pt>
                <pt idx="133">
                  <v>0.2016586681980579</v>
                </pt>
                <pt idx="134">
                  <v>0.1337402795895728</v>
                </pt>
                <pt idx="135">
                  <v>0.1490870005484823</v>
                </pt>
                <pt idx="136">
                  <v>0.234796733063684</v>
                </pt>
                <pt idx="137">
                  <v>0.2812915996729352</v>
                </pt>
                <pt idx="138">
                  <v>0.173093734510583</v>
                </pt>
                <pt idx="139">
                  <v>0.1615888859508677</v>
                </pt>
                <pt idx="140">
                  <v>-0.008569845465310586</v>
                </pt>
                <pt idx="141">
                  <v>0.05919243317990035</v>
                </pt>
                <pt idx="142">
                  <v>0.05625336441711803</v>
                </pt>
                <pt idx="143">
                  <v>-3.183666393693155e-05</v>
                </pt>
                <pt idx="144">
                  <v>0.02044135785331953</v>
                </pt>
                <pt idx="145">
                  <v>0.02897792668643906</v>
                </pt>
                <pt idx="146">
                  <v>0.06233077950233635</v>
                </pt>
                <pt idx="147">
                  <v>0.02515385571871034</v>
                </pt>
                <pt idx="148">
                  <v>-0.02592179332656825</v>
                </pt>
                <pt idx="149">
                  <v>0.03143931659703865</v>
                </pt>
                <pt idx="150">
                  <v>0.06735375848804624</v>
                </pt>
                <pt idx="151">
                  <v>0.1539843128999502</v>
                </pt>
                <pt idx="152">
                  <v>0.2733290802606179</v>
                </pt>
                <pt idx="153">
                  <v>0.1267533544741357</v>
                </pt>
                <pt idx="154">
                  <v>0.1357061157330292</v>
                </pt>
                <pt idx="155">
                  <v>0.13405690926621</v>
                </pt>
                <pt idx="156">
                  <v>0.1414953759386215</v>
                </pt>
                <pt idx="157">
                  <v>0.1091031531105144</v>
                </pt>
                <pt idx="158">
                  <v>0.1141096182710176</v>
                </pt>
                <pt idx="159">
                  <v>0.1428274404128855</v>
                </pt>
                <pt idx="160">
                  <v>0.2445262223451102</v>
                </pt>
                <pt idx="161">
                  <v>0.1792153557523801</v>
                </pt>
                <pt idx="162">
                  <v>0.2221457284106251</v>
                </pt>
                <pt idx="163">
                  <v>0.1609506901288696</v>
                </pt>
                <pt idx="164">
                  <v>0.1671999816301843</v>
                </pt>
                <pt idx="165">
                  <v>0.2438675479743764</v>
                </pt>
                <pt idx="166">
                  <v>0.2751274485626536</v>
                </pt>
                <pt idx="167">
                  <v>0.2960124957332433</v>
                </pt>
                <pt idx="168">
                  <v>0.189892586826321</v>
                </pt>
                <pt idx="169">
                  <v>0.2276189592754306</v>
                </pt>
                <pt idx="170">
                  <v>0.1931888654233854</v>
                </pt>
                <pt idx="171">
                  <v>0.1792597598296305</v>
                </pt>
                <pt idx="172">
                  <v>0.1795687588507599</v>
                </pt>
                <pt idx="173">
                  <v>0.220353826677912</v>
                </pt>
                <pt idx="174">
                  <v>0.1453020746587491</v>
                </pt>
                <pt idx="175">
                  <v>0.2268259864292397</v>
                </pt>
                <pt idx="176">
                  <v>0.1728999921453377</v>
                </pt>
                <pt idx="177">
                  <v>0.1488779099537054</v>
                </pt>
                <pt idx="178">
                  <v>0.1449487994345509</v>
                </pt>
                <pt idx="179">
                  <v>0.1139063378674814</v>
                </pt>
                <pt idx="180">
                  <v>0.1191524851405302</v>
                </pt>
                <pt idx="181">
                  <v>0.1317863106095907</v>
                </pt>
                <pt idx="182">
                  <v>0.1044414637980226</v>
                </pt>
                <pt idx="183">
                  <v>0.106988011262387</v>
                </pt>
                <pt idx="184">
                  <v>0.09556187267517209</v>
                </pt>
                <pt idx="185">
                  <v>0.05248370241155238</v>
                </pt>
                <pt idx="186">
                  <v>0.08969427193858619</v>
                </pt>
                <pt idx="187">
                  <v>-0.01556873741858429</v>
                </pt>
                <pt idx="188">
                  <v>-0.02649712199046853</v>
                </pt>
                <pt idx="189">
                  <v>0.03038084146096998</v>
                </pt>
                <pt idx="190">
                  <v>0.006214984402612624</v>
                </pt>
                <pt idx="191">
                  <v>-0.007265997205823517</v>
                </pt>
                <pt idx="192">
                  <v>-0.02744374671953511</v>
                </pt>
                <pt idx="193">
                  <v>-0.08185793277797576</v>
                </pt>
                <pt idx="194">
                  <v>-0.003941168421491328</v>
                </pt>
                <pt idx="195">
                  <v>-0.009690656406761264</v>
                </pt>
                <pt idx="196">
                  <v>-0.004953967674903315</v>
                </pt>
                <pt idx="197">
                  <v>0.01732820748218537</v>
                </pt>
                <pt idx="198">
                  <v>0.03315841834517401</v>
                </pt>
                <pt idx="199">
                  <v>0.1007868916871576</v>
                </pt>
                <pt idx="200">
                  <v>0.1292896394569838</v>
                </pt>
                <pt idx="201">
                  <v>0.02250201624762726</v>
                </pt>
                <pt idx="202">
                  <v>0.05691193153580315</v>
                </pt>
                <pt idx="203">
                  <v>0.09535022667283645</v>
                </pt>
                <pt idx="204">
                  <v>0.1745300213672122</v>
                </pt>
                <pt idx="205">
                  <v>0.2232704783954946</v>
                </pt>
                <pt idx="206">
                  <v>0.1470962266622179</v>
                </pt>
                <pt idx="207">
                  <v>0.1544085095648438</v>
                </pt>
                <pt idx="208">
                  <v>0.1501466916176501</v>
                </pt>
                <pt idx="209">
                  <v>0.1546314609248347</v>
                </pt>
                <pt idx="210">
                  <v>0.1365016276415338</v>
                </pt>
                <pt idx="211">
                  <v>0.1385107708307866</v>
                </pt>
                <pt idx="212">
                  <v>0.161921755467765</v>
                </pt>
                <pt idx="213">
                  <v>0.2112316290242757</v>
                </pt>
                <pt idx="214">
                  <v>0.2040967648739342</v>
                </pt>
                <pt idx="215">
                  <v>0.1941996552328792</v>
                </pt>
                <pt idx="216">
                  <v>0.2391272487608005</v>
                </pt>
                <pt idx="217">
                  <v>0.1481571649922135</v>
                </pt>
                <pt idx="218">
                  <v>0.1177245504898322</v>
                </pt>
                <pt idx="219">
                  <v>0.1106660947319302</v>
                </pt>
                <pt idx="220">
                  <v>0.1216808876199002</v>
                </pt>
                <pt idx="221">
                  <v>0.1217128821683274</v>
                </pt>
                <pt idx="222">
                  <v>0.1400599050299609</v>
                </pt>
                <pt idx="223">
                  <v>0.1739203099839804</v>
                </pt>
                <pt idx="224">
                  <v>0.1566349613476652</v>
                </pt>
                <pt idx="225">
                  <v>0.05299658285035501</v>
                </pt>
                <pt idx="226">
                  <v>0.04252556690550997</v>
                </pt>
                <pt idx="227">
                  <v>-0.06237259849620682</v>
                </pt>
                <pt idx="228">
                  <v>-0.04239306414154331</v>
                </pt>
                <pt idx="229">
                  <v>0.02603696991898414</v>
                </pt>
                <pt idx="230">
                  <v>0.07328258360632944</v>
                </pt>
                <pt idx="231">
                  <v>0.112452568420546</v>
                </pt>
                <pt idx="232">
                  <v>0.01729588496700505</v>
                </pt>
                <pt idx="233">
                  <v>0.0821778797396619</v>
                </pt>
                <pt idx="234">
                  <v>0.05826454004170075</v>
                </pt>
                <pt idx="235">
                  <v>0.008595474523136025</v>
                </pt>
                <pt idx="236">
                  <v>0.02153755694489338</v>
                </pt>
                <pt idx="237">
                  <v>0.1201516625977163</v>
                </pt>
                <pt idx="238">
                  <v>0.1379661649001173</v>
                </pt>
                <pt idx="239">
                  <v>0.2887807022515845</v>
                </pt>
                <pt idx="240">
                  <v>0.1928256732533441</v>
                </pt>
                <pt idx="241">
                  <v>0.06095550031209254</v>
                </pt>
                <pt idx="242">
                  <v>-0.08813499261221347</v>
                </pt>
                <pt idx="243">
                  <v>-0.01133811034533056</v>
                </pt>
                <pt idx="244">
                  <v>0.1061931766668399</v>
                </pt>
                <pt idx="245">
                  <v>0.0538895181016161</v>
                </pt>
                <pt idx="246">
                  <v>0.09755140143431537</v>
                </pt>
                <pt idx="247">
                  <v>0.1960901926956197</v>
                </pt>
                <pt idx="248">
                  <v>0.1297594049304967</v>
                </pt>
                <pt idx="249">
                  <v>0.07650874315595933</v>
                </pt>
                <pt idx="250">
                  <v>0.153025458720695</v>
                </pt>
                <pt idx="251">
                  <v>0.1625892305570616</v>
                </pt>
                <pt idx="252">
                  <v>0.1515166446786303</v>
                </pt>
                <pt idx="253">
                  <v>0.290069778194841</v>
                </pt>
                <pt idx="254">
                  <v>0.5371450626511303</v>
                </pt>
                <pt idx="255">
                  <v>0.4356293610537338</v>
                </pt>
                <pt idx="256">
                  <v>0.3809729568818109</v>
                </pt>
                <pt idx="257">
                  <v>0.3861606320225206</v>
                </pt>
                <pt idx="258">
                  <v>0.3436558757139228</v>
                </pt>
                <pt idx="259">
                  <v>0.2920798729465233</v>
                </pt>
                <pt idx="260">
                  <v>0.2808623369201605</v>
                </pt>
                <pt idx="261">
                  <v>0.4083902976879674</v>
                </pt>
                <pt idx="262">
                  <v>0.26103443691859</v>
                </pt>
                <pt idx="263">
                  <v>0.2689273866137125</v>
                </pt>
                <pt idx="264">
                  <v>0.2157399135650793</v>
                </pt>
                <pt idx="265">
                  <v>0.1476693526844483</v>
                </pt>
                <pt idx="266">
                  <v>0.1403311641516659</v>
                </pt>
                <pt idx="267">
                  <v>-0.01177654747685284</v>
                </pt>
                <pt idx="268">
                  <v>-0.01711657479886509</v>
                </pt>
                <pt idx="269">
                  <v>-0.1191669848022106</v>
                </pt>
                <pt idx="270">
                  <v>-0.06028533936374103</v>
                </pt>
                <pt idx="271">
                  <v>-0.1255185318699191</v>
                </pt>
                <pt idx="272">
                  <v>-0.1675944774345312</v>
                </pt>
                <pt idx="273">
                  <v>-0.1592485139132244</v>
                </pt>
                <pt idx="274">
                  <v>-0.1066104428679932</v>
                </pt>
                <pt idx="275">
                  <v>-0.1944282720342927</v>
                </pt>
                <pt idx="276">
                  <v>-0.09720847427606386</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SPX'!$A$630:$A$905</f>
              <numCache>
                <formatCode>m/d/yyyy</formatCode>
                <ptCount val="276"/>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'ISM Manufacturing vs SPX'!$B$630:$B$905</f>
              <numCache>
                <formatCode>General</formatCode>
                <ptCount val="276"/>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pt idx="261">
                  <v>60.8</v>
                </pt>
                <pt idx="262">
                  <v>61.1</v>
                </pt>
                <pt idx="263">
                  <v>58.7</v>
                </pt>
                <pt idx="264">
                  <v>57.6</v>
                </pt>
                <pt idx="265">
                  <v>58.6</v>
                </pt>
                <pt idx="266">
                  <v>57.1</v>
                </pt>
                <pt idx="267">
                  <v>55.4</v>
                </pt>
                <pt idx="268">
                  <v>56.1</v>
                </pt>
                <pt idx="269">
                  <v>53</v>
                </pt>
                <pt idx="270">
                  <v>52.8</v>
                </pt>
                <pt idx="271">
                  <v>52.8</v>
                </pt>
                <pt idx="272">
                  <v>50.9</v>
                </pt>
                <pt idx="273">
                  <v>50.2</v>
                </pt>
                <pt idx="274">
                  <v>49</v>
                </pt>
                <pt idx="275">
                  <v>48.4</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Manufacturing'!$A$510:$A$912</f>
              <numCache>
                <formatCode>m/d/yyyy</formatCode>
                <ptCount val="403"/>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pt idx="384">
                  <v>44562</v>
                </pt>
                <pt idx="385">
                  <v>44593</v>
                </pt>
                <pt idx="386">
                  <v>44621</v>
                </pt>
                <pt idx="387">
                  <v>44652</v>
                </pt>
                <pt idx="388">
                  <v>44682</v>
                </pt>
                <pt idx="389">
                  <v>44713</v>
                </pt>
                <pt idx="390">
                  <v>44743</v>
                </pt>
                <pt idx="391">
                  <v>44774</v>
                </pt>
                <pt idx="392">
                  <v>44805</v>
                </pt>
                <pt idx="393">
                  <v>44835</v>
                </pt>
                <pt idx="394">
                  <v>44866</v>
                </pt>
                <pt idx="395">
                  <v>44896</v>
                </pt>
                <pt idx="396">
                  <v>44927</v>
                </pt>
              </numCache>
            </numRef>
          </cat>
          <val>
            <numRef>
              <f>'ISM Manufacturing'!$B$510:$B$912</f>
              <numCache>
                <formatCode>General</formatCode>
                <ptCount val="403"/>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pt idx="384">
                  <v>57.6</v>
                </pt>
                <pt idx="385">
                  <v>58.6</v>
                </pt>
                <pt idx="386">
                  <v>57.1</v>
                </pt>
                <pt idx="387">
                  <v>55.4</v>
                </pt>
                <pt idx="388">
                  <v>56.1</v>
                </pt>
                <pt idx="389">
                  <v>53</v>
                </pt>
                <pt idx="390">
                  <v>52.8</v>
                </pt>
                <pt idx="391">
                  <v>52.8</v>
                </pt>
                <pt idx="392">
                  <v>50.9</v>
                </pt>
                <pt idx="393">
                  <v>50.2</v>
                </pt>
                <pt idx="394">
                  <v>49</v>
                </pt>
                <pt idx="395">
                  <v>48.4</v>
                </pt>
                <pt idx="396">
                  <v>47.4</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Manufacturing'!$A$822:$A$910</f>
              <numCache>
                <formatCode>m/d/yyyy</formatCode>
                <ptCount val="89"/>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pt idx="72">
                  <v>44562</v>
                </pt>
                <pt idx="73">
                  <v>44593</v>
                </pt>
                <pt idx="74">
                  <v>44621</v>
                </pt>
                <pt idx="75">
                  <v>44652</v>
                </pt>
                <pt idx="76">
                  <v>44682</v>
                </pt>
                <pt idx="77">
                  <v>44713</v>
                </pt>
                <pt idx="78">
                  <v>44743</v>
                </pt>
                <pt idx="79">
                  <v>44774</v>
                </pt>
                <pt idx="80">
                  <v>44805</v>
                </pt>
                <pt idx="81">
                  <v>44835</v>
                </pt>
                <pt idx="82">
                  <v>44866</v>
                </pt>
                <pt idx="83">
                  <v>44896</v>
                </pt>
                <pt idx="84">
                  <v>44927</v>
                </pt>
              </numCache>
            </numRef>
          </cat>
          <val>
            <numRef>
              <f>'ISM Manufacturing'!$B$822:$B$910</f>
              <numCache>
                <formatCode>General</formatCode>
                <ptCount val="89"/>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pt idx="72">
                  <v>57.6</v>
                </pt>
                <pt idx="73">
                  <v>58.6</v>
                </pt>
                <pt idx="74">
                  <v>57.1</v>
                </pt>
                <pt idx="75">
                  <v>55.4</v>
                </pt>
                <pt idx="76">
                  <v>56.1</v>
                </pt>
                <pt idx="77">
                  <v>53</v>
                </pt>
                <pt idx="78">
                  <v>52.8</v>
                </pt>
                <pt idx="79">
                  <v>52.8</v>
                </pt>
                <pt idx="80">
                  <v>50.9</v>
                </pt>
                <pt idx="81">
                  <v>50.2</v>
                </pt>
                <pt idx="82">
                  <v>49</v>
                </pt>
                <pt idx="83">
                  <v>48.4</v>
                </pt>
                <pt idx="84">
                  <v>47.4</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_rels/drawing8.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172399</colOff>
      <row>872</row>
      <rowOff>58616</rowOff>
    </from>
    <to>
      <col>13</col>
      <colOff>496250</colOff>
      <row>889</row>
      <rowOff>174065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181926</colOff>
      <row>889</row>
      <rowOff>164540</rowOff>
    </from>
    <to>
      <col>13</col>
      <colOff>505776</colOff>
      <row>907</row>
      <rowOff>164539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148479</colOff>
      <row>885</row>
      <rowOff>7471</rowOff>
    </from>
    <to>
      <col>20</col>
      <colOff>138766</colOff>
      <row>904</row>
      <rowOff>100571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3</col>
      <colOff>398462</colOff>
      <row>861</row>
      <rowOff>150813</rowOff>
    </from>
    <to>
      <col>13</col>
      <colOff>134937</colOff>
      <row>885</row>
      <rowOff>166688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404811</colOff>
      <row>886</row>
      <rowOff>79376</rowOff>
    </from>
    <to>
      <col>13</col>
      <colOff>134937</colOff>
      <row>909</row>
      <rowOff>71438</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80" headerRowCellStyle="Normal 3">
  <tableColumns count="12">
    <tableColumn id="1" name="DATE" dataDxfId="79"/>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906" headerRowCount="1" totalsRowShown="0" headerRowDxfId="78" dataDxfId="76" headerRowBorderDxfId="77">
  <autoFilter ref="A5:L906"/>
  <tableColumns count="12">
    <tableColumn id="1" name="Date" dataDxfId="75"/>
    <tableColumn id="5" name="New Orders" dataDxfId="74">
      <calculatedColumnFormula>VLOOKUP(Table91213[[#This Row],[Date]],'DB Details'!$A:$L,2)</calculatedColumnFormula>
    </tableColumn>
    <tableColumn id="3" name="Imports" dataDxfId="73"/>
    <tableColumn id="2" name="Backlog Of Orders" dataDxfId="72"/>
    <tableColumn id="4" name="Prices" dataDxfId="71">
      <calculatedColumnFormula>VLOOKUP(Table91213[[#This Row],[Date]],'DB Details'!$A:$L,5)</calculatedColumnFormula>
    </tableColumn>
    <tableColumn id="6" name="Production" dataDxfId="70">
      <calculatedColumnFormula>VLOOKUP(Table91213[[#This Row],[Date]],'DB Details'!$A:$L,6)</calculatedColumnFormula>
    </tableColumn>
    <tableColumn id="7" name="Customers Inventories" dataDxfId="69"/>
    <tableColumn id="8" name="Inventories" dataDxfId="68">
      <calculatedColumnFormula>VLOOKUP(Table91213[[#This Row],[Date]],'DB Details'!$A:$L,8)</calculatedColumnFormula>
    </tableColumn>
    <tableColumn id="9" name="Deliveries" dataDxfId="67">
      <calculatedColumnFormula>VLOOKUP(Table91213[[#This Row],[Date]],'DB Details'!$A:$L,9)</calculatedColumnFormula>
    </tableColumn>
    <tableColumn id="10" name="Employment" dataDxfId="66">
      <calculatedColumnFormula>VLOOKUP(Table91213[[#This Row],[Date]],'DB Details'!$A:$L,10)</calculatedColumnFormula>
    </tableColumn>
    <tableColumn id="11" name="Exports" dataDxfId="65"/>
    <tableColumn id="13" name="ISM" dataDxfId="64">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906" headerRowCount="1" totalsRowShown="0" headerRowDxfId="63" dataDxfId="61" headerRowBorderDxfId="62" tableBorderDxfId="60" totalsRowBorderDxfId="59">
  <autoFilter ref="A5:E906"/>
  <tableColumns count="5">
    <tableColumn id="1" name="Date" dataDxfId="58"/>
    <tableColumn id="2" name="PMI" dataDxfId="57">
      <calculatedColumnFormula>VLOOKUP(Table311[[#This Row],[Date]],'DB Details'!$A:$L,12)</calculatedColumnFormula>
    </tableColumn>
    <tableColumn id="6" name="GDP growth yoy %" dataDxfId="56">
      <calculatedColumnFormula>VLOOKUP(Table311[[#This Row],[Date]],'DB Details'!$A:$T,20)</calculatedColumnFormula>
    </tableColumn>
    <tableColumn id="5" name="GDP growth qoq %" dataDxfId="55">
      <calculatedColumnFormula>VLOOKUP(Table311[[#This Row],[Date]],'DB Details'!$A:$T,18)</calculatedColumnFormula>
    </tableColumn>
    <tableColumn id="4" name="GDP growth q/q % (annualised)" dataDxfId="54">
      <calculatedColumnFormula>VLOOKUP(Table311[[#This Row],[Date]],'DB Details'!$A:$T,19)</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906" headerRowCount="1" totalsRowShown="0" headerRowDxfId="53" dataDxfId="51" headerRowBorderDxfId="52">
  <autoFilter ref="A5:D906"/>
  <tableColumns count="4">
    <tableColumn id="1" name="Date" dataDxfId="50"/>
    <tableColumn id="2" name="PMI" dataDxfId="49">
      <calculatedColumnFormula>VLOOKUP(Table7[[#This Row],[Date]],'DB Details'!$A:$L,12)</calculatedColumnFormula>
    </tableColumn>
    <tableColumn id="4" name="S&amp;P" dataDxfId="48">
      <calculatedColumnFormula>_xll.BDH(#REF!,#REF!,#REF!)</calculatedColumnFormula>
    </tableColumn>
    <tableColumn id="5" name="S&amp;P yoy %" dataDxfId="47"/>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906" headerRowCount="1" totalsRowShown="0" headerRowDxfId="46" dataDxfId="44" headerRowBorderDxfId="45">
  <autoFilter ref="A5:C906"/>
  <tableColumns count="3">
    <tableColumn id="1" name="Date" dataDxfId="43"/>
    <tableColumn id="3" name="PMI" dataDxfId="42">
      <calculatedColumnFormula>VLOOKUP(Table9[[#This Row],[Date]],'DB Details'!$A:$L,12)</calculatedColumnFormula>
    </tableColumn>
    <tableColumn id="2" name="Change" dataDxfId="4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_rels/sheet9.xml.rels><Relationships xmlns="http://schemas.openxmlformats.org/package/2006/relationships"><Relationship Type="http://schemas.openxmlformats.org/officeDocument/2006/relationships/drawing" Target="/xl/drawings/drawing4.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5.xml" Id="rId1"/></Relationships>
</file>

<file path=xl/worksheets/_rels/sheet13.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topLeftCell="J7" zoomScale="160" zoomScaleNormal="160" workbookViewId="0">
      <selection activeCell="C68" sqref="C68"/>
    </sheetView>
  </sheetViews>
  <sheetFormatPr baseColWidth="8" defaultColWidth="9.1796875" defaultRowHeight="14.5"/>
  <cols>
    <col width="2" customWidth="1" style="97" min="1" max="1"/>
    <col width="16.1796875" customWidth="1" style="97" min="2" max="2"/>
    <col width="14" customWidth="1" style="97" min="3" max="3"/>
    <col width="9.1796875" customWidth="1" style="97" min="4" max="18"/>
    <col width="39.36328125" customWidth="1" style="97" min="19" max="19"/>
    <col width="9.1796875" customWidth="1" style="97" min="20" max="60"/>
    <col width="9.1796875" customWidth="1" style="97" min="61" max="16384"/>
  </cols>
  <sheetData>
    <row r="3">
      <c r="B3" s="87" t="inlineStr">
        <is>
          <t>Ranking</t>
        </is>
      </c>
    </row>
    <row r="5">
      <c r="C5" s="84" t="inlineStr">
        <is>
          <t>Take September 2018 as example</t>
        </is>
      </c>
    </row>
    <row r="7">
      <c r="C7" s="110" t="inlineStr">
        <is>
          <t>https://www.ismworld.org/</t>
        </is>
      </c>
    </row>
    <row r="9">
      <c r="C9" s="97" t="inlineStr">
        <is>
          <t>For ranking in PMI Sectors, take from report:</t>
        </is>
      </c>
    </row>
    <row r="11" ht="16" customHeight="1">
      <c r="C11" s="85" t="n"/>
      <c r="S11" s="86" t="inlineStr">
        <is>
          <t>Means the following order:</t>
        </is>
      </c>
    </row>
    <row r="12">
      <c r="S12" s="97" t="inlineStr">
        <is>
          <t>To add data in PMI sectors data</t>
        </is>
      </c>
    </row>
    <row r="15">
      <c r="S15" s="113" t="inlineStr">
        <is>
          <t>Textile Mills</t>
        </is>
      </c>
      <c r="T15" s="97" t="n">
        <v>15</v>
      </c>
    </row>
    <row r="16">
      <c r="S16" s="113" t="inlineStr">
        <is>
          <t>Miscellaneous Manufacturing</t>
        </is>
      </c>
      <c r="T16" s="97" t="n">
        <v>14</v>
      </c>
    </row>
    <row r="17">
      <c r="S17" s="113" t="inlineStr">
        <is>
          <t>Plastics &amp; Rubber Products</t>
        </is>
      </c>
      <c r="T17" s="97" t="n">
        <v>13</v>
      </c>
    </row>
    <row r="18">
      <c r="S18" s="113" t="inlineStr">
        <is>
          <t>Computer &amp; Electronic Products</t>
        </is>
      </c>
      <c r="T18" s="97" t="n">
        <v>12</v>
      </c>
    </row>
    <row r="19">
      <c r="S19" s="113" t="inlineStr">
        <is>
          <t>Food, Beverage &amp; Tobacco Products</t>
        </is>
      </c>
      <c r="T19" s="97" t="n">
        <v>11</v>
      </c>
    </row>
    <row r="20">
      <c r="S20" s="113" t="inlineStr">
        <is>
          <t>Machinery</t>
        </is>
      </c>
      <c r="T20" s="97" t="n">
        <v>10</v>
      </c>
    </row>
    <row r="21">
      <c r="S21" s="113" t="inlineStr">
        <is>
          <t>Apparel, Leather &amp; Allied Products</t>
        </is>
      </c>
      <c r="T21" s="97" t="n">
        <v>9</v>
      </c>
    </row>
    <row r="22">
      <c r="S22" s="113" t="inlineStr">
        <is>
          <t>Paper Products</t>
        </is>
      </c>
      <c r="T22" s="97" t="n">
        <v>8</v>
      </c>
    </row>
    <row r="23">
      <c r="S23" s="113" t="inlineStr">
        <is>
          <t>Electrical Equipment, Appliances &amp; Components</t>
        </is>
      </c>
      <c r="T23" s="97" t="n">
        <v>7</v>
      </c>
    </row>
    <row r="24">
      <c r="S24" s="113" t="inlineStr">
        <is>
          <t>Chemical Products</t>
        </is>
      </c>
      <c r="T24" s="97" t="n">
        <v>6</v>
      </c>
    </row>
    <row r="25">
      <c r="S25" s="113" t="inlineStr">
        <is>
          <t>Petroleum &amp; Coal Products</t>
        </is>
      </c>
      <c r="T25" s="97" t="n">
        <v>5</v>
      </c>
    </row>
    <row r="26">
      <c r="S26" s="113" t="inlineStr">
        <is>
          <t>Transportation Equipment</t>
        </is>
      </c>
      <c r="T26" s="97" t="n">
        <v>4</v>
      </c>
    </row>
    <row r="27">
      <c r="S27" s="113" t="inlineStr">
        <is>
          <t>Furniture &amp; Related Products</t>
        </is>
      </c>
      <c r="T27" s="97" t="n">
        <v>3</v>
      </c>
    </row>
    <row r="28">
      <c r="S28" s="113" t="inlineStr">
        <is>
          <t>Fabricated Metal Products</t>
        </is>
      </c>
      <c r="T28" s="97" t="n">
        <v>2</v>
      </c>
    </row>
    <row r="29">
      <c r="S29" s="113" t="inlineStr">
        <is>
          <t>Nonmetallic Mineral Products</t>
        </is>
      </c>
      <c r="T29" s="97" t="n">
        <v>1</v>
      </c>
    </row>
    <row r="30">
      <c r="S30" s="113" t="inlineStr">
        <is>
          <t>Printing &amp; Related Support Activities</t>
        </is>
      </c>
      <c r="T30" s="97" t="n">
        <v>0</v>
      </c>
    </row>
    <row r="31">
      <c r="S31" s="113" t="inlineStr">
        <is>
          <t>Wood Products</t>
        </is>
      </c>
      <c r="T31" s="97" t="n">
        <v>0</v>
      </c>
    </row>
    <row r="32">
      <c r="S32" s="113" t="inlineStr">
        <is>
          <t>Primary Metals</t>
        </is>
      </c>
      <c r="T32" s="97" t="n">
        <v>-1</v>
      </c>
    </row>
    <row r="34">
      <c r="S34" s="97" t="inlineStr">
        <is>
          <t>Identify Trends per sector in SectorsPMI</t>
        </is>
      </c>
    </row>
    <row r="36">
      <c r="S36" s="97" t="inlineStr">
        <is>
          <t>Use ISMNAICS for identifying stocks</t>
        </is>
      </c>
    </row>
    <row r="38">
      <c r="S38" s="97" t="inlineStr">
        <is>
          <t>Use nasdaq.com for quantitative</t>
        </is>
      </c>
    </row>
  </sheetData>
  <pageMargins left="0.7" right="0.7" top="0.75" bottom="0.75" header="0.3" footer="0.3"/>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showGridLines="0" tabSelected="1" zoomScale="120" zoomScaleNormal="120" workbookViewId="0">
      <selection activeCell="E26" sqref="E26"/>
    </sheetView>
  </sheetViews>
  <sheetFormatPr baseColWidth="8" defaultColWidth="9.1796875" defaultRowHeight="14.5"/>
  <cols>
    <col width="4" customWidth="1" style="97" min="1" max="1"/>
    <col width="12.81640625" customWidth="1" style="97" min="2" max="5"/>
    <col width="13.6328125" customWidth="1" style="97" min="6" max="6"/>
    <col width="12.81640625" customWidth="1" style="97" min="7" max="10"/>
    <col width="2" customWidth="1" style="97" min="11" max="13"/>
    <col width="9.1796875" customWidth="1" style="97" min="14" max="14"/>
    <col width="15.6328125" customWidth="1" style="97" min="15" max="15"/>
    <col width="12.6328125" customWidth="1" style="97" min="16" max="18"/>
    <col width="5.36328125" customWidth="1" style="97" min="19" max="19"/>
    <col width="32.6328125" customWidth="1" style="97" min="20" max="20"/>
    <col width="9.1796875" customWidth="1" style="97" min="21" max="61"/>
    <col width="9.1796875" customWidth="1" style="97" min="62" max="16384"/>
  </cols>
  <sheetData>
    <row r="1">
      <c r="B1" s="96" t="n"/>
    </row>
    <row r="2" ht="16" customHeight="1" thickBot="1">
      <c r="B2" s="98" t="n"/>
      <c r="C2" s="98" t="n"/>
      <c r="D2" s="98" t="n"/>
      <c r="E2" s="98" t="n"/>
      <c r="F2" s="98" t="n"/>
      <c r="G2" s="98" t="n"/>
      <c r="H2" s="98" t="n"/>
      <c r="I2" s="98" t="n"/>
      <c r="J2" s="98" t="n"/>
    </row>
    <row r="3" ht="16" customHeight="1" thickBot="1">
      <c r="B3" s="99" t="inlineStr">
        <is>
          <t>ISM Manufacturing</t>
        </is>
      </c>
      <c r="C3" s="100" t="n"/>
      <c r="D3" s="100" t="n"/>
      <c r="E3" s="100" t="n"/>
      <c r="F3" s="100" t="n"/>
      <c r="G3" s="100" t="n"/>
      <c r="H3" s="100" t="n"/>
      <c r="I3" s="100" t="n"/>
      <c r="J3" s="101" t="n"/>
    </row>
    <row r="5">
      <c r="B5" s="102" t="inlineStr">
        <is>
          <t>Definition</t>
        </is>
      </c>
      <c r="C5" s="103" t="n"/>
      <c r="D5" s="103" t="n"/>
      <c r="E5" s="103" t="n"/>
      <c r="F5" s="103" t="n"/>
      <c r="G5" s="103" t="n"/>
      <c r="H5" s="103" t="n"/>
      <c r="I5" s="103" t="n"/>
      <c r="J5" s="104" t="n"/>
    </row>
    <row r="7" ht="172.5" customHeight="1">
      <c r="B7" s="105"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c r="B8" s="7" t="n"/>
      <c r="C8" s="109" t="n"/>
      <c r="D8" s="109" t="n"/>
      <c r="E8" s="109" t="n"/>
      <c r="F8" s="109" t="n"/>
      <c r="G8" s="109" t="n"/>
      <c r="H8" s="109" t="n"/>
      <c r="I8" s="109" t="n"/>
      <c r="J8" s="109" t="n"/>
    </row>
    <row r="9" ht="16" customHeight="1" thickBot="1">
      <c r="B9" s="30" t="n"/>
      <c r="C9" s="31" t="n"/>
      <c r="D9" s="31" t="n"/>
      <c r="E9" s="31" t="n"/>
    </row>
    <row r="10" ht="16" customHeight="1" thickBot="1">
      <c r="B10" s="102" t="inlineStr">
        <is>
          <t>Process / TO DO LIST</t>
        </is>
      </c>
      <c r="C10" s="103" t="n"/>
      <c r="D10" s="103" t="n"/>
      <c r="E10" s="103" t="n"/>
      <c r="F10" s="103" t="n"/>
      <c r="G10" s="103" t="n"/>
      <c r="H10" s="103" t="n"/>
      <c r="I10" s="103" t="n"/>
      <c r="J10" s="104" t="n"/>
      <c r="N10" s="111" t="inlineStr">
        <is>
          <t>Summary</t>
        </is>
      </c>
      <c r="O10" s="100" t="n"/>
      <c r="P10" s="100" t="n"/>
      <c r="Q10" s="100" t="n"/>
      <c r="R10" s="100" t="n"/>
      <c r="S10" s="100" t="n"/>
      <c r="T10" s="100" t="n"/>
      <c r="U10" s="101" t="n"/>
    </row>
    <row r="11">
      <c r="N11" s="33" t="inlineStr">
        <is>
          <t>* input new month</t>
        </is>
      </c>
      <c r="T11" s="33" t="inlineStr">
        <is>
          <t>Modify new month</t>
        </is>
      </c>
    </row>
    <row r="12" ht="16" customHeight="1" thickBot="1">
      <c r="B12" s="102" t="inlineStr">
        <is>
          <t>TO DO LIST</t>
        </is>
      </c>
      <c r="C12" s="103" t="n"/>
      <c r="D12" s="103" t="n"/>
      <c r="E12" s="103" t="n"/>
      <c r="F12" s="104" t="n"/>
      <c r="G12" s="102" t="inlineStr">
        <is>
          <t>Comments</t>
        </is>
      </c>
      <c r="H12" s="103" t="n"/>
      <c r="I12" s="103" t="n"/>
      <c r="J12" s="104" t="n"/>
    </row>
    <row r="13">
      <c r="P13" s="72" t="n">
        <v>44927</v>
      </c>
      <c r="Q13" s="73">
        <f>DATE(YEAR(P13),MONTH(P13)-1,DAY(P13))</f>
        <v/>
      </c>
      <c r="R13" s="74" t="n"/>
    </row>
    <row r="14" ht="16" customHeight="1" thickBot="1">
      <c r="B14" s="97" t="inlineStr">
        <is>
          <t>Update data in Sectors Trends</t>
        </is>
      </c>
      <c r="G14" s="97" t="inlineStr">
        <is>
          <t>Add new column for new month</t>
        </is>
      </c>
      <c r="P14" s="75" t="inlineStr">
        <is>
          <t>ISM</t>
        </is>
      </c>
      <c r="Q14" s="75" t="inlineStr">
        <is>
          <t>ISM</t>
        </is>
      </c>
      <c r="R14" s="76" t="inlineStr">
        <is>
          <t>Change %</t>
        </is>
      </c>
    </row>
    <row r="15" ht="30.75" customHeight="1">
      <c r="G15" s="109" t="inlineStr">
        <is>
          <t>Modify month and change number in Sectors - Look at trends for ISM index, new order, production</t>
        </is>
      </c>
      <c r="N15" s="107" t="inlineStr">
        <is>
          <t>ISM</t>
        </is>
      </c>
      <c r="O15" s="108" t="n"/>
      <c r="P15" s="77">
        <f>VLOOKUP($P$13,Details!$A:$L,MATCH(Note!N15,Table91213[#Headers],),)</f>
        <v/>
      </c>
      <c r="Q15" s="77">
        <f>VLOOKUP($Q$13,Details!$A:$L,MATCH(Note!N15,Table91213[#Headers],),)</f>
        <v/>
      </c>
      <c r="R15" s="78">
        <f>P15-Q15</f>
        <v/>
      </c>
    </row>
    <row r="16">
      <c r="B16" s="109" t="inlineStr">
        <is>
          <t>Update month + Number In SectorsProduction / SectorsNewOrders / Sectors</t>
        </is>
      </c>
      <c r="G16" s="97" t="n"/>
      <c r="N16" s="106" t="inlineStr">
        <is>
          <t>New Orders</t>
        </is>
      </c>
      <c r="O16" s="104" t="n"/>
      <c r="P16" s="119">
        <f>VLOOKUP($P$13,Details!$A:$L,MATCH(Note!N16,Table91213[#Headers],),)</f>
        <v/>
      </c>
      <c r="Q16" s="119">
        <f>VLOOKUP($Q$13,Details!$A:$L,MATCH(Note!N16,Table91213[#Headers],),)</f>
        <v/>
      </c>
      <c r="R16" s="79">
        <f>P16-Q16</f>
        <v/>
      </c>
    </row>
    <row r="17">
      <c r="B17" s="97" t="inlineStr">
        <is>
          <t>Update Industry Comments</t>
        </is>
      </c>
      <c r="N17" s="106" t="inlineStr">
        <is>
          <t>Imports</t>
        </is>
      </c>
      <c r="O17" s="104" t="n"/>
      <c r="P17" s="119">
        <f>VLOOKUP($P$13,Details!$A:$L,MATCH(Note!N17,Table91213[#Headers],),)</f>
        <v/>
      </c>
      <c r="Q17" s="119">
        <f>VLOOKUP($Q$13,Details!$A:$L,MATCH(Note!N17,Table91213[#Headers],),)</f>
        <v/>
      </c>
      <c r="R17" s="79">
        <f>P17-Q17</f>
        <v/>
      </c>
    </row>
    <row r="18">
      <c r="B18" s="97" t="inlineStr">
        <is>
          <t>Update data in different ISM and Details</t>
        </is>
      </c>
      <c r="N18" s="106" t="inlineStr">
        <is>
          <t>Backlog Of Orders</t>
        </is>
      </c>
      <c r="O18" s="104" t="n"/>
      <c r="P18" s="119">
        <f>VLOOKUP($P$13,Details!$A:$L,MATCH(Note!N18,Table91213[#Headers],),)</f>
        <v/>
      </c>
      <c r="Q18" s="119">
        <f>VLOOKUP($Q$13,Details!$A:$L,MATCH(Note!N18,Table91213[#Headers],),)</f>
        <v/>
      </c>
      <c r="R18" s="79">
        <f>P18-Q18</f>
        <v/>
      </c>
    </row>
    <row r="19">
      <c r="N19" s="106" t="inlineStr">
        <is>
          <t>Prices</t>
        </is>
      </c>
      <c r="O19" s="104" t="n"/>
      <c r="P19" s="119">
        <f>VLOOKUP($P$13,Details!$A:$L,MATCH(Note!N19,Table91213[#Headers],),)</f>
        <v/>
      </c>
      <c r="Q19" s="119">
        <f>VLOOKUP($Q$13,Details!$A:$L,MATCH(Note!N19,Table91213[#Headers],),)</f>
        <v/>
      </c>
      <c r="R19" s="79">
        <f>P19-Q19</f>
        <v/>
      </c>
    </row>
    <row r="20">
      <c r="B20" s="110" t="inlineStr">
        <is>
          <t>https://www.ismworld.org/</t>
        </is>
      </c>
      <c r="G20" s="97" t="n"/>
      <c r="N20" s="106" t="inlineStr">
        <is>
          <t>Production</t>
        </is>
      </c>
      <c r="O20" s="104" t="n"/>
      <c r="P20" s="119">
        <f>VLOOKUP($P$13,Details!$A:$L,MATCH(Note!N20,Table91213[#Headers],),)</f>
        <v/>
      </c>
      <c r="Q20" s="119">
        <f>VLOOKUP($Q$13,Details!$A:$L,MATCH(Note!N20,Table91213[#Headers],),)</f>
        <v/>
      </c>
      <c r="R20" s="79">
        <f>P20-Q20</f>
        <v/>
      </c>
    </row>
    <row r="21">
      <c r="B21" s="110" t="inlineStr">
        <is>
          <t>https://www.ismworld.org/supply-management-news-and-reports/reports/ism-report-on-business/pmi/july/</t>
        </is>
      </c>
      <c r="G21" s="97" t="n"/>
      <c r="N21" s="106" t="inlineStr">
        <is>
          <t>Customers Inventories</t>
        </is>
      </c>
      <c r="O21" s="104" t="n"/>
      <c r="P21" s="119">
        <f>VLOOKUP($P$13,Details!$A:$L,MATCH(Note!N21,Table91213[#Headers],),)</f>
        <v/>
      </c>
      <c r="Q21" s="119">
        <f>VLOOKUP($Q$13,Details!$A:$L,MATCH(Note!N21,Table91213[#Headers],),)</f>
        <v/>
      </c>
      <c r="R21" s="79">
        <f>P21-Q21</f>
        <v/>
      </c>
    </row>
    <row r="22">
      <c r="B22" s="97" t="n"/>
      <c r="G22" s="97" t="n"/>
      <c r="N22" s="106" t="inlineStr">
        <is>
          <t>Inventories</t>
        </is>
      </c>
      <c r="O22" s="104" t="n"/>
      <c r="P22" s="119">
        <f>VLOOKUP($P$13,Details!$A:$L,MATCH(Note!N22,Table91213[#Headers],),)</f>
        <v/>
      </c>
      <c r="Q22" s="119">
        <f>VLOOKUP($Q$13,Details!$A:$L,MATCH(Note!N22,Table91213[#Headers],),)</f>
        <v/>
      </c>
      <c r="R22" s="79">
        <f>P22-Q22</f>
        <v/>
      </c>
    </row>
    <row r="23">
      <c r="B23" s="97" t="n"/>
      <c r="N23" s="106" t="inlineStr">
        <is>
          <t>Deliveries</t>
        </is>
      </c>
      <c r="O23" s="104" t="n"/>
      <c r="P23" s="119">
        <f>VLOOKUP($P$13,Details!$A:$L,MATCH(Note!N23,Table91213[#Headers],),)</f>
        <v/>
      </c>
      <c r="Q23" s="119">
        <f>VLOOKUP($Q$13,Details!$A:$L,MATCH(Note!N23,Table91213[#Headers],),)</f>
        <v/>
      </c>
      <c r="R23" s="79">
        <f>P23-Q23</f>
        <v/>
      </c>
    </row>
    <row r="24">
      <c r="B24" s="97" t="n"/>
      <c r="N24" s="106" t="inlineStr">
        <is>
          <t>Employment</t>
        </is>
      </c>
      <c r="O24" s="104" t="n"/>
      <c r="P24" s="119">
        <f>VLOOKUP($P$13,Details!$A:$L,MATCH(Note!N24,Table91213[#Headers],),)</f>
        <v/>
      </c>
      <c r="Q24" s="119">
        <f>VLOOKUP($Q$13,Details!$A:$L,MATCH(Note!N24,Table91213[#Headers],),)</f>
        <v/>
      </c>
      <c r="R24" s="79">
        <f>P24-Q24</f>
        <v/>
      </c>
    </row>
    <row r="25" ht="16" customHeight="1" thickBot="1">
      <c r="N25" s="114" t="inlineStr">
        <is>
          <t>Exports</t>
        </is>
      </c>
      <c r="O25" s="115" t="n"/>
      <c r="P25" s="80">
        <f>VLOOKUP($P$13,Details!$A:$L,MATCH(Note!N25,Table91213[#Headers],),)</f>
        <v/>
      </c>
      <c r="Q25" s="80">
        <f>VLOOKUP($Q$13,Details!$A:$L,MATCH(Note!N25,Table91213[#Headers],),)</f>
        <v/>
      </c>
      <c r="R25" s="81">
        <f>P25-Q25</f>
        <v/>
      </c>
    </row>
    <row r="31" ht="30" customHeight="1"/>
    <row r="34">
      <c r="B34" s="113" t="n"/>
    </row>
    <row r="35">
      <c r="B35" s="109" t="n"/>
    </row>
    <row r="36">
      <c r="B36" s="112" t="n"/>
    </row>
  </sheetData>
  <mergeCells count="37">
    <mergeCell ref="B36:U36"/>
    <mergeCell ref="B34:U34"/>
    <mergeCell ref="N22:O22"/>
    <mergeCell ref="N23:O23"/>
    <mergeCell ref="N24:O24"/>
    <mergeCell ref="N25:O25"/>
    <mergeCell ref="B35:U35"/>
    <mergeCell ref="B22:F22"/>
    <mergeCell ref="G22:J22"/>
    <mergeCell ref="B23:F23"/>
    <mergeCell ref="B24:F24"/>
    <mergeCell ref="N10:U10"/>
    <mergeCell ref="N17:O17"/>
    <mergeCell ref="N18:O18"/>
    <mergeCell ref="N19:O19"/>
    <mergeCell ref="N20:O2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B1:J2"/>
    <mergeCell ref="B3:J3"/>
    <mergeCell ref="B5:J5"/>
    <mergeCell ref="B7:J7"/>
    <mergeCell ref="B10:J10"/>
  </mergeCells>
  <conditionalFormatting sqref="R15:R25">
    <cfRule type="cellIs" priority="6" operator="lessThan" dxfId="40">
      <formula>0</formula>
    </cfRule>
    <cfRule type="cellIs" priority="7" operator="greaterThan" dxfId="39">
      <formula>0</formula>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49"/>
  <sheetViews>
    <sheetView zoomScale="170" zoomScaleNormal="170" workbookViewId="0">
      <pane ySplit="1" topLeftCell="A26" activePane="bottomLeft" state="frozen"/>
      <selection pane="bottomLeft" activeCell="D40" sqref="D40"/>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23"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23"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23"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23"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23"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23"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23"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23"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23"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23"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23"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23"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23"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23"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23"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23"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23"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23"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23"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23"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23"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23"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23"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23"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23"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23"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23"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23"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23"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23"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23"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23"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23"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23"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row r="37">
      <c r="A37" s="123" t="n">
        <v>44562</v>
      </c>
      <c r="B37" t="n">
        <v>14</v>
      </c>
      <c r="C37" t="n">
        <v>3</v>
      </c>
      <c r="D37" t="n">
        <v>4</v>
      </c>
      <c r="E37" t="n">
        <v>9</v>
      </c>
      <c r="F37" t="n">
        <v>5</v>
      </c>
      <c r="G37" t="n">
        <v>8</v>
      </c>
      <c r="H37" t="n">
        <v>13</v>
      </c>
      <c r="I37" t="n">
        <v>10</v>
      </c>
      <c r="J37" t="n">
        <v>12</v>
      </c>
      <c r="K37" t="n">
        <v>11</v>
      </c>
      <c r="L37" t="n">
        <v>-1</v>
      </c>
      <c r="M37" t="n">
        <v>2</v>
      </c>
      <c r="N37" t="n">
        <v>1</v>
      </c>
      <c r="O37" t="n">
        <v>6</v>
      </c>
      <c r="P37" t="n">
        <v>0</v>
      </c>
      <c r="Q37" t="n">
        <v>0</v>
      </c>
      <c r="R37" t="n">
        <v>7</v>
      </c>
      <c r="S37" t="n">
        <v>0</v>
      </c>
    </row>
    <row r="38">
      <c r="A38" s="123" t="n">
        <v>44593</v>
      </c>
      <c r="B38" t="n">
        <v>16</v>
      </c>
      <c r="C38" t="n">
        <v>2</v>
      </c>
      <c r="D38" t="n">
        <v>8</v>
      </c>
      <c r="E38" t="n">
        <v>9</v>
      </c>
      <c r="F38" t="n">
        <v>5</v>
      </c>
      <c r="G38" t="n">
        <v>4</v>
      </c>
      <c r="H38" t="n">
        <v>7</v>
      </c>
      <c r="I38" t="n">
        <v>12</v>
      </c>
      <c r="J38" t="n">
        <v>11</v>
      </c>
      <c r="K38" t="n">
        <v>3</v>
      </c>
      <c r="L38" t="n">
        <v>14</v>
      </c>
      <c r="M38" t="n">
        <v>1</v>
      </c>
      <c r="N38" t="n">
        <v>6</v>
      </c>
      <c r="O38" t="n">
        <v>10</v>
      </c>
      <c r="P38" t="n">
        <v>0</v>
      </c>
      <c r="Q38" t="n">
        <v>15</v>
      </c>
      <c r="R38" t="n">
        <v>13</v>
      </c>
      <c r="S38" t="n">
        <v>-1</v>
      </c>
    </row>
    <row r="39">
      <c r="A39" s="123" t="n">
        <v>44621</v>
      </c>
      <c r="B39" t="n">
        <v>15</v>
      </c>
      <c r="C39" t="n">
        <v>5</v>
      </c>
      <c r="D39" t="n">
        <v>4</v>
      </c>
      <c r="E39" t="n">
        <v>12</v>
      </c>
      <c r="F39" t="n">
        <v>7</v>
      </c>
      <c r="G39" t="n">
        <v>13</v>
      </c>
      <c r="H39" t="n">
        <v>14</v>
      </c>
      <c r="I39" t="n">
        <v>10</v>
      </c>
      <c r="J39" t="n">
        <v>11</v>
      </c>
      <c r="K39" t="n">
        <v>3</v>
      </c>
      <c r="L39" t="n">
        <v>6</v>
      </c>
      <c r="M39" t="n">
        <v>-1</v>
      </c>
      <c r="N39" t="n">
        <v>1</v>
      </c>
      <c r="O39" t="n">
        <v>2</v>
      </c>
      <c r="P39" t="n">
        <v>0</v>
      </c>
      <c r="Q39" t="n">
        <v>9</v>
      </c>
      <c r="R39" t="n">
        <v>8</v>
      </c>
      <c r="S39" t="n">
        <v>-2</v>
      </c>
    </row>
    <row r="40">
      <c r="A40" s="123" t="n">
        <v>44652</v>
      </c>
      <c r="B40" t="n">
        <v>17</v>
      </c>
      <c r="C40" t="n">
        <v>5</v>
      </c>
      <c r="D40" t="n">
        <v>13</v>
      </c>
      <c r="E40" t="n">
        <v>9</v>
      </c>
      <c r="F40" t="n">
        <v>3</v>
      </c>
      <c r="G40" t="n">
        <v>12</v>
      </c>
      <c r="H40" t="n">
        <v>6</v>
      </c>
      <c r="I40" t="n">
        <v>16</v>
      </c>
      <c r="J40" t="n">
        <v>2</v>
      </c>
      <c r="K40" t="n">
        <v>14</v>
      </c>
      <c r="L40" t="n">
        <v>8</v>
      </c>
      <c r="M40" t="n">
        <v>-1</v>
      </c>
      <c r="N40" t="n">
        <v>15</v>
      </c>
      <c r="O40" t="n">
        <v>7</v>
      </c>
      <c r="P40" t="n">
        <v>10</v>
      </c>
      <c r="Q40" t="n">
        <v>4</v>
      </c>
      <c r="R40" t="n">
        <v>11</v>
      </c>
      <c r="S40" t="n">
        <v>1</v>
      </c>
    </row>
    <row r="41">
      <c r="A41" s="123" t="n">
        <v>44682</v>
      </c>
      <c r="B41" t="n">
        <v>15</v>
      </c>
      <c r="C41" t="n">
        <v>4</v>
      </c>
      <c r="D41" t="n">
        <v>11</v>
      </c>
      <c r="E41" t="n">
        <v>1</v>
      </c>
      <c r="F41" t="n">
        <v>5</v>
      </c>
      <c r="G41" t="n">
        <v>10</v>
      </c>
      <c r="H41" t="n">
        <v>-1</v>
      </c>
      <c r="I41" t="n">
        <v>13</v>
      </c>
      <c r="J41" t="n">
        <v>3</v>
      </c>
      <c r="K41" t="n">
        <v>12</v>
      </c>
      <c r="L41" t="n">
        <v>8</v>
      </c>
      <c r="M41" t="n">
        <v>7</v>
      </c>
      <c r="N41" t="n">
        <v>6</v>
      </c>
      <c r="O41" t="n">
        <v>2</v>
      </c>
      <c r="P41" t="n">
        <v>14</v>
      </c>
      <c r="Q41" t="n">
        <v>0</v>
      </c>
      <c r="R41" t="n">
        <v>9</v>
      </c>
      <c r="S41" t="n">
        <v>0</v>
      </c>
    </row>
    <row r="42">
      <c r="A42" s="123" t="n">
        <v>44713</v>
      </c>
      <c r="B42" t="n">
        <v>15</v>
      </c>
      <c r="C42" t="n">
        <v>1</v>
      </c>
      <c r="D42" t="n">
        <v>12</v>
      </c>
      <c r="E42" t="n">
        <v>10</v>
      </c>
      <c r="F42" t="n">
        <v>5</v>
      </c>
      <c r="G42" t="n">
        <v>2</v>
      </c>
      <c r="H42" t="n">
        <v>-1</v>
      </c>
      <c r="I42" t="n">
        <v>11</v>
      </c>
      <c r="J42" t="n">
        <v>4</v>
      </c>
      <c r="K42" t="n">
        <v>8</v>
      </c>
      <c r="L42" t="n">
        <v>-3</v>
      </c>
      <c r="M42" t="n">
        <v>3</v>
      </c>
      <c r="N42" t="n">
        <v>7</v>
      </c>
      <c r="O42" t="n">
        <v>9</v>
      </c>
      <c r="P42" t="n">
        <v>13</v>
      </c>
      <c r="Q42" t="n">
        <v>14</v>
      </c>
      <c r="R42" t="n">
        <v>6</v>
      </c>
      <c r="S42" t="n">
        <v>-2</v>
      </c>
    </row>
    <row r="43">
      <c r="A43" s="123" t="n">
        <v>44743</v>
      </c>
      <c r="B43" t="n">
        <v>11</v>
      </c>
      <c r="C43" t="n">
        <v>-1</v>
      </c>
      <c r="D43" t="n">
        <v>7</v>
      </c>
      <c r="E43" t="n">
        <v>1</v>
      </c>
      <c r="F43" t="n">
        <v>-3</v>
      </c>
      <c r="G43" t="n">
        <v>-2</v>
      </c>
      <c r="H43" t="n">
        <v>-6</v>
      </c>
      <c r="I43" t="n">
        <v>5</v>
      </c>
      <c r="J43" t="n">
        <v>-4</v>
      </c>
      <c r="K43" t="n">
        <v>10</v>
      </c>
      <c r="L43" t="n">
        <v>-5</v>
      </c>
      <c r="M43" t="n">
        <v>9</v>
      </c>
      <c r="N43" t="n">
        <v>2</v>
      </c>
      <c r="O43" t="n">
        <v>3</v>
      </c>
      <c r="P43" t="n">
        <v>8</v>
      </c>
      <c r="Q43" t="n">
        <v>4</v>
      </c>
      <c r="R43" t="n">
        <v>6</v>
      </c>
      <c r="S43" t="n">
        <v>-7</v>
      </c>
    </row>
    <row r="44">
      <c r="A44" s="123" t="n">
        <v>44774</v>
      </c>
      <c r="B44" t="n">
        <v>-6</v>
      </c>
      <c r="C44" t="n">
        <v>-3</v>
      </c>
      <c r="D44" t="n">
        <v>7</v>
      </c>
      <c r="E44" t="n">
        <v>-1</v>
      </c>
      <c r="F44" t="n">
        <v>-2</v>
      </c>
      <c r="G44" t="n">
        <v>1</v>
      </c>
      <c r="H44" t="n">
        <v>-5</v>
      </c>
      <c r="I44" t="n">
        <v>3</v>
      </c>
      <c r="J44" t="n">
        <v>2</v>
      </c>
      <c r="K44" t="n">
        <v>10</v>
      </c>
      <c r="L44" t="n">
        <v>-4</v>
      </c>
      <c r="M44" t="n">
        <v>9</v>
      </c>
      <c r="N44" t="n">
        <v>5</v>
      </c>
      <c r="O44" t="n">
        <v>4</v>
      </c>
      <c r="P44" t="n">
        <v>6</v>
      </c>
      <c r="Q44" t="n">
        <v>0</v>
      </c>
      <c r="R44" t="n">
        <v>8</v>
      </c>
      <c r="S44" t="n">
        <v>-7</v>
      </c>
    </row>
    <row r="45">
      <c r="A45" s="123" t="n">
        <v>44805</v>
      </c>
      <c r="B45" t="n">
        <v>5</v>
      </c>
      <c r="C45" t="n">
        <v>-2</v>
      </c>
      <c r="D45" t="n">
        <v>2</v>
      </c>
      <c r="E45" t="n">
        <v>1</v>
      </c>
      <c r="F45" t="n">
        <v>-1</v>
      </c>
      <c r="G45" t="n">
        <v>3</v>
      </c>
      <c r="H45" t="n">
        <v>-7</v>
      </c>
      <c r="I45" t="n">
        <v>8</v>
      </c>
      <c r="J45" t="n">
        <v>6</v>
      </c>
      <c r="K45" t="n">
        <v>9</v>
      </c>
      <c r="L45" t="n">
        <v>-3</v>
      </c>
      <c r="M45" t="n">
        <v>0</v>
      </c>
      <c r="N45" t="n">
        <v>7</v>
      </c>
      <c r="O45" t="n">
        <v>0</v>
      </c>
      <c r="P45" t="n">
        <v>-4</v>
      </c>
      <c r="Q45" t="n">
        <v>-6</v>
      </c>
      <c r="R45" t="n">
        <v>4</v>
      </c>
      <c r="S45" t="n">
        <v>-5</v>
      </c>
    </row>
    <row r="46">
      <c r="A46" s="123" t="n">
        <v>44835</v>
      </c>
      <c r="B46" t="n">
        <v>8</v>
      </c>
      <c r="C46" t="n">
        <v>-4</v>
      </c>
      <c r="D46" t="n">
        <v>-2</v>
      </c>
      <c r="E46" t="n">
        <v>1</v>
      </c>
      <c r="F46" t="n">
        <v>-5</v>
      </c>
      <c r="G46" t="n">
        <v>-1</v>
      </c>
      <c r="H46" t="n">
        <v>-10</v>
      </c>
      <c r="I46" t="n">
        <v>6</v>
      </c>
      <c r="J46" t="n">
        <v>3</v>
      </c>
      <c r="K46" t="n">
        <v>7</v>
      </c>
      <c r="L46" t="n">
        <v>-8</v>
      </c>
      <c r="M46" t="n">
        <v>5</v>
      </c>
      <c r="N46" t="n">
        <v>2</v>
      </c>
      <c r="O46" t="n">
        <v>-3</v>
      </c>
      <c r="P46" t="n">
        <v>-6</v>
      </c>
      <c r="Q46" t="n">
        <v>-7</v>
      </c>
      <c r="R46" t="n">
        <v>4</v>
      </c>
      <c r="S46" t="n">
        <v>-9</v>
      </c>
    </row>
    <row r="47">
      <c r="A47" s="123" t="n">
        <v>44866</v>
      </c>
      <c r="B47" t="n">
        <v>6</v>
      </c>
      <c r="C47" t="n">
        <v>-6</v>
      </c>
      <c r="D47" t="n">
        <v>-4</v>
      </c>
      <c r="E47" t="n">
        <v>-1</v>
      </c>
      <c r="F47" t="n">
        <v>-8</v>
      </c>
      <c r="G47" t="n">
        <v>-3</v>
      </c>
      <c r="H47" t="n">
        <v>-7</v>
      </c>
      <c r="I47" t="n">
        <v>-2</v>
      </c>
      <c r="J47" t="n">
        <v>3</v>
      </c>
      <c r="K47" t="n">
        <v>5</v>
      </c>
      <c r="L47" t="n">
        <v>-10</v>
      </c>
      <c r="M47" t="n">
        <v>2</v>
      </c>
      <c r="N47" t="n">
        <v>-5</v>
      </c>
      <c r="O47" t="n">
        <v>4</v>
      </c>
      <c r="P47" t="n">
        <v>-12</v>
      </c>
      <c r="Q47" t="n">
        <v>-9</v>
      </c>
      <c r="R47" t="n">
        <v>1</v>
      </c>
      <c r="S47" t="n">
        <v>-11</v>
      </c>
    </row>
    <row r="48">
      <c r="A48" s="123" t="n">
        <v>44896</v>
      </c>
      <c r="B48" t="n">
        <v>-6</v>
      </c>
      <c r="C48" t="n">
        <v>-11</v>
      </c>
      <c r="D48" t="n">
        <v>-5</v>
      </c>
      <c r="E48" t="n">
        <v>-8</v>
      </c>
      <c r="F48" t="n">
        <v>-12</v>
      </c>
      <c r="G48" t="n">
        <v>-3</v>
      </c>
      <c r="H48" t="n">
        <v>-7</v>
      </c>
      <c r="I48" t="n">
        <v>-4</v>
      </c>
      <c r="J48" t="n">
        <v>-1</v>
      </c>
      <c r="K48" t="n">
        <v>0</v>
      </c>
      <c r="L48" t="n">
        <v>-10</v>
      </c>
      <c r="M48" t="n">
        <v>1</v>
      </c>
      <c r="N48" t="n">
        <v>-9</v>
      </c>
      <c r="O48" t="n">
        <v>2</v>
      </c>
      <c r="P48" t="n">
        <v>0</v>
      </c>
      <c r="Q48" t="n">
        <v>0</v>
      </c>
      <c r="R48" t="n">
        <v>-2</v>
      </c>
      <c r="S48" t="n">
        <v>-13</v>
      </c>
    </row>
    <row r="49">
      <c r="A49" s="123" t="n">
        <v>44927</v>
      </c>
      <c r="B49" t="n">
        <v>15</v>
      </c>
      <c r="C49" t="n">
        <v>3</v>
      </c>
      <c r="D49" t="n">
        <v>2</v>
      </c>
      <c r="E49" t="n">
        <v>12</v>
      </c>
      <c r="F49" t="n">
        <v>8</v>
      </c>
      <c r="G49" t="n">
        <v>5</v>
      </c>
      <c r="H49" t="n">
        <v>11</v>
      </c>
      <c r="I49" t="n">
        <v>7</v>
      </c>
      <c r="J49" t="n">
        <v>4</v>
      </c>
      <c r="K49" t="n">
        <v>13</v>
      </c>
      <c r="L49" t="n">
        <v>14</v>
      </c>
      <c r="M49" t="n">
        <v>6</v>
      </c>
      <c r="N49" t="n">
        <v>10</v>
      </c>
      <c r="O49" t="n">
        <v>9</v>
      </c>
      <c r="P49" t="n">
        <v>0</v>
      </c>
      <c r="Q49" t="n">
        <v>16</v>
      </c>
      <c r="R49" t="n">
        <v>1</v>
      </c>
      <c r="S49" t="n">
        <v>17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49"/>
  <sheetViews>
    <sheetView topLeftCell="D1" zoomScale="160" zoomScaleNormal="160" workbookViewId="0">
      <pane ySplit="1" topLeftCell="A23" activePane="bottomLeft" state="frozen"/>
      <selection pane="bottomLeft" activeCell="H39" sqref="H39"/>
    </sheetView>
  </sheetViews>
  <sheetFormatPr baseColWidth="8" defaultColWidth="10.90625" defaultRowHeight="14.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23"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23"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23"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23"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23"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23"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23"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23"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23"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23"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23"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23"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23"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23"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23"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23"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23"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23"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23"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23"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23"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23"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23"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23"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23"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23"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23"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23"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23"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23"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23"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23"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23"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23"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23"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row r="37">
      <c r="A37" s="123" t="n">
        <v>44562</v>
      </c>
      <c r="B37" t="n">
        <v>11</v>
      </c>
      <c r="C37" t="n">
        <v>1</v>
      </c>
      <c r="D37" t="n">
        <v>6</v>
      </c>
      <c r="E37" t="n">
        <v>5</v>
      </c>
      <c r="F37" t="n">
        <v>8</v>
      </c>
      <c r="G37" t="n">
        <v>7</v>
      </c>
      <c r="H37" t="n">
        <v>10</v>
      </c>
      <c r="I37" t="n">
        <v>2</v>
      </c>
      <c r="J37" t="n">
        <v>0</v>
      </c>
      <c r="K37" t="n">
        <v>0</v>
      </c>
      <c r="L37" t="n">
        <v>0</v>
      </c>
      <c r="M37" t="n">
        <v>-1</v>
      </c>
      <c r="N37" t="n">
        <v>3</v>
      </c>
      <c r="O37" t="n">
        <v>9</v>
      </c>
      <c r="P37" t="n">
        <v>0</v>
      </c>
      <c r="Q37" t="n">
        <v>-2</v>
      </c>
      <c r="R37" t="n">
        <v>4</v>
      </c>
      <c r="S37" t="n">
        <v>0</v>
      </c>
    </row>
    <row r="38">
      <c r="A38" s="123" t="n">
        <v>44593</v>
      </c>
      <c r="B38" t="n">
        <v>13</v>
      </c>
      <c r="C38" t="n">
        <v>5</v>
      </c>
      <c r="D38" t="n">
        <v>9</v>
      </c>
      <c r="E38" t="n">
        <v>7</v>
      </c>
      <c r="F38" t="n">
        <v>2</v>
      </c>
      <c r="G38" t="n">
        <v>1</v>
      </c>
      <c r="H38" t="n">
        <v>0</v>
      </c>
      <c r="I38" t="n">
        <v>3</v>
      </c>
      <c r="J38" t="n">
        <v>8</v>
      </c>
      <c r="K38" t="n">
        <v>-1</v>
      </c>
      <c r="L38" t="n">
        <v>12</v>
      </c>
      <c r="M38" t="n">
        <v>6</v>
      </c>
      <c r="N38" t="n">
        <v>4</v>
      </c>
      <c r="O38" t="n">
        <v>0</v>
      </c>
      <c r="P38" t="n">
        <v>0</v>
      </c>
      <c r="Q38" t="n">
        <v>10</v>
      </c>
      <c r="R38" t="n">
        <v>11</v>
      </c>
      <c r="S38" t="n">
        <v>0</v>
      </c>
    </row>
    <row r="39">
      <c r="A39" s="123" t="n">
        <v>44621</v>
      </c>
      <c r="B39" t="n">
        <v>13</v>
      </c>
      <c r="C39" t="n">
        <v>6</v>
      </c>
      <c r="D39" t="n">
        <v>3</v>
      </c>
      <c r="E39" t="n">
        <v>9</v>
      </c>
      <c r="F39" t="n">
        <v>5</v>
      </c>
      <c r="G39" t="n">
        <v>12</v>
      </c>
      <c r="H39" t="n">
        <v>4</v>
      </c>
      <c r="I39" t="n">
        <v>1</v>
      </c>
      <c r="J39" t="n">
        <v>11</v>
      </c>
      <c r="K39" t="n">
        <v>0</v>
      </c>
      <c r="L39" t="n">
        <v>7</v>
      </c>
      <c r="M39" t="n">
        <v>-1</v>
      </c>
      <c r="N39" t="n">
        <v>2</v>
      </c>
      <c r="O39" t="n">
        <v>0</v>
      </c>
      <c r="P39" t="n">
        <v>0</v>
      </c>
      <c r="Q39" t="n">
        <v>10</v>
      </c>
      <c r="R39" t="n">
        <v>8</v>
      </c>
      <c r="S39" t="n">
        <v>0</v>
      </c>
    </row>
    <row r="40">
      <c r="A40" s="123" t="n">
        <v>44652</v>
      </c>
      <c r="B40" t="n">
        <v>0</v>
      </c>
      <c r="C40" t="n">
        <v>2</v>
      </c>
      <c r="D40" t="n">
        <v>10</v>
      </c>
      <c r="E40" t="n">
        <v>-1</v>
      </c>
      <c r="F40" t="n">
        <v>5</v>
      </c>
      <c r="G40" t="n">
        <v>8</v>
      </c>
      <c r="H40" t="n">
        <v>7</v>
      </c>
      <c r="I40" t="n">
        <v>4</v>
      </c>
      <c r="J40" t="n">
        <v>3</v>
      </c>
      <c r="K40" t="n">
        <v>0</v>
      </c>
      <c r="L40" t="n">
        <v>6</v>
      </c>
      <c r="M40" t="n">
        <v>0</v>
      </c>
      <c r="N40" t="n">
        <v>1</v>
      </c>
      <c r="O40" t="n">
        <v>-2</v>
      </c>
      <c r="P40" t="n">
        <v>11</v>
      </c>
      <c r="Q40" t="n">
        <v>-3</v>
      </c>
      <c r="R40" t="n">
        <v>9</v>
      </c>
      <c r="S40" t="n">
        <v>0</v>
      </c>
    </row>
    <row r="41">
      <c r="A41" s="123" t="n">
        <v>44682</v>
      </c>
      <c r="B41" t="n">
        <v>11</v>
      </c>
      <c r="C41" t="n">
        <v>3</v>
      </c>
      <c r="D41" t="n">
        <v>10</v>
      </c>
      <c r="E41" t="n">
        <v>0</v>
      </c>
      <c r="F41" t="n">
        <v>1</v>
      </c>
      <c r="G41" t="n">
        <v>8</v>
      </c>
      <c r="H41" t="n">
        <v>0</v>
      </c>
      <c r="I41" t="n">
        <v>6</v>
      </c>
      <c r="J41" t="n">
        <v>5</v>
      </c>
      <c r="K41" t="n">
        <v>0</v>
      </c>
      <c r="L41" t="n">
        <v>0</v>
      </c>
      <c r="M41" t="n">
        <v>7</v>
      </c>
      <c r="N41" t="n">
        <v>4</v>
      </c>
      <c r="O41" t="n">
        <v>9</v>
      </c>
      <c r="P41" t="n">
        <v>0</v>
      </c>
      <c r="Q41" t="n">
        <v>0</v>
      </c>
      <c r="R41" t="n">
        <v>2</v>
      </c>
      <c r="S41" t="n">
        <v>-1</v>
      </c>
    </row>
    <row r="42">
      <c r="A42" s="123" t="n">
        <v>44713</v>
      </c>
      <c r="B42" t="n">
        <v>7</v>
      </c>
      <c r="C42" t="n">
        <v>-2</v>
      </c>
      <c r="D42" t="n">
        <v>2</v>
      </c>
      <c r="E42" t="n">
        <v>-3</v>
      </c>
      <c r="F42" t="n">
        <v>0</v>
      </c>
      <c r="G42" t="n">
        <v>-1</v>
      </c>
      <c r="H42" t="n">
        <v>-6</v>
      </c>
      <c r="I42" t="n">
        <v>0</v>
      </c>
      <c r="J42" t="n">
        <v>1</v>
      </c>
      <c r="K42" t="n">
        <v>6</v>
      </c>
      <c r="L42" t="n">
        <v>-5</v>
      </c>
      <c r="M42" t="n">
        <v>5</v>
      </c>
      <c r="N42" t="n">
        <v>3</v>
      </c>
      <c r="O42" t="n">
        <v>4</v>
      </c>
      <c r="P42" t="n">
        <v>0</v>
      </c>
      <c r="Q42" t="n">
        <v>8</v>
      </c>
      <c r="R42" t="n">
        <v>-4</v>
      </c>
      <c r="S42" t="n">
        <v>-7</v>
      </c>
    </row>
    <row r="43">
      <c r="A43" s="123" t="n">
        <v>44743</v>
      </c>
      <c r="B43" t="n">
        <v>0</v>
      </c>
      <c r="C43" t="n">
        <v>2</v>
      </c>
      <c r="D43" t="n">
        <v>0</v>
      </c>
      <c r="E43" t="n">
        <v>0</v>
      </c>
      <c r="F43" t="n">
        <v>5</v>
      </c>
      <c r="G43" t="n">
        <v>0</v>
      </c>
      <c r="H43" t="n">
        <v>6</v>
      </c>
      <c r="I43" t="n">
        <v>1</v>
      </c>
      <c r="J43" t="n">
        <v>4</v>
      </c>
      <c r="K43" t="n">
        <v>0</v>
      </c>
      <c r="L43" t="n">
        <v>0</v>
      </c>
      <c r="M43" t="n">
        <v>0</v>
      </c>
      <c r="N43" t="n">
        <v>3</v>
      </c>
      <c r="O43" t="n">
        <v>0</v>
      </c>
      <c r="P43" t="n">
        <v>0</v>
      </c>
      <c r="Q43" t="n">
        <v>0</v>
      </c>
      <c r="R43" t="n">
        <v>0</v>
      </c>
      <c r="S43" t="n">
        <v>7</v>
      </c>
    </row>
    <row r="44">
      <c r="A44" s="123" t="n">
        <v>44774</v>
      </c>
      <c r="B44" t="n">
        <v>0</v>
      </c>
      <c r="C44" t="n">
        <v>-5</v>
      </c>
      <c r="D44" t="n">
        <v>5</v>
      </c>
      <c r="E44" t="n">
        <v>-6</v>
      </c>
      <c r="F44" t="n">
        <v>-4</v>
      </c>
      <c r="G44" t="n">
        <v>-3</v>
      </c>
      <c r="H44" t="n">
        <v>-7</v>
      </c>
      <c r="I44" t="n">
        <v>-2</v>
      </c>
      <c r="J44" t="n">
        <v>-1</v>
      </c>
      <c r="K44" t="n">
        <v>4</v>
      </c>
      <c r="L44" t="n">
        <v>0</v>
      </c>
      <c r="M44" t="n">
        <v>0</v>
      </c>
      <c r="N44" t="n">
        <v>1</v>
      </c>
      <c r="O44" t="n">
        <v>2</v>
      </c>
      <c r="P44" t="n">
        <v>0</v>
      </c>
      <c r="Q44" t="n">
        <v>6</v>
      </c>
      <c r="R44" t="n">
        <v>3</v>
      </c>
      <c r="S44" t="n">
        <v>-8</v>
      </c>
    </row>
    <row r="45">
      <c r="A45" s="123" t="n">
        <v>44805</v>
      </c>
      <c r="B45" t="n">
        <v>7</v>
      </c>
      <c r="C45" t="n">
        <v>4</v>
      </c>
      <c r="D45" t="n">
        <v>0</v>
      </c>
      <c r="E45" t="n">
        <v>3</v>
      </c>
      <c r="F45" t="n">
        <v>5</v>
      </c>
      <c r="G45" t="n">
        <v>1</v>
      </c>
      <c r="H45" t="n">
        <v>11</v>
      </c>
      <c r="I45" t="n">
        <v>0</v>
      </c>
      <c r="J45" t="n">
        <v>0</v>
      </c>
      <c r="K45" t="n">
        <v>0</v>
      </c>
      <c r="L45" t="n">
        <v>6</v>
      </c>
      <c r="M45" t="n">
        <v>0</v>
      </c>
      <c r="N45" t="n">
        <v>0</v>
      </c>
      <c r="O45" t="n">
        <v>2</v>
      </c>
      <c r="P45" t="n">
        <v>8</v>
      </c>
      <c r="Q45" t="n">
        <v>9</v>
      </c>
      <c r="R45" t="n">
        <v>0</v>
      </c>
      <c r="S45" t="n">
        <v>10</v>
      </c>
    </row>
    <row r="46">
      <c r="A46" s="123" t="n">
        <v>44835</v>
      </c>
      <c r="B46" t="n">
        <v>0</v>
      </c>
      <c r="C46" t="n">
        <v>2</v>
      </c>
      <c r="D46" t="n">
        <v>0</v>
      </c>
      <c r="E46" t="n">
        <v>0</v>
      </c>
      <c r="F46" t="n">
        <v>7</v>
      </c>
      <c r="G46" t="n">
        <v>4</v>
      </c>
      <c r="H46" t="n">
        <v>11</v>
      </c>
      <c r="I46" t="n">
        <v>0</v>
      </c>
      <c r="J46" t="n">
        <v>1</v>
      </c>
      <c r="K46" t="n">
        <v>5</v>
      </c>
      <c r="L46" t="n">
        <v>9</v>
      </c>
      <c r="M46" t="n">
        <v>0</v>
      </c>
      <c r="N46" t="n">
        <v>0</v>
      </c>
      <c r="O46" t="n">
        <v>6</v>
      </c>
      <c r="P46" t="n">
        <v>10</v>
      </c>
      <c r="Q46" t="n">
        <v>8</v>
      </c>
      <c r="R46" t="n">
        <v>3</v>
      </c>
      <c r="S46" t="n">
        <v>12</v>
      </c>
    </row>
    <row r="47">
      <c r="A47" s="123" t="n">
        <v>44866</v>
      </c>
      <c r="B47" t="n">
        <v>0</v>
      </c>
      <c r="C47" t="n">
        <v>5</v>
      </c>
      <c r="D47" t="n">
        <v>1</v>
      </c>
      <c r="E47" t="n">
        <v>9</v>
      </c>
      <c r="F47" t="n">
        <v>8</v>
      </c>
      <c r="G47" t="n">
        <v>2</v>
      </c>
      <c r="H47" t="n">
        <v>0</v>
      </c>
      <c r="I47" t="n">
        <v>7</v>
      </c>
      <c r="J47" t="n">
        <v>3</v>
      </c>
      <c r="K47" t="n">
        <v>10</v>
      </c>
      <c r="L47" t="n">
        <v>12</v>
      </c>
      <c r="M47" t="n">
        <v>0</v>
      </c>
      <c r="N47" t="n">
        <v>6</v>
      </c>
      <c r="O47" t="n">
        <v>11</v>
      </c>
      <c r="P47" t="n">
        <v>13</v>
      </c>
      <c r="Q47" t="n">
        <v>0</v>
      </c>
      <c r="R47" t="n">
        <v>4</v>
      </c>
      <c r="S47" t="n">
        <v>14</v>
      </c>
    </row>
    <row r="48">
      <c r="A48" s="123" t="n">
        <v>44896</v>
      </c>
      <c r="B48" t="n">
        <v>0</v>
      </c>
      <c r="C48" t="n">
        <v>7</v>
      </c>
      <c r="D48" t="n">
        <v>2</v>
      </c>
      <c r="E48" t="n">
        <v>4</v>
      </c>
      <c r="F48" t="n">
        <v>9</v>
      </c>
      <c r="G48" t="n">
        <v>8</v>
      </c>
      <c r="H48" t="n">
        <v>6</v>
      </c>
      <c r="I48" t="n">
        <v>1</v>
      </c>
      <c r="J48" t="n">
        <v>3</v>
      </c>
      <c r="K48" t="n">
        <v>10</v>
      </c>
      <c r="L48" t="n">
        <v>0</v>
      </c>
      <c r="M48" t="n">
        <v>0</v>
      </c>
      <c r="N48" t="n">
        <v>5</v>
      </c>
      <c r="O48" t="n">
        <v>0</v>
      </c>
      <c r="P48" t="n">
        <v>0</v>
      </c>
      <c r="Q48" t="n">
        <v>0</v>
      </c>
      <c r="R48" t="n">
        <v>0</v>
      </c>
      <c r="S48" t="n">
        <v>11</v>
      </c>
    </row>
    <row r="49">
      <c r="A49" s="123" t="n">
        <v>44927</v>
      </c>
      <c r="B49" t="n">
        <v>15</v>
      </c>
      <c r="C49" t="n">
        <v>3</v>
      </c>
      <c r="D49" t="n">
        <v>2</v>
      </c>
      <c r="E49" t="n">
        <v>12</v>
      </c>
      <c r="F49" t="n">
        <v>8</v>
      </c>
      <c r="G49" t="n">
        <v>5</v>
      </c>
      <c r="H49" t="n">
        <v>11</v>
      </c>
      <c r="I49" t="n">
        <v>7</v>
      </c>
      <c r="J49" t="n">
        <v>4</v>
      </c>
      <c r="K49" t="n">
        <v>13</v>
      </c>
      <c r="L49" t="n">
        <v>14</v>
      </c>
      <c r="M49" t="n">
        <v>6</v>
      </c>
      <c r="N49" t="n">
        <v>10</v>
      </c>
      <c r="O49" t="n">
        <v>9</v>
      </c>
      <c r="P49" t="n">
        <v>0</v>
      </c>
      <c r="Q49" t="n">
        <v>16</v>
      </c>
      <c r="R49" t="n">
        <v>1</v>
      </c>
      <c r="S49" t="n">
        <v>17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49"/>
  <sheetViews>
    <sheetView zoomScale="160" zoomScaleNormal="160" workbookViewId="0">
      <pane ySplit="1" topLeftCell="A20" activePane="bottomLeft" state="frozen"/>
      <selection pane="bottomLeft" activeCell="I38" sqref="I38"/>
    </sheetView>
  </sheetViews>
  <sheetFormatPr baseColWidth="8" defaultColWidth="10.90625" defaultRowHeight="14.5"/>
  <cols>
    <col width="10.36328125" customWidth="1"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23"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23"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23"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23"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23"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23"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23"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23"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23"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23"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23"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23"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23"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23"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23"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23"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23"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23"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23"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23"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23"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23"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23"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23"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23"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23"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23"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23"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23"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23"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23"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23"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23"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23"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23"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row r="37">
      <c r="A37" s="123" t="n">
        <v>44562</v>
      </c>
      <c r="B37" t="n">
        <v>-3</v>
      </c>
      <c r="C37" t="n">
        <v>6</v>
      </c>
      <c r="D37" t="n">
        <v>0</v>
      </c>
      <c r="E37" t="n">
        <v>-1</v>
      </c>
      <c r="F37" t="n">
        <v>0</v>
      </c>
      <c r="G37" t="n">
        <v>9</v>
      </c>
      <c r="H37" t="n">
        <v>0</v>
      </c>
      <c r="I37" t="n">
        <v>10</v>
      </c>
      <c r="J37" t="n">
        <v>5</v>
      </c>
      <c r="K37" t="n">
        <v>2</v>
      </c>
      <c r="L37" t="n">
        <v>1</v>
      </c>
      <c r="M37" t="n">
        <v>4</v>
      </c>
      <c r="N37" t="n">
        <v>3</v>
      </c>
      <c r="O37" t="n">
        <v>0</v>
      </c>
      <c r="P37" t="n">
        <v>7</v>
      </c>
      <c r="Q37" t="n">
        <v>8</v>
      </c>
      <c r="R37" t="n">
        <v>-2</v>
      </c>
      <c r="S37" t="n">
        <v>0</v>
      </c>
    </row>
    <row r="38">
      <c r="A38" s="123" t="n">
        <v>44593</v>
      </c>
      <c r="B38" t="n">
        <v>0</v>
      </c>
      <c r="C38" t="n">
        <v>4</v>
      </c>
      <c r="D38" t="n">
        <v>9</v>
      </c>
      <c r="E38" t="n">
        <v>8</v>
      </c>
      <c r="F38" t="n">
        <v>0</v>
      </c>
      <c r="G38" t="n">
        <v>5</v>
      </c>
      <c r="H38" t="n">
        <v>0</v>
      </c>
      <c r="I38" t="n">
        <v>-2</v>
      </c>
      <c r="J38" t="n">
        <v>10</v>
      </c>
      <c r="K38" t="n">
        <v>2</v>
      </c>
      <c r="L38" t="n">
        <v>1</v>
      </c>
      <c r="M38" t="n">
        <v>6</v>
      </c>
      <c r="N38" t="n">
        <v>7</v>
      </c>
      <c r="O38" t="n">
        <v>0</v>
      </c>
      <c r="P38" t="n">
        <v>3</v>
      </c>
      <c r="Q38" t="n">
        <v>0</v>
      </c>
      <c r="R38" t="n">
        <v>0</v>
      </c>
      <c r="S38" t="n">
        <v>-1</v>
      </c>
    </row>
    <row r="39">
      <c r="A39" s="123" t="n">
        <v>44621</v>
      </c>
      <c r="B39" t="n">
        <v>11</v>
      </c>
      <c r="C39" t="n">
        <v>3</v>
      </c>
      <c r="D39" t="n">
        <v>-4</v>
      </c>
      <c r="E39" t="n">
        <v>1</v>
      </c>
      <c r="F39" t="n">
        <v>0</v>
      </c>
      <c r="G39" t="n">
        <v>-3</v>
      </c>
      <c r="H39" t="n">
        <v>0</v>
      </c>
      <c r="I39" t="n">
        <v>4</v>
      </c>
      <c r="J39" t="n">
        <v>7</v>
      </c>
      <c r="K39" t="n">
        <v>2</v>
      </c>
      <c r="L39" t="n">
        <v>10</v>
      </c>
      <c r="M39" t="n">
        <v>9</v>
      </c>
      <c r="N39" t="n">
        <v>5</v>
      </c>
      <c r="O39" t="n">
        <v>-1</v>
      </c>
      <c r="P39" t="n">
        <v>6</v>
      </c>
      <c r="Q39" t="n">
        <v>-2</v>
      </c>
      <c r="R39" t="n">
        <v>8</v>
      </c>
      <c r="S39" t="n">
        <v>0</v>
      </c>
    </row>
    <row r="40">
      <c r="A40" s="123" t="n">
        <v>44652</v>
      </c>
      <c r="B40" t="n">
        <v>0</v>
      </c>
      <c r="C40" t="n">
        <v>7</v>
      </c>
      <c r="D40" t="n">
        <v>4</v>
      </c>
      <c r="E40" t="n">
        <v>6</v>
      </c>
      <c r="F40" t="n">
        <v>0</v>
      </c>
      <c r="G40" t="n">
        <v>11</v>
      </c>
      <c r="H40" t="n">
        <v>14</v>
      </c>
      <c r="I40" t="n">
        <v>3</v>
      </c>
      <c r="J40" t="n">
        <v>8</v>
      </c>
      <c r="K40" t="n">
        <v>1</v>
      </c>
      <c r="L40" t="n">
        <v>12</v>
      </c>
      <c r="M40" t="n">
        <v>5</v>
      </c>
      <c r="N40" t="n">
        <v>2</v>
      </c>
      <c r="O40" t="n">
        <v>9</v>
      </c>
      <c r="P40" t="n">
        <v>-1</v>
      </c>
      <c r="Q40" t="n">
        <v>10</v>
      </c>
      <c r="R40" t="n">
        <v>-2</v>
      </c>
      <c r="S40" t="n">
        <v>13</v>
      </c>
    </row>
    <row r="41">
      <c r="A41" s="123" t="n">
        <v>44682</v>
      </c>
      <c r="B41" t="n">
        <v>8</v>
      </c>
      <c r="C41" t="n">
        <v>3</v>
      </c>
      <c r="D41" t="n">
        <v>5</v>
      </c>
      <c r="E41" t="n">
        <v>-2</v>
      </c>
      <c r="F41" t="n">
        <v>7</v>
      </c>
      <c r="G41" t="n">
        <v>-7</v>
      </c>
      <c r="H41" t="n">
        <v>0</v>
      </c>
      <c r="I41" t="n">
        <v>-5</v>
      </c>
      <c r="J41" t="n">
        <v>2</v>
      </c>
      <c r="K41" t="n">
        <v>1</v>
      </c>
      <c r="L41" t="n">
        <v>4</v>
      </c>
      <c r="M41" t="n">
        <v>-3</v>
      </c>
      <c r="N41" t="n">
        <v>-6</v>
      </c>
      <c r="O41" t="n">
        <v>-4</v>
      </c>
      <c r="P41" t="n">
        <v>-1</v>
      </c>
      <c r="Q41" t="n">
        <v>0</v>
      </c>
      <c r="R41" t="n">
        <v>-8</v>
      </c>
      <c r="S41" t="n">
        <v>6</v>
      </c>
    </row>
    <row r="42">
      <c r="A42" s="123" t="n">
        <v>44713</v>
      </c>
      <c r="B42" t="n">
        <v>10</v>
      </c>
      <c r="C42" t="n">
        <v>0</v>
      </c>
      <c r="D42" t="n">
        <v>-2</v>
      </c>
      <c r="E42" t="n">
        <v>6</v>
      </c>
      <c r="F42" t="n">
        <v>8</v>
      </c>
      <c r="G42" t="n">
        <v>0</v>
      </c>
      <c r="H42" t="n">
        <v>9</v>
      </c>
      <c r="I42" t="n">
        <v>-1</v>
      </c>
      <c r="J42" t="n">
        <v>5</v>
      </c>
      <c r="K42" t="n">
        <v>3</v>
      </c>
      <c r="L42" t="n">
        <v>0</v>
      </c>
      <c r="M42" t="n">
        <v>0</v>
      </c>
      <c r="N42" t="n">
        <v>4</v>
      </c>
      <c r="O42" t="n">
        <v>2</v>
      </c>
      <c r="P42" t="n">
        <v>1</v>
      </c>
      <c r="Q42" t="n">
        <v>0</v>
      </c>
      <c r="R42" t="n">
        <v>-3</v>
      </c>
      <c r="S42" t="n">
        <v>7</v>
      </c>
    </row>
    <row r="43">
      <c r="A43" s="123" t="n">
        <v>44743</v>
      </c>
      <c r="B43" t="n">
        <v>0</v>
      </c>
      <c r="C43" t="n">
        <v>0</v>
      </c>
      <c r="D43" t="n">
        <v>0</v>
      </c>
      <c r="E43" t="n">
        <v>0</v>
      </c>
      <c r="F43" t="n">
        <v>0</v>
      </c>
      <c r="G43" t="n">
        <v>0</v>
      </c>
      <c r="H43" t="n">
        <v>0</v>
      </c>
      <c r="I43" t="n">
        <v>0</v>
      </c>
      <c r="J43" t="n">
        <v>0</v>
      </c>
      <c r="K43" t="n">
        <v>0</v>
      </c>
      <c r="L43" t="n">
        <v>1</v>
      </c>
      <c r="M43" t="n">
        <v>4</v>
      </c>
      <c r="N43" t="n">
        <v>2</v>
      </c>
      <c r="O43" t="n">
        <v>0</v>
      </c>
      <c r="P43" t="n">
        <v>3</v>
      </c>
      <c r="Q43" t="n">
        <v>6</v>
      </c>
      <c r="R43" t="n">
        <v>5</v>
      </c>
      <c r="S43" t="n">
        <v>0</v>
      </c>
    </row>
    <row r="44">
      <c r="A44" s="123" t="n">
        <v>44774</v>
      </c>
      <c r="B44" t="n">
        <v>-9</v>
      </c>
      <c r="C44" t="n">
        <v>2</v>
      </c>
      <c r="D44" t="n">
        <v>-6</v>
      </c>
      <c r="E44" t="n">
        <v>0</v>
      </c>
      <c r="F44" t="n">
        <v>4</v>
      </c>
      <c r="G44" t="n">
        <v>-5</v>
      </c>
      <c r="H44" t="n">
        <v>0</v>
      </c>
      <c r="I44" t="n">
        <v>0</v>
      </c>
      <c r="J44" t="n">
        <v>3</v>
      </c>
      <c r="K44" t="n">
        <v>-4</v>
      </c>
      <c r="L44" t="n">
        <v>-3</v>
      </c>
      <c r="M44" t="n">
        <v>-2</v>
      </c>
      <c r="N44" t="n">
        <v>5</v>
      </c>
      <c r="O44" t="n">
        <v>1</v>
      </c>
      <c r="P44" t="n">
        <v>-1</v>
      </c>
      <c r="Q44" t="n">
        <v>-7</v>
      </c>
      <c r="R44" t="n">
        <v>-8</v>
      </c>
      <c r="S44" t="n">
        <v>6</v>
      </c>
    </row>
    <row r="45">
      <c r="A45" s="123" t="n">
        <v>44805</v>
      </c>
      <c r="B45" t="n">
        <v>0</v>
      </c>
      <c r="C45" t="n">
        <v>5</v>
      </c>
      <c r="D45" t="n">
        <v>0</v>
      </c>
      <c r="E45" t="n">
        <v>1</v>
      </c>
      <c r="F45" t="n">
        <v>-3</v>
      </c>
      <c r="G45" t="n">
        <v>7</v>
      </c>
      <c r="H45" t="n">
        <v>-6</v>
      </c>
      <c r="I45" t="n">
        <v>-5</v>
      </c>
      <c r="J45" t="n">
        <v>0</v>
      </c>
      <c r="K45" t="n">
        <v>-2</v>
      </c>
      <c r="L45" t="n">
        <v>-1</v>
      </c>
      <c r="M45" t="n">
        <v>3</v>
      </c>
      <c r="N45" t="n">
        <v>4</v>
      </c>
      <c r="O45" t="n">
        <v>6</v>
      </c>
      <c r="P45" t="n">
        <v>2</v>
      </c>
      <c r="Q45" t="n">
        <v>-4</v>
      </c>
      <c r="R45" t="n">
        <v>-7</v>
      </c>
      <c r="S45" t="n">
        <v>8</v>
      </c>
    </row>
    <row r="46">
      <c r="A46" s="123" t="n">
        <v>44835</v>
      </c>
      <c r="B46" t="n">
        <v>0</v>
      </c>
      <c r="C46" t="n">
        <v>2</v>
      </c>
      <c r="D46" t="n">
        <v>-5</v>
      </c>
      <c r="E46" t="n">
        <v>5</v>
      </c>
      <c r="F46" t="n">
        <v>-4</v>
      </c>
      <c r="G46" t="n">
        <v>3</v>
      </c>
      <c r="H46" t="n">
        <v>0</v>
      </c>
      <c r="I46" t="n">
        <v>-7</v>
      </c>
      <c r="J46" t="n">
        <v>4</v>
      </c>
      <c r="K46" t="n">
        <v>-1</v>
      </c>
      <c r="L46" t="n">
        <v>-2</v>
      </c>
      <c r="M46" t="n">
        <v>0</v>
      </c>
      <c r="N46" t="n">
        <v>-3</v>
      </c>
      <c r="O46" t="n">
        <v>6</v>
      </c>
      <c r="P46" t="n">
        <v>1</v>
      </c>
      <c r="Q46" t="n">
        <v>-6</v>
      </c>
      <c r="R46" t="n">
        <v>-8</v>
      </c>
      <c r="S46" t="n">
        <v>0</v>
      </c>
    </row>
    <row r="47">
      <c r="A47" s="123" t="n">
        <v>44866</v>
      </c>
      <c r="B47" t="n">
        <v>7</v>
      </c>
      <c r="C47" t="n">
        <v>-4</v>
      </c>
      <c r="D47" t="n">
        <v>0</v>
      </c>
      <c r="E47" t="n">
        <v>4</v>
      </c>
      <c r="F47" t="n">
        <v>0</v>
      </c>
      <c r="G47" t="n">
        <v>6</v>
      </c>
      <c r="H47" t="n">
        <v>-7</v>
      </c>
      <c r="I47" t="n">
        <v>-5</v>
      </c>
      <c r="J47" t="n">
        <v>2</v>
      </c>
      <c r="K47" t="n">
        <v>0</v>
      </c>
      <c r="L47" t="n">
        <v>-3</v>
      </c>
      <c r="M47" t="n">
        <v>-2</v>
      </c>
      <c r="N47" t="n">
        <v>1</v>
      </c>
      <c r="O47" t="n">
        <v>3</v>
      </c>
      <c r="P47" t="n">
        <v>-1</v>
      </c>
      <c r="Q47" t="n">
        <v>0</v>
      </c>
      <c r="R47" t="n">
        <v>-6</v>
      </c>
      <c r="S47" t="n">
        <v>5</v>
      </c>
    </row>
    <row r="48">
      <c r="A48" s="123" t="n">
        <v>44896</v>
      </c>
      <c r="B48" t="n">
        <v>0</v>
      </c>
      <c r="C48" t="n">
        <v>1</v>
      </c>
      <c r="D48" t="n">
        <v>-6</v>
      </c>
      <c r="E48" t="n">
        <v>-1</v>
      </c>
      <c r="F48" t="n">
        <v>0</v>
      </c>
      <c r="G48" t="n">
        <v>4</v>
      </c>
      <c r="H48" t="n">
        <v>0</v>
      </c>
      <c r="I48" t="n">
        <v>-4</v>
      </c>
      <c r="J48" t="n">
        <v>2</v>
      </c>
      <c r="K48" t="n">
        <v>-8</v>
      </c>
      <c r="L48" t="n">
        <v>0</v>
      </c>
      <c r="M48" t="n">
        <v>-2</v>
      </c>
      <c r="N48" t="n">
        <v>3</v>
      </c>
      <c r="O48" t="n">
        <v>-3</v>
      </c>
      <c r="P48" t="n">
        <v>-5</v>
      </c>
      <c r="Q48" t="n">
        <v>-7</v>
      </c>
      <c r="R48" t="n">
        <v>0</v>
      </c>
      <c r="S48" t="n">
        <v>0</v>
      </c>
    </row>
    <row r="49">
      <c r="A49" s="123" t="n">
        <v>44927</v>
      </c>
      <c r="B49" t="n">
        <v>0</v>
      </c>
      <c r="C49" t="n">
        <v>4</v>
      </c>
      <c r="D49" t="n">
        <v>11</v>
      </c>
      <c r="E49" t="n">
        <v>-1</v>
      </c>
      <c r="F49" t="n">
        <v>0</v>
      </c>
      <c r="G49" t="n">
        <v>8</v>
      </c>
      <c r="H49" t="n">
        <v>12</v>
      </c>
      <c r="I49" t="n">
        <v>7</v>
      </c>
      <c r="J49" t="n">
        <v>2</v>
      </c>
      <c r="K49" t="n">
        <v>1</v>
      </c>
      <c r="L49" t="n">
        <v>5</v>
      </c>
      <c r="M49" t="n">
        <v>3</v>
      </c>
      <c r="N49" t="n">
        <v>6</v>
      </c>
      <c r="O49" t="n">
        <v>10</v>
      </c>
      <c r="P49" t="n">
        <v>0</v>
      </c>
      <c r="Q49" t="n">
        <v>9</v>
      </c>
      <c r="R49" t="n">
        <v>14</v>
      </c>
      <c r="S49" t="n">
        <v>13</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T907"/>
  <sheetViews>
    <sheetView zoomScale="150" zoomScaleNormal="150" workbookViewId="0">
      <pane ySplit="1" topLeftCell="A885" activePane="bottomLeft" state="frozen"/>
      <selection activeCell="R895" sqref="R895"/>
      <selection pane="bottomLeft" activeCell="D912" sqref="D912"/>
    </sheetView>
  </sheetViews>
  <sheetFormatPr baseColWidth="8" defaultColWidth="10.90625" defaultRowHeight="14.5"/>
  <cols>
    <col width="20.6328125" customWidth="1" min="16" max="16"/>
  </cols>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123" t="n">
        <v>17168</v>
      </c>
      <c r="N2" t="n">
        <v>2034.45</v>
      </c>
    </row>
    <row r="3">
      <c r="A3" s="123" t="n">
        <v>17258</v>
      </c>
      <c r="N3" t="n">
        <v>2029.024</v>
      </c>
      <c r="O3" t="n">
        <v>-0.002667059893337343</v>
      </c>
      <c r="Q3" t="n">
        <v>-0.01062563615731604</v>
      </c>
      <c r="R3" t="n">
        <v>-0.002667059893337343</v>
      </c>
      <c r="S3" t="n">
        <v>-0.01062563615731604</v>
      </c>
    </row>
    <row r="4">
      <c r="A4" s="123" t="n">
        <v>17349</v>
      </c>
      <c r="N4" t="n">
        <v>2024.834</v>
      </c>
      <c r="O4" t="n">
        <v>-0.002065032251959478</v>
      </c>
      <c r="Q4" t="n">
        <v>-0.00823457806459249</v>
      </c>
      <c r="R4" t="n">
        <v>-0.002065032251959478</v>
      </c>
      <c r="S4" t="n">
        <v>-0.00823457806459249</v>
      </c>
    </row>
    <row r="5">
      <c r="A5" s="123" t="n">
        <v>17441</v>
      </c>
      <c r="N5" t="n">
        <v>2056.508</v>
      </c>
      <c r="O5" t="n">
        <v>0.01564276380187203</v>
      </c>
      <c r="Q5" t="n">
        <v>0.06405460233045623</v>
      </c>
      <c r="R5" t="n">
        <v>0.01564276380187203</v>
      </c>
      <c r="S5" t="n">
        <v>0.06405460233045623</v>
      </c>
    </row>
    <row r="6">
      <c r="A6" s="123" t="n">
        <v>17533</v>
      </c>
      <c r="B6" t="n">
        <v>53.3</v>
      </c>
      <c r="E6" t="n">
        <v>72.2</v>
      </c>
      <c r="F6" t="n">
        <v>59.1</v>
      </c>
      <c r="H6" t="n">
        <v>45.3</v>
      </c>
      <c r="I6" t="n">
        <v>36.3</v>
      </c>
      <c r="J6" t="n">
        <v>54.8</v>
      </c>
      <c r="L6" t="n">
        <v>51.7</v>
      </c>
      <c r="N6" t="n">
        <v>2087.442</v>
      </c>
      <c r="O6" t="n">
        <v>0.01504200324044458</v>
      </c>
      <c r="P6" t="n">
        <v>0.02604733466047333</v>
      </c>
      <c r="Q6" t="n">
        <v>0.06153924905173613</v>
      </c>
      <c r="R6" t="n">
        <v>0.01504200324044458</v>
      </c>
      <c r="S6" t="n">
        <v>0.06153924905173613</v>
      </c>
      <c r="T6" t="n">
        <v>0.02604733466047333</v>
      </c>
    </row>
    <row r="7">
      <c r="A7" s="123" t="n">
        <v>17564</v>
      </c>
      <c r="B7" t="n">
        <v>51.1</v>
      </c>
      <c r="E7" t="n">
        <v>62.7</v>
      </c>
      <c r="F7" t="n">
        <v>55.2</v>
      </c>
      <c r="H7" t="n">
        <v>43.9</v>
      </c>
      <c r="I7" t="n">
        <v>37.1</v>
      </c>
      <c r="J7" t="n">
        <v>55.8</v>
      </c>
      <c r="L7" t="n">
        <v>50.2</v>
      </c>
      <c r="O7" t="n">
        <v>0.01504200324044458</v>
      </c>
      <c r="P7" t="n">
        <v>0.02604733466047333</v>
      </c>
      <c r="Q7" t="n">
        <v>0.06153924905173613</v>
      </c>
    </row>
    <row r="8">
      <c r="A8" s="123" t="n">
        <v>17593</v>
      </c>
      <c r="B8" t="n">
        <v>43.9</v>
      </c>
      <c r="E8" t="n">
        <v>69.3</v>
      </c>
      <c r="F8" t="n">
        <v>47.8</v>
      </c>
      <c r="H8" t="n">
        <v>44.5</v>
      </c>
      <c r="I8" t="n">
        <v>32.7</v>
      </c>
      <c r="J8" t="n">
        <v>44</v>
      </c>
      <c r="L8" t="n">
        <v>43.3</v>
      </c>
      <c r="O8" t="n">
        <v>0.01504200324044458</v>
      </c>
      <c r="P8" t="n">
        <v>0.02604733466047333</v>
      </c>
      <c r="Q8" t="n">
        <v>0.06153924905173613</v>
      </c>
    </row>
    <row r="9">
      <c r="A9" s="123" t="n">
        <v>17624</v>
      </c>
      <c r="B9" t="n">
        <v>44.5</v>
      </c>
      <c r="E9" t="n">
        <v>75.8</v>
      </c>
      <c r="F9" t="n">
        <v>49.5</v>
      </c>
      <c r="H9" t="n">
        <v>46.1</v>
      </c>
      <c r="I9" t="n">
        <v>41.6</v>
      </c>
      <c r="J9" t="n">
        <v>43.9</v>
      </c>
      <c r="L9" t="n">
        <v>45.4</v>
      </c>
      <c r="N9" t="n">
        <v>2121.899</v>
      </c>
      <c r="O9" t="n">
        <v>0.01650680593760204</v>
      </c>
      <c r="P9" t="n">
        <v>0.04577323875912755</v>
      </c>
      <c r="Q9" t="n">
        <v>0.06768013659057992</v>
      </c>
      <c r="R9" t="n">
        <v>0.01650680593760204</v>
      </c>
      <c r="S9" t="n">
        <v>0.06768013659057992</v>
      </c>
      <c r="T9" t="n">
        <v>0.04577323875912755</v>
      </c>
    </row>
    <row r="10">
      <c r="A10" s="123" t="n">
        <v>17654</v>
      </c>
      <c r="B10" t="n">
        <v>51.2</v>
      </c>
      <c r="E10" t="n">
        <v>70.8</v>
      </c>
      <c r="F10" t="n">
        <v>52.1</v>
      </c>
      <c r="H10" t="n">
        <v>47</v>
      </c>
      <c r="I10" t="n">
        <v>40.4</v>
      </c>
      <c r="J10" t="n">
        <v>51.8</v>
      </c>
      <c r="L10" t="n">
        <v>49.5</v>
      </c>
      <c r="O10" t="n">
        <v>0.01650680593760204</v>
      </c>
      <c r="P10" t="n">
        <v>0.04577323875912755</v>
      </c>
      <c r="Q10" t="n">
        <v>0.06768013659057992</v>
      </c>
    </row>
    <row r="11">
      <c r="A11" s="123" t="n">
        <v>17685</v>
      </c>
      <c r="B11" t="n">
        <v>58.1</v>
      </c>
      <c r="E11" t="n">
        <v>78.5</v>
      </c>
      <c r="F11" t="n">
        <v>56.8</v>
      </c>
      <c r="H11" t="n">
        <v>54.7</v>
      </c>
      <c r="I11" t="n">
        <v>38.4</v>
      </c>
      <c r="J11" t="n">
        <v>50.8</v>
      </c>
      <c r="L11" t="n">
        <v>53</v>
      </c>
      <c r="O11" t="n">
        <v>0.01650680593760204</v>
      </c>
      <c r="P11" t="n">
        <v>0.04577323875912755</v>
      </c>
      <c r="Q11" t="n">
        <v>0.06768013659057992</v>
      </c>
    </row>
    <row r="12">
      <c r="A12" s="123" t="n">
        <v>17715</v>
      </c>
      <c r="B12" t="n">
        <v>50.4</v>
      </c>
      <c r="E12" t="n">
        <v>77.3</v>
      </c>
      <c r="F12" t="n">
        <v>51.4</v>
      </c>
      <c r="H12" t="n">
        <v>51.1</v>
      </c>
      <c r="I12" t="n">
        <v>36.8</v>
      </c>
      <c r="J12" t="n">
        <v>49.1</v>
      </c>
      <c r="L12" t="n">
        <v>48.4</v>
      </c>
      <c r="N12" t="n">
        <v>2134.056</v>
      </c>
      <c r="O12" t="n">
        <v>0.0057293019130506</v>
      </c>
      <c r="P12" t="n">
        <v>0.05394121197095662</v>
      </c>
      <c r="Q12" t="n">
        <v>0.02311491038720082</v>
      </c>
      <c r="R12" t="n">
        <v>0.0057293019130506</v>
      </c>
      <c r="S12" t="n">
        <v>0.02311491038720082</v>
      </c>
      <c r="T12" t="n">
        <v>0.05394121197095662</v>
      </c>
    </row>
    <row r="13">
      <c r="A13" s="123" t="n">
        <v>17746</v>
      </c>
      <c r="B13" t="n">
        <v>46</v>
      </c>
      <c r="E13" t="n">
        <v>77</v>
      </c>
      <c r="F13" t="n">
        <v>51</v>
      </c>
      <c r="H13" t="n">
        <v>46.6</v>
      </c>
      <c r="I13" t="n">
        <v>31.2</v>
      </c>
      <c r="J13" t="n">
        <v>46.1</v>
      </c>
      <c r="L13" t="n">
        <v>45.1</v>
      </c>
      <c r="O13" t="n">
        <v>0.0057293019130506</v>
      </c>
      <c r="P13" t="n">
        <v>0.05394121197095662</v>
      </c>
      <c r="Q13" t="n">
        <v>0.02311491038720082</v>
      </c>
    </row>
    <row r="14">
      <c r="A14" s="123" t="n">
        <v>17777</v>
      </c>
      <c r="B14" t="n">
        <v>40.6</v>
      </c>
      <c r="E14" t="n">
        <v>66</v>
      </c>
      <c r="F14" t="n">
        <v>47.9</v>
      </c>
      <c r="H14" t="n">
        <v>45.2</v>
      </c>
      <c r="I14" t="n">
        <v>28.3</v>
      </c>
      <c r="J14" t="n">
        <v>46.1</v>
      </c>
      <c r="L14" t="n">
        <v>42.1</v>
      </c>
      <c r="O14" t="n">
        <v>0.0057293019130506</v>
      </c>
      <c r="P14" t="n">
        <v>0.05394121197095662</v>
      </c>
      <c r="Q14" t="n">
        <v>0.02311491038720082</v>
      </c>
    </row>
    <row r="15">
      <c r="A15" s="123" t="n">
        <v>17807</v>
      </c>
      <c r="B15" t="n">
        <v>52.1</v>
      </c>
      <c r="E15" t="n">
        <v>56.6</v>
      </c>
      <c r="F15" t="n">
        <v>52.7</v>
      </c>
      <c r="H15" t="n">
        <v>45.4</v>
      </c>
      <c r="I15" t="n">
        <v>28.7</v>
      </c>
      <c r="J15" t="n">
        <v>47.5</v>
      </c>
      <c r="L15" t="n">
        <v>47.2</v>
      </c>
      <c r="N15" t="n">
        <v>2136.44</v>
      </c>
      <c r="O15" t="n">
        <v>0.001117121575066453</v>
      </c>
      <c r="P15" t="n">
        <v>0.03886782837703537</v>
      </c>
      <c r="Q15" t="n">
        <v>0.004475979641999084</v>
      </c>
      <c r="R15" t="n">
        <v>0.001117121575066453</v>
      </c>
      <c r="S15" t="n">
        <v>0.004475979641999084</v>
      </c>
      <c r="T15" t="n">
        <v>0.03886782837703537</v>
      </c>
    </row>
    <row r="16">
      <c r="A16" s="123" t="n">
        <v>17838</v>
      </c>
      <c r="B16" t="n">
        <v>43.2</v>
      </c>
      <c r="E16" t="n">
        <v>51</v>
      </c>
      <c r="F16" t="n">
        <v>48.9</v>
      </c>
      <c r="H16" t="n">
        <v>42.6</v>
      </c>
      <c r="I16" t="n">
        <v>28</v>
      </c>
      <c r="J16" t="n">
        <v>44</v>
      </c>
      <c r="L16" t="n">
        <v>42.4</v>
      </c>
      <c r="O16" t="n">
        <v>0.001117121575066453</v>
      </c>
      <c r="P16" t="n">
        <v>0.03886782837703537</v>
      </c>
      <c r="Q16" t="n">
        <v>0.004475979641999084</v>
      </c>
    </row>
    <row r="17">
      <c r="A17" s="123" t="n">
        <v>17868</v>
      </c>
      <c r="B17" t="n">
        <v>34.5</v>
      </c>
      <c r="E17" t="n">
        <v>47.5</v>
      </c>
      <c r="F17" t="n">
        <v>42.1</v>
      </c>
      <c r="H17" t="n">
        <v>37</v>
      </c>
      <c r="I17" t="n">
        <v>17.7</v>
      </c>
      <c r="J17" t="n">
        <v>39</v>
      </c>
      <c r="L17" t="n">
        <v>35</v>
      </c>
      <c r="O17" t="n">
        <v>0.001117121575066453</v>
      </c>
      <c r="P17" t="n">
        <v>0.03886782837703537</v>
      </c>
      <c r="Q17" t="n">
        <v>0.004475979641999084</v>
      </c>
    </row>
    <row r="18">
      <c r="A18" s="123" t="n">
        <v>17899</v>
      </c>
      <c r="B18" t="n">
        <v>31.4</v>
      </c>
      <c r="E18" t="n">
        <v>39.6</v>
      </c>
      <c r="F18" t="n">
        <v>42</v>
      </c>
      <c r="H18" t="n">
        <v>36.6</v>
      </c>
      <c r="I18" t="n">
        <v>16.6</v>
      </c>
      <c r="J18" t="n">
        <v>34.1</v>
      </c>
      <c r="L18" t="n">
        <v>32.9</v>
      </c>
      <c r="N18" t="n">
        <v>2107.001</v>
      </c>
      <c r="O18" t="n">
        <v>-0.01377946490423314</v>
      </c>
      <c r="P18" t="n">
        <v>0.009369841174030318</v>
      </c>
      <c r="Q18" t="n">
        <v>-0.05398904707599994</v>
      </c>
      <c r="R18" t="n">
        <v>-0.01377946490423314</v>
      </c>
      <c r="S18" t="n">
        <v>-0.05398904707599994</v>
      </c>
      <c r="T18" t="n">
        <v>0.009369841174030318</v>
      </c>
    </row>
    <row r="19">
      <c r="A19" s="123" t="n">
        <v>17930</v>
      </c>
      <c r="B19" t="n">
        <v>34.2</v>
      </c>
      <c r="E19" t="n">
        <v>31.3</v>
      </c>
      <c r="F19" t="n">
        <v>39.6</v>
      </c>
      <c r="H19" t="n">
        <v>34.9</v>
      </c>
      <c r="I19" t="n">
        <v>13.1</v>
      </c>
      <c r="J19" t="n">
        <v>28.3</v>
      </c>
      <c r="L19" t="n">
        <v>31.3</v>
      </c>
      <c r="O19" t="n">
        <v>-0.01377946490423314</v>
      </c>
      <c r="P19" t="n">
        <v>0.009369841174030318</v>
      </c>
      <c r="Q19" t="n">
        <v>-0.05398904707599994</v>
      </c>
    </row>
    <row r="20">
      <c r="A20" s="123" t="n">
        <v>17958</v>
      </c>
      <c r="B20" t="n">
        <v>42.1</v>
      </c>
      <c r="E20" t="n">
        <v>31.8</v>
      </c>
      <c r="F20" t="n">
        <v>41.9</v>
      </c>
      <c r="H20" t="n">
        <v>33.3</v>
      </c>
      <c r="I20" t="n">
        <v>12.4</v>
      </c>
      <c r="J20" t="n">
        <v>31.1</v>
      </c>
      <c r="L20" t="n">
        <v>34.5</v>
      </c>
      <c r="O20" t="n">
        <v>-0.01377946490423314</v>
      </c>
      <c r="P20" t="n">
        <v>0.009369841174030318</v>
      </c>
      <c r="Q20" t="n">
        <v>-0.05398904707599994</v>
      </c>
    </row>
    <row r="21">
      <c r="A21" s="123" t="n">
        <v>17989</v>
      </c>
      <c r="B21" t="n">
        <v>42.3</v>
      </c>
      <c r="E21" t="n">
        <v>13.8</v>
      </c>
      <c r="F21" t="n">
        <v>44.1</v>
      </c>
      <c r="H21" t="n">
        <v>27.9</v>
      </c>
      <c r="I21" t="n">
        <v>16.2</v>
      </c>
      <c r="J21" t="n">
        <v>31.6</v>
      </c>
      <c r="L21" t="n">
        <v>35.5</v>
      </c>
      <c r="N21" t="n">
        <v>2099.814</v>
      </c>
      <c r="O21" t="n">
        <v>-0.003411009297100643</v>
      </c>
      <c r="P21" t="n">
        <v>-0.01040812969891594</v>
      </c>
      <c r="Q21" t="n">
        <v>-0.01357438589464066</v>
      </c>
      <c r="R21" t="n">
        <v>-0.003411009297100643</v>
      </c>
      <c r="S21" t="n">
        <v>-0.01357438589464066</v>
      </c>
      <c r="T21" t="n">
        <v>-0.01040812969891594</v>
      </c>
    </row>
    <row r="22">
      <c r="A22" s="123" t="n">
        <v>18019</v>
      </c>
      <c r="B22" t="n">
        <v>41.1</v>
      </c>
      <c r="E22" t="n">
        <v>20.1</v>
      </c>
      <c r="F22" t="n">
        <v>38.2</v>
      </c>
      <c r="H22" t="n">
        <v>25.5</v>
      </c>
      <c r="I22" t="n">
        <v>15.5</v>
      </c>
      <c r="J22" t="n">
        <v>29</v>
      </c>
      <c r="L22" t="n">
        <v>32.6</v>
      </c>
      <c r="O22" t="n">
        <v>-0.003411009297100643</v>
      </c>
      <c r="P22" t="n">
        <v>-0.01040812969891594</v>
      </c>
      <c r="Q22" t="n">
        <v>-0.01357438589464066</v>
      </c>
    </row>
    <row r="23">
      <c r="A23" s="123" t="n">
        <v>18050</v>
      </c>
      <c r="B23" t="n">
        <v>39.8</v>
      </c>
      <c r="E23" t="n">
        <v>10.6</v>
      </c>
      <c r="F23" t="n">
        <v>38.4</v>
      </c>
      <c r="H23" t="n">
        <v>24.1</v>
      </c>
      <c r="I23" t="n">
        <v>15</v>
      </c>
      <c r="J23" t="n">
        <v>27.2</v>
      </c>
      <c r="L23" t="n">
        <v>31.6</v>
      </c>
      <c r="O23" t="n">
        <v>-0.003411009297100643</v>
      </c>
      <c r="P23" t="n">
        <v>-0.01040812969891594</v>
      </c>
      <c r="Q23" t="n">
        <v>-0.01357438589464066</v>
      </c>
    </row>
    <row r="24">
      <c r="A24" s="123" t="n">
        <v>18080</v>
      </c>
      <c r="B24" t="n">
        <v>49.1</v>
      </c>
      <c r="E24" t="n">
        <v>28.8</v>
      </c>
      <c r="F24" t="n">
        <v>47</v>
      </c>
      <c r="H24" t="n">
        <v>21.5</v>
      </c>
      <c r="I24" t="n">
        <v>22.4</v>
      </c>
      <c r="J24" t="n">
        <v>34.8</v>
      </c>
      <c r="L24" t="n">
        <v>39</v>
      </c>
      <c r="N24" t="n">
        <v>2121.493</v>
      </c>
      <c r="O24" t="n">
        <v>0.010324247766707</v>
      </c>
      <c r="P24" t="n">
        <v>-0.005886912058540217</v>
      </c>
      <c r="Q24" t="n">
        <v>0.04194094483004052</v>
      </c>
      <c r="R24" t="n">
        <v>0.010324247766707</v>
      </c>
      <c r="S24" t="n">
        <v>0.04194094483004052</v>
      </c>
      <c r="T24" t="n">
        <v>-0.005886912058540217</v>
      </c>
    </row>
    <row r="25">
      <c r="A25" s="123" t="n">
        <v>18111</v>
      </c>
      <c r="B25" t="n">
        <v>55.7</v>
      </c>
      <c r="E25" t="n">
        <v>42.7</v>
      </c>
      <c r="F25" t="n">
        <v>58.5</v>
      </c>
      <c r="H25" t="n">
        <v>26.8</v>
      </c>
      <c r="I25" t="n">
        <v>33</v>
      </c>
      <c r="J25" t="n">
        <v>40</v>
      </c>
      <c r="L25" t="n">
        <v>47</v>
      </c>
      <c r="O25" t="n">
        <v>0.010324247766707</v>
      </c>
      <c r="P25" t="n">
        <v>-0.005886912058540217</v>
      </c>
      <c r="Q25" t="n">
        <v>0.04194094483004052</v>
      </c>
    </row>
    <row r="26">
      <c r="A26" s="123" t="n">
        <v>18142</v>
      </c>
      <c r="B26" t="n">
        <v>58</v>
      </c>
      <c r="E26" t="n">
        <v>47.5</v>
      </c>
      <c r="F26" t="n">
        <v>60.3</v>
      </c>
      <c r="H26" t="n">
        <v>35.8</v>
      </c>
      <c r="I26" t="n">
        <v>39.9</v>
      </c>
      <c r="J26" t="n">
        <v>51.4</v>
      </c>
      <c r="L26" t="n">
        <v>52.3</v>
      </c>
      <c r="O26" t="n">
        <v>0.010324247766707</v>
      </c>
      <c r="P26" t="n">
        <v>-0.005886912058540217</v>
      </c>
      <c r="Q26" t="n">
        <v>0.04194094483004052</v>
      </c>
    </row>
    <row r="27">
      <c r="A27" s="123" t="n">
        <v>18172</v>
      </c>
      <c r="B27" t="n">
        <v>58.9</v>
      </c>
      <c r="E27" t="n">
        <v>42.1</v>
      </c>
      <c r="F27" t="n">
        <v>54.5</v>
      </c>
      <c r="H27" t="n">
        <v>40.6</v>
      </c>
      <c r="I27" t="n">
        <v>46.1</v>
      </c>
      <c r="J27" t="n">
        <v>43.7</v>
      </c>
      <c r="L27" t="n">
        <v>51</v>
      </c>
      <c r="N27" t="n">
        <v>2103.688</v>
      </c>
      <c r="O27" t="n">
        <v>-0.008392674404299159</v>
      </c>
      <c r="P27" t="n">
        <v>-0.01533017543202709</v>
      </c>
      <c r="Q27" t="n">
        <v>-0.03315043537256779</v>
      </c>
      <c r="R27" t="n">
        <v>-0.008392674404299159</v>
      </c>
      <c r="S27" t="n">
        <v>-0.03315043537256779</v>
      </c>
      <c r="T27" t="n">
        <v>-0.01533017543202709</v>
      </c>
    </row>
    <row r="28">
      <c r="A28" s="123" t="n">
        <v>18203</v>
      </c>
      <c r="B28" t="n">
        <v>58.7</v>
      </c>
      <c r="E28" t="n">
        <v>51.1</v>
      </c>
      <c r="F28" t="n">
        <v>55.7</v>
      </c>
      <c r="H28" t="n">
        <v>31.3</v>
      </c>
      <c r="I28" t="n">
        <v>51.5</v>
      </c>
      <c r="J28" t="n">
        <v>42.9</v>
      </c>
      <c r="L28" t="n">
        <v>51</v>
      </c>
      <c r="O28" t="n">
        <v>-0.008392674404299159</v>
      </c>
      <c r="P28" t="n">
        <v>-0.01533017543202709</v>
      </c>
      <c r="Q28" t="n">
        <v>-0.03315043537256779</v>
      </c>
    </row>
    <row r="29">
      <c r="A29" s="123" t="n">
        <v>18233</v>
      </c>
      <c r="B29" t="n">
        <v>53.1</v>
      </c>
      <c r="E29" t="n">
        <v>49.9</v>
      </c>
      <c r="F29" t="n">
        <v>63.3</v>
      </c>
      <c r="H29" t="n">
        <v>41.7</v>
      </c>
      <c r="I29" t="n">
        <v>52.2</v>
      </c>
      <c r="J29" t="n">
        <v>52.6</v>
      </c>
      <c r="L29" t="n">
        <v>57.3</v>
      </c>
      <c r="O29" t="n">
        <v>-0.008392674404299159</v>
      </c>
      <c r="P29" t="n">
        <v>-0.01533017543202709</v>
      </c>
      <c r="Q29" t="n">
        <v>-0.03315043537256779</v>
      </c>
    </row>
    <row r="30">
      <c r="A30" s="123" t="n">
        <v>18264</v>
      </c>
      <c r="B30" t="n">
        <v>62.3</v>
      </c>
      <c r="E30" t="n">
        <v>62.4</v>
      </c>
      <c r="F30" t="n">
        <v>64.3</v>
      </c>
      <c r="H30" t="n">
        <v>43.6</v>
      </c>
      <c r="I30" t="n">
        <v>56.3</v>
      </c>
      <c r="J30" t="n">
        <v>57.7</v>
      </c>
      <c r="L30" t="n">
        <v>59.1</v>
      </c>
      <c r="N30" t="n">
        <v>2186.365</v>
      </c>
      <c r="O30" t="n">
        <v>0.03930097999323078</v>
      </c>
      <c r="P30" t="n">
        <v>0.03766680699249766</v>
      </c>
      <c r="Q30" t="n">
        <v>0.1667165198223277</v>
      </c>
      <c r="R30" t="n">
        <v>0.03930097999323078</v>
      </c>
      <c r="S30" t="n">
        <v>0.1667165198223277</v>
      </c>
      <c r="T30" t="n">
        <v>0.03766680699249766</v>
      </c>
    </row>
    <row r="31">
      <c r="A31" s="123" t="n">
        <v>18295</v>
      </c>
      <c r="B31" t="n">
        <v>62.5</v>
      </c>
      <c r="E31" t="n">
        <v>70.90000000000001</v>
      </c>
      <c r="F31" t="n">
        <v>66.7</v>
      </c>
      <c r="H31" t="n">
        <v>46.4</v>
      </c>
      <c r="I31" t="n">
        <v>68</v>
      </c>
      <c r="J31" t="n">
        <v>51.1</v>
      </c>
      <c r="L31" t="n">
        <v>60.5</v>
      </c>
      <c r="O31" t="n">
        <v>0.03930097999323078</v>
      </c>
      <c r="P31" t="n">
        <v>0.03766680699249766</v>
      </c>
      <c r="Q31" t="n">
        <v>0.1667165198223277</v>
      </c>
    </row>
    <row r="32">
      <c r="A32" s="123" t="n">
        <v>18323</v>
      </c>
      <c r="B32" t="n">
        <v>61.8</v>
      </c>
      <c r="E32" t="n">
        <v>77</v>
      </c>
      <c r="F32" t="n">
        <v>65.8</v>
      </c>
      <c r="H32" t="n">
        <v>48.8</v>
      </c>
      <c r="I32" t="n">
        <v>72</v>
      </c>
      <c r="J32" t="n">
        <v>56.9</v>
      </c>
      <c r="L32" t="n">
        <v>62.1</v>
      </c>
      <c r="O32" t="n">
        <v>0.03930097999323078</v>
      </c>
      <c r="P32" t="n">
        <v>0.03766680699249766</v>
      </c>
      <c r="Q32" t="n">
        <v>0.1667165198223277</v>
      </c>
    </row>
    <row r="33">
      <c r="A33" s="123" t="n">
        <v>18354</v>
      </c>
      <c r="B33" t="n">
        <v>71</v>
      </c>
      <c r="E33" t="n">
        <v>80.2</v>
      </c>
      <c r="F33" t="n">
        <v>74.8</v>
      </c>
      <c r="H33" t="n">
        <v>50.6</v>
      </c>
      <c r="I33" t="n">
        <v>68.8</v>
      </c>
      <c r="J33" t="n">
        <v>63.4</v>
      </c>
      <c r="L33" t="n">
        <v>68.09999999999999</v>
      </c>
      <c r="N33" t="n">
        <v>2253.045</v>
      </c>
      <c r="O33" t="n">
        <v>0.03049810987643888</v>
      </c>
      <c r="P33" t="n">
        <v>0.0729736062336951</v>
      </c>
      <c r="Q33" t="n">
        <v>0.1276875822943975</v>
      </c>
      <c r="R33" t="n">
        <v>0.03049810987643888</v>
      </c>
      <c r="S33" t="n">
        <v>0.1276875822943975</v>
      </c>
      <c r="T33" t="n">
        <v>0.0729736062336951</v>
      </c>
    </row>
    <row r="34">
      <c r="A34" s="123" t="n">
        <v>18384</v>
      </c>
      <c r="B34" t="n">
        <v>76.59999999999999</v>
      </c>
      <c r="E34" t="n">
        <v>98.2</v>
      </c>
      <c r="F34" t="n">
        <v>78.09999999999999</v>
      </c>
      <c r="H34" t="n">
        <v>58.2</v>
      </c>
      <c r="I34" t="n">
        <v>82.90000000000001</v>
      </c>
      <c r="J34" t="n">
        <v>69.8</v>
      </c>
      <c r="L34" t="n">
        <v>74.7</v>
      </c>
      <c r="O34" t="n">
        <v>0.03049810987643888</v>
      </c>
      <c r="P34" t="n">
        <v>0.0729736062336951</v>
      </c>
      <c r="Q34" t="n">
        <v>0.1276875822943975</v>
      </c>
    </row>
    <row r="35">
      <c r="A35" s="123" t="n">
        <v>18415</v>
      </c>
      <c r="B35" t="n">
        <v>82.59999999999999</v>
      </c>
      <c r="E35" t="n">
        <v>100</v>
      </c>
      <c r="F35" t="n">
        <v>79.09999999999999</v>
      </c>
      <c r="H35" t="n">
        <v>62.1</v>
      </c>
      <c r="I35" t="n">
        <v>76.5</v>
      </c>
      <c r="J35" t="n">
        <v>71.90000000000001</v>
      </c>
      <c r="L35" t="n">
        <v>76.59999999999999</v>
      </c>
      <c r="O35" t="n">
        <v>0.03049810987643888</v>
      </c>
      <c r="P35" t="n">
        <v>0.0729736062336951</v>
      </c>
      <c r="Q35" t="n">
        <v>0.1276875822943975</v>
      </c>
    </row>
    <row r="36">
      <c r="A36" s="123" t="n">
        <v>18445</v>
      </c>
      <c r="B36" t="n">
        <v>80.3</v>
      </c>
      <c r="E36" t="n">
        <v>90.7</v>
      </c>
      <c r="F36" t="n">
        <v>77.09999999999999</v>
      </c>
      <c r="H36" t="n">
        <v>62.7</v>
      </c>
      <c r="I36" t="n">
        <v>89.40000000000001</v>
      </c>
      <c r="J36" t="n">
        <v>72.5</v>
      </c>
      <c r="L36" t="n">
        <v>77.5</v>
      </c>
      <c r="N36" t="n">
        <v>2340.112</v>
      </c>
      <c r="O36" t="n">
        <v>0.03864414603347914</v>
      </c>
      <c r="P36" t="n">
        <v>0.1030495976182812</v>
      </c>
      <c r="Q36" t="n">
        <v>0.1637698744608329</v>
      </c>
      <c r="R36" t="n">
        <v>0.03864414603347914</v>
      </c>
      <c r="S36" t="n">
        <v>0.1637698744608329</v>
      </c>
      <c r="T36" t="n">
        <v>0.1030495976182812</v>
      </c>
    </row>
    <row r="37">
      <c r="A37" s="123" t="n">
        <v>18476</v>
      </c>
      <c r="B37" t="n">
        <v>77.09999999999999</v>
      </c>
      <c r="E37" t="n">
        <v>84.8</v>
      </c>
      <c r="F37" t="n">
        <v>78.7</v>
      </c>
      <c r="H37" t="n">
        <v>62.3</v>
      </c>
      <c r="I37" t="n">
        <v>81.7</v>
      </c>
      <c r="J37" t="n">
        <v>72.3</v>
      </c>
      <c r="L37" t="n">
        <v>75.8</v>
      </c>
      <c r="O37" t="n">
        <v>0.03864414603347914</v>
      </c>
      <c r="P37" t="n">
        <v>0.1030495976182812</v>
      </c>
      <c r="Q37" t="n">
        <v>0.1637698744608329</v>
      </c>
    </row>
    <row r="38">
      <c r="A38" s="123" t="n">
        <v>18507</v>
      </c>
      <c r="B38" t="n">
        <v>66.40000000000001</v>
      </c>
      <c r="E38" t="n">
        <v>84.40000000000001</v>
      </c>
      <c r="F38" t="n">
        <v>68.59999999999999</v>
      </c>
      <c r="H38" t="n">
        <v>55.2</v>
      </c>
      <c r="I38" t="n">
        <v>73.7</v>
      </c>
      <c r="J38" t="n">
        <v>72.2</v>
      </c>
      <c r="L38" t="n">
        <v>68.09999999999999</v>
      </c>
      <c r="O38" t="n">
        <v>0.03864414603347914</v>
      </c>
      <c r="P38" t="n">
        <v>0.1030495976182812</v>
      </c>
      <c r="Q38" t="n">
        <v>0.1637698744608329</v>
      </c>
    </row>
    <row r="39">
      <c r="A39" s="123" t="n">
        <v>18537</v>
      </c>
      <c r="B39" t="n">
        <v>49</v>
      </c>
      <c r="E39" t="n">
        <v>84.8</v>
      </c>
      <c r="F39" t="n">
        <v>62.9</v>
      </c>
      <c r="H39" t="n">
        <v>50.6</v>
      </c>
      <c r="I39" t="n">
        <v>70.3</v>
      </c>
      <c r="J39" t="n">
        <v>65.59999999999999</v>
      </c>
      <c r="L39" t="n">
        <v>59.2</v>
      </c>
      <c r="N39" t="n">
        <v>2384.92</v>
      </c>
      <c r="O39" t="n">
        <v>0.01914780147275002</v>
      </c>
      <c r="P39" t="n">
        <v>0.1336852232840611</v>
      </c>
      <c r="Q39" t="n">
        <v>0.07881925139170076</v>
      </c>
      <c r="R39" t="n">
        <v>0.01914780147275002</v>
      </c>
      <c r="S39" t="n">
        <v>0.07881925139170076</v>
      </c>
      <c r="T39" t="n">
        <v>0.1336852232840611</v>
      </c>
    </row>
    <row r="40">
      <c r="A40" s="123" t="n">
        <v>18568</v>
      </c>
      <c r="B40" t="n">
        <v>57.2</v>
      </c>
      <c r="E40" t="n">
        <v>85.09999999999999</v>
      </c>
      <c r="F40" t="n">
        <v>63.6</v>
      </c>
      <c r="H40" t="n">
        <v>48.3</v>
      </c>
      <c r="I40" t="n">
        <v>79.09999999999999</v>
      </c>
      <c r="J40" t="n">
        <v>66.7</v>
      </c>
      <c r="L40" t="n">
        <v>63.1</v>
      </c>
      <c r="O40" t="n">
        <v>0.01914780147275002</v>
      </c>
      <c r="P40" t="n">
        <v>0.1336852232840611</v>
      </c>
      <c r="Q40" t="n">
        <v>0.07881925139170076</v>
      </c>
    </row>
    <row r="41">
      <c r="A41" s="123" t="n">
        <v>18598</v>
      </c>
      <c r="B41" t="n">
        <v>67.7</v>
      </c>
      <c r="E41" t="n">
        <v>91.09999999999999</v>
      </c>
      <c r="F41" t="n">
        <v>62.5</v>
      </c>
      <c r="H41" t="n">
        <v>49.7</v>
      </c>
      <c r="I41" t="n">
        <v>87.5</v>
      </c>
      <c r="J41" t="n">
        <v>65.09999999999999</v>
      </c>
      <c r="L41" t="n">
        <v>67.09999999999999</v>
      </c>
      <c r="O41" t="n">
        <v>0.01914780147275002</v>
      </c>
      <c r="P41" t="n">
        <v>0.1336852232840611</v>
      </c>
      <c r="Q41" t="n">
        <v>0.07881925139170076</v>
      </c>
    </row>
    <row r="42">
      <c r="A42" s="123" t="n">
        <v>18629</v>
      </c>
      <c r="B42" t="n">
        <v>67.90000000000001</v>
      </c>
      <c r="E42" t="n">
        <v>85.09999999999999</v>
      </c>
      <c r="F42" t="n">
        <v>63</v>
      </c>
      <c r="H42" t="n">
        <v>48</v>
      </c>
      <c r="I42" t="n">
        <v>88.7</v>
      </c>
      <c r="J42" t="n">
        <v>67.8</v>
      </c>
      <c r="L42" t="n">
        <v>67.8</v>
      </c>
      <c r="N42" t="n">
        <v>2417.311</v>
      </c>
      <c r="O42" t="n">
        <v>0.01358158764235281</v>
      </c>
      <c r="P42" t="n">
        <v>0.1056301212286148</v>
      </c>
      <c r="Q42" t="n">
        <v>0.05544316274475469</v>
      </c>
      <c r="R42" t="n">
        <v>0.01358158764235281</v>
      </c>
      <c r="S42" t="n">
        <v>0.05544316274475469</v>
      </c>
      <c r="T42" t="n">
        <v>0.1056301212286148</v>
      </c>
    </row>
    <row r="43">
      <c r="A43" s="123" t="n">
        <v>18660</v>
      </c>
      <c r="B43" t="n">
        <v>70</v>
      </c>
      <c r="E43" t="n">
        <v>86.5</v>
      </c>
      <c r="F43" t="n">
        <v>61.4</v>
      </c>
      <c r="H43" t="n">
        <v>42.1</v>
      </c>
      <c r="I43" t="n">
        <v>93.3</v>
      </c>
      <c r="J43" t="n">
        <v>73.7</v>
      </c>
      <c r="L43" t="n">
        <v>69.3</v>
      </c>
      <c r="O43" t="n">
        <v>0.01358158764235281</v>
      </c>
      <c r="P43" t="n">
        <v>0.1056301212286148</v>
      </c>
      <c r="Q43" t="n">
        <v>0.05544316274475469</v>
      </c>
    </row>
    <row r="44">
      <c r="A44" s="123" t="n">
        <v>18688</v>
      </c>
      <c r="B44" t="n">
        <v>61</v>
      </c>
      <c r="E44" t="n">
        <v>76.59999999999999</v>
      </c>
      <c r="F44" t="n">
        <v>61.2</v>
      </c>
      <c r="H44" t="n">
        <v>47.4</v>
      </c>
      <c r="I44" t="n">
        <v>85.09999999999999</v>
      </c>
      <c r="J44" t="n">
        <v>72</v>
      </c>
      <c r="L44" t="n">
        <v>65.5</v>
      </c>
      <c r="O44" t="n">
        <v>0.01358158764235281</v>
      </c>
      <c r="P44" t="n">
        <v>0.1056301212286148</v>
      </c>
      <c r="Q44" t="n">
        <v>0.05544316274475469</v>
      </c>
    </row>
    <row r="45">
      <c r="A45" s="123" t="n">
        <v>18719</v>
      </c>
      <c r="B45" t="n">
        <v>42.3</v>
      </c>
      <c r="E45" t="n">
        <v>68.5</v>
      </c>
      <c r="F45" t="n">
        <v>53.5</v>
      </c>
      <c r="H45" t="n">
        <v>51.8</v>
      </c>
      <c r="I45" t="n">
        <v>65.7</v>
      </c>
      <c r="J45" t="n">
        <v>61.9</v>
      </c>
      <c r="L45" t="n">
        <v>53.5</v>
      </c>
      <c r="N45" t="n">
        <v>2459.196</v>
      </c>
      <c r="O45" t="n">
        <v>0.01732710437341317</v>
      </c>
      <c r="P45" t="n">
        <v>0.09149883823891659</v>
      </c>
      <c r="Q45" t="n">
        <v>0.07113068727204253</v>
      </c>
      <c r="R45" t="n">
        <v>0.01732710437341317</v>
      </c>
      <c r="S45" t="n">
        <v>0.07113068727204253</v>
      </c>
      <c r="T45" t="n">
        <v>0.09149883823891659</v>
      </c>
    </row>
    <row r="46">
      <c r="A46" s="123" t="n">
        <v>18749</v>
      </c>
      <c r="B46" t="n">
        <v>45.2</v>
      </c>
      <c r="E46" t="n">
        <v>63.6</v>
      </c>
      <c r="F46" t="n">
        <v>54.2</v>
      </c>
      <c r="H46" t="n">
        <v>51.2</v>
      </c>
      <c r="I46" t="n">
        <v>45</v>
      </c>
      <c r="J46" t="n">
        <v>58.8</v>
      </c>
      <c r="L46" t="n">
        <v>50.7</v>
      </c>
      <c r="O46" t="n">
        <v>0.01732710437341317</v>
      </c>
      <c r="P46" t="n">
        <v>0.09149883823891659</v>
      </c>
      <c r="Q46" t="n">
        <v>0.07113068727204253</v>
      </c>
    </row>
    <row r="47">
      <c r="A47" s="123" t="n">
        <v>18780</v>
      </c>
      <c r="B47" t="n">
        <v>39.1</v>
      </c>
      <c r="E47" t="n">
        <v>52.1</v>
      </c>
      <c r="F47" t="n">
        <v>48.6</v>
      </c>
      <c r="H47" t="n">
        <v>48.4</v>
      </c>
      <c r="I47" t="n">
        <v>36.7</v>
      </c>
      <c r="J47" t="n">
        <v>56.4</v>
      </c>
      <c r="L47" t="n">
        <v>45.5</v>
      </c>
      <c r="O47" t="n">
        <v>0.01732710437341317</v>
      </c>
      <c r="P47" t="n">
        <v>0.09149883823891659</v>
      </c>
      <c r="Q47" t="n">
        <v>0.07113068727204253</v>
      </c>
    </row>
    <row r="48">
      <c r="A48" s="123" t="n">
        <v>18810</v>
      </c>
      <c r="B48" t="n">
        <v>38.2</v>
      </c>
      <c r="E48" t="n">
        <v>46.4</v>
      </c>
      <c r="F48" t="n">
        <v>41.6</v>
      </c>
      <c r="H48" t="n">
        <v>47.8</v>
      </c>
      <c r="I48" t="n">
        <v>32.2</v>
      </c>
      <c r="J48" t="n">
        <v>53.2</v>
      </c>
      <c r="L48" t="n">
        <v>42.1</v>
      </c>
      <c r="N48" t="n">
        <v>2509.88</v>
      </c>
      <c r="O48" t="n">
        <v>0.02060998797981137</v>
      </c>
      <c r="P48" t="n">
        <v>0.07254695501753763</v>
      </c>
      <c r="Q48" t="n">
        <v>0.08502378012798339</v>
      </c>
      <c r="R48" t="n">
        <v>0.02060998797981137</v>
      </c>
      <c r="S48" t="n">
        <v>0.08502378012798339</v>
      </c>
      <c r="T48" t="n">
        <v>0.07254695501753763</v>
      </c>
    </row>
    <row r="49">
      <c r="A49" s="123" t="n">
        <v>18841</v>
      </c>
      <c r="B49" t="n">
        <v>38.5</v>
      </c>
      <c r="E49" t="n">
        <v>43.2</v>
      </c>
      <c r="F49" t="n">
        <v>48.4</v>
      </c>
      <c r="H49" t="n">
        <v>46.7</v>
      </c>
      <c r="I49" t="n">
        <v>32</v>
      </c>
      <c r="J49" t="n">
        <v>51.7</v>
      </c>
      <c r="L49" t="n">
        <v>43.6</v>
      </c>
      <c r="O49" t="n">
        <v>0.02060998797981137</v>
      </c>
      <c r="P49" t="n">
        <v>0.07254695501753763</v>
      </c>
      <c r="Q49" t="n">
        <v>0.08502378012798339</v>
      </c>
    </row>
    <row r="50">
      <c r="A50" s="123" t="n">
        <v>18872</v>
      </c>
      <c r="B50" t="n">
        <v>48.2</v>
      </c>
      <c r="E50" t="n">
        <v>45.7</v>
      </c>
      <c r="F50" t="n">
        <v>50.2</v>
      </c>
      <c r="H50" t="n">
        <v>43.8</v>
      </c>
      <c r="I50" t="n">
        <v>46.4</v>
      </c>
      <c r="J50" t="n">
        <v>48.6</v>
      </c>
      <c r="L50" t="n">
        <v>48.1</v>
      </c>
      <c r="O50" t="n">
        <v>0.02060998797981137</v>
      </c>
      <c r="P50" t="n">
        <v>0.07254695501753763</v>
      </c>
      <c r="Q50" t="n">
        <v>0.08502378012798339</v>
      </c>
    </row>
    <row r="51">
      <c r="A51" s="123" t="n">
        <v>18902</v>
      </c>
      <c r="B51" t="n">
        <v>51.7</v>
      </c>
      <c r="E51" t="n">
        <v>54.4</v>
      </c>
      <c r="F51" t="n">
        <v>50.3</v>
      </c>
      <c r="H51" t="n">
        <v>42</v>
      </c>
      <c r="I51" t="n">
        <v>47.2</v>
      </c>
      <c r="J51" t="n">
        <v>51.1</v>
      </c>
      <c r="L51" t="n">
        <v>49.6</v>
      </c>
      <c r="N51" t="n">
        <v>2515.408</v>
      </c>
      <c r="O51" t="n">
        <v>0.002202495736847894</v>
      </c>
      <c r="P51" t="n">
        <v>0.05471378494876131</v>
      </c>
      <c r="Q51" t="n">
        <v>0.008839131632865316</v>
      </c>
      <c r="R51" t="n">
        <v>0.002202495736847894</v>
      </c>
      <c r="S51" t="n">
        <v>0.008839131632865316</v>
      </c>
      <c r="T51" t="n">
        <v>0.05471378494876131</v>
      </c>
    </row>
    <row r="52">
      <c r="A52" s="123" t="n">
        <v>18933</v>
      </c>
      <c r="B52" t="n">
        <v>49.3</v>
      </c>
      <c r="E52" t="n">
        <v>55.6</v>
      </c>
      <c r="F52" t="n">
        <v>50.9</v>
      </c>
      <c r="H52" t="n">
        <v>44.5</v>
      </c>
      <c r="I52" t="n">
        <v>34.9</v>
      </c>
      <c r="J52" t="n">
        <v>50.2</v>
      </c>
      <c r="L52" t="n">
        <v>47.2</v>
      </c>
      <c r="O52" t="n">
        <v>0.002202495736847894</v>
      </c>
      <c r="P52" t="n">
        <v>0.05471378494876131</v>
      </c>
      <c r="Q52" t="n">
        <v>0.008839131632865316</v>
      </c>
    </row>
    <row r="53">
      <c r="A53" s="123" t="n">
        <v>18963</v>
      </c>
      <c r="B53" t="n">
        <v>45.3</v>
      </c>
      <c r="E53" t="n">
        <v>56.6</v>
      </c>
      <c r="F53" t="n">
        <v>52.8</v>
      </c>
      <c r="H53" t="n">
        <v>42.6</v>
      </c>
      <c r="I53" t="n">
        <v>33.6</v>
      </c>
      <c r="J53" t="n">
        <v>51.8</v>
      </c>
      <c r="L53" t="n">
        <v>46.5</v>
      </c>
      <c r="O53" t="n">
        <v>0.002202495736847894</v>
      </c>
      <c r="P53" t="n">
        <v>0.05471378494876131</v>
      </c>
      <c r="Q53" t="n">
        <v>0.008839131632865316</v>
      </c>
    </row>
    <row r="54">
      <c r="A54" s="123" t="n">
        <v>18994</v>
      </c>
      <c r="B54" t="n">
        <v>46.8</v>
      </c>
      <c r="E54" t="n">
        <v>51.8</v>
      </c>
      <c r="F54" t="n">
        <v>49.5</v>
      </c>
      <c r="H54" t="n">
        <v>42.5</v>
      </c>
      <c r="I54" t="n">
        <v>31.3</v>
      </c>
      <c r="J54" t="n">
        <v>46.9</v>
      </c>
      <c r="L54" t="n">
        <v>44.7</v>
      </c>
      <c r="N54" t="n">
        <v>2542.286</v>
      </c>
      <c r="O54" t="n">
        <v>0.01068534408732109</v>
      </c>
      <c r="P54" t="n">
        <v>0.05170000881144375</v>
      </c>
      <c r="Q54" t="n">
        <v>0.04343132891926405</v>
      </c>
      <c r="R54" t="n">
        <v>0.01068534408732109</v>
      </c>
      <c r="S54" t="n">
        <v>0.04343132891926405</v>
      </c>
      <c r="T54" t="n">
        <v>0.05170000881144375</v>
      </c>
    </row>
    <row r="55">
      <c r="A55" s="123" t="n">
        <v>19025</v>
      </c>
      <c r="B55" t="n">
        <v>42.3</v>
      </c>
      <c r="E55" t="n">
        <v>52.7</v>
      </c>
      <c r="F55" t="n">
        <v>49.9</v>
      </c>
      <c r="H55" t="n">
        <v>39.3</v>
      </c>
      <c r="I55" t="n">
        <v>24.9</v>
      </c>
      <c r="J55" t="n">
        <v>44.8</v>
      </c>
      <c r="L55" t="n">
        <v>41.8</v>
      </c>
      <c r="O55" t="n">
        <v>0.01068534408732109</v>
      </c>
      <c r="P55" t="n">
        <v>0.05170000881144375</v>
      </c>
      <c r="Q55" t="n">
        <v>0.04343132891926405</v>
      </c>
    </row>
    <row r="56">
      <c r="A56" s="123" t="n">
        <v>19054</v>
      </c>
      <c r="B56" t="n">
        <v>43.7</v>
      </c>
      <c r="E56" t="n">
        <v>44.7</v>
      </c>
      <c r="F56" t="n">
        <v>48.7</v>
      </c>
      <c r="H56" t="n">
        <v>35.6</v>
      </c>
      <c r="I56" t="n">
        <v>18.8</v>
      </c>
      <c r="J56" t="n">
        <v>41.8</v>
      </c>
      <c r="L56" t="n">
        <v>40</v>
      </c>
      <c r="O56" t="n">
        <v>0.01068534408732109</v>
      </c>
      <c r="P56" t="n">
        <v>0.05170000881144375</v>
      </c>
      <c r="Q56" t="n">
        <v>0.04343132891926405</v>
      </c>
    </row>
    <row r="57">
      <c r="A57" s="123" t="n">
        <v>19085</v>
      </c>
      <c r="B57" t="n">
        <v>35.8</v>
      </c>
      <c r="E57" t="n">
        <v>42.6</v>
      </c>
      <c r="F57" t="n">
        <v>43.5</v>
      </c>
      <c r="H57" t="n">
        <v>35.4</v>
      </c>
      <c r="I57" t="n">
        <v>19.4</v>
      </c>
      <c r="J57" t="n">
        <v>43.3</v>
      </c>
      <c r="L57" t="n">
        <v>36.7</v>
      </c>
      <c r="N57" t="n">
        <v>2547.762</v>
      </c>
      <c r="O57" t="n">
        <v>0.002153966941563661</v>
      </c>
      <c r="P57" t="n">
        <v>0.03601420952213661</v>
      </c>
      <c r="Q57" t="n">
        <v>0.008643745203244402</v>
      </c>
      <c r="R57" t="n">
        <v>0.002153966941563661</v>
      </c>
      <c r="S57" t="n">
        <v>0.008643745203244402</v>
      </c>
      <c r="T57" t="n">
        <v>0.03601420952213661</v>
      </c>
    </row>
    <row r="58">
      <c r="A58" s="123" t="n">
        <v>19115</v>
      </c>
      <c r="B58" t="n">
        <v>43.9</v>
      </c>
      <c r="E58" t="n">
        <v>38.8</v>
      </c>
      <c r="F58" t="n">
        <v>45.7</v>
      </c>
      <c r="H58" t="n">
        <v>30.3</v>
      </c>
      <c r="I58" t="n">
        <v>22.4</v>
      </c>
      <c r="J58" t="n">
        <v>42.7</v>
      </c>
      <c r="L58" t="n">
        <v>39.5</v>
      </c>
      <c r="O58" t="n">
        <v>0.002153966941563661</v>
      </c>
      <c r="P58" t="n">
        <v>0.03601420952213661</v>
      </c>
      <c r="Q58" t="n">
        <v>0.008643745203244402</v>
      </c>
    </row>
    <row r="59">
      <c r="A59" s="123" t="n">
        <v>19146</v>
      </c>
      <c r="B59" t="n">
        <v>46.3</v>
      </c>
      <c r="E59" t="n">
        <v>40.4</v>
      </c>
      <c r="F59" t="n">
        <v>49.5</v>
      </c>
      <c r="H59" t="n">
        <v>33.8</v>
      </c>
      <c r="I59" t="n">
        <v>33</v>
      </c>
      <c r="J59" t="n">
        <v>43.5</v>
      </c>
      <c r="L59" t="n">
        <v>43.3</v>
      </c>
      <c r="O59" t="n">
        <v>0.002153966941563661</v>
      </c>
      <c r="P59" t="n">
        <v>0.03601420952213661</v>
      </c>
      <c r="Q59" t="n">
        <v>0.008643745203244402</v>
      </c>
    </row>
    <row r="60">
      <c r="A60" s="123" t="n">
        <v>19176</v>
      </c>
      <c r="B60" t="n">
        <v>69.40000000000001</v>
      </c>
      <c r="E60" t="n">
        <v>60.1</v>
      </c>
      <c r="F60" t="n">
        <v>37.2</v>
      </c>
      <c r="H60" t="n">
        <v>31.6</v>
      </c>
      <c r="I60" t="n">
        <v>47.4</v>
      </c>
      <c r="J60" t="n">
        <v>39.5</v>
      </c>
      <c r="L60" t="n">
        <v>48.3</v>
      </c>
      <c r="N60" t="n">
        <v>2566.153</v>
      </c>
      <c r="O60" t="n">
        <v>0.007218492151150547</v>
      </c>
      <c r="P60" t="n">
        <v>0.02242059381324991</v>
      </c>
      <c r="Q60" t="n">
        <v>0.02918811561848789</v>
      </c>
      <c r="R60" t="n">
        <v>0.007218492151150547</v>
      </c>
      <c r="S60" t="n">
        <v>0.02918811561848789</v>
      </c>
      <c r="T60" t="n">
        <v>0.02242059381324991</v>
      </c>
    </row>
    <row r="61">
      <c r="A61" s="123" t="n">
        <v>19207</v>
      </c>
      <c r="B61" t="n">
        <v>58.5</v>
      </c>
      <c r="E61" t="n">
        <v>54.7</v>
      </c>
      <c r="F61" t="n">
        <v>84</v>
      </c>
      <c r="H61" t="n">
        <v>30.5</v>
      </c>
      <c r="I61" t="n">
        <v>41.2</v>
      </c>
      <c r="J61" t="n">
        <v>63.1</v>
      </c>
      <c r="L61" t="n">
        <v>60.4</v>
      </c>
      <c r="O61" t="n">
        <v>0.007218492151150547</v>
      </c>
      <c r="P61" t="n">
        <v>0.02242059381324991</v>
      </c>
      <c r="Q61" t="n">
        <v>0.02918811561848789</v>
      </c>
    </row>
    <row r="62">
      <c r="A62" s="123" t="n">
        <v>19238</v>
      </c>
      <c r="B62" t="n">
        <v>60.3</v>
      </c>
      <c r="E62" t="n">
        <v>57.9</v>
      </c>
      <c r="F62" t="n">
        <v>66</v>
      </c>
      <c r="H62" t="n">
        <v>38.6</v>
      </c>
      <c r="I62" t="n">
        <v>42.7</v>
      </c>
      <c r="J62" t="n">
        <v>56.2</v>
      </c>
      <c r="L62" t="n">
        <v>56.1</v>
      </c>
      <c r="O62" t="n">
        <v>0.007218492151150547</v>
      </c>
      <c r="P62" t="n">
        <v>0.02242059381324991</v>
      </c>
      <c r="Q62" t="n">
        <v>0.02918811561848789</v>
      </c>
    </row>
    <row r="63">
      <c r="A63" s="123" t="n">
        <v>19268</v>
      </c>
      <c r="B63" t="n">
        <v>59.9</v>
      </c>
      <c r="E63" t="n">
        <v>54.1</v>
      </c>
      <c r="F63" t="n">
        <v>65.3</v>
      </c>
      <c r="H63" t="n">
        <v>38.2</v>
      </c>
      <c r="I63" t="n">
        <v>43.3</v>
      </c>
      <c r="J63" t="n">
        <v>57.8</v>
      </c>
      <c r="L63" t="n">
        <v>56.2</v>
      </c>
      <c r="N63" t="n">
        <v>2650.431</v>
      </c>
      <c r="O63" t="n">
        <v>0.03284215711222217</v>
      </c>
      <c r="P63" t="n">
        <v>0.05367836947326245</v>
      </c>
      <c r="Q63" t="n">
        <v>0.1379831307047703</v>
      </c>
      <c r="R63" t="n">
        <v>0.03284215711222217</v>
      </c>
      <c r="S63" t="n">
        <v>0.1379831307047703</v>
      </c>
      <c r="T63" t="n">
        <v>0.05367836947326245</v>
      </c>
    </row>
    <row r="64">
      <c r="A64" s="123" t="n">
        <v>19299</v>
      </c>
      <c r="B64" t="n">
        <v>58.8</v>
      </c>
      <c r="E64" t="n">
        <v>49.7</v>
      </c>
      <c r="F64" t="n">
        <v>65</v>
      </c>
      <c r="H64" t="n">
        <v>39.9</v>
      </c>
      <c r="I64" t="n">
        <v>45</v>
      </c>
      <c r="J64" t="n">
        <v>60.9</v>
      </c>
      <c r="L64" t="n">
        <v>56.8</v>
      </c>
      <c r="O64" t="n">
        <v>0.03284215711222217</v>
      </c>
      <c r="P64" t="n">
        <v>0.05367836947326245</v>
      </c>
      <c r="Q64" t="n">
        <v>0.1379831307047703</v>
      </c>
    </row>
    <row r="65">
      <c r="A65" s="123" t="n">
        <v>19329</v>
      </c>
      <c r="B65" t="n">
        <v>60.4</v>
      </c>
      <c r="E65" t="n">
        <v>48.2</v>
      </c>
      <c r="F65" t="n">
        <v>64.3</v>
      </c>
      <c r="H65" t="n">
        <v>40</v>
      </c>
      <c r="I65" t="n">
        <v>43.5</v>
      </c>
      <c r="J65" t="n">
        <v>55.6</v>
      </c>
      <c r="L65" t="n">
        <v>55.8</v>
      </c>
      <c r="O65" t="n">
        <v>0.03284215711222217</v>
      </c>
      <c r="P65" t="n">
        <v>0.05367836947326245</v>
      </c>
      <c r="Q65" t="n">
        <v>0.1379831307047703</v>
      </c>
    </row>
    <row r="66">
      <c r="A66" s="123" t="n">
        <v>19360</v>
      </c>
      <c r="B66" t="n">
        <v>64.59999999999999</v>
      </c>
      <c r="E66" t="n">
        <v>45.1</v>
      </c>
      <c r="F66" t="n">
        <v>69.8</v>
      </c>
      <c r="H66" t="n">
        <v>40.9</v>
      </c>
      <c r="I66" t="n">
        <v>41.5</v>
      </c>
      <c r="J66" t="n">
        <v>61.5</v>
      </c>
      <c r="L66" t="n">
        <v>59.4</v>
      </c>
      <c r="N66" t="n">
        <v>2699.699</v>
      </c>
      <c r="O66" t="n">
        <v>0.01858867482307595</v>
      </c>
      <c r="P66" t="n">
        <v>0.06191789594089729</v>
      </c>
      <c r="Q66" t="n">
        <v>0.07645374411537942</v>
      </c>
      <c r="R66" t="n">
        <v>0.01858867482307595</v>
      </c>
      <c r="S66" t="n">
        <v>0.07645374411537942</v>
      </c>
      <c r="T66" t="n">
        <v>0.06191789594089729</v>
      </c>
    </row>
    <row r="67">
      <c r="A67" s="123" t="n">
        <v>19391</v>
      </c>
      <c r="B67" t="n">
        <v>56</v>
      </c>
      <c r="E67" t="n">
        <v>54.5</v>
      </c>
      <c r="F67" t="n">
        <v>62.4</v>
      </c>
      <c r="H67" t="n">
        <v>44.3</v>
      </c>
      <c r="I67" t="n">
        <v>41.8</v>
      </c>
      <c r="J67" t="n">
        <v>61.7</v>
      </c>
      <c r="L67" t="n">
        <v>55.4</v>
      </c>
      <c r="O67" t="n">
        <v>0.01858867482307595</v>
      </c>
      <c r="P67" t="n">
        <v>0.06191789594089729</v>
      </c>
      <c r="Q67" t="n">
        <v>0.07645374411537942</v>
      </c>
    </row>
    <row r="68">
      <c r="A68" s="123" t="n">
        <v>19419</v>
      </c>
      <c r="B68" t="n">
        <v>47.2</v>
      </c>
      <c r="E68" t="n">
        <v>73.3</v>
      </c>
      <c r="F68" t="n">
        <v>54</v>
      </c>
      <c r="H68" t="n">
        <v>46.4</v>
      </c>
      <c r="I68" t="n">
        <v>41.8</v>
      </c>
      <c r="J68" t="n">
        <v>59.4</v>
      </c>
      <c r="L68" t="n">
        <v>50.5</v>
      </c>
      <c r="O68" t="n">
        <v>0.01858867482307595</v>
      </c>
      <c r="P68" t="n">
        <v>0.06191789594089729</v>
      </c>
      <c r="Q68" t="n">
        <v>0.07645374411537942</v>
      </c>
    </row>
    <row r="69">
      <c r="A69" s="123" t="n">
        <v>19450</v>
      </c>
      <c r="B69" t="n">
        <v>52</v>
      </c>
      <c r="E69" t="n">
        <v>69.3</v>
      </c>
      <c r="F69" t="n">
        <v>57.3</v>
      </c>
      <c r="H69" t="n">
        <v>43.8</v>
      </c>
      <c r="I69" t="n">
        <v>38.6</v>
      </c>
      <c r="J69" t="n">
        <v>55</v>
      </c>
      <c r="L69" t="n">
        <v>51.1</v>
      </c>
      <c r="N69" t="n">
        <v>2720.566</v>
      </c>
      <c r="O69" t="n">
        <v>0.007729380201274192</v>
      </c>
      <c r="P69" t="n">
        <v>0.0678258016251124</v>
      </c>
      <c r="Q69" t="n">
        <v>0.03127783139942197</v>
      </c>
      <c r="R69" t="n">
        <v>0.007729380201274192</v>
      </c>
      <c r="S69" t="n">
        <v>0.03127783139942197</v>
      </c>
      <c r="T69" t="n">
        <v>0.0678258016251124</v>
      </c>
    </row>
    <row r="70">
      <c r="A70" s="123" t="n">
        <v>19480</v>
      </c>
      <c r="B70" t="n">
        <v>49.3</v>
      </c>
      <c r="E70" t="n">
        <v>72.3</v>
      </c>
      <c r="F70" t="n">
        <v>57.1</v>
      </c>
      <c r="H70" t="n">
        <v>41.2</v>
      </c>
      <c r="I70" t="n">
        <v>35.1</v>
      </c>
      <c r="J70" t="n">
        <v>52.3</v>
      </c>
      <c r="L70" t="n">
        <v>48.9</v>
      </c>
      <c r="O70" t="n">
        <v>0.007729380201274192</v>
      </c>
      <c r="P70" t="n">
        <v>0.0678258016251124</v>
      </c>
      <c r="Q70" t="n">
        <v>0.03127783139942197</v>
      </c>
    </row>
    <row r="71">
      <c r="A71" s="123" t="n">
        <v>19511</v>
      </c>
      <c r="B71" t="n">
        <v>48.3</v>
      </c>
      <c r="E71" t="n">
        <v>69.7</v>
      </c>
      <c r="F71" t="n">
        <v>55.2</v>
      </c>
      <c r="H71" t="n">
        <v>44.6</v>
      </c>
      <c r="I71" t="n">
        <v>33.3</v>
      </c>
      <c r="J71" t="n">
        <v>53.8</v>
      </c>
      <c r="L71" t="n">
        <v>48.5</v>
      </c>
      <c r="O71" t="n">
        <v>0.007729380201274192</v>
      </c>
      <c r="P71" t="n">
        <v>0.0678258016251124</v>
      </c>
      <c r="Q71" t="n">
        <v>0.03127783139942197</v>
      </c>
    </row>
    <row r="72">
      <c r="A72" s="123" t="n">
        <v>19541</v>
      </c>
      <c r="B72" t="n">
        <v>44.2</v>
      </c>
      <c r="E72" t="n">
        <v>62</v>
      </c>
      <c r="F72" t="n">
        <v>53.1</v>
      </c>
      <c r="H72" t="n">
        <v>45.6</v>
      </c>
      <c r="I72" t="n">
        <v>28.5</v>
      </c>
      <c r="J72" t="n">
        <v>54.4</v>
      </c>
      <c r="L72" t="n">
        <v>46.3</v>
      </c>
      <c r="N72" t="n">
        <v>2705.258</v>
      </c>
      <c r="O72" t="n">
        <v>-0.005626770311766005</v>
      </c>
      <c r="P72" t="n">
        <v>0.05420760180706296</v>
      </c>
      <c r="Q72" t="n">
        <v>-0.02231782956626527</v>
      </c>
      <c r="R72" t="n">
        <v>-0.005626770311766005</v>
      </c>
      <c r="S72" t="n">
        <v>-0.02231782956626527</v>
      </c>
      <c r="T72" t="n">
        <v>0.05420760180706296</v>
      </c>
    </row>
    <row r="73">
      <c r="A73" s="123" t="n">
        <v>19572</v>
      </c>
      <c r="B73" t="n">
        <v>42.1</v>
      </c>
      <c r="E73" t="n">
        <v>55.8</v>
      </c>
      <c r="F73" t="n">
        <v>50.7</v>
      </c>
      <c r="H73" t="n">
        <v>46.2</v>
      </c>
      <c r="I73" t="n">
        <v>26.5</v>
      </c>
      <c r="J73" t="n">
        <v>48.1</v>
      </c>
      <c r="L73" t="n">
        <v>43.5</v>
      </c>
      <c r="O73" t="n">
        <v>-0.005626770311766005</v>
      </c>
      <c r="P73" t="n">
        <v>0.05420760180706296</v>
      </c>
      <c r="Q73" t="n">
        <v>-0.02231782956626527</v>
      </c>
    </row>
    <row r="74">
      <c r="A74" s="123" t="n">
        <v>19603</v>
      </c>
      <c r="B74" t="n">
        <v>39.9</v>
      </c>
      <c r="E74" t="n">
        <v>43.8</v>
      </c>
      <c r="F74" t="n">
        <v>46.8</v>
      </c>
      <c r="H74" t="n">
        <v>43.3</v>
      </c>
      <c r="I74" t="n">
        <v>23.2</v>
      </c>
      <c r="J74" t="n">
        <v>43.8</v>
      </c>
      <c r="L74" t="n">
        <v>40.2</v>
      </c>
      <c r="O74" t="n">
        <v>-0.005626770311766005</v>
      </c>
      <c r="P74" t="n">
        <v>0.05420760180706296</v>
      </c>
      <c r="Q74" t="n">
        <v>-0.02231782956626527</v>
      </c>
    </row>
    <row r="75">
      <c r="A75" s="123" t="n">
        <v>19633</v>
      </c>
      <c r="B75" t="n">
        <v>38</v>
      </c>
      <c r="E75" t="n">
        <v>45.1</v>
      </c>
      <c r="F75" t="n">
        <v>44.6</v>
      </c>
      <c r="H75" t="n">
        <v>41.3</v>
      </c>
      <c r="I75" t="n">
        <v>20.7</v>
      </c>
      <c r="J75" t="n">
        <v>37.9</v>
      </c>
      <c r="L75" t="n">
        <v>37.4</v>
      </c>
      <c r="N75" t="n">
        <v>2664.302</v>
      </c>
      <c r="O75" t="n">
        <v>-0.01513940629692239</v>
      </c>
      <c r="P75" t="n">
        <v>0.005233488440182029</v>
      </c>
      <c r="Q75" t="n">
        <v>-0.05919624282214508</v>
      </c>
      <c r="R75" t="n">
        <v>-0.01513940629692239</v>
      </c>
      <c r="S75" t="n">
        <v>-0.05919624282214508</v>
      </c>
      <c r="T75" t="n">
        <v>0.005233488440182029</v>
      </c>
    </row>
    <row r="76">
      <c r="A76" s="123" t="n">
        <v>19664</v>
      </c>
      <c r="B76" t="n">
        <v>40.9</v>
      </c>
      <c r="E76" t="n">
        <v>47</v>
      </c>
      <c r="F76" t="n">
        <v>43.4</v>
      </c>
      <c r="H76" t="n">
        <v>35.5</v>
      </c>
      <c r="I76" t="n">
        <v>20.2</v>
      </c>
      <c r="J76" t="n">
        <v>35.8</v>
      </c>
      <c r="L76" t="n">
        <v>36.9</v>
      </c>
      <c r="O76" t="n">
        <v>-0.01513940629692239</v>
      </c>
      <c r="P76" t="n">
        <v>0.005233488440182029</v>
      </c>
      <c r="Q76" t="n">
        <v>-0.05919624282214508</v>
      </c>
    </row>
    <row r="77">
      <c r="A77" s="123" t="n">
        <v>19694</v>
      </c>
      <c r="B77" t="n">
        <v>37.5</v>
      </c>
      <c r="E77" t="n">
        <v>47.7</v>
      </c>
      <c r="F77" t="n">
        <v>41.3</v>
      </c>
      <c r="H77" t="n">
        <v>34.2</v>
      </c>
      <c r="I77" t="n">
        <v>21.8</v>
      </c>
      <c r="J77" t="n">
        <v>36.6</v>
      </c>
      <c r="L77" t="n">
        <v>35.6</v>
      </c>
      <c r="O77" t="n">
        <v>-0.01513940629692239</v>
      </c>
      <c r="P77" t="n">
        <v>0.005233488440182029</v>
      </c>
      <c r="Q77" t="n">
        <v>-0.05919624282214508</v>
      </c>
    </row>
    <row r="78">
      <c r="A78" s="123" t="n">
        <v>19725</v>
      </c>
      <c r="B78" t="n">
        <v>42.9</v>
      </c>
      <c r="E78" t="n">
        <v>40.5</v>
      </c>
      <c r="F78" t="n">
        <v>45</v>
      </c>
      <c r="H78" t="n">
        <v>34.2</v>
      </c>
      <c r="I78" t="n">
        <v>23.6</v>
      </c>
      <c r="J78" t="n">
        <v>31.5</v>
      </c>
      <c r="L78" t="n">
        <v>37.4</v>
      </c>
      <c r="N78" t="n">
        <v>2651.566</v>
      </c>
      <c r="O78" t="n">
        <v>-0.004780238876824148</v>
      </c>
      <c r="P78" t="n">
        <v>-0.01782902464311772</v>
      </c>
      <c r="Q78" t="n">
        <v>-0.01898428780973238</v>
      </c>
      <c r="R78" t="n">
        <v>-0.004780238876824148</v>
      </c>
      <c r="S78" t="n">
        <v>-0.01898428780973238</v>
      </c>
      <c r="T78" t="n">
        <v>-0.01782902464311772</v>
      </c>
    </row>
    <row r="79">
      <c r="A79" s="123" t="n">
        <v>19756</v>
      </c>
      <c r="B79" t="n">
        <v>50.3</v>
      </c>
      <c r="E79" t="n">
        <v>41.6</v>
      </c>
      <c r="F79" t="n">
        <v>46</v>
      </c>
      <c r="H79" t="n">
        <v>30.9</v>
      </c>
      <c r="I79" t="n">
        <v>26.9</v>
      </c>
      <c r="J79" t="n">
        <v>34.8</v>
      </c>
      <c r="L79" t="n">
        <v>40.7</v>
      </c>
      <c r="O79" t="n">
        <v>-0.004780238876824148</v>
      </c>
      <c r="P79" t="n">
        <v>-0.01782902464311772</v>
      </c>
      <c r="Q79" t="n">
        <v>-0.01898428780973238</v>
      </c>
    </row>
    <row r="80">
      <c r="A80" s="123" t="n">
        <v>19784</v>
      </c>
      <c r="B80" t="n">
        <v>54.7</v>
      </c>
      <c r="E80" t="n">
        <v>46.6</v>
      </c>
      <c r="F80" t="n">
        <v>51.5</v>
      </c>
      <c r="H80" t="n">
        <v>31.6</v>
      </c>
      <c r="I80" t="n">
        <v>28</v>
      </c>
      <c r="J80" t="n">
        <v>40.2</v>
      </c>
      <c r="L80" t="n">
        <v>44.7</v>
      </c>
      <c r="O80" t="n">
        <v>-0.004780238876824148</v>
      </c>
      <c r="P80" t="n">
        <v>-0.01782902464311772</v>
      </c>
      <c r="Q80" t="n">
        <v>-0.01898428780973238</v>
      </c>
    </row>
    <row r="81">
      <c r="A81" s="123" t="n">
        <v>19815</v>
      </c>
      <c r="B81" t="n">
        <v>58.4</v>
      </c>
      <c r="E81" t="n">
        <v>49.7</v>
      </c>
      <c r="F81" t="n">
        <v>55.4</v>
      </c>
      <c r="H81" t="n">
        <v>33.2</v>
      </c>
      <c r="I81" t="n">
        <v>30.3</v>
      </c>
      <c r="J81" t="n">
        <v>42.4</v>
      </c>
      <c r="L81" t="n">
        <v>47.7</v>
      </c>
      <c r="N81" t="n">
        <v>2654.456</v>
      </c>
      <c r="O81" t="n">
        <v>0.001089921955553936</v>
      </c>
      <c r="P81" t="n">
        <v>-0.02430009049587464</v>
      </c>
      <c r="Q81" t="n">
        <v>0.004366820581845898</v>
      </c>
      <c r="R81" t="n">
        <v>0.001089921955553936</v>
      </c>
      <c r="S81" t="n">
        <v>0.004366820581845898</v>
      </c>
      <c r="T81" t="n">
        <v>-0.02430009049587464</v>
      </c>
    </row>
    <row r="82">
      <c r="A82" s="123" t="n">
        <v>19845</v>
      </c>
      <c r="B82" t="n">
        <v>60.2</v>
      </c>
      <c r="E82" t="n">
        <v>45.6</v>
      </c>
      <c r="F82" t="n">
        <v>56.3</v>
      </c>
      <c r="H82" t="n">
        <v>39.1</v>
      </c>
      <c r="I82" t="n">
        <v>34.3</v>
      </c>
      <c r="J82" t="n">
        <v>44.5</v>
      </c>
      <c r="L82" t="n">
        <v>50.1</v>
      </c>
      <c r="O82" t="n">
        <v>0.001089921955553936</v>
      </c>
      <c r="P82" t="n">
        <v>-0.02430009049587464</v>
      </c>
      <c r="Q82" t="n">
        <v>0.004366820581845898</v>
      </c>
    </row>
    <row r="83">
      <c r="A83" s="123" t="n">
        <v>19876</v>
      </c>
      <c r="B83" t="n">
        <v>64.59999999999999</v>
      </c>
      <c r="E83" t="n">
        <v>52.5</v>
      </c>
      <c r="F83" t="n">
        <v>59.4</v>
      </c>
      <c r="H83" t="n">
        <v>34.4</v>
      </c>
      <c r="I83" t="n">
        <v>35.8</v>
      </c>
      <c r="J83" t="n">
        <v>45.2</v>
      </c>
      <c r="L83" t="n">
        <v>52.1</v>
      </c>
      <c r="O83" t="n">
        <v>0.001089921955553936</v>
      </c>
      <c r="P83" t="n">
        <v>-0.02430009049587464</v>
      </c>
      <c r="Q83" t="n">
        <v>0.004366820581845898</v>
      </c>
    </row>
    <row r="84">
      <c r="A84" s="123" t="n">
        <v>19906</v>
      </c>
      <c r="B84" t="n">
        <v>63.8</v>
      </c>
      <c r="E84" t="n">
        <v>53.8</v>
      </c>
      <c r="F84" t="n">
        <v>57.4</v>
      </c>
      <c r="H84" t="n">
        <v>35.7</v>
      </c>
      <c r="I84" t="n">
        <v>38.1</v>
      </c>
      <c r="J84" t="n">
        <v>44.4</v>
      </c>
      <c r="L84" t="n">
        <v>51.7</v>
      </c>
      <c r="N84" t="n">
        <v>2684.434</v>
      </c>
      <c r="O84" t="n">
        <v>0.01129346276600556</v>
      </c>
      <c r="P84" t="n">
        <v>-0.007697602225000209</v>
      </c>
      <c r="Q84" t="n">
        <v>0.04594488271546449</v>
      </c>
      <c r="R84" t="n">
        <v>0.01129346276600556</v>
      </c>
      <c r="S84" t="n">
        <v>0.04594488271546449</v>
      </c>
      <c r="T84" t="n">
        <v>-0.007697602225000209</v>
      </c>
    </row>
    <row r="85">
      <c r="A85" s="123" t="n">
        <v>19937</v>
      </c>
      <c r="B85" t="n">
        <v>56.6</v>
      </c>
      <c r="E85" t="n">
        <v>41.7</v>
      </c>
      <c r="F85" t="n">
        <v>56.2</v>
      </c>
      <c r="H85" t="n">
        <v>37.7</v>
      </c>
      <c r="I85" t="n">
        <v>36.4</v>
      </c>
      <c r="J85" t="n">
        <v>37.7</v>
      </c>
      <c r="L85" t="n">
        <v>54.4</v>
      </c>
      <c r="O85" t="n">
        <v>0.01129346276600556</v>
      </c>
      <c r="P85" t="n">
        <v>-0.007697602225000209</v>
      </c>
      <c r="Q85" t="n">
        <v>0.04594488271546449</v>
      </c>
    </row>
    <row r="86">
      <c r="A86" s="123" t="n">
        <v>19968</v>
      </c>
      <c r="B86" t="n">
        <v>62.2</v>
      </c>
      <c r="E86" t="n">
        <v>53</v>
      </c>
      <c r="F86" t="n">
        <v>57</v>
      </c>
      <c r="H86" t="n">
        <v>40.8</v>
      </c>
      <c r="I86" t="n">
        <v>43.6</v>
      </c>
      <c r="J86" t="n">
        <v>49.7</v>
      </c>
      <c r="L86" t="n">
        <v>53.5</v>
      </c>
      <c r="O86" t="n">
        <v>0.01129346276600556</v>
      </c>
      <c r="P86" t="n">
        <v>-0.007697602225000209</v>
      </c>
      <c r="Q86" t="n">
        <v>0.04594488271546449</v>
      </c>
    </row>
    <row r="87">
      <c r="A87" s="123" t="n">
        <v>19998</v>
      </c>
      <c r="B87" t="n">
        <v>66.7</v>
      </c>
      <c r="E87" t="n">
        <v>57.6</v>
      </c>
      <c r="F87" t="n">
        <v>62.4</v>
      </c>
      <c r="H87" t="n">
        <v>40.5</v>
      </c>
      <c r="I87" t="n">
        <v>49.5</v>
      </c>
      <c r="J87" t="n">
        <v>55.8</v>
      </c>
      <c r="L87" t="n">
        <v>58.2</v>
      </c>
      <c r="N87" t="n">
        <v>2736.96</v>
      </c>
      <c r="O87" t="n">
        <v>0.01956688076518173</v>
      </c>
      <c r="P87" t="n">
        <v>0.0272709324993938</v>
      </c>
      <c r="Q87" t="n">
        <v>0.08059481230675947</v>
      </c>
      <c r="R87" t="n">
        <v>0.01956688076518173</v>
      </c>
      <c r="S87" t="n">
        <v>0.08059481230675947</v>
      </c>
      <c r="T87" t="n">
        <v>0.0272709324993938</v>
      </c>
    </row>
    <row r="88">
      <c r="A88" s="123" t="n">
        <v>20029</v>
      </c>
      <c r="B88" t="n">
        <v>66</v>
      </c>
      <c r="E88" t="n">
        <v>57.8</v>
      </c>
      <c r="F88" t="n">
        <v>63</v>
      </c>
      <c r="H88" t="n">
        <v>44.7</v>
      </c>
      <c r="I88" t="n">
        <v>51.9</v>
      </c>
      <c r="J88" t="n">
        <v>55.1</v>
      </c>
      <c r="L88" t="n">
        <v>58.8</v>
      </c>
      <c r="O88" t="n">
        <v>0.01956688076518173</v>
      </c>
      <c r="P88" t="n">
        <v>0.0272709324993938</v>
      </c>
      <c r="Q88" t="n">
        <v>0.08059481230675947</v>
      </c>
    </row>
    <row r="89">
      <c r="A89" s="123" t="n">
        <v>20059</v>
      </c>
      <c r="B89" t="n">
        <v>73.59999999999999</v>
      </c>
      <c r="E89" t="n">
        <v>59.1</v>
      </c>
      <c r="F89" t="n">
        <v>70.5</v>
      </c>
      <c r="H89" t="n">
        <v>47.1</v>
      </c>
      <c r="I89" t="n">
        <v>54.5</v>
      </c>
      <c r="J89" t="n">
        <v>55.8</v>
      </c>
      <c r="L89" t="n">
        <v>63.8</v>
      </c>
      <c r="O89" t="n">
        <v>0.01956688076518173</v>
      </c>
      <c r="P89" t="n">
        <v>0.0272709324993938</v>
      </c>
      <c r="Q89" t="n">
        <v>0.08059481230675947</v>
      </c>
    </row>
    <row r="90">
      <c r="A90" s="123" t="n">
        <v>20090</v>
      </c>
      <c r="B90" t="n">
        <v>66.8</v>
      </c>
      <c r="E90" t="n">
        <v>66.7</v>
      </c>
      <c r="F90" t="n">
        <v>69.09999999999999</v>
      </c>
      <c r="H90" t="n">
        <v>48</v>
      </c>
      <c r="I90" t="n">
        <v>60.6</v>
      </c>
      <c r="J90" t="n">
        <v>59</v>
      </c>
      <c r="L90" t="n">
        <v>63</v>
      </c>
      <c r="N90" t="n">
        <v>2815.134</v>
      </c>
      <c r="O90" t="n">
        <v>0.0285623465450719</v>
      </c>
      <c r="P90" t="n">
        <v>0.06168731987059731</v>
      </c>
      <c r="Q90" t="n">
        <v>0.1192381030854879</v>
      </c>
      <c r="R90" t="n">
        <v>0.0285623465450719</v>
      </c>
      <c r="S90" t="n">
        <v>0.1192381030854879</v>
      </c>
      <c r="T90" t="n">
        <v>0.06168731987059731</v>
      </c>
    </row>
    <row r="91">
      <c r="A91" s="123" t="n">
        <v>20121</v>
      </c>
      <c r="B91" t="n">
        <v>73.90000000000001</v>
      </c>
      <c r="E91" t="n">
        <v>82</v>
      </c>
      <c r="F91" t="n">
        <v>70.90000000000001</v>
      </c>
      <c r="H91" t="n">
        <v>51.3</v>
      </c>
      <c r="I91" t="n">
        <v>67.2</v>
      </c>
      <c r="J91" t="n">
        <v>63.4</v>
      </c>
      <c r="L91" t="n">
        <v>67.8</v>
      </c>
      <c r="O91" t="n">
        <v>0.0285623465450719</v>
      </c>
      <c r="P91" t="n">
        <v>0.06168731987059731</v>
      </c>
      <c r="Q91" t="n">
        <v>0.1192381030854879</v>
      </c>
    </row>
    <row r="92">
      <c r="A92" s="123" t="n">
        <v>20149</v>
      </c>
      <c r="B92" t="n">
        <v>71.5</v>
      </c>
      <c r="E92" t="n">
        <v>69.8</v>
      </c>
      <c r="F92" t="n">
        <v>71</v>
      </c>
      <c r="H92" t="n">
        <v>54.4</v>
      </c>
      <c r="I92" t="n">
        <v>68.5</v>
      </c>
      <c r="J92" t="n">
        <v>63</v>
      </c>
      <c r="L92" t="n">
        <v>67.5</v>
      </c>
      <c r="O92" t="n">
        <v>0.0285623465450719</v>
      </c>
      <c r="P92" t="n">
        <v>0.06168731987059731</v>
      </c>
      <c r="Q92" t="n">
        <v>0.1192381030854879</v>
      </c>
    </row>
    <row r="93">
      <c r="A93" s="123" t="n">
        <v>20180</v>
      </c>
      <c r="B93" t="n">
        <v>70.90000000000001</v>
      </c>
      <c r="E93" t="n">
        <v>75.2</v>
      </c>
      <c r="F93" t="n">
        <v>73.8</v>
      </c>
      <c r="H93" t="n">
        <v>54.2</v>
      </c>
      <c r="I93" t="n">
        <v>71.90000000000001</v>
      </c>
      <c r="J93" t="n">
        <v>63.9</v>
      </c>
      <c r="L93" t="n">
        <v>68.7</v>
      </c>
      <c r="N93" t="n">
        <v>2860.942</v>
      </c>
      <c r="O93" t="n">
        <v>0.016272049572063</v>
      </c>
      <c r="P93" t="n">
        <v>0.07778844328178726</v>
      </c>
      <c r="Q93" t="n">
        <v>0.06669418000707128</v>
      </c>
      <c r="R93" t="n">
        <v>0.016272049572063</v>
      </c>
      <c r="S93" t="n">
        <v>0.06669418000707128</v>
      </c>
      <c r="T93" t="n">
        <v>0.07778844328178726</v>
      </c>
    </row>
    <row r="94">
      <c r="A94" s="123" t="n">
        <v>20210</v>
      </c>
      <c r="B94" t="n">
        <v>72.90000000000001</v>
      </c>
      <c r="E94" t="n">
        <v>81</v>
      </c>
      <c r="F94" t="n">
        <v>73.5</v>
      </c>
      <c r="H94" t="n">
        <v>56.6</v>
      </c>
      <c r="I94" t="n">
        <v>68.7</v>
      </c>
      <c r="J94" t="n">
        <v>66.2</v>
      </c>
      <c r="L94" t="n">
        <v>69.5</v>
      </c>
      <c r="O94" t="n">
        <v>0.016272049572063</v>
      </c>
      <c r="P94" t="n">
        <v>0.07778844328178726</v>
      </c>
      <c r="Q94" t="n">
        <v>0.06669418000707128</v>
      </c>
    </row>
    <row r="95">
      <c r="A95" s="123" t="n">
        <v>20241</v>
      </c>
      <c r="B95" t="n">
        <v>60.9</v>
      </c>
      <c r="E95" t="n">
        <v>75.90000000000001</v>
      </c>
      <c r="F95" t="n">
        <v>65.5</v>
      </c>
      <c r="H95" t="n">
        <v>65.2</v>
      </c>
      <c r="I95" t="n">
        <v>65.7</v>
      </c>
      <c r="J95" t="n">
        <v>61.2</v>
      </c>
      <c r="L95" t="n">
        <v>63.3</v>
      </c>
      <c r="O95" t="n">
        <v>0.016272049572063</v>
      </c>
      <c r="P95" t="n">
        <v>0.07778844328178726</v>
      </c>
      <c r="Q95" t="n">
        <v>0.06669418000707128</v>
      </c>
    </row>
    <row r="96">
      <c r="A96" s="123" t="n">
        <v>20271</v>
      </c>
      <c r="B96" t="n">
        <v>67.09999999999999</v>
      </c>
      <c r="E96" t="n">
        <v>80.40000000000001</v>
      </c>
      <c r="F96" t="n">
        <v>72.09999999999999</v>
      </c>
      <c r="H96" t="n">
        <v>58.4</v>
      </c>
      <c r="I96" t="n">
        <v>67</v>
      </c>
      <c r="J96" t="n">
        <v>60.9</v>
      </c>
      <c r="L96" t="n">
        <v>66.2</v>
      </c>
      <c r="N96" t="n">
        <v>2899.578</v>
      </c>
      <c r="O96" t="n">
        <v>0.01350464287636728</v>
      </c>
      <c r="P96" t="n">
        <v>0.08014501380924238</v>
      </c>
      <c r="Q96" t="n">
        <v>0.05512270869902025</v>
      </c>
      <c r="R96" t="n">
        <v>0.01350464287636728</v>
      </c>
      <c r="S96" t="n">
        <v>0.05512270869902025</v>
      </c>
      <c r="T96" t="n">
        <v>0.08014501380924238</v>
      </c>
    </row>
    <row r="97">
      <c r="A97" s="123" t="n">
        <v>20302</v>
      </c>
      <c r="B97" t="n">
        <v>70.40000000000001</v>
      </c>
      <c r="E97" t="n">
        <v>79.5</v>
      </c>
      <c r="F97" t="n">
        <v>67.09999999999999</v>
      </c>
      <c r="H97" t="n">
        <v>54.2</v>
      </c>
      <c r="I97" t="n">
        <v>64.3</v>
      </c>
      <c r="J97" t="n">
        <v>59.2</v>
      </c>
      <c r="L97" t="n">
        <v>64.8</v>
      </c>
      <c r="O97" t="n">
        <v>0.01350464287636728</v>
      </c>
      <c r="P97" t="n">
        <v>0.08014501380924238</v>
      </c>
      <c r="Q97" t="n">
        <v>0.05512270869902025</v>
      </c>
    </row>
    <row r="98">
      <c r="A98" s="123" t="n">
        <v>20333</v>
      </c>
      <c r="B98" t="n">
        <v>63.7</v>
      </c>
      <c r="E98" t="n">
        <v>82.2</v>
      </c>
      <c r="F98" t="n">
        <v>64.3</v>
      </c>
      <c r="H98" t="n">
        <v>53.5</v>
      </c>
      <c r="I98" t="n">
        <v>66.3</v>
      </c>
      <c r="J98" t="n">
        <v>59.7</v>
      </c>
      <c r="L98" t="n">
        <v>62.4</v>
      </c>
      <c r="O98" t="n">
        <v>0.01350464287636728</v>
      </c>
      <c r="P98" t="n">
        <v>0.08014501380924238</v>
      </c>
      <c r="Q98" t="n">
        <v>0.05512270869902025</v>
      </c>
    </row>
    <row r="99">
      <c r="A99" s="123" t="n">
        <v>20363</v>
      </c>
      <c r="B99" t="n">
        <v>66.3</v>
      </c>
      <c r="E99" t="n">
        <v>80.5</v>
      </c>
      <c r="F99" t="n">
        <v>65.09999999999999</v>
      </c>
      <c r="H99" t="n">
        <v>53.5</v>
      </c>
      <c r="I99" t="n">
        <v>66.5</v>
      </c>
      <c r="J99" t="n">
        <v>60.9</v>
      </c>
      <c r="L99" t="n">
        <v>63.7</v>
      </c>
      <c r="N99" t="n">
        <v>2916.985</v>
      </c>
      <c r="O99" t="n">
        <v>0.006003287374921507</v>
      </c>
      <c r="P99" t="n">
        <v>0.06577553197708409</v>
      </c>
      <c r="Q99" t="n">
        <v>0.0242302529752878</v>
      </c>
      <c r="R99" t="n">
        <v>0.006003287374921507</v>
      </c>
      <c r="S99" t="n">
        <v>0.0242302529752878</v>
      </c>
      <c r="T99" t="n">
        <v>0.06577553197708409</v>
      </c>
    </row>
    <row r="100">
      <c r="A100" s="123" t="n">
        <v>20394</v>
      </c>
      <c r="B100" t="n">
        <v>61.5</v>
      </c>
      <c r="E100" t="n">
        <v>77.3</v>
      </c>
      <c r="F100" t="n">
        <v>63.9</v>
      </c>
      <c r="H100" t="n">
        <v>55.5</v>
      </c>
      <c r="I100" t="n">
        <v>64.90000000000001</v>
      </c>
      <c r="J100" t="n">
        <v>61.3</v>
      </c>
      <c r="L100" t="n">
        <v>62</v>
      </c>
      <c r="O100" t="n">
        <v>0.006003287374921507</v>
      </c>
      <c r="P100" t="n">
        <v>0.06577553197708409</v>
      </c>
      <c r="Q100" t="n">
        <v>0.0242302529752878</v>
      </c>
    </row>
    <row r="101">
      <c r="A101" s="123" t="n">
        <v>20424</v>
      </c>
      <c r="B101" t="n">
        <v>66.59999999999999</v>
      </c>
      <c r="E101" t="n">
        <v>80</v>
      </c>
      <c r="F101" t="n">
        <v>72.40000000000001</v>
      </c>
      <c r="H101" t="n">
        <v>55.4</v>
      </c>
      <c r="I101" t="n">
        <v>61.4</v>
      </c>
      <c r="J101" t="n">
        <v>63.9</v>
      </c>
      <c r="L101" t="n">
        <v>65.59999999999999</v>
      </c>
      <c r="O101" t="n">
        <v>0.006003287374921507</v>
      </c>
      <c r="P101" t="n">
        <v>0.06577553197708409</v>
      </c>
      <c r="Q101" t="n">
        <v>0.0242302529752878</v>
      </c>
    </row>
    <row r="102">
      <c r="A102" s="123" t="n">
        <v>20455</v>
      </c>
      <c r="B102" t="n">
        <v>61.8</v>
      </c>
      <c r="E102" t="n">
        <v>82.7</v>
      </c>
      <c r="F102" t="n">
        <v>64</v>
      </c>
      <c r="H102" t="n">
        <v>52.2</v>
      </c>
      <c r="I102" t="n">
        <v>53.5</v>
      </c>
      <c r="J102" t="n">
        <v>62.3</v>
      </c>
      <c r="L102" t="n">
        <v>60.2</v>
      </c>
      <c r="N102" t="n">
        <v>2905.656</v>
      </c>
      <c r="O102" t="n">
        <v>-0.003883804681889066</v>
      </c>
      <c r="P102" t="n">
        <v>0.03215548531615189</v>
      </c>
      <c r="Q102" t="n">
        <v>-0.01544494919947736</v>
      </c>
      <c r="R102" t="n">
        <v>-0.003883804681889066</v>
      </c>
      <c r="S102" t="n">
        <v>-0.01544494919947736</v>
      </c>
      <c r="T102" t="n">
        <v>0.03215548531615189</v>
      </c>
    </row>
    <row r="103">
      <c r="A103" s="123" t="n">
        <v>20486</v>
      </c>
      <c r="B103" t="n">
        <v>56.2</v>
      </c>
      <c r="E103" t="n">
        <v>83.5</v>
      </c>
      <c r="F103" t="n">
        <v>63.5</v>
      </c>
      <c r="H103" t="n">
        <v>56.1</v>
      </c>
      <c r="I103" t="n">
        <v>51.3</v>
      </c>
      <c r="J103" t="n">
        <v>61</v>
      </c>
      <c r="L103" t="n">
        <v>58.2</v>
      </c>
      <c r="O103" t="n">
        <v>-0.003883804681889066</v>
      </c>
      <c r="P103" t="n">
        <v>0.03215548531615189</v>
      </c>
      <c r="Q103" t="n">
        <v>-0.01544494919947736</v>
      </c>
    </row>
    <row r="104">
      <c r="A104" s="123" t="n">
        <v>20515</v>
      </c>
      <c r="B104" t="n">
        <v>57.3</v>
      </c>
      <c r="E104" t="n">
        <v>87.7</v>
      </c>
      <c r="F104" t="n">
        <v>61</v>
      </c>
      <c r="H104" t="n">
        <v>57.2</v>
      </c>
      <c r="I104" t="n">
        <v>51</v>
      </c>
      <c r="J104" t="n">
        <v>56.9</v>
      </c>
      <c r="L104" t="n">
        <v>57.2</v>
      </c>
      <c r="O104" t="n">
        <v>-0.003883804681889066</v>
      </c>
      <c r="P104" t="n">
        <v>0.03215548531615189</v>
      </c>
      <c r="Q104" t="n">
        <v>-0.01544494919947736</v>
      </c>
    </row>
    <row r="105">
      <c r="A105" s="123" t="n">
        <v>20546</v>
      </c>
      <c r="B105" t="n">
        <v>55.9</v>
      </c>
      <c r="E105" t="n">
        <v>87.5</v>
      </c>
      <c r="F105" t="n">
        <v>58.9</v>
      </c>
      <c r="H105" t="n">
        <v>57.5</v>
      </c>
      <c r="I105" t="n">
        <v>51</v>
      </c>
      <c r="J105" t="n">
        <v>54.8</v>
      </c>
      <c r="L105" t="n">
        <v>55.9</v>
      </c>
      <c r="N105" t="n">
        <v>2929.666</v>
      </c>
      <c r="O105" t="n">
        <v>0.0082631942666304</v>
      </c>
      <c r="P105" t="n">
        <v>0.02402145866641133</v>
      </c>
      <c r="Q105" t="n">
        <v>0.03346472086182173</v>
      </c>
      <c r="R105" t="n">
        <v>0.0082631942666304</v>
      </c>
      <c r="S105" t="n">
        <v>0.03346472086182173</v>
      </c>
      <c r="T105" t="n">
        <v>0.02402145866641133</v>
      </c>
    </row>
    <row r="106">
      <c r="A106" s="123" t="n">
        <v>20576</v>
      </c>
      <c r="B106" t="n">
        <v>53</v>
      </c>
      <c r="E106" t="n">
        <v>81.7</v>
      </c>
      <c r="F106" t="n">
        <v>52.8</v>
      </c>
      <c r="H106" t="n">
        <v>60.3</v>
      </c>
      <c r="I106" t="n">
        <v>38.6</v>
      </c>
      <c r="J106" t="n">
        <v>51.4</v>
      </c>
      <c r="L106" t="n">
        <v>51.2</v>
      </c>
      <c r="O106" t="n">
        <v>0.0082631942666304</v>
      </c>
      <c r="P106" t="n">
        <v>0.02402145866641133</v>
      </c>
      <c r="Q106" t="n">
        <v>0.03346472086182173</v>
      </c>
    </row>
    <row r="107">
      <c r="A107" s="123" t="n">
        <v>20607</v>
      </c>
      <c r="B107" t="n">
        <v>48.9</v>
      </c>
      <c r="E107" t="n">
        <v>65.7</v>
      </c>
      <c r="F107" t="n">
        <v>49.2</v>
      </c>
      <c r="H107" t="n">
        <v>58.4</v>
      </c>
      <c r="I107" t="n">
        <v>41</v>
      </c>
      <c r="J107" t="n">
        <v>43.9</v>
      </c>
      <c r="L107" t="n">
        <v>47.7</v>
      </c>
      <c r="O107" t="n">
        <v>0.0082631942666304</v>
      </c>
      <c r="P107" t="n">
        <v>0.02402145866641133</v>
      </c>
      <c r="Q107" t="n">
        <v>0.03346472086182173</v>
      </c>
    </row>
    <row r="108">
      <c r="A108" s="123" t="n">
        <v>20637</v>
      </c>
      <c r="B108" t="n">
        <v>44.4</v>
      </c>
      <c r="E108" t="n">
        <v>74.7</v>
      </c>
      <c r="F108" t="n">
        <v>38</v>
      </c>
      <c r="H108" t="n">
        <v>51.5</v>
      </c>
      <c r="I108" t="n">
        <v>53.9</v>
      </c>
      <c r="J108" t="n">
        <v>40.8</v>
      </c>
      <c r="L108" t="n">
        <v>44.2</v>
      </c>
      <c r="N108" t="n">
        <v>2927.034</v>
      </c>
      <c r="O108" t="n">
        <v>-0.0008983959263615927</v>
      </c>
      <c r="P108" t="n">
        <v>0.009468964104431793</v>
      </c>
      <c r="Q108" t="n">
        <v>-0.003588743913787829</v>
      </c>
      <c r="R108" t="n">
        <v>-0.0008983959263615927</v>
      </c>
      <c r="S108" t="n">
        <v>-0.003588743913787829</v>
      </c>
      <c r="T108" t="n">
        <v>0.009468964104431793</v>
      </c>
    </row>
    <row r="109">
      <c r="A109" s="123" t="n">
        <v>20668</v>
      </c>
      <c r="B109" t="n">
        <v>54.3</v>
      </c>
      <c r="E109" t="n">
        <v>76.3</v>
      </c>
      <c r="F109" t="n">
        <v>51.5</v>
      </c>
      <c r="H109" t="n">
        <v>52.1</v>
      </c>
      <c r="I109" t="n">
        <v>46.8</v>
      </c>
      <c r="J109" t="n">
        <v>50.3</v>
      </c>
      <c r="L109" t="n">
        <v>51.5</v>
      </c>
      <c r="O109" t="n">
        <v>-0.0008983959263615927</v>
      </c>
      <c r="P109" t="n">
        <v>0.009468964104431793</v>
      </c>
      <c r="Q109" t="n">
        <v>-0.003588743913787829</v>
      </c>
    </row>
    <row r="110">
      <c r="A110" s="123" t="n">
        <v>20699</v>
      </c>
      <c r="B110" t="n">
        <v>60.5</v>
      </c>
      <c r="E110" t="n">
        <v>79.5</v>
      </c>
      <c r="F110" t="n">
        <v>60.2</v>
      </c>
      <c r="H110" t="n">
        <v>53.1</v>
      </c>
      <c r="I110" t="n">
        <v>42.8</v>
      </c>
      <c r="J110" t="n">
        <v>52.9</v>
      </c>
      <c r="L110" t="n">
        <v>55.5</v>
      </c>
      <c r="O110" t="n">
        <v>-0.0008983959263615927</v>
      </c>
      <c r="P110" t="n">
        <v>0.009468964104431793</v>
      </c>
      <c r="Q110" t="n">
        <v>-0.003588743913787829</v>
      </c>
    </row>
    <row r="111">
      <c r="A111" s="123" t="n">
        <v>20729</v>
      </c>
      <c r="B111" t="n">
        <v>55.6</v>
      </c>
      <c r="E111" t="n">
        <v>78.09999999999999</v>
      </c>
      <c r="F111" t="n">
        <v>56.7</v>
      </c>
      <c r="H111" t="n">
        <v>53.6</v>
      </c>
      <c r="I111" t="n">
        <v>40.1</v>
      </c>
      <c r="J111" t="n">
        <v>52.2</v>
      </c>
      <c r="L111" t="n">
        <v>52.7</v>
      </c>
      <c r="N111" t="n">
        <v>2975.209</v>
      </c>
      <c r="O111" t="n">
        <v>0.01645864038477166</v>
      </c>
      <c r="P111" t="n">
        <v>0.01996033575764006</v>
      </c>
      <c r="Q111" t="n">
        <v>0.06747778969521656</v>
      </c>
      <c r="R111" t="n">
        <v>0.01645864038477166</v>
      </c>
      <c r="S111" t="n">
        <v>0.06747778969521656</v>
      </c>
      <c r="T111" t="n">
        <v>0.01996033575764006</v>
      </c>
    </row>
    <row r="112">
      <c r="A112" s="123" t="n">
        <v>20760</v>
      </c>
      <c r="B112" t="n">
        <v>57</v>
      </c>
      <c r="E112" t="n">
        <v>80.09999999999999</v>
      </c>
      <c r="F112" t="n">
        <v>62.3</v>
      </c>
      <c r="H112" t="n">
        <v>44.6</v>
      </c>
      <c r="I112" t="n">
        <v>44.6</v>
      </c>
      <c r="J112" t="n">
        <v>56</v>
      </c>
      <c r="L112" t="n">
        <v>55</v>
      </c>
      <c r="O112" t="n">
        <v>0.01645864038477166</v>
      </c>
      <c r="P112" t="n">
        <v>0.01996033575764006</v>
      </c>
      <c r="Q112" t="n">
        <v>0.06747778969521656</v>
      </c>
    </row>
    <row r="113">
      <c r="A113" s="123" t="n">
        <v>20790</v>
      </c>
      <c r="B113" t="n">
        <v>52.8</v>
      </c>
      <c r="E113" t="n">
        <v>78.90000000000001</v>
      </c>
      <c r="F113" t="n">
        <v>57.7</v>
      </c>
      <c r="H113" t="n">
        <v>54.3</v>
      </c>
      <c r="I113" t="n">
        <v>39.5</v>
      </c>
      <c r="J113" t="n">
        <v>55.4</v>
      </c>
      <c r="L113" t="n">
        <v>52.7</v>
      </c>
      <c r="O113" t="n">
        <v>0.01645864038477166</v>
      </c>
      <c r="P113" t="n">
        <v>0.01996033575764006</v>
      </c>
      <c r="Q113" t="n">
        <v>0.06747778969521656</v>
      </c>
    </row>
    <row r="114">
      <c r="A114" s="123" t="n">
        <v>20821</v>
      </c>
      <c r="B114" t="n">
        <v>57.6</v>
      </c>
      <c r="E114" t="n">
        <v>87.09999999999999</v>
      </c>
      <c r="F114" t="n">
        <v>56.6</v>
      </c>
      <c r="H114" t="n">
        <v>53.9</v>
      </c>
      <c r="I114" t="n">
        <v>36.3</v>
      </c>
      <c r="J114" t="n">
        <v>56.6</v>
      </c>
      <c r="L114" t="n">
        <v>53.6</v>
      </c>
      <c r="N114" t="n">
        <v>2994.259</v>
      </c>
      <c r="O114" t="n">
        <v>0.006402911526551642</v>
      </c>
      <c r="P114" t="n">
        <v>0.03049328619767793</v>
      </c>
      <c r="Q114" t="n">
        <v>0.02585868145080883</v>
      </c>
      <c r="R114" t="n">
        <v>0.006402911526551642</v>
      </c>
      <c r="S114" t="n">
        <v>0.02585868145080883</v>
      </c>
      <c r="T114" t="n">
        <v>0.03049328619767793</v>
      </c>
    </row>
    <row r="115">
      <c r="A115" s="123" t="n">
        <v>20852</v>
      </c>
      <c r="B115" t="n">
        <v>52.5</v>
      </c>
      <c r="E115" t="n">
        <v>76.90000000000001</v>
      </c>
      <c r="F115" t="n">
        <v>57.9</v>
      </c>
      <c r="H115" t="n">
        <v>53.1</v>
      </c>
      <c r="I115" t="n">
        <v>31.2</v>
      </c>
      <c r="J115" t="n">
        <v>53.8</v>
      </c>
      <c r="L115" t="n">
        <v>51</v>
      </c>
      <c r="O115" t="n">
        <v>0.006402911526551642</v>
      </c>
      <c r="P115" t="n">
        <v>0.03049328619767793</v>
      </c>
      <c r="Q115" t="n">
        <v>0.02585868145080883</v>
      </c>
    </row>
    <row r="116">
      <c r="A116" s="123" t="n">
        <v>20880</v>
      </c>
      <c r="B116" t="n">
        <v>51.1</v>
      </c>
      <c r="E116" t="n">
        <v>65.3</v>
      </c>
      <c r="F116" t="n">
        <v>52.1</v>
      </c>
      <c r="H116" t="n">
        <v>46.6</v>
      </c>
      <c r="I116" t="n">
        <v>26.3</v>
      </c>
      <c r="J116" t="n">
        <v>52.5</v>
      </c>
      <c r="L116" t="n">
        <v>47.5</v>
      </c>
      <c r="O116" t="n">
        <v>0.006402911526551642</v>
      </c>
      <c r="P116" t="n">
        <v>0.03049328619767793</v>
      </c>
      <c r="Q116" t="n">
        <v>0.02585868145080883</v>
      </c>
    </row>
    <row r="117">
      <c r="A117" s="123" t="n">
        <v>20911</v>
      </c>
      <c r="B117" t="n">
        <v>49.2</v>
      </c>
      <c r="E117" t="n">
        <v>59.2</v>
      </c>
      <c r="F117" t="n">
        <v>47.9</v>
      </c>
      <c r="H117" t="n">
        <v>39.9</v>
      </c>
      <c r="I117" t="n">
        <v>28.9</v>
      </c>
      <c r="J117" t="n">
        <v>40.3</v>
      </c>
      <c r="L117" t="n">
        <v>43.1</v>
      </c>
      <c r="N117" t="n">
        <v>2987.699</v>
      </c>
      <c r="O117" t="n">
        <v>-0.002190859240967446</v>
      </c>
      <c r="P117" t="n">
        <v>0.01980874270309308</v>
      </c>
      <c r="Q117" t="n">
        <v>-0.008734679818856006</v>
      </c>
      <c r="R117" t="n">
        <v>-0.002190859240967446</v>
      </c>
      <c r="S117" t="n">
        <v>-0.008734679818856006</v>
      </c>
      <c r="T117" t="n">
        <v>0.01980874270309308</v>
      </c>
    </row>
    <row r="118">
      <c r="A118" s="123" t="n">
        <v>20941</v>
      </c>
      <c r="B118" t="n">
        <v>46.1</v>
      </c>
      <c r="E118" t="n">
        <v>57.4</v>
      </c>
      <c r="F118" t="n">
        <v>49.9</v>
      </c>
      <c r="H118" t="n">
        <v>41.8</v>
      </c>
      <c r="I118" t="n">
        <v>30</v>
      </c>
      <c r="J118" t="n">
        <v>41.9</v>
      </c>
      <c r="L118" t="n">
        <v>43.4</v>
      </c>
      <c r="O118" t="n">
        <v>-0.002190859240967446</v>
      </c>
      <c r="P118" t="n">
        <v>0.01980874270309308</v>
      </c>
      <c r="Q118" t="n">
        <v>-0.008734679818856006</v>
      </c>
    </row>
    <row r="119">
      <c r="A119" s="123" t="n">
        <v>20972</v>
      </c>
      <c r="B119" t="n">
        <v>49.8</v>
      </c>
      <c r="E119" t="n">
        <v>62.9</v>
      </c>
      <c r="F119" t="n">
        <v>53.6</v>
      </c>
      <c r="H119" t="n">
        <v>40.7</v>
      </c>
      <c r="I119" t="n">
        <v>30</v>
      </c>
      <c r="J119" t="n">
        <v>45.1</v>
      </c>
      <c r="L119" t="n">
        <v>45.9</v>
      </c>
      <c r="O119" t="n">
        <v>-0.002190859240967446</v>
      </c>
      <c r="P119" t="n">
        <v>0.01980874270309308</v>
      </c>
      <c r="Q119" t="n">
        <v>-0.008734679818856006</v>
      </c>
    </row>
    <row r="120">
      <c r="A120" s="123" t="n">
        <v>21002</v>
      </c>
      <c r="B120" t="n">
        <v>47.6</v>
      </c>
      <c r="E120" t="n">
        <v>78.7</v>
      </c>
      <c r="F120" t="n">
        <v>49.2</v>
      </c>
      <c r="H120" t="n">
        <v>45.3</v>
      </c>
      <c r="I120" t="n">
        <v>36.8</v>
      </c>
      <c r="J120" t="n">
        <v>45.5</v>
      </c>
      <c r="L120" t="n">
        <v>45.7</v>
      </c>
      <c r="N120" t="n">
        <v>3016.979</v>
      </c>
      <c r="O120" t="n">
        <v>0.009800184021214903</v>
      </c>
      <c r="P120" t="n">
        <v>0.03072905883566768</v>
      </c>
      <c r="Q120" t="n">
        <v>0.03978077193041707</v>
      </c>
      <c r="R120" t="n">
        <v>0.009800184021214903</v>
      </c>
      <c r="S120" t="n">
        <v>0.03978077193041707</v>
      </c>
      <c r="T120" t="n">
        <v>0.03072905883566768</v>
      </c>
    </row>
    <row r="121">
      <c r="A121" s="123" t="n">
        <v>21033</v>
      </c>
      <c r="B121" t="n">
        <v>48.8</v>
      </c>
      <c r="E121" t="n">
        <v>65.7</v>
      </c>
      <c r="F121" t="n">
        <v>51.3</v>
      </c>
      <c r="H121" t="n">
        <v>46</v>
      </c>
      <c r="I121" t="n">
        <v>30.8</v>
      </c>
      <c r="J121" t="n">
        <v>43.1</v>
      </c>
      <c r="L121" t="n">
        <v>45.3</v>
      </c>
      <c r="O121" t="n">
        <v>0.009800184021214903</v>
      </c>
      <c r="P121" t="n">
        <v>0.03072905883566768</v>
      </c>
      <c r="Q121" t="n">
        <v>0.03978077193041707</v>
      </c>
    </row>
    <row r="122">
      <c r="A122" s="123" t="n">
        <v>21064</v>
      </c>
      <c r="B122" t="n">
        <v>53.8</v>
      </c>
      <c r="E122" t="n">
        <v>63</v>
      </c>
      <c r="F122" t="n">
        <v>50.6</v>
      </c>
      <c r="H122" t="n">
        <v>42.6</v>
      </c>
      <c r="I122" t="n">
        <v>28.8</v>
      </c>
      <c r="J122" t="n">
        <v>42.1</v>
      </c>
      <c r="L122" t="n">
        <v>45.8</v>
      </c>
      <c r="O122" t="n">
        <v>0.009800184021214903</v>
      </c>
      <c r="P122" t="n">
        <v>0.03072905883566768</v>
      </c>
      <c r="Q122" t="n">
        <v>0.03978077193041707</v>
      </c>
    </row>
    <row r="123">
      <c r="A123" s="123" t="n">
        <v>21094</v>
      </c>
      <c r="B123" t="n">
        <v>46.4</v>
      </c>
      <c r="E123" t="n">
        <v>60.5</v>
      </c>
      <c r="F123" t="n">
        <v>42.9</v>
      </c>
      <c r="H123" t="n">
        <v>42.7</v>
      </c>
      <c r="I123" t="n">
        <v>32.6</v>
      </c>
      <c r="J123" t="n">
        <v>36.6</v>
      </c>
      <c r="L123" t="n">
        <v>41.1</v>
      </c>
      <c r="N123" t="n">
        <v>2985.775</v>
      </c>
      <c r="O123" t="n">
        <v>-0.01034279655244525</v>
      </c>
      <c r="P123" t="n">
        <v>0.003551347149057514</v>
      </c>
      <c r="Q123" t="n">
        <v>-0.04073375974144</v>
      </c>
      <c r="R123" t="n">
        <v>-0.01034279655244525</v>
      </c>
      <c r="S123" t="n">
        <v>-0.04073375974144</v>
      </c>
      <c r="T123" t="n">
        <v>0.003551347149057514</v>
      </c>
    </row>
    <row r="124">
      <c r="A124" s="123" t="n">
        <v>21125</v>
      </c>
      <c r="B124" t="n">
        <v>47.2</v>
      </c>
      <c r="E124" t="n">
        <v>54.8</v>
      </c>
      <c r="F124" t="n">
        <v>44.4</v>
      </c>
      <c r="H124" t="n">
        <v>39.7</v>
      </c>
      <c r="I124" t="n">
        <v>27.8</v>
      </c>
      <c r="J124" t="n">
        <v>34.8</v>
      </c>
      <c r="L124" t="n">
        <v>40.4</v>
      </c>
      <c r="O124" t="n">
        <v>-0.01034279655244525</v>
      </c>
      <c r="P124" t="n">
        <v>0.003551347149057514</v>
      </c>
      <c r="Q124" t="n">
        <v>-0.04073375974144</v>
      </c>
    </row>
    <row r="125">
      <c r="A125" s="123" t="n">
        <v>21155</v>
      </c>
      <c r="B125" t="n">
        <v>42.8</v>
      </c>
      <c r="E125" t="n">
        <v>55.5</v>
      </c>
      <c r="F125" t="n">
        <v>40</v>
      </c>
      <c r="H125" t="n">
        <v>38</v>
      </c>
      <c r="I125" t="n">
        <v>27.3</v>
      </c>
      <c r="J125" t="n">
        <v>30.4</v>
      </c>
      <c r="L125" t="n">
        <v>36.8</v>
      </c>
      <c r="O125" t="n">
        <v>-0.01034279655244525</v>
      </c>
      <c r="P125" t="n">
        <v>0.003551347149057514</v>
      </c>
      <c r="Q125" t="n">
        <v>-0.04073375974144</v>
      </c>
    </row>
    <row r="126">
      <c r="A126" s="123" t="n">
        <v>21186</v>
      </c>
      <c r="B126" t="n">
        <v>35.2</v>
      </c>
      <c r="E126" t="n">
        <v>50.8</v>
      </c>
      <c r="F126" t="n">
        <v>34.9</v>
      </c>
      <c r="H126" t="n">
        <v>35.8</v>
      </c>
      <c r="I126" t="n">
        <v>30.3</v>
      </c>
      <c r="J126" t="n">
        <v>29.7</v>
      </c>
      <c r="L126" t="n">
        <v>33.4</v>
      </c>
      <c r="N126" t="n">
        <v>2908.281</v>
      </c>
      <c r="O126" t="n">
        <v>-0.02595440044879475</v>
      </c>
      <c r="P126" t="n">
        <v>-0.02871428289937513</v>
      </c>
      <c r="Q126" t="n">
        <v>-0.09984529734545633</v>
      </c>
      <c r="R126" t="n">
        <v>-0.02595440044879475</v>
      </c>
      <c r="S126" t="n">
        <v>-0.09984529734545633</v>
      </c>
      <c r="T126" t="n">
        <v>-0.02871428289937513</v>
      </c>
    </row>
    <row r="127">
      <c r="A127" s="123" t="n">
        <v>21217</v>
      </c>
      <c r="B127" t="n">
        <v>47.3</v>
      </c>
      <c r="E127" t="n">
        <v>46.5</v>
      </c>
      <c r="F127" t="n">
        <v>37.8</v>
      </c>
      <c r="H127" t="n">
        <v>33.1</v>
      </c>
      <c r="I127" t="n">
        <v>31</v>
      </c>
      <c r="J127" t="n">
        <v>27.9</v>
      </c>
      <c r="L127" t="n">
        <v>37.2</v>
      </c>
      <c r="O127" t="n">
        <v>-0.02595440044879475</v>
      </c>
      <c r="P127" t="n">
        <v>-0.02871428289937513</v>
      </c>
      <c r="Q127" t="n">
        <v>-0.09984529734545633</v>
      </c>
    </row>
    <row r="128">
      <c r="A128" s="123" t="n">
        <v>21245</v>
      </c>
      <c r="B128" t="n">
        <v>45.3</v>
      </c>
      <c r="E128" t="n">
        <v>47.6</v>
      </c>
      <c r="F128" t="n">
        <v>45.1</v>
      </c>
      <c r="H128" t="n">
        <v>31.3</v>
      </c>
      <c r="I128" t="n">
        <v>34</v>
      </c>
      <c r="J128" t="n">
        <v>33.4</v>
      </c>
      <c r="L128" t="n">
        <v>39.8</v>
      </c>
      <c r="O128" t="n">
        <v>-0.02595440044879475</v>
      </c>
      <c r="P128" t="n">
        <v>-0.02871428289937513</v>
      </c>
      <c r="Q128" t="n">
        <v>-0.09984529734545633</v>
      </c>
    </row>
    <row r="129">
      <c r="A129" s="123" t="n">
        <v>21276</v>
      </c>
      <c r="B129" t="n">
        <v>47.2</v>
      </c>
      <c r="E129" t="n">
        <v>42.5</v>
      </c>
      <c r="F129" t="n">
        <v>41</v>
      </c>
      <c r="H129" t="n">
        <v>30.8</v>
      </c>
      <c r="I129" t="n">
        <v>35.5</v>
      </c>
      <c r="J129" t="n">
        <v>31.5</v>
      </c>
      <c r="L129" t="n">
        <v>39.1</v>
      </c>
      <c r="N129" t="n">
        <v>2927.395</v>
      </c>
      <c r="O129" t="n">
        <v>0.006572267260281944</v>
      </c>
      <c r="P129" t="n">
        <v>-0.02018409485025101</v>
      </c>
      <c r="Q129" t="n">
        <v>0.02654937463692297</v>
      </c>
      <c r="R129" t="n">
        <v>0.006572267260281944</v>
      </c>
      <c r="S129" t="n">
        <v>0.02654937463692297</v>
      </c>
      <c r="T129" t="n">
        <v>-0.02018409485025101</v>
      </c>
    </row>
    <row r="130">
      <c r="A130" s="123" t="n">
        <v>21306</v>
      </c>
      <c r="B130" t="n">
        <v>56.7</v>
      </c>
      <c r="E130" t="n">
        <v>45.8</v>
      </c>
      <c r="F130" t="n">
        <v>52.6</v>
      </c>
      <c r="H130" t="n">
        <v>27.7</v>
      </c>
      <c r="I130" t="n">
        <v>38.5</v>
      </c>
      <c r="J130" t="n">
        <v>39.7</v>
      </c>
      <c r="L130" t="n">
        <v>46.6</v>
      </c>
      <c r="O130" t="n">
        <v>0.006572267260281944</v>
      </c>
      <c r="P130" t="n">
        <v>-0.02018409485025101</v>
      </c>
      <c r="Q130" t="n">
        <v>0.02654937463692297</v>
      </c>
    </row>
    <row r="131">
      <c r="A131" s="123" t="n">
        <v>21337</v>
      </c>
      <c r="B131" t="n">
        <v>60.8</v>
      </c>
      <c r="E131" t="n">
        <v>49.6</v>
      </c>
      <c r="F131" t="n">
        <v>58.9</v>
      </c>
      <c r="H131" t="n">
        <v>32.2</v>
      </c>
      <c r="I131" t="n">
        <v>39.2</v>
      </c>
      <c r="J131" t="n">
        <v>46.7</v>
      </c>
      <c r="L131" t="n">
        <v>51.4</v>
      </c>
      <c r="O131" t="n">
        <v>0.006572267260281944</v>
      </c>
      <c r="P131" t="n">
        <v>-0.02018409485025101</v>
      </c>
      <c r="Q131" t="n">
        <v>0.02654937463692297</v>
      </c>
    </row>
    <row r="132">
      <c r="A132" s="123" t="n">
        <v>21367</v>
      </c>
      <c r="B132" t="n">
        <v>66.5</v>
      </c>
      <c r="E132" t="n">
        <v>52.3</v>
      </c>
      <c r="F132" t="n">
        <v>61.2</v>
      </c>
      <c r="H132" t="n">
        <v>34.6</v>
      </c>
      <c r="I132" t="n">
        <v>43</v>
      </c>
      <c r="J132" t="n">
        <v>47.6</v>
      </c>
      <c r="L132" t="n">
        <v>54.7</v>
      </c>
      <c r="N132" t="n">
        <v>2995.112</v>
      </c>
      <c r="O132" t="n">
        <v>0.02313217041089436</v>
      </c>
      <c r="P132" t="n">
        <v>-0.007247978855669773</v>
      </c>
      <c r="Q132" t="n">
        <v>0.09578906366867135</v>
      </c>
      <c r="R132" t="n">
        <v>0.02313217041089436</v>
      </c>
      <c r="S132" t="n">
        <v>0.09578906366867135</v>
      </c>
      <c r="T132" t="n">
        <v>-0.007247978855669773</v>
      </c>
    </row>
    <row r="133">
      <c r="A133" s="123" t="n">
        <v>21398</v>
      </c>
      <c r="B133" t="n">
        <v>65.2</v>
      </c>
      <c r="E133" t="n">
        <v>65.2</v>
      </c>
      <c r="F133" t="n">
        <v>64.5</v>
      </c>
      <c r="H133" t="n">
        <v>44.8</v>
      </c>
      <c r="I133" t="n">
        <v>44.7</v>
      </c>
      <c r="J133" t="n">
        <v>52.1</v>
      </c>
      <c r="L133" t="n">
        <v>57.3</v>
      </c>
      <c r="O133" t="n">
        <v>0.02313217041089436</v>
      </c>
      <c r="P133" t="n">
        <v>-0.007247978855669773</v>
      </c>
      <c r="Q133" t="n">
        <v>0.09578906366867135</v>
      </c>
    </row>
    <row r="134">
      <c r="A134" s="123" t="n">
        <v>21429</v>
      </c>
      <c r="B134" t="n">
        <v>67</v>
      </c>
      <c r="E134" t="n">
        <v>62.6</v>
      </c>
      <c r="F134" t="n">
        <v>66.8</v>
      </c>
      <c r="H134" t="n">
        <v>42.5</v>
      </c>
      <c r="I134" t="n">
        <v>51.1</v>
      </c>
      <c r="J134" t="n">
        <v>55.5</v>
      </c>
      <c r="L134" t="n">
        <v>59.8</v>
      </c>
      <c r="O134" t="n">
        <v>0.02313217041089436</v>
      </c>
      <c r="P134" t="n">
        <v>-0.007247978855669773</v>
      </c>
      <c r="Q134" t="n">
        <v>0.09578906366867135</v>
      </c>
    </row>
    <row r="135">
      <c r="A135" s="123" t="n">
        <v>21459</v>
      </c>
      <c r="B135" t="n">
        <v>67.90000000000001</v>
      </c>
      <c r="E135" t="n">
        <v>73.3</v>
      </c>
      <c r="F135" t="n">
        <v>70</v>
      </c>
      <c r="H135" t="n">
        <v>46.4</v>
      </c>
      <c r="I135" t="n">
        <v>52.4</v>
      </c>
      <c r="J135" t="n">
        <v>59.6</v>
      </c>
      <c r="L135" t="n">
        <v>62.3</v>
      </c>
      <c r="N135" t="n">
        <v>3065.141</v>
      </c>
      <c r="O135" t="n">
        <v>0.02338109559842837</v>
      </c>
      <c r="P135" t="n">
        <v>0.02658137334527886</v>
      </c>
      <c r="Q135" t="n">
        <v>0.09685586253705125</v>
      </c>
      <c r="R135" t="n">
        <v>0.02338109559842837</v>
      </c>
      <c r="S135" t="n">
        <v>0.09685586253705125</v>
      </c>
      <c r="T135" t="n">
        <v>0.02658137334527886</v>
      </c>
    </row>
    <row r="136">
      <c r="A136" s="123" t="n">
        <v>21490</v>
      </c>
      <c r="B136" t="n">
        <v>68.5</v>
      </c>
      <c r="E136" t="n">
        <v>66.3</v>
      </c>
      <c r="F136" t="n">
        <v>68.3</v>
      </c>
      <c r="H136" t="n">
        <v>51</v>
      </c>
      <c r="I136" t="n">
        <v>55.8</v>
      </c>
      <c r="J136" t="n">
        <v>58</v>
      </c>
      <c r="L136" t="n">
        <v>62.7</v>
      </c>
      <c r="O136" t="n">
        <v>0.02338109559842837</v>
      </c>
      <c r="P136" t="n">
        <v>0.02658137334527886</v>
      </c>
      <c r="Q136" t="n">
        <v>0.09685586253705125</v>
      </c>
    </row>
    <row r="137">
      <c r="A137" s="123" t="n">
        <v>21520</v>
      </c>
      <c r="B137" t="n">
        <v>64.7</v>
      </c>
      <c r="E137" t="n">
        <v>63.2</v>
      </c>
      <c r="F137" t="n">
        <v>63.9</v>
      </c>
      <c r="H137" t="n">
        <v>49</v>
      </c>
      <c r="I137" t="n">
        <v>56.4</v>
      </c>
      <c r="J137" t="n">
        <v>59</v>
      </c>
      <c r="L137" t="n">
        <v>60.5</v>
      </c>
      <c r="O137" t="n">
        <v>0.02338109559842837</v>
      </c>
      <c r="P137" t="n">
        <v>0.02658137334527886</v>
      </c>
      <c r="Q137" t="n">
        <v>0.09685586253705125</v>
      </c>
    </row>
    <row r="138">
      <c r="A138" s="123" t="n">
        <v>21551</v>
      </c>
      <c r="B138" t="n">
        <v>69</v>
      </c>
      <c r="E138" t="n">
        <v>59.1</v>
      </c>
      <c r="F138" t="n">
        <v>70.7</v>
      </c>
      <c r="H138" t="n">
        <v>45.5</v>
      </c>
      <c r="I138" t="n">
        <v>61.8</v>
      </c>
      <c r="J138" t="n">
        <v>60.8</v>
      </c>
      <c r="L138" t="n">
        <v>64.40000000000001</v>
      </c>
      <c r="N138" t="n">
        <v>3123.978</v>
      </c>
      <c r="O138" t="n">
        <v>0.0191955280360675</v>
      </c>
      <c r="P138" t="n">
        <v>0.07416649216495934</v>
      </c>
      <c r="Q138" t="n">
        <v>0.07902134946672668</v>
      </c>
      <c r="R138" t="n">
        <v>0.0191955280360675</v>
      </c>
      <c r="S138" t="n">
        <v>0.07902134946672668</v>
      </c>
      <c r="T138" t="n">
        <v>0.07416649216495934</v>
      </c>
    </row>
    <row r="139">
      <c r="A139" s="123" t="n">
        <v>21582</v>
      </c>
      <c r="B139" t="n">
        <v>70.5</v>
      </c>
      <c r="E139" t="n">
        <v>66.59999999999999</v>
      </c>
      <c r="F139" t="n">
        <v>70.3</v>
      </c>
      <c r="H139" t="n">
        <v>55.5</v>
      </c>
      <c r="I139" t="n">
        <v>67.3</v>
      </c>
      <c r="J139" t="n">
        <v>62.5</v>
      </c>
      <c r="L139" t="n">
        <v>66.90000000000001</v>
      </c>
      <c r="O139" t="n">
        <v>0.0191955280360675</v>
      </c>
      <c r="P139" t="n">
        <v>0.07416649216495934</v>
      </c>
      <c r="Q139" t="n">
        <v>0.07902134946672668</v>
      </c>
    </row>
    <row r="140">
      <c r="A140" s="123" t="n">
        <v>21610</v>
      </c>
      <c r="B140" t="n">
        <v>70.2</v>
      </c>
      <c r="E140" t="n">
        <v>68.90000000000001</v>
      </c>
      <c r="F140" t="n">
        <v>71.2</v>
      </c>
      <c r="H140" t="n">
        <v>58.4</v>
      </c>
      <c r="I140" t="n">
        <v>66.3</v>
      </c>
      <c r="J140" t="n">
        <v>62.3</v>
      </c>
      <c r="L140" t="n">
        <v>67.09999999999999</v>
      </c>
      <c r="O140" t="n">
        <v>0.0191955280360675</v>
      </c>
      <c r="P140" t="n">
        <v>0.07416649216495934</v>
      </c>
      <c r="Q140" t="n">
        <v>0.07902134946672668</v>
      </c>
    </row>
    <row r="141">
      <c r="A141" s="123" t="n">
        <v>21641</v>
      </c>
      <c r="B141" t="n">
        <v>66.90000000000001</v>
      </c>
      <c r="E141" t="n">
        <v>63.6</v>
      </c>
      <c r="F141" t="n">
        <v>72.09999999999999</v>
      </c>
      <c r="H141" t="n">
        <v>63.4</v>
      </c>
      <c r="I141" t="n">
        <v>64.8</v>
      </c>
      <c r="J141" t="n">
        <v>63.6</v>
      </c>
      <c r="L141" t="n">
        <v>66.90000000000001</v>
      </c>
      <c r="N141" t="n">
        <v>3194.429</v>
      </c>
      <c r="O141" t="n">
        <v>0.02255169530643302</v>
      </c>
      <c r="P141" t="n">
        <v>0.09121898479706364</v>
      </c>
      <c r="Q141" t="n">
        <v>0.09330439091654563</v>
      </c>
      <c r="R141" t="n">
        <v>0.02255169530643302</v>
      </c>
      <c r="S141" t="n">
        <v>0.09330439091654563</v>
      </c>
      <c r="T141" t="n">
        <v>0.09121898479706364</v>
      </c>
    </row>
    <row r="142">
      <c r="A142" s="123" t="n">
        <v>21671</v>
      </c>
      <c r="B142" t="n">
        <v>69.90000000000001</v>
      </c>
      <c r="E142" t="n">
        <v>65.09999999999999</v>
      </c>
      <c r="F142" t="n">
        <v>73.90000000000001</v>
      </c>
      <c r="H142" t="n">
        <v>63.8</v>
      </c>
      <c r="I142" t="n">
        <v>63</v>
      </c>
      <c r="J142" t="n">
        <v>64.8</v>
      </c>
      <c r="L142" t="n">
        <v>68.2</v>
      </c>
      <c r="O142" t="n">
        <v>0.02255169530643302</v>
      </c>
      <c r="P142" t="n">
        <v>0.09121898479706364</v>
      </c>
      <c r="Q142" t="n">
        <v>0.09330439091654563</v>
      </c>
    </row>
    <row r="143">
      <c r="A143" s="123" t="n">
        <v>21702</v>
      </c>
      <c r="B143" t="n">
        <v>64.2</v>
      </c>
      <c r="E143" t="n">
        <v>69.5</v>
      </c>
      <c r="F143" t="n">
        <v>66.3</v>
      </c>
      <c r="H143" t="n">
        <v>65.59999999999999</v>
      </c>
      <c r="I143" t="n">
        <v>63.7</v>
      </c>
      <c r="J143" t="n">
        <v>62.2</v>
      </c>
      <c r="L143" t="n">
        <v>64.40000000000001</v>
      </c>
      <c r="O143" t="n">
        <v>0.02255169530643302</v>
      </c>
      <c r="P143" t="n">
        <v>0.09121898479706364</v>
      </c>
      <c r="Q143" t="n">
        <v>0.09330439091654563</v>
      </c>
    </row>
    <row r="144">
      <c r="A144" s="123" t="n">
        <v>21732</v>
      </c>
      <c r="B144" t="n">
        <v>61.3</v>
      </c>
      <c r="E144" t="n">
        <v>63.9</v>
      </c>
      <c r="F144" t="n">
        <v>64.8</v>
      </c>
      <c r="H144" t="n">
        <v>62</v>
      </c>
      <c r="I144" t="n">
        <v>59.1</v>
      </c>
      <c r="J144" t="n">
        <v>59</v>
      </c>
      <c r="L144" t="n">
        <v>61.5</v>
      </c>
      <c r="N144" t="n">
        <v>3196.683</v>
      </c>
      <c r="O144" t="n">
        <v>0.0007056034114390727</v>
      </c>
      <c r="P144" t="n">
        <v>0.06729998744621234</v>
      </c>
      <c r="Q144" t="n">
        <v>0.002825402308261671</v>
      </c>
      <c r="R144" t="n">
        <v>0.0007056034114390727</v>
      </c>
      <c r="S144" t="n">
        <v>0.002825402308261671</v>
      </c>
      <c r="T144" t="n">
        <v>0.06729998744621234</v>
      </c>
    </row>
    <row r="145">
      <c r="A145" s="123" t="n">
        <v>21763</v>
      </c>
      <c r="B145" t="n">
        <v>54.4</v>
      </c>
      <c r="E145" t="n">
        <v>57.6</v>
      </c>
      <c r="F145" t="n">
        <v>57.4</v>
      </c>
      <c r="H145" t="n">
        <v>50.9</v>
      </c>
      <c r="I145" t="n">
        <v>57.4</v>
      </c>
      <c r="J145" t="n">
        <v>53.6</v>
      </c>
      <c r="L145" t="n">
        <v>55.1</v>
      </c>
      <c r="O145" t="n">
        <v>0.0007056034114390727</v>
      </c>
      <c r="P145" t="n">
        <v>0.06729998744621234</v>
      </c>
      <c r="Q145" t="n">
        <v>0.002825402308261671</v>
      </c>
    </row>
    <row r="146">
      <c r="A146" s="123" t="n">
        <v>21794</v>
      </c>
      <c r="B146" t="n">
        <v>43.7</v>
      </c>
      <c r="E146" t="n">
        <v>61.6</v>
      </c>
      <c r="F146" t="n">
        <v>50.9</v>
      </c>
      <c r="H146" t="n">
        <v>42.3</v>
      </c>
      <c r="I146" t="n">
        <v>57.5</v>
      </c>
      <c r="J146" t="n">
        <v>48</v>
      </c>
      <c r="L146" t="n">
        <v>48.3</v>
      </c>
      <c r="O146" t="n">
        <v>0.0007056034114390727</v>
      </c>
      <c r="P146" t="n">
        <v>0.06729998744621234</v>
      </c>
      <c r="Q146" t="n">
        <v>0.002825402308261671</v>
      </c>
    </row>
    <row r="147">
      <c r="A147" s="123" t="n">
        <v>21824</v>
      </c>
      <c r="B147" t="n">
        <v>50</v>
      </c>
      <c r="E147" t="n">
        <v>63.1</v>
      </c>
      <c r="F147" t="n">
        <v>50.4</v>
      </c>
      <c r="H147" t="n">
        <v>39.1</v>
      </c>
      <c r="I147" t="n">
        <v>58.5</v>
      </c>
      <c r="J147" t="n">
        <v>47.3</v>
      </c>
      <c r="L147" t="n">
        <v>49.7</v>
      </c>
      <c r="N147" t="n">
        <v>3205.79</v>
      </c>
      <c r="O147" t="n">
        <v>0.002848890553113953</v>
      </c>
      <c r="P147" t="n">
        <v>0.04588663294771754</v>
      </c>
      <c r="Q147" t="n">
        <v>0.01144435183103387</v>
      </c>
      <c r="R147" t="n">
        <v>0.002848890553113953</v>
      </c>
      <c r="S147" t="n">
        <v>0.01144435183103387</v>
      </c>
      <c r="T147" t="n">
        <v>0.04588663294771754</v>
      </c>
    </row>
    <row r="148">
      <c r="A148" s="123" t="n">
        <v>21855</v>
      </c>
      <c r="B148" t="n">
        <v>51.1</v>
      </c>
      <c r="E148" t="n">
        <v>65.09999999999999</v>
      </c>
      <c r="F148" t="n">
        <v>51.9</v>
      </c>
      <c r="H148" t="n">
        <v>43.4</v>
      </c>
      <c r="I148" t="n">
        <v>54.6</v>
      </c>
      <c r="J148" t="n">
        <v>48.8</v>
      </c>
      <c r="L148" t="n">
        <v>50.6</v>
      </c>
      <c r="O148" t="n">
        <v>0.002848890553113953</v>
      </c>
      <c r="P148" t="n">
        <v>0.04588663294771754</v>
      </c>
      <c r="Q148" t="n">
        <v>0.01144435183103387</v>
      </c>
    </row>
    <row r="149">
      <c r="A149" s="123" t="n">
        <v>21885</v>
      </c>
      <c r="B149" t="n">
        <v>62.8</v>
      </c>
      <c r="E149" t="n">
        <v>63.6</v>
      </c>
      <c r="F149" t="n">
        <v>61.7</v>
      </c>
      <c r="H149" t="n">
        <v>49.1</v>
      </c>
      <c r="I149" t="n">
        <v>53.7</v>
      </c>
      <c r="J149" t="n">
        <v>54.8</v>
      </c>
      <c r="L149" t="n">
        <v>58.2</v>
      </c>
      <c r="O149" t="n">
        <v>0.002848890553113953</v>
      </c>
      <c r="P149" t="n">
        <v>0.04588663294771754</v>
      </c>
      <c r="Q149" t="n">
        <v>0.01144435183103387</v>
      </c>
    </row>
    <row r="150">
      <c r="A150" s="123" t="n">
        <v>21916</v>
      </c>
      <c r="B150" t="n">
        <v>65.40000000000001</v>
      </c>
      <c r="E150" t="n">
        <v>63.8</v>
      </c>
      <c r="F150" t="n">
        <v>71.90000000000001</v>
      </c>
      <c r="H150" t="n">
        <v>48.3</v>
      </c>
      <c r="I150" t="n">
        <v>46.2</v>
      </c>
      <c r="J150" t="n">
        <v>60.8</v>
      </c>
      <c r="L150" t="n">
        <v>61.5</v>
      </c>
      <c r="N150" t="n">
        <v>3277.847</v>
      </c>
      <c r="O150" t="n">
        <v>0.02247714291953005</v>
      </c>
      <c r="P150" t="n">
        <v>0.04925418808967289</v>
      </c>
      <c r="Q150" t="n">
        <v>0.09298558243454158</v>
      </c>
      <c r="R150" t="n">
        <v>0.02247714291953005</v>
      </c>
      <c r="S150" t="n">
        <v>0.09298558243454158</v>
      </c>
      <c r="T150" t="n">
        <v>0.04925418808967289</v>
      </c>
    </row>
    <row r="151">
      <c r="A151" s="123" t="n">
        <v>21947</v>
      </c>
      <c r="B151" t="n">
        <v>52.5</v>
      </c>
      <c r="E151" t="n">
        <v>60.9</v>
      </c>
      <c r="F151" t="n">
        <v>58.6</v>
      </c>
      <c r="H151" t="n">
        <v>56.6</v>
      </c>
      <c r="I151" t="n">
        <v>31.7</v>
      </c>
      <c r="J151" t="n">
        <v>57.2</v>
      </c>
      <c r="L151" t="n">
        <v>52.3</v>
      </c>
      <c r="O151" t="n">
        <v>0.02247714291953005</v>
      </c>
      <c r="P151" t="n">
        <v>0.04925418808967289</v>
      </c>
      <c r="Q151" t="n">
        <v>0.09298558243454158</v>
      </c>
    </row>
    <row r="152">
      <c r="A152" s="123" t="n">
        <v>21976</v>
      </c>
      <c r="B152" t="n">
        <v>52.2</v>
      </c>
      <c r="E152" t="n">
        <v>57.3</v>
      </c>
      <c r="F152" t="n">
        <v>52.4</v>
      </c>
      <c r="H152" t="n">
        <v>50.7</v>
      </c>
      <c r="I152" t="n">
        <v>28.8</v>
      </c>
      <c r="J152" t="n">
        <v>48</v>
      </c>
      <c r="L152" t="n">
        <v>47.8</v>
      </c>
      <c r="O152" t="n">
        <v>0.02247714291953005</v>
      </c>
      <c r="P152" t="n">
        <v>0.04925418808967289</v>
      </c>
      <c r="Q152" t="n">
        <v>0.09298558243454158</v>
      </c>
    </row>
    <row r="153">
      <c r="A153" s="123" t="n">
        <v>22007</v>
      </c>
      <c r="B153" t="n">
        <v>52</v>
      </c>
      <c r="E153" t="n">
        <v>60.4</v>
      </c>
      <c r="F153" t="n">
        <v>49.8</v>
      </c>
      <c r="H153" t="n">
        <v>45.5</v>
      </c>
      <c r="I153" t="n">
        <v>28.9</v>
      </c>
      <c r="J153" t="n">
        <v>42</v>
      </c>
      <c r="L153" t="n">
        <v>45.3</v>
      </c>
      <c r="N153" t="n">
        <v>3260.177</v>
      </c>
      <c r="O153" t="n">
        <v>-0.005390733612642711</v>
      </c>
      <c r="P153" t="n">
        <v>0.02058208211858835</v>
      </c>
      <c r="Q153" t="n">
        <v>-0.02138920017185875</v>
      </c>
      <c r="R153" t="n">
        <v>-0.005390733612642711</v>
      </c>
      <c r="S153" t="n">
        <v>-0.02138920017185875</v>
      </c>
      <c r="T153" t="n">
        <v>0.02058208211858835</v>
      </c>
    </row>
    <row r="154">
      <c r="A154" s="123" t="n">
        <v>22037</v>
      </c>
      <c r="B154" t="n">
        <v>45.8</v>
      </c>
      <c r="E154" t="n">
        <v>57</v>
      </c>
      <c r="F154" t="n">
        <v>45</v>
      </c>
      <c r="H154" t="n">
        <v>42.5</v>
      </c>
      <c r="I154" t="n">
        <v>32.3</v>
      </c>
      <c r="J154" t="n">
        <v>42.5</v>
      </c>
      <c r="L154" t="n">
        <v>42.6</v>
      </c>
      <c r="O154" t="n">
        <v>-0.005390733612642711</v>
      </c>
      <c r="P154" t="n">
        <v>0.02058208211858835</v>
      </c>
      <c r="Q154" t="n">
        <v>-0.02138920017185875</v>
      </c>
    </row>
    <row r="155">
      <c r="A155" s="123" t="n">
        <v>22068</v>
      </c>
      <c r="B155" t="n">
        <v>49.2</v>
      </c>
      <c r="E155" t="n">
        <v>52.6</v>
      </c>
      <c r="F155" t="n">
        <v>48.5</v>
      </c>
      <c r="H155" t="n">
        <v>43.9</v>
      </c>
      <c r="I155" t="n">
        <v>34.8</v>
      </c>
      <c r="J155" t="n">
        <v>39.7</v>
      </c>
      <c r="L155" t="n">
        <v>44.4</v>
      </c>
      <c r="O155" t="n">
        <v>-0.005390733612642711</v>
      </c>
      <c r="P155" t="n">
        <v>0.02058208211858835</v>
      </c>
      <c r="Q155" t="n">
        <v>-0.02138920017185875</v>
      </c>
    </row>
    <row r="156">
      <c r="A156" s="123" t="n">
        <v>22098</v>
      </c>
      <c r="B156" t="n">
        <v>45.7</v>
      </c>
      <c r="E156" t="n">
        <v>49.9</v>
      </c>
      <c r="F156" t="n">
        <v>48.2</v>
      </c>
      <c r="H156" t="n">
        <v>41.9</v>
      </c>
      <c r="I156" t="n">
        <v>35.8</v>
      </c>
      <c r="J156" t="n">
        <v>42.1</v>
      </c>
      <c r="L156" t="n">
        <v>43.7</v>
      </c>
      <c r="N156" t="n">
        <v>3276.133</v>
      </c>
      <c r="O156" t="n">
        <v>0.004894212798875544</v>
      </c>
      <c r="P156" t="n">
        <v>0.02485388760787348</v>
      </c>
      <c r="Q156" t="n">
        <v>0.01972104061334812</v>
      </c>
      <c r="R156" t="n">
        <v>0.004894212798875544</v>
      </c>
      <c r="S156" t="n">
        <v>0.01972104061334812</v>
      </c>
      <c r="T156" t="n">
        <v>0.02485388760787348</v>
      </c>
    </row>
    <row r="157">
      <c r="A157" s="123" t="n">
        <v>22129</v>
      </c>
      <c r="B157" t="n">
        <v>55.6</v>
      </c>
      <c r="E157" t="n">
        <v>50.6</v>
      </c>
      <c r="F157" t="n">
        <v>50.3</v>
      </c>
      <c r="H157" t="n">
        <v>39.1</v>
      </c>
      <c r="I157" t="n">
        <v>38</v>
      </c>
      <c r="J157" t="n">
        <v>43.6</v>
      </c>
      <c r="L157" t="n">
        <v>47.6</v>
      </c>
      <c r="O157" t="n">
        <v>0.004894212798875544</v>
      </c>
      <c r="P157" t="n">
        <v>0.02485388760787348</v>
      </c>
      <c r="Q157" t="n">
        <v>0.01972104061334812</v>
      </c>
    </row>
    <row r="158">
      <c r="A158" s="123" t="n">
        <v>22160</v>
      </c>
      <c r="B158" t="n">
        <v>50.5</v>
      </c>
      <c r="E158" t="n">
        <v>48.4</v>
      </c>
      <c r="F158" t="n">
        <v>50</v>
      </c>
      <c r="H158" t="n">
        <v>40.8</v>
      </c>
      <c r="I158" t="n">
        <v>37.3</v>
      </c>
      <c r="J158" t="n">
        <v>40.2</v>
      </c>
      <c r="L158" t="n">
        <v>45.4</v>
      </c>
      <c r="O158" t="n">
        <v>0.004894212798875544</v>
      </c>
      <c r="P158" t="n">
        <v>0.02485388760787348</v>
      </c>
      <c r="Q158" t="n">
        <v>0.01972104061334812</v>
      </c>
    </row>
    <row r="159">
      <c r="A159" s="123" t="n">
        <v>22190</v>
      </c>
      <c r="B159" t="n">
        <v>50.1</v>
      </c>
      <c r="E159" t="n">
        <v>45</v>
      </c>
      <c r="F159" t="n">
        <v>51.2</v>
      </c>
      <c r="H159" t="n">
        <v>39.7</v>
      </c>
      <c r="I159" t="n">
        <v>36.2</v>
      </c>
      <c r="J159" t="n">
        <v>43.7</v>
      </c>
      <c r="L159" t="n">
        <v>46</v>
      </c>
      <c r="N159" t="n">
        <v>3234.087</v>
      </c>
      <c r="O159" t="n">
        <v>-0.01283403329474103</v>
      </c>
      <c r="P159" t="n">
        <v>0.008826841433780762</v>
      </c>
      <c r="Q159" t="n">
        <v>-0.05035628728337038</v>
      </c>
      <c r="R159" t="n">
        <v>-0.01283403329474103</v>
      </c>
      <c r="S159" t="n">
        <v>-0.05035628728337038</v>
      </c>
      <c r="T159" t="n">
        <v>0.008826841433780762</v>
      </c>
    </row>
    <row r="160">
      <c r="A160" s="123" t="n">
        <v>22221</v>
      </c>
      <c r="B160" t="n">
        <v>48.2</v>
      </c>
      <c r="E160" t="n">
        <v>46.9</v>
      </c>
      <c r="F160" t="n">
        <v>45.6</v>
      </c>
      <c r="H160" t="n">
        <v>41.7</v>
      </c>
      <c r="I160" t="n">
        <v>37.6</v>
      </c>
      <c r="J160" t="n">
        <v>43</v>
      </c>
      <c r="L160" t="n">
        <v>44.3</v>
      </c>
      <c r="O160" t="n">
        <v>-0.01283403329474103</v>
      </c>
      <c r="P160" t="n">
        <v>0.008826841433780762</v>
      </c>
      <c r="Q160" t="n">
        <v>-0.05035628728337038</v>
      </c>
    </row>
    <row r="161">
      <c r="A161" s="123" t="n">
        <v>22251</v>
      </c>
      <c r="B161" t="n">
        <v>47.5</v>
      </c>
      <c r="E161" t="n">
        <v>46.6</v>
      </c>
      <c r="F161" t="n">
        <v>47.5</v>
      </c>
      <c r="H161" t="n">
        <v>39.3</v>
      </c>
      <c r="I161" t="n">
        <v>40.4</v>
      </c>
      <c r="J161" t="n">
        <v>40.7</v>
      </c>
      <c r="L161" t="n">
        <v>44.3</v>
      </c>
      <c r="O161" t="n">
        <v>-0.01283403329474103</v>
      </c>
      <c r="P161" t="n">
        <v>0.008826841433780762</v>
      </c>
      <c r="Q161" t="n">
        <v>-0.05035628728337038</v>
      </c>
    </row>
    <row r="162">
      <c r="A162" s="123" t="n">
        <v>22282</v>
      </c>
      <c r="B162" t="n">
        <v>47.2</v>
      </c>
      <c r="E162" t="n">
        <v>49.1</v>
      </c>
      <c r="F162" t="n">
        <v>47.3</v>
      </c>
      <c r="H162" t="n">
        <v>40.5</v>
      </c>
      <c r="I162" t="n">
        <v>39.2</v>
      </c>
      <c r="J162" t="n">
        <v>39.7</v>
      </c>
      <c r="L162" t="n">
        <v>43.9</v>
      </c>
      <c r="N162" t="n">
        <v>3255.914</v>
      </c>
      <c r="O162" t="n">
        <v>0.006749045402922131</v>
      </c>
      <c r="P162" t="n">
        <v>-0.006691282418001814</v>
      </c>
      <c r="Q162" t="n">
        <v>0.02727071103520817</v>
      </c>
      <c r="R162" t="n">
        <v>0.006749045402922131</v>
      </c>
      <c r="S162" t="n">
        <v>0.02727071103520817</v>
      </c>
      <c r="T162" t="n">
        <v>-0.006691282418001814</v>
      </c>
    </row>
    <row r="163">
      <c r="A163" s="123" t="n">
        <v>22313</v>
      </c>
      <c r="B163" t="n">
        <v>48.7</v>
      </c>
      <c r="E163" t="n">
        <v>50.3</v>
      </c>
      <c r="F163" t="n">
        <v>49.2</v>
      </c>
      <c r="H163" t="n">
        <v>36.6</v>
      </c>
      <c r="I163" t="n">
        <v>41.1</v>
      </c>
      <c r="J163" t="n">
        <v>34.2</v>
      </c>
      <c r="L163" t="n">
        <v>43.6</v>
      </c>
      <c r="O163" t="n">
        <v>0.006749045402922131</v>
      </c>
      <c r="P163" t="n">
        <v>-0.006691282418001814</v>
      </c>
      <c r="Q163" t="n">
        <v>0.02727071103520817</v>
      </c>
    </row>
    <row r="164">
      <c r="A164" s="123" t="n">
        <v>22341</v>
      </c>
      <c r="B164" t="n">
        <v>55.2</v>
      </c>
      <c r="E164" t="n">
        <v>50.2</v>
      </c>
      <c r="F164" t="n">
        <v>55.4</v>
      </c>
      <c r="H164" t="n">
        <v>38.9</v>
      </c>
      <c r="I164" t="n">
        <v>42.1</v>
      </c>
      <c r="J164" t="n">
        <v>42.2</v>
      </c>
      <c r="L164" t="n">
        <v>49.1</v>
      </c>
      <c r="O164" t="n">
        <v>0.006749045402922131</v>
      </c>
      <c r="P164" t="n">
        <v>-0.006691282418001814</v>
      </c>
      <c r="Q164" t="n">
        <v>0.02727071103520817</v>
      </c>
    </row>
    <row r="165">
      <c r="A165" s="123" t="n">
        <v>22372</v>
      </c>
      <c r="B165" t="n">
        <v>67.7</v>
      </c>
      <c r="E165" t="n">
        <v>51.8</v>
      </c>
      <c r="F165" t="n">
        <v>61.7</v>
      </c>
      <c r="H165" t="n">
        <v>41.3</v>
      </c>
      <c r="I165" t="n">
        <v>47.5</v>
      </c>
      <c r="J165" t="n">
        <v>53.2</v>
      </c>
      <c r="L165" t="n">
        <v>57.6</v>
      </c>
      <c r="N165" t="n">
        <v>3311.181</v>
      </c>
      <c r="O165" t="n">
        <v>0.01697434268841248</v>
      </c>
      <c r="P165" t="n">
        <v>0.01564454936035679</v>
      </c>
      <c r="Q165" t="n">
        <v>0.06964578678446376</v>
      </c>
      <c r="R165" t="n">
        <v>0.01697434268841248</v>
      </c>
      <c r="S165" t="n">
        <v>0.06964578678446376</v>
      </c>
      <c r="T165" t="n">
        <v>0.01564454936035679</v>
      </c>
    </row>
    <row r="166">
      <c r="A166" s="123" t="n">
        <v>22402</v>
      </c>
      <c r="B166" t="n">
        <v>64.8</v>
      </c>
      <c r="E166" t="n">
        <v>55</v>
      </c>
      <c r="F166" t="n">
        <v>66.59999999999999</v>
      </c>
      <c r="H166" t="n">
        <v>44</v>
      </c>
      <c r="I166" t="n">
        <v>47.9</v>
      </c>
      <c r="J166" t="n">
        <v>56.3</v>
      </c>
      <c r="L166" t="n">
        <v>58.9</v>
      </c>
      <c r="O166" t="n">
        <v>0.01697434268841248</v>
      </c>
      <c r="P166" t="n">
        <v>0.01564454936035679</v>
      </c>
      <c r="Q166" t="n">
        <v>0.06964578678446376</v>
      </c>
    </row>
    <row r="167">
      <c r="A167" s="123" t="n">
        <v>22433</v>
      </c>
      <c r="B167" t="n">
        <v>64</v>
      </c>
      <c r="E167" t="n">
        <v>50</v>
      </c>
      <c r="F167" t="n">
        <v>65.3</v>
      </c>
      <c r="H167" t="n">
        <v>42</v>
      </c>
      <c r="I167" t="n">
        <v>49.3</v>
      </c>
      <c r="J167" t="n">
        <v>55.1</v>
      </c>
      <c r="L167" t="n">
        <v>58.1</v>
      </c>
      <c r="O167" t="n">
        <v>0.01697434268841248</v>
      </c>
      <c r="P167" t="n">
        <v>0.01564454936035679</v>
      </c>
      <c r="Q167" t="n">
        <v>0.06964578678446376</v>
      </c>
    </row>
    <row r="168">
      <c r="A168" s="123" t="n">
        <v>22463</v>
      </c>
      <c r="B168" t="n">
        <v>64.5</v>
      </c>
      <c r="E168" t="n">
        <v>50.9</v>
      </c>
      <c r="F168" t="n">
        <v>64.3</v>
      </c>
      <c r="H168" t="n">
        <v>45.3</v>
      </c>
      <c r="I168" t="n">
        <v>49.4</v>
      </c>
      <c r="J168" t="n">
        <v>54.1</v>
      </c>
      <c r="L168" t="n">
        <v>58.2</v>
      </c>
      <c r="N168" t="n">
        <v>3374.742</v>
      </c>
      <c r="O168" t="n">
        <v>0.01919586999321395</v>
      </c>
      <c r="P168" t="n">
        <v>0.03009920537414091</v>
      </c>
      <c r="Q168" t="n">
        <v>0.07902279758629582</v>
      </c>
      <c r="R168" t="n">
        <v>0.01919586999321395</v>
      </c>
      <c r="S168" t="n">
        <v>0.07902279758629582</v>
      </c>
      <c r="T168" t="n">
        <v>0.03009920537414091</v>
      </c>
    </row>
    <row r="169">
      <c r="A169" s="123" t="n">
        <v>22494</v>
      </c>
      <c r="B169" t="n">
        <v>62.9</v>
      </c>
      <c r="E169" t="n">
        <v>52.2</v>
      </c>
      <c r="F169" t="n">
        <v>68.40000000000001</v>
      </c>
      <c r="H169" t="n">
        <v>54.5</v>
      </c>
      <c r="I169" t="n">
        <v>50.6</v>
      </c>
      <c r="J169" t="n">
        <v>58.3</v>
      </c>
      <c r="L169" t="n">
        <v>60.7</v>
      </c>
      <c r="O169" t="n">
        <v>0.01919586999321395</v>
      </c>
      <c r="P169" t="n">
        <v>0.03009920537414091</v>
      </c>
      <c r="Q169" t="n">
        <v>0.07902279758629582</v>
      </c>
    </row>
    <row r="170">
      <c r="A170" s="123" t="n">
        <v>22525</v>
      </c>
      <c r="B170" t="n">
        <v>69.5</v>
      </c>
      <c r="E170" t="n">
        <v>53.9</v>
      </c>
      <c r="F170" t="n">
        <v>66.8</v>
      </c>
      <c r="H170" t="n">
        <v>56.3</v>
      </c>
      <c r="I170" t="n">
        <v>50.7</v>
      </c>
      <c r="J170" t="n">
        <v>61.1</v>
      </c>
      <c r="L170" t="n">
        <v>63</v>
      </c>
      <c r="O170" t="n">
        <v>0.01919586999321395</v>
      </c>
      <c r="P170" t="n">
        <v>0.03009920537414091</v>
      </c>
      <c r="Q170" t="n">
        <v>0.07902279758629582</v>
      </c>
    </row>
    <row r="171">
      <c r="A171" s="123" t="n">
        <v>22555</v>
      </c>
      <c r="B171" t="n">
        <v>68.3</v>
      </c>
      <c r="E171" t="n">
        <v>55.5</v>
      </c>
      <c r="F171" t="n">
        <v>66.3</v>
      </c>
      <c r="H171" t="n">
        <v>56.7</v>
      </c>
      <c r="I171" t="n">
        <v>52.4</v>
      </c>
      <c r="J171" t="n">
        <v>58.2</v>
      </c>
      <c r="L171" t="n">
        <v>62.2</v>
      </c>
      <c r="N171" t="n">
        <v>3440.924</v>
      </c>
      <c r="O171" t="n">
        <v>0.01961098063200084</v>
      </c>
      <c r="P171" t="n">
        <v>0.06395529866698081</v>
      </c>
      <c r="Q171" t="n">
        <v>0.08078178259819491</v>
      </c>
      <c r="R171" t="n">
        <v>0.01961098063200084</v>
      </c>
      <c r="S171" t="n">
        <v>0.08078178259819491</v>
      </c>
      <c r="T171" t="n">
        <v>0.06395529866698081</v>
      </c>
    </row>
    <row r="172">
      <c r="A172" s="123" t="n">
        <v>22586</v>
      </c>
      <c r="B172" t="n">
        <v>65.09999999999999</v>
      </c>
      <c r="E172" t="n">
        <v>51.9</v>
      </c>
      <c r="F172" t="n">
        <v>58.3</v>
      </c>
      <c r="H172" t="n">
        <v>54.6</v>
      </c>
      <c r="I172" t="n">
        <v>51.1</v>
      </c>
      <c r="J172" t="n">
        <v>59</v>
      </c>
      <c r="L172" t="n">
        <v>59</v>
      </c>
      <c r="O172" t="n">
        <v>0.01961098063200084</v>
      </c>
      <c r="P172" t="n">
        <v>0.06395529866698081</v>
      </c>
      <c r="Q172" t="n">
        <v>0.08078178259819491</v>
      </c>
    </row>
    <row r="173">
      <c r="A173" s="123" t="n">
        <v>22616</v>
      </c>
      <c r="B173" t="n">
        <v>73.40000000000001</v>
      </c>
      <c r="E173" t="n">
        <v>56.3</v>
      </c>
      <c r="F173" t="n">
        <v>66.09999999999999</v>
      </c>
      <c r="H173" t="n">
        <v>56.1</v>
      </c>
      <c r="I173" t="n">
        <v>55.8</v>
      </c>
      <c r="J173" t="n">
        <v>58.6</v>
      </c>
      <c r="L173" t="n">
        <v>64.2</v>
      </c>
      <c r="O173" t="n">
        <v>0.01961098063200084</v>
      </c>
      <c r="P173" t="n">
        <v>0.06395529866698081</v>
      </c>
      <c r="Q173" t="n">
        <v>0.08078178259819491</v>
      </c>
    </row>
    <row r="174">
      <c r="A174" s="123" t="n">
        <v>22647</v>
      </c>
      <c r="B174" t="n">
        <v>59.4</v>
      </c>
      <c r="E174" t="n">
        <v>57.1</v>
      </c>
      <c r="F174" t="n">
        <v>66.40000000000001</v>
      </c>
      <c r="H174" t="n">
        <v>59</v>
      </c>
      <c r="I174" t="n">
        <v>57.1</v>
      </c>
      <c r="J174" t="n">
        <v>60.3</v>
      </c>
      <c r="L174" t="n">
        <v>60.9</v>
      </c>
      <c r="N174" t="n">
        <v>3502.298</v>
      </c>
      <c r="O174" t="n">
        <v>0.01783648810610167</v>
      </c>
      <c r="P174" t="n">
        <v>0.07567276039846248</v>
      </c>
      <c r="Q174" t="n">
        <v>0.07327759350869312</v>
      </c>
      <c r="R174" t="n">
        <v>0.01783648810610167</v>
      </c>
      <c r="S174" t="n">
        <v>0.07327759350869312</v>
      </c>
      <c r="T174" t="n">
        <v>0.07567276039846248</v>
      </c>
    </row>
    <row r="175">
      <c r="A175" s="123" t="n">
        <v>22678</v>
      </c>
      <c r="B175" t="n">
        <v>61.8</v>
      </c>
      <c r="E175" t="n">
        <v>54.7</v>
      </c>
      <c r="F175" t="n">
        <v>64.7</v>
      </c>
      <c r="H175" t="n">
        <v>58.6</v>
      </c>
      <c r="I175" t="n">
        <v>56.2</v>
      </c>
      <c r="J175" t="n">
        <v>60.5</v>
      </c>
      <c r="L175" t="n">
        <v>61.1</v>
      </c>
      <c r="O175" t="n">
        <v>0.01783648810610167</v>
      </c>
      <c r="P175" t="n">
        <v>0.07567276039846248</v>
      </c>
      <c r="Q175" t="n">
        <v>0.07327759350869312</v>
      </c>
    </row>
    <row r="176">
      <c r="A176" s="123" t="n">
        <v>22706</v>
      </c>
      <c r="B176" t="n">
        <v>60.1</v>
      </c>
      <c r="E176" t="n">
        <v>56.8</v>
      </c>
      <c r="F176" t="n">
        <v>66.90000000000001</v>
      </c>
      <c r="H176" t="n">
        <v>57.5</v>
      </c>
      <c r="I176" t="n">
        <v>57</v>
      </c>
      <c r="J176" t="n">
        <v>57.6</v>
      </c>
      <c r="L176" t="n">
        <v>60.6</v>
      </c>
      <c r="O176" t="n">
        <v>0.01783648810610167</v>
      </c>
      <c r="P176" t="n">
        <v>0.07567276039846248</v>
      </c>
      <c r="Q176" t="n">
        <v>0.07327759350869312</v>
      </c>
    </row>
    <row r="177">
      <c r="A177" s="123" t="n">
        <v>22737</v>
      </c>
      <c r="B177" t="n">
        <v>57.3</v>
      </c>
      <c r="E177" t="n">
        <v>53.6</v>
      </c>
      <c r="F177" t="n">
        <v>57.4</v>
      </c>
      <c r="H177" t="n">
        <v>53.5</v>
      </c>
      <c r="I177" t="n">
        <v>47.4</v>
      </c>
      <c r="J177" t="n">
        <v>55.6</v>
      </c>
      <c r="L177" t="n">
        <v>55.1</v>
      </c>
      <c r="N177" t="n">
        <v>3533.947</v>
      </c>
      <c r="O177" t="n">
        <v>0.009036638230099307</v>
      </c>
      <c r="P177" t="n">
        <v>0.06727690210834143</v>
      </c>
      <c r="Q177" t="n">
        <v>0.03663947632942977</v>
      </c>
      <c r="R177" t="n">
        <v>0.009036638230099307</v>
      </c>
      <c r="S177" t="n">
        <v>0.03663947632942977</v>
      </c>
      <c r="T177" t="n">
        <v>0.06727690210834143</v>
      </c>
    </row>
    <row r="178">
      <c r="A178" s="123" t="n">
        <v>22767</v>
      </c>
      <c r="B178" t="n">
        <v>53.6</v>
      </c>
      <c r="E178" t="n">
        <v>52</v>
      </c>
      <c r="F178" t="n">
        <v>55.3</v>
      </c>
      <c r="H178" t="n">
        <v>50.3</v>
      </c>
      <c r="I178" t="n">
        <v>45.2</v>
      </c>
      <c r="J178" t="n">
        <v>52.3</v>
      </c>
      <c r="L178" t="n">
        <v>52.2</v>
      </c>
      <c r="O178" t="n">
        <v>0.009036638230099307</v>
      </c>
      <c r="P178" t="n">
        <v>0.06727690210834143</v>
      </c>
      <c r="Q178" t="n">
        <v>0.03663947632942977</v>
      </c>
    </row>
    <row r="179">
      <c r="A179" s="123" t="n">
        <v>22798</v>
      </c>
      <c r="B179" t="n">
        <v>52.5</v>
      </c>
      <c r="E179" t="n">
        <v>51.7</v>
      </c>
      <c r="F179" t="n">
        <v>54.8</v>
      </c>
      <c r="H179" t="n">
        <v>46.4</v>
      </c>
      <c r="I179" t="n">
        <v>43.3</v>
      </c>
      <c r="J179" t="n">
        <v>51.6</v>
      </c>
      <c r="L179" t="n">
        <v>50.8</v>
      </c>
      <c r="O179" t="n">
        <v>0.009036638230099307</v>
      </c>
      <c r="P179" t="n">
        <v>0.06727690210834143</v>
      </c>
      <c r="Q179" t="n">
        <v>0.03663947632942977</v>
      </c>
    </row>
    <row r="180">
      <c r="A180" s="123" t="n">
        <v>22828</v>
      </c>
      <c r="B180" t="n">
        <v>53.2</v>
      </c>
      <c r="E180" t="n">
        <v>51.6</v>
      </c>
      <c r="F180" t="n">
        <v>54.7</v>
      </c>
      <c r="H180" t="n">
        <v>43.8</v>
      </c>
      <c r="I180" t="n">
        <v>45.1</v>
      </c>
      <c r="J180" t="n">
        <v>51.2</v>
      </c>
      <c r="L180" t="n">
        <v>51</v>
      </c>
      <c r="N180" t="n">
        <v>3577.362</v>
      </c>
      <c r="O180" t="n">
        <v>0.01228513047875363</v>
      </c>
      <c r="P180" t="n">
        <v>0.06004014529110666</v>
      </c>
      <c r="Q180" t="n">
        <v>0.05005350778378181</v>
      </c>
      <c r="R180" t="n">
        <v>0.01228513047875363</v>
      </c>
      <c r="S180" t="n">
        <v>0.05005350778378181</v>
      </c>
      <c r="T180" t="n">
        <v>0.06004014529110666</v>
      </c>
    </row>
    <row r="181">
      <c r="A181" s="123" t="n">
        <v>22859</v>
      </c>
      <c r="B181" t="n">
        <v>52.9</v>
      </c>
      <c r="E181" t="n">
        <v>47.7</v>
      </c>
      <c r="F181" t="n">
        <v>52.5</v>
      </c>
      <c r="H181" t="n">
        <v>45.2</v>
      </c>
      <c r="I181" t="n">
        <v>43.7</v>
      </c>
      <c r="J181" t="n">
        <v>47</v>
      </c>
      <c r="L181" t="n">
        <v>49.5</v>
      </c>
      <c r="O181" t="n">
        <v>0.01228513047875363</v>
      </c>
      <c r="P181" t="n">
        <v>0.06004014529110666</v>
      </c>
      <c r="Q181" t="n">
        <v>0.05005350778378181</v>
      </c>
    </row>
    <row r="182">
      <c r="A182" s="123" t="n">
        <v>22890</v>
      </c>
      <c r="B182" t="n">
        <v>53</v>
      </c>
      <c r="E182" t="n">
        <v>45.4</v>
      </c>
      <c r="F182" t="n">
        <v>52.4</v>
      </c>
      <c r="H182" t="n">
        <v>42.5</v>
      </c>
      <c r="I182" t="n">
        <v>45.1</v>
      </c>
      <c r="J182" t="n">
        <v>49.7</v>
      </c>
      <c r="L182" t="n">
        <v>50</v>
      </c>
      <c r="O182" t="n">
        <v>0.01228513047875363</v>
      </c>
      <c r="P182" t="n">
        <v>0.06004014529110666</v>
      </c>
      <c r="Q182" t="n">
        <v>0.05005350778378181</v>
      </c>
    </row>
    <row r="183">
      <c r="A183" s="123" t="n">
        <v>22920</v>
      </c>
      <c r="B183" t="n">
        <v>53.6</v>
      </c>
      <c r="E183" t="n">
        <v>43.9</v>
      </c>
      <c r="F183" t="n">
        <v>54</v>
      </c>
      <c r="H183" t="n">
        <v>46.2</v>
      </c>
      <c r="I183" t="n">
        <v>46.7</v>
      </c>
      <c r="J183" t="n">
        <v>49.9</v>
      </c>
      <c r="L183" t="n">
        <v>51.2</v>
      </c>
      <c r="N183" t="n">
        <v>3589.128</v>
      </c>
      <c r="O183" t="n">
        <v>0.003289015760775699</v>
      </c>
      <c r="P183" t="n">
        <v>0.04307098907154014</v>
      </c>
      <c r="Q183" t="n">
        <v>0.01322111122552361</v>
      </c>
      <c r="R183" t="n">
        <v>0.003289015760775699</v>
      </c>
      <c r="S183" t="n">
        <v>0.01322111122552361</v>
      </c>
      <c r="T183" t="n">
        <v>0.04307098907154014</v>
      </c>
    </row>
    <row r="184">
      <c r="A184" s="123" t="n">
        <v>22951</v>
      </c>
      <c r="B184" t="n">
        <v>57.8</v>
      </c>
      <c r="E184" t="n">
        <v>47.1</v>
      </c>
      <c r="F184" t="n">
        <v>56.9</v>
      </c>
      <c r="H184" t="n">
        <v>51.5</v>
      </c>
      <c r="I184" t="n">
        <v>48.7</v>
      </c>
      <c r="J184" t="n">
        <v>48.7</v>
      </c>
      <c r="L184" t="n">
        <v>53.8</v>
      </c>
      <c r="O184" t="n">
        <v>0.003289015760775699</v>
      </c>
      <c r="P184" t="n">
        <v>0.04307098907154014</v>
      </c>
      <c r="Q184" t="n">
        <v>0.01322111122552361</v>
      </c>
    </row>
    <row r="185">
      <c r="A185" s="123" t="n">
        <v>22981</v>
      </c>
      <c r="B185" t="n">
        <v>59.7</v>
      </c>
      <c r="E185" t="n">
        <v>47.3</v>
      </c>
      <c r="F185" t="n">
        <v>63.3</v>
      </c>
      <c r="H185" t="n">
        <v>50.1</v>
      </c>
      <c r="I185" t="n">
        <v>50.1</v>
      </c>
      <c r="J185" t="n">
        <v>54.6</v>
      </c>
      <c r="L185" t="n">
        <v>57.2</v>
      </c>
      <c r="O185" t="n">
        <v>0.003289015760775699</v>
      </c>
      <c r="P185" t="n">
        <v>0.04307098907154014</v>
      </c>
      <c r="Q185" t="n">
        <v>0.01322111122552361</v>
      </c>
    </row>
    <row r="186">
      <c r="A186" s="123" t="n">
        <v>23012</v>
      </c>
      <c r="B186" t="n">
        <v>60.9</v>
      </c>
      <c r="E186" t="n">
        <v>48.5</v>
      </c>
      <c r="F186" t="n">
        <v>56.5</v>
      </c>
      <c r="H186" t="n">
        <v>47.4</v>
      </c>
      <c r="I186" t="n">
        <v>50.4</v>
      </c>
      <c r="J186" t="n">
        <v>52.5</v>
      </c>
      <c r="L186" t="n">
        <v>55.2</v>
      </c>
      <c r="N186" t="n">
        <v>3628.306</v>
      </c>
      <c r="O186" t="n">
        <v>0.01091574332261203</v>
      </c>
      <c r="P186" t="n">
        <v>0.03597866315202198</v>
      </c>
      <c r="Q186" t="n">
        <v>0.04438311079570934</v>
      </c>
      <c r="R186" t="n">
        <v>0.01091574332261203</v>
      </c>
      <c r="S186" t="n">
        <v>0.04438311079570934</v>
      </c>
      <c r="T186" t="n">
        <v>0.03597866315202198</v>
      </c>
    </row>
    <row r="187">
      <c r="A187" s="123" t="n">
        <v>23043</v>
      </c>
      <c r="B187" t="n">
        <v>60.4</v>
      </c>
      <c r="E187" t="n">
        <v>51.7</v>
      </c>
      <c r="F187" t="n">
        <v>57.7</v>
      </c>
      <c r="H187" t="n">
        <v>48.3</v>
      </c>
      <c r="I187" t="n">
        <v>51</v>
      </c>
      <c r="J187" t="n">
        <v>50.2</v>
      </c>
      <c r="L187" t="n">
        <v>55.1</v>
      </c>
      <c r="O187" t="n">
        <v>0.01091574332261203</v>
      </c>
      <c r="P187" t="n">
        <v>0.03597866315202198</v>
      </c>
      <c r="Q187" t="n">
        <v>0.04438311079570934</v>
      </c>
    </row>
    <row r="188">
      <c r="A188" s="123" t="n">
        <v>23071</v>
      </c>
      <c r="B188" t="n">
        <v>57.5</v>
      </c>
      <c r="E188" t="n">
        <v>47.5</v>
      </c>
      <c r="F188" t="n">
        <v>56.3</v>
      </c>
      <c r="H188" t="n">
        <v>46.8</v>
      </c>
      <c r="I188" t="n">
        <v>54.9</v>
      </c>
      <c r="J188" t="n">
        <v>52.4</v>
      </c>
      <c r="L188" t="n">
        <v>54.7</v>
      </c>
      <c r="O188" t="n">
        <v>0.01091574332261203</v>
      </c>
      <c r="P188" t="n">
        <v>0.03597866315202198</v>
      </c>
      <c r="Q188" t="n">
        <v>0.04438311079570934</v>
      </c>
    </row>
    <row r="189">
      <c r="A189" s="123" t="n">
        <v>23102</v>
      </c>
      <c r="B189" t="n">
        <v>60.6</v>
      </c>
      <c r="E189" t="n">
        <v>55</v>
      </c>
      <c r="F189" t="n">
        <v>61</v>
      </c>
      <c r="H189" t="n">
        <v>48.6</v>
      </c>
      <c r="I189" t="n">
        <v>58.2</v>
      </c>
      <c r="J189" t="n">
        <v>52.7</v>
      </c>
      <c r="L189" t="n">
        <v>57.6</v>
      </c>
      <c r="N189" t="n">
        <v>3669.02</v>
      </c>
      <c r="O189" t="n">
        <v>0.01122121452821232</v>
      </c>
      <c r="P189" t="n">
        <v>0.03822156925386823</v>
      </c>
      <c r="Q189" t="n">
        <v>0.04564601960686088</v>
      </c>
      <c r="R189" t="n">
        <v>0.01122121452821232</v>
      </c>
      <c r="S189" t="n">
        <v>0.04564601960686088</v>
      </c>
      <c r="T189" t="n">
        <v>0.03822156925386823</v>
      </c>
    </row>
    <row r="190">
      <c r="A190" s="123" t="n">
        <v>23132</v>
      </c>
      <c r="B190" t="n">
        <v>66.90000000000001</v>
      </c>
      <c r="E190" t="n">
        <v>67.09999999999999</v>
      </c>
      <c r="F190" t="n">
        <v>60.4</v>
      </c>
      <c r="H190" t="n">
        <v>54.2</v>
      </c>
      <c r="I190" t="n">
        <v>56.4</v>
      </c>
      <c r="J190" t="n">
        <v>53.5</v>
      </c>
      <c r="L190" t="n">
        <v>59.8</v>
      </c>
      <c r="O190" t="n">
        <v>0.01122121452821232</v>
      </c>
      <c r="P190" t="n">
        <v>0.03822156925386823</v>
      </c>
      <c r="Q190" t="n">
        <v>0.04564601960686088</v>
      </c>
    </row>
    <row r="191">
      <c r="A191" s="123" t="n">
        <v>23163</v>
      </c>
      <c r="B191" t="n">
        <v>61.9</v>
      </c>
      <c r="E191" t="n">
        <v>58.7</v>
      </c>
      <c r="F191" t="n">
        <v>60.6</v>
      </c>
      <c r="H191" t="n">
        <v>55</v>
      </c>
      <c r="I191" t="n">
        <v>56.3</v>
      </c>
      <c r="J191" t="n">
        <v>52.6</v>
      </c>
      <c r="L191" t="n">
        <v>58.2</v>
      </c>
      <c r="O191" t="n">
        <v>0.01122121452821232</v>
      </c>
      <c r="P191" t="n">
        <v>0.03822156925386823</v>
      </c>
      <c r="Q191" t="n">
        <v>0.04564601960686088</v>
      </c>
    </row>
    <row r="192">
      <c r="A192" s="123" t="n">
        <v>23193</v>
      </c>
      <c r="B192" t="n">
        <v>60.1</v>
      </c>
      <c r="E192" t="n">
        <v>61</v>
      </c>
      <c r="F192" t="n">
        <v>60.4</v>
      </c>
      <c r="H192" t="n">
        <v>54</v>
      </c>
      <c r="I192" t="n">
        <v>43.6</v>
      </c>
      <c r="J192" t="n">
        <v>52</v>
      </c>
      <c r="L192" t="n">
        <v>55.5</v>
      </c>
      <c r="N192" t="n">
        <v>3749.681</v>
      </c>
      <c r="O192" t="n">
        <v>0.02198434459337918</v>
      </c>
      <c r="P192" t="n">
        <v>0.04816929346261294</v>
      </c>
      <c r="Q192" t="n">
        <v>0.09087998154472277</v>
      </c>
      <c r="R192" t="n">
        <v>0.02198434459337918</v>
      </c>
      <c r="S192" t="n">
        <v>0.09087998154472277</v>
      </c>
      <c r="T192" t="n">
        <v>0.04816929346261294</v>
      </c>
    </row>
    <row r="193">
      <c r="A193" s="123" t="n">
        <v>23224</v>
      </c>
      <c r="B193" t="n">
        <v>62</v>
      </c>
      <c r="E193" t="n">
        <v>59.8</v>
      </c>
      <c r="F193" t="n">
        <v>56.8</v>
      </c>
      <c r="H193" t="n">
        <v>48.1</v>
      </c>
      <c r="I193" t="n">
        <v>48.5</v>
      </c>
      <c r="J193" t="n">
        <v>51.1</v>
      </c>
      <c r="L193" t="n">
        <v>55.1</v>
      </c>
      <c r="O193" t="n">
        <v>0.02198434459337918</v>
      </c>
      <c r="P193" t="n">
        <v>0.04816929346261294</v>
      </c>
      <c r="Q193" t="n">
        <v>0.09087998154472277</v>
      </c>
    </row>
    <row r="194">
      <c r="A194" s="123" t="n">
        <v>23255</v>
      </c>
      <c r="B194" t="n">
        <v>59.8</v>
      </c>
      <c r="E194" t="n">
        <v>57.8</v>
      </c>
      <c r="F194" t="n">
        <v>63.2</v>
      </c>
      <c r="H194" t="n">
        <v>47.9</v>
      </c>
      <c r="I194" t="n">
        <v>49.7</v>
      </c>
      <c r="J194" t="n">
        <v>54.8</v>
      </c>
      <c r="L194" t="n">
        <v>56.9</v>
      </c>
      <c r="O194" t="n">
        <v>0.02198434459337918</v>
      </c>
      <c r="P194" t="n">
        <v>0.04816929346261294</v>
      </c>
      <c r="Q194" t="n">
        <v>0.09087998154472277</v>
      </c>
    </row>
    <row r="195">
      <c r="A195" s="123" t="n">
        <v>23285</v>
      </c>
      <c r="B195" t="n">
        <v>64</v>
      </c>
      <c r="E195" t="n">
        <v>76.90000000000001</v>
      </c>
      <c r="F195" t="n">
        <v>63.3</v>
      </c>
      <c r="H195" t="n">
        <v>46.4</v>
      </c>
      <c r="I195" t="n">
        <v>47.4</v>
      </c>
      <c r="J195" t="n">
        <v>54.5</v>
      </c>
      <c r="L195" t="n">
        <v>57.7</v>
      </c>
      <c r="N195" t="n">
        <v>3774.264</v>
      </c>
      <c r="O195" t="n">
        <v>0.006556024365806074</v>
      </c>
      <c r="P195" t="n">
        <v>0.05158244565253732</v>
      </c>
      <c r="Q195" t="n">
        <v>0.02648311519341773</v>
      </c>
      <c r="R195" t="n">
        <v>0.006556024365806074</v>
      </c>
      <c r="S195" t="n">
        <v>0.02648311519341773</v>
      </c>
      <c r="T195" t="n">
        <v>0.05158244565253732</v>
      </c>
    </row>
    <row r="196">
      <c r="A196" s="123" t="n">
        <v>23316</v>
      </c>
      <c r="B196" t="n">
        <v>63.7</v>
      </c>
      <c r="E196" t="n">
        <v>66.2</v>
      </c>
      <c r="F196" t="n">
        <v>64.09999999999999</v>
      </c>
      <c r="H196" t="n">
        <v>43.7</v>
      </c>
      <c r="I196" t="n">
        <v>48.7</v>
      </c>
      <c r="J196" t="n">
        <v>53.5</v>
      </c>
      <c r="L196" t="n">
        <v>57.5</v>
      </c>
      <c r="O196" t="n">
        <v>0.006556024365806074</v>
      </c>
      <c r="P196" t="n">
        <v>0.05158244565253732</v>
      </c>
      <c r="Q196" t="n">
        <v>0.02648311519341773</v>
      </c>
    </row>
    <row r="197">
      <c r="A197" s="123" t="n">
        <v>23346</v>
      </c>
      <c r="B197" t="n">
        <v>58.6</v>
      </c>
      <c r="E197" t="n">
        <v>64.40000000000001</v>
      </c>
      <c r="F197" t="n">
        <v>60.7</v>
      </c>
      <c r="H197" t="n">
        <v>44.2</v>
      </c>
      <c r="I197" t="n">
        <v>47.6</v>
      </c>
      <c r="J197" t="n">
        <v>48.4</v>
      </c>
      <c r="L197" t="n">
        <v>54</v>
      </c>
      <c r="O197" t="n">
        <v>0.006556024365806074</v>
      </c>
      <c r="P197" t="n">
        <v>0.05158244565253732</v>
      </c>
      <c r="Q197" t="n">
        <v>0.02648311519341773</v>
      </c>
    </row>
    <row r="198">
      <c r="A198" s="123" t="n">
        <v>23377</v>
      </c>
      <c r="B198" t="n">
        <v>61.3</v>
      </c>
      <c r="E198" t="n">
        <v>60</v>
      </c>
      <c r="F198" t="n">
        <v>63.3</v>
      </c>
      <c r="H198" t="n">
        <v>42.9</v>
      </c>
      <c r="I198" t="n">
        <v>55.3</v>
      </c>
      <c r="J198" t="n">
        <v>51.4</v>
      </c>
      <c r="L198" t="n">
        <v>57.1</v>
      </c>
      <c r="N198" t="n">
        <v>3853.835</v>
      </c>
      <c r="O198" t="n">
        <v>0.0210825209895227</v>
      </c>
      <c r="P198" t="n">
        <v>0.06215820826578574</v>
      </c>
      <c r="Q198" t="n">
        <v>0.08703460008107822</v>
      </c>
      <c r="R198" t="n">
        <v>0.0210825209895227</v>
      </c>
      <c r="S198" t="n">
        <v>0.08703460008107822</v>
      </c>
      <c r="T198" t="n">
        <v>0.06215820826578574</v>
      </c>
    </row>
    <row r="199">
      <c r="A199" s="123" t="n">
        <v>23408</v>
      </c>
      <c r="B199" t="n">
        <v>61.8</v>
      </c>
      <c r="E199" t="n">
        <v>60.1</v>
      </c>
      <c r="F199" t="n">
        <v>64</v>
      </c>
      <c r="H199" t="n">
        <v>50.4</v>
      </c>
      <c r="I199" t="n">
        <v>51.9</v>
      </c>
      <c r="J199" t="n">
        <v>52.7</v>
      </c>
      <c r="L199" t="n">
        <v>57.9</v>
      </c>
      <c r="O199" t="n">
        <v>0.0210825209895227</v>
      </c>
      <c r="P199" t="n">
        <v>0.06215820826578574</v>
      </c>
      <c r="Q199" t="n">
        <v>0.08703460008107822</v>
      </c>
    </row>
    <row r="200">
      <c r="A200" s="123" t="n">
        <v>23437</v>
      </c>
      <c r="B200" t="n">
        <v>61.7</v>
      </c>
      <c r="E200" t="n">
        <v>60.6</v>
      </c>
      <c r="F200" t="n">
        <v>64.40000000000001</v>
      </c>
      <c r="H200" t="n">
        <v>54.6</v>
      </c>
      <c r="I200" t="n">
        <v>60.3</v>
      </c>
      <c r="J200" t="n">
        <v>55.2</v>
      </c>
      <c r="L200" t="n">
        <v>60.2</v>
      </c>
      <c r="O200" t="n">
        <v>0.0210825209895227</v>
      </c>
      <c r="P200" t="n">
        <v>0.06215820826578574</v>
      </c>
      <c r="Q200" t="n">
        <v>0.08703460008107822</v>
      </c>
    </row>
    <row r="201">
      <c r="A201" s="123" t="n">
        <v>23468</v>
      </c>
      <c r="B201" t="n">
        <v>63.6</v>
      </c>
      <c r="E201" t="n">
        <v>65.40000000000001</v>
      </c>
      <c r="F201" t="n">
        <v>60.6</v>
      </c>
      <c r="H201" t="n">
        <v>53.1</v>
      </c>
      <c r="I201" t="n">
        <v>57.7</v>
      </c>
      <c r="J201" t="n">
        <v>55.2</v>
      </c>
      <c r="L201" t="n">
        <v>59.2</v>
      </c>
      <c r="N201" t="n">
        <v>3895.793</v>
      </c>
      <c r="O201" t="n">
        <v>0.01088733689947807</v>
      </c>
      <c r="P201" t="n">
        <v>0.06180751263280117</v>
      </c>
      <c r="Q201" t="n">
        <v>0.04426572835975362</v>
      </c>
      <c r="R201" t="n">
        <v>0.01088733689947807</v>
      </c>
      <c r="S201" t="n">
        <v>0.04426572835975362</v>
      </c>
      <c r="T201" t="n">
        <v>0.06180751263280117</v>
      </c>
    </row>
    <row r="202">
      <c r="A202" s="123" t="n">
        <v>23498</v>
      </c>
      <c r="B202" t="n">
        <v>59.9</v>
      </c>
      <c r="E202" t="n">
        <v>60.3</v>
      </c>
      <c r="F202" t="n">
        <v>61</v>
      </c>
      <c r="H202" t="n">
        <v>50.3</v>
      </c>
      <c r="I202" t="n">
        <v>61.4</v>
      </c>
      <c r="J202" t="n">
        <v>56</v>
      </c>
      <c r="L202" t="n">
        <v>58.7</v>
      </c>
      <c r="O202" t="n">
        <v>0.01088733689947807</v>
      </c>
      <c r="P202" t="n">
        <v>0.06180751263280117</v>
      </c>
      <c r="Q202" t="n">
        <v>0.04426572835975362</v>
      </c>
    </row>
    <row r="203">
      <c r="A203" s="123" t="n">
        <v>23529</v>
      </c>
      <c r="B203" t="n">
        <v>64.7</v>
      </c>
      <c r="E203" t="n">
        <v>58.9</v>
      </c>
      <c r="F203" t="n">
        <v>62.1</v>
      </c>
      <c r="H203" t="n">
        <v>53.5</v>
      </c>
      <c r="I203" t="n">
        <v>57.6</v>
      </c>
      <c r="J203" t="n">
        <v>55.7</v>
      </c>
      <c r="L203" t="n">
        <v>60.1</v>
      </c>
      <c r="O203" t="n">
        <v>0.01088733689947807</v>
      </c>
      <c r="P203" t="n">
        <v>0.06180751263280117</v>
      </c>
      <c r="Q203" t="n">
        <v>0.04426572835975362</v>
      </c>
    </row>
    <row r="204">
      <c r="A204" s="123" t="n">
        <v>23559</v>
      </c>
      <c r="B204" t="n">
        <v>69.90000000000001</v>
      </c>
      <c r="E204" t="n">
        <v>60.9</v>
      </c>
      <c r="F204" t="n">
        <v>63.7</v>
      </c>
      <c r="H204" t="n">
        <v>55.5</v>
      </c>
      <c r="I204" t="n">
        <v>61.8</v>
      </c>
      <c r="J204" t="n">
        <v>56.3</v>
      </c>
      <c r="L204" t="n">
        <v>62.9</v>
      </c>
      <c r="N204" t="n">
        <v>3956.657</v>
      </c>
      <c r="O204" t="n">
        <v>0.01562300666385509</v>
      </c>
      <c r="P204" t="n">
        <v>0.05519829553500687</v>
      </c>
      <c r="Q204" t="n">
        <v>0.06397180920292422</v>
      </c>
      <c r="R204" t="n">
        <v>0.01562300666385509</v>
      </c>
      <c r="S204" t="n">
        <v>0.06397180920292422</v>
      </c>
      <c r="T204" t="n">
        <v>0.05519829553500687</v>
      </c>
    </row>
    <row r="205">
      <c r="A205" s="123" t="n">
        <v>23590</v>
      </c>
      <c r="B205" t="n">
        <v>68</v>
      </c>
      <c r="E205" t="n">
        <v>61.7</v>
      </c>
      <c r="F205" t="n">
        <v>63.9</v>
      </c>
      <c r="H205" t="n">
        <v>53.5</v>
      </c>
      <c r="I205" t="n">
        <v>66.2</v>
      </c>
      <c r="J205" t="n">
        <v>58</v>
      </c>
      <c r="L205" t="n">
        <v>63.3</v>
      </c>
      <c r="O205" t="n">
        <v>0.01562300666385509</v>
      </c>
      <c r="P205" t="n">
        <v>0.05519829553500687</v>
      </c>
      <c r="Q205" t="n">
        <v>0.06397180920292422</v>
      </c>
    </row>
    <row r="206">
      <c r="A206" s="123" t="n">
        <v>23621</v>
      </c>
      <c r="B206" t="n">
        <v>63.3</v>
      </c>
      <c r="E206" t="n">
        <v>64.8</v>
      </c>
      <c r="F206" t="n">
        <v>64.90000000000001</v>
      </c>
      <c r="H206" t="n">
        <v>59</v>
      </c>
      <c r="I206" t="n">
        <v>71.90000000000001</v>
      </c>
      <c r="J206" t="n">
        <v>56.8</v>
      </c>
      <c r="L206" t="n">
        <v>63.3</v>
      </c>
      <c r="O206" t="n">
        <v>0.01562300666385509</v>
      </c>
      <c r="P206" t="n">
        <v>0.05519829553500687</v>
      </c>
      <c r="Q206" t="n">
        <v>0.06397180920292422</v>
      </c>
    </row>
    <row r="207">
      <c r="A207" s="123" t="n">
        <v>23651</v>
      </c>
      <c r="B207" t="n">
        <v>58.9</v>
      </c>
      <c r="E207" t="n">
        <v>68.8</v>
      </c>
      <c r="F207" t="n">
        <v>61.8</v>
      </c>
      <c r="H207" t="n">
        <v>59.1</v>
      </c>
      <c r="I207" t="n">
        <v>71.2</v>
      </c>
      <c r="J207" t="n">
        <v>55</v>
      </c>
      <c r="L207" t="n">
        <v>60.7</v>
      </c>
      <c r="N207" t="n">
        <v>3968.878</v>
      </c>
      <c r="O207" t="n">
        <v>0.003088718582379014</v>
      </c>
      <c r="P207" t="n">
        <v>0.05156343064502113</v>
      </c>
      <c r="Q207" t="n">
        <v>0.0124122333831731</v>
      </c>
      <c r="R207" t="n">
        <v>0.003088718582379014</v>
      </c>
      <c r="S207" t="n">
        <v>0.0124122333831731</v>
      </c>
      <c r="T207" t="n">
        <v>0.05156343064502113</v>
      </c>
    </row>
    <row r="208">
      <c r="A208" s="123" t="n">
        <v>23682</v>
      </c>
      <c r="B208" t="n">
        <v>60.7</v>
      </c>
      <c r="E208" t="n">
        <v>68.5</v>
      </c>
      <c r="F208" t="n">
        <v>62.1</v>
      </c>
      <c r="H208" t="n">
        <v>61</v>
      </c>
      <c r="I208" t="n">
        <v>70.3</v>
      </c>
      <c r="J208" t="n">
        <v>57.3</v>
      </c>
      <c r="L208" t="n">
        <v>61.8</v>
      </c>
      <c r="O208" t="n">
        <v>0.003088718582379014</v>
      </c>
      <c r="P208" t="n">
        <v>0.05156343064502113</v>
      </c>
      <c r="Q208" t="n">
        <v>0.0124122333831731</v>
      </c>
    </row>
    <row r="209">
      <c r="A209" s="123" t="n">
        <v>23712</v>
      </c>
      <c r="B209" t="n">
        <v>64.40000000000001</v>
      </c>
      <c r="E209" t="n">
        <v>69.59999999999999</v>
      </c>
      <c r="F209" t="n">
        <v>63.5</v>
      </c>
      <c r="H209" t="n">
        <v>59.5</v>
      </c>
      <c r="I209" t="n">
        <v>67.8</v>
      </c>
      <c r="J209" t="n">
        <v>55.2</v>
      </c>
      <c r="L209" t="n">
        <v>62.4</v>
      </c>
      <c r="O209" t="n">
        <v>0.003088718582379014</v>
      </c>
      <c r="P209" t="n">
        <v>0.05156343064502113</v>
      </c>
      <c r="Q209" t="n">
        <v>0.0124122333831731</v>
      </c>
    </row>
    <row r="210">
      <c r="A210" s="123" t="n">
        <v>23743</v>
      </c>
      <c r="B210" t="n">
        <v>62.3</v>
      </c>
      <c r="E210" t="n">
        <v>70.7</v>
      </c>
      <c r="F210" t="n">
        <v>58.2</v>
      </c>
      <c r="H210" t="n">
        <v>61.4</v>
      </c>
      <c r="I210" t="n">
        <v>68.5</v>
      </c>
      <c r="J210" t="n">
        <v>56.7</v>
      </c>
      <c r="L210" t="n">
        <v>61</v>
      </c>
      <c r="N210" t="n">
        <v>4064.915</v>
      </c>
      <c r="O210" t="n">
        <v>0.02419751879498433</v>
      </c>
      <c r="P210" t="n">
        <v>0.0547714160050962</v>
      </c>
      <c r="Q210" t="n">
        <v>0.1003602100251837</v>
      </c>
      <c r="R210" t="n">
        <v>0.02419751879498433</v>
      </c>
      <c r="S210" t="n">
        <v>0.1003602100251837</v>
      </c>
      <c r="T210" t="n">
        <v>0.0547714160050962</v>
      </c>
    </row>
    <row r="211">
      <c r="A211" s="123" t="n">
        <v>23774</v>
      </c>
      <c r="B211" t="n">
        <v>63.2</v>
      </c>
      <c r="E211" t="n">
        <v>64.8</v>
      </c>
      <c r="F211" t="n">
        <v>59.8</v>
      </c>
      <c r="H211" t="n">
        <v>63.2</v>
      </c>
      <c r="I211" t="n">
        <v>68.09999999999999</v>
      </c>
      <c r="J211" t="n">
        <v>58.3</v>
      </c>
      <c r="L211" t="n">
        <v>62.1</v>
      </c>
      <c r="O211" t="n">
        <v>0.02419751879498433</v>
      </c>
      <c r="P211" t="n">
        <v>0.0547714160050962</v>
      </c>
      <c r="Q211" t="n">
        <v>0.1003602100251837</v>
      </c>
    </row>
    <row r="212">
      <c r="A212" s="123" t="n">
        <v>23802</v>
      </c>
      <c r="B212" t="n">
        <v>68.7</v>
      </c>
      <c r="E212" t="n">
        <v>64.5</v>
      </c>
      <c r="F212" t="n">
        <v>65.7</v>
      </c>
      <c r="H212" t="n">
        <v>57.8</v>
      </c>
      <c r="I212" t="n">
        <v>65.90000000000001</v>
      </c>
      <c r="J212" t="n">
        <v>61.2</v>
      </c>
      <c r="L212" t="n">
        <v>64.90000000000001</v>
      </c>
      <c r="O212" t="n">
        <v>0.02419751879498433</v>
      </c>
      <c r="P212" t="n">
        <v>0.0547714160050962</v>
      </c>
      <c r="Q212" t="n">
        <v>0.1003602100251837</v>
      </c>
    </row>
    <row r="213">
      <c r="A213" s="123" t="n">
        <v>23833</v>
      </c>
      <c r="B213" t="n">
        <v>59.8</v>
      </c>
      <c r="E213" t="n">
        <v>68.7</v>
      </c>
      <c r="F213" t="n">
        <v>62.6</v>
      </c>
      <c r="H213" t="n">
        <v>61.9</v>
      </c>
      <c r="I213" t="n">
        <v>69.40000000000001</v>
      </c>
      <c r="J213" t="n">
        <v>59.2</v>
      </c>
      <c r="L213" t="n">
        <v>62</v>
      </c>
      <c r="N213" t="n">
        <v>4116.267</v>
      </c>
      <c r="O213" t="n">
        <v>0.01263298248548859</v>
      </c>
      <c r="P213" t="n">
        <v>0.05659284258686221</v>
      </c>
      <c r="Q213" t="n">
        <v>0.05149757339472938</v>
      </c>
      <c r="R213" t="n">
        <v>0.01263298248548859</v>
      </c>
      <c r="S213" t="n">
        <v>0.05149757339472938</v>
      </c>
      <c r="T213" t="n">
        <v>0.05659284258686221</v>
      </c>
    </row>
    <row r="214">
      <c r="A214" s="123" t="n">
        <v>23863</v>
      </c>
      <c r="B214" t="n">
        <v>60.2</v>
      </c>
      <c r="E214" t="n">
        <v>70</v>
      </c>
      <c r="F214" t="n">
        <v>62.4</v>
      </c>
      <c r="H214" t="n">
        <v>60.6</v>
      </c>
      <c r="I214" t="n">
        <v>68.90000000000001</v>
      </c>
      <c r="J214" t="n">
        <v>56.4</v>
      </c>
      <c r="L214" t="n">
        <v>61.3</v>
      </c>
      <c r="O214" t="n">
        <v>0.01263298248548859</v>
      </c>
      <c r="P214" t="n">
        <v>0.05659284258686221</v>
      </c>
      <c r="Q214" t="n">
        <v>0.05149757339472938</v>
      </c>
    </row>
    <row r="215">
      <c r="A215" s="123" t="n">
        <v>23894</v>
      </c>
      <c r="B215" t="n">
        <v>57.4</v>
      </c>
      <c r="E215" t="n">
        <v>73.2</v>
      </c>
      <c r="F215" t="n">
        <v>57.5</v>
      </c>
      <c r="H215" t="n">
        <v>55.8</v>
      </c>
      <c r="I215" t="n">
        <v>69.3</v>
      </c>
      <c r="J215" t="n">
        <v>55.4</v>
      </c>
      <c r="L215" t="n">
        <v>58.7</v>
      </c>
      <c r="O215" t="n">
        <v>0.01263298248548859</v>
      </c>
      <c r="P215" t="n">
        <v>0.05659284258686221</v>
      </c>
      <c r="Q215" t="n">
        <v>0.05149757339472938</v>
      </c>
    </row>
    <row r="216">
      <c r="A216" s="123" t="n">
        <v>23924</v>
      </c>
      <c r="B216" t="n">
        <v>56.6</v>
      </c>
      <c r="E216" t="n">
        <v>71.8</v>
      </c>
      <c r="F216" t="n">
        <v>59</v>
      </c>
      <c r="H216" t="n">
        <v>53.8</v>
      </c>
      <c r="I216" t="n">
        <v>65.09999999999999</v>
      </c>
      <c r="J216" t="n">
        <v>56.2</v>
      </c>
      <c r="L216" t="n">
        <v>58.1</v>
      </c>
      <c r="N216" t="n">
        <v>4207.782</v>
      </c>
      <c r="O216" t="n">
        <v>0.02223252281739749</v>
      </c>
      <c r="P216" t="n">
        <v>0.06346898404385318</v>
      </c>
      <c r="Q216" t="n">
        <v>0.09194000282873915</v>
      </c>
      <c r="R216" t="n">
        <v>0.02223252281739749</v>
      </c>
      <c r="S216" t="n">
        <v>0.09194000282873915</v>
      </c>
      <c r="T216" t="n">
        <v>0.06346898404385318</v>
      </c>
    </row>
    <row r="217">
      <c r="A217" s="123" t="n">
        <v>23955</v>
      </c>
      <c r="B217" t="n">
        <v>56</v>
      </c>
      <c r="E217" t="n">
        <v>70.5</v>
      </c>
      <c r="F217" t="n">
        <v>56.6</v>
      </c>
      <c r="H217" t="n">
        <v>57.2</v>
      </c>
      <c r="I217" t="n">
        <v>65.40000000000001</v>
      </c>
      <c r="J217" t="n">
        <v>58</v>
      </c>
      <c r="L217" t="n">
        <v>58.1</v>
      </c>
      <c r="O217" t="n">
        <v>0.02223252281739749</v>
      </c>
      <c r="P217" t="n">
        <v>0.06346898404385318</v>
      </c>
      <c r="Q217" t="n">
        <v>0.09194000282873915</v>
      </c>
    </row>
    <row r="218">
      <c r="A218" s="123" t="n">
        <v>23986</v>
      </c>
      <c r="B218" t="n">
        <v>63.6</v>
      </c>
      <c r="E218" t="n">
        <v>66.3</v>
      </c>
      <c r="F218" t="n">
        <v>63.8</v>
      </c>
      <c r="H218" t="n">
        <v>55.7</v>
      </c>
      <c r="I218" t="n">
        <v>61.2</v>
      </c>
      <c r="J218" t="n">
        <v>56.2</v>
      </c>
      <c r="L218" t="n">
        <v>61</v>
      </c>
      <c r="O218" t="n">
        <v>0.02223252281739749</v>
      </c>
      <c r="P218" t="n">
        <v>0.06346898404385318</v>
      </c>
      <c r="Q218" t="n">
        <v>0.09194000282873915</v>
      </c>
    </row>
    <row r="219">
      <c r="A219" s="123" t="n">
        <v>24016</v>
      </c>
      <c r="B219" t="n">
        <v>62</v>
      </c>
      <c r="E219" t="n">
        <v>68.59999999999999</v>
      </c>
      <c r="F219" t="n">
        <v>60.5</v>
      </c>
      <c r="H219" t="n">
        <v>46.5</v>
      </c>
      <c r="I219" t="n">
        <v>59.1</v>
      </c>
      <c r="J219" t="n">
        <v>56.9</v>
      </c>
      <c r="L219" t="n">
        <v>58.6</v>
      </c>
      <c r="N219" t="n">
        <v>4304.731</v>
      </c>
      <c r="O219" t="n">
        <v>0.02304040465974701</v>
      </c>
      <c r="P219" t="n">
        <v>0.08462164873800596</v>
      </c>
      <c r="Q219" t="n">
        <v>0.09539598687252315</v>
      </c>
      <c r="R219" t="n">
        <v>0.02304040465974701</v>
      </c>
      <c r="S219" t="n">
        <v>0.09539598687252315</v>
      </c>
      <c r="T219" t="n">
        <v>0.08462164873800596</v>
      </c>
    </row>
    <row r="220">
      <c r="A220" s="123" t="n">
        <v>24047</v>
      </c>
      <c r="B220" t="n">
        <v>61.9</v>
      </c>
      <c r="E220" t="n">
        <v>70.59999999999999</v>
      </c>
      <c r="F220" t="n">
        <v>60.9</v>
      </c>
      <c r="H220" t="n">
        <v>48.7</v>
      </c>
      <c r="I220" t="n">
        <v>65.09999999999999</v>
      </c>
      <c r="J220" t="n">
        <v>54.7</v>
      </c>
      <c r="L220" t="n">
        <v>59.4</v>
      </c>
      <c r="O220" t="n">
        <v>0.02304040465974701</v>
      </c>
      <c r="P220" t="n">
        <v>0.08462164873800596</v>
      </c>
      <c r="Q220" t="n">
        <v>0.09539598687252315</v>
      </c>
    </row>
    <row r="221">
      <c r="A221" s="123" t="n">
        <v>24077</v>
      </c>
      <c r="B221" t="n">
        <v>62.9</v>
      </c>
      <c r="E221" t="n">
        <v>67</v>
      </c>
      <c r="F221" t="n">
        <v>64.40000000000001</v>
      </c>
      <c r="H221" t="n">
        <v>47.4</v>
      </c>
      <c r="I221" t="n">
        <v>73.5</v>
      </c>
      <c r="J221" t="n">
        <v>60.2</v>
      </c>
      <c r="L221" t="n">
        <v>62.8</v>
      </c>
      <c r="O221" t="n">
        <v>0.02304040465974701</v>
      </c>
      <c r="P221" t="n">
        <v>0.08462164873800596</v>
      </c>
      <c r="Q221" t="n">
        <v>0.09539598687252315</v>
      </c>
    </row>
    <row r="222">
      <c r="A222" s="123" t="n">
        <v>24108</v>
      </c>
      <c r="B222" t="n">
        <v>66.5</v>
      </c>
      <c r="E222" t="n">
        <v>75.90000000000001</v>
      </c>
      <c r="F222" t="n">
        <v>68.40000000000001</v>
      </c>
      <c r="H222" t="n">
        <v>49.7</v>
      </c>
      <c r="I222" t="n">
        <v>74.90000000000001</v>
      </c>
      <c r="J222" t="n">
        <v>62.6</v>
      </c>
      <c r="L222" t="n">
        <v>65.8</v>
      </c>
      <c r="N222" t="n">
        <v>4409.518</v>
      </c>
      <c r="O222" t="n">
        <v>0.0243422875900957</v>
      </c>
      <c r="P222" t="n">
        <v>0.08477495839396397</v>
      </c>
      <c r="Q222" t="n">
        <v>0.100982479057544</v>
      </c>
      <c r="R222" t="n">
        <v>0.0243422875900957</v>
      </c>
      <c r="S222" t="n">
        <v>0.100982479057544</v>
      </c>
      <c r="T222" t="n">
        <v>0.08477495839396397</v>
      </c>
    </row>
    <row r="223">
      <c r="A223" s="123" t="n">
        <v>24139</v>
      </c>
      <c r="B223" t="n">
        <v>66.09999999999999</v>
      </c>
      <c r="E223" t="n">
        <v>80.90000000000001</v>
      </c>
      <c r="F223" t="n">
        <v>66.09999999999999</v>
      </c>
      <c r="H223" t="n">
        <v>48.7</v>
      </c>
      <c r="I223" t="n">
        <v>80.09999999999999</v>
      </c>
      <c r="J223" t="n">
        <v>61.2</v>
      </c>
      <c r="L223" t="n">
        <v>65.5</v>
      </c>
      <c r="O223" t="n">
        <v>0.0243422875900957</v>
      </c>
      <c r="P223" t="n">
        <v>0.08477495839396397</v>
      </c>
      <c r="Q223" t="n">
        <v>0.100982479057544</v>
      </c>
    </row>
    <row r="224">
      <c r="A224" s="123" t="n">
        <v>24167</v>
      </c>
      <c r="B224" t="n">
        <v>64.3</v>
      </c>
      <c r="E224" t="n">
        <v>85.7</v>
      </c>
      <c r="F224" t="n">
        <v>63.8</v>
      </c>
      <c r="H224" t="n">
        <v>52.3</v>
      </c>
      <c r="I224" t="n">
        <v>86.40000000000001</v>
      </c>
      <c r="J224" t="n">
        <v>61.5</v>
      </c>
      <c r="L224" t="n">
        <v>65.7</v>
      </c>
      <c r="O224" t="n">
        <v>0.0243422875900957</v>
      </c>
      <c r="P224" t="n">
        <v>0.08477495839396397</v>
      </c>
      <c r="Q224" t="n">
        <v>0.100982479057544</v>
      </c>
    </row>
    <row r="225">
      <c r="A225" s="123" t="n">
        <v>24198</v>
      </c>
      <c r="B225" t="n">
        <v>64.3</v>
      </c>
      <c r="E225" t="n">
        <v>83.90000000000001</v>
      </c>
      <c r="F225" t="n">
        <v>63.1</v>
      </c>
      <c r="H225" t="n">
        <v>53</v>
      </c>
      <c r="I225" t="n">
        <v>79.3</v>
      </c>
      <c r="J225" t="n">
        <v>59.9</v>
      </c>
      <c r="L225" t="n">
        <v>64.2</v>
      </c>
      <c r="N225" t="n">
        <v>4424.581</v>
      </c>
      <c r="O225" t="n">
        <v>0.003416019619377923</v>
      </c>
      <c r="P225" t="n">
        <v>0.07490136086896218</v>
      </c>
      <c r="Q225" t="n">
        <v>0.01373425320265032</v>
      </c>
      <c r="R225" t="n">
        <v>0.003416019619377923</v>
      </c>
      <c r="S225" t="n">
        <v>0.01373425320265032</v>
      </c>
      <c r="T225" t="n">
        <v>0.07490136086896218</v>
      </c>
    </row>
    <row r="226">
      <c r="A226" s="123" t="n">
        <v>24228</v>
      </c>
      <c r="B226" t="n">
        <v>52.7</v>
      </c>
      <c r="E226" t="n">
        <v>83.3</v>
      </c>
      <c r="F226" t="n">
        <v>55.5</v>
      </c>
      <c r="H226" t="n">
        <v>53.8</v>
      </c>
      <c r="I226" t="n">
        <v>74.59999999999999</v>
      </c>
      <c r="J226" t="n">
        <v>57</v>
      </c>
      <c r="L226" t="n">
        <v>57.7</v>
      </c>
      <c r="O226" t="n">
        <v>0.003416019619377923</v>
      </c>
      <c r="P226" t="n">
        <v>0.07490136086896218</v>
      </c>
      <c r="Q226" t="n">
        <v>0.01373425320265032</v>
      </c>
    </row>
    <row r="227">
      <c r="A227" s="123" t="n">
        <v>24259</v>
      </c>
      <c r="B227" t="n">
        <v>55.9</v>
      </c>
      <c r="E227" t="n">
        <v>81.5</v>
      </c>
      <c r="F227" t="n">
        <v>57.6</v>
      </c>
      <c r="H227" t="n">
        <v>53.3</v>
      </c>
      <c r="I227" t="n">
        <v>71.59999999999999</v>
      </c>
      <c r="J227" t="n">
        <v>58.8</v>
      </c>
      <c r="L227" t="n">
        <v>59</v>
      </c>
      <c r="O227" t="n">
        <v>0.003416019619377923</v>
      </c>
      <c r="P227" t="n">
        <v>0.07490136086896218</v>
      </c>
      <c r="Q227" t="n">
        <v>0.01373425320265032</v>
      </c>
    </row>
    <row r="228">
      <c r="A228" s="123" t="n">
        <v>24289</v>
      </c>
      <c r="B228" t="n">
        <v>56.3</v>
      </c>
      <c r="E228" t="n">
        <v>79.7</v>
      </c>
      <c r="F228" t="n">
        <v>59.3</v>
      </c>
      <c r="H228" t="n">
        <v>57.9</v>
      </c>
      <c r="I228" t="n">
        <v>73.09999999999999</v>
      </c>
      <c r="J228" t="n">
        <v>58.9</v>
      </c>
      <c r="L228" t="n">
        <v>60.3</v>
      </c>
      <c r="N228" t="n">
        <v>4462.053</v>
      </c>
      <c r="O228" t="n">
        <v>0.008469050515743695</v>
      </c>
      <c r="P228" t="n">
        <v>0.06042874844751932</v>
      </c>
      <c r="Q228" t="n">
        <v>0.03430898587163456</v>
      </c>
      <c r="R228" t="n">
        <v>0.008469050515743695</v>
      </c>
      <c r="S228" t="n">
        <v>0.03430898587163456</v>
      </c>
      <c r="T228" t="n">
        <v>0.06042874844751932</v>
      </c>
    </row>
    <row r="229">
      <c r="A229" s="123" t="n">
        <v>24320</v>
      </c>
      <c r="B229" t="n">
        <v>53.3</v>
      </c>
      <c r="E229" t="n">
        <v>79.5</v>
      </c>
      <c r="F229" t="n">
        <v>57.7</v>
      </c>
      <c r="H229" t="n">
        <v>57</v>
      </c>
      <c r="I229" t="n">
        <v>74.3</v>
      </c>
      <c r="J229" t="n">
        <v>56.4</v>
      </c>
      <c r="L229" t="n">
        <v>58.5</v>
      </c>
      <c r="O229" t="n">
        <v>0.008469050515743695</v>
      </c>
      <c r="P229" t="n">
        <v>0.06042874844751932</v>
      </c>
      <c r="Q229" t="n">
        <v>0.03430898587163456</v>
      </c>
    </row>
    <row r="230">
      <c r="A230" s="123" t="n">
        <v>24351</v>
      </c>
      <c r="B230" t="n">
        <v>55.2</v>
      </c>
      <c r="E230" t="n">
        <v>73.7</v>
      </c>
      <c r="F230" t="n">
        <v>57.9</v>
      </c>
      <c r="H230" t="n">
        <v>54.8</v>
      </c>
      <c r="I230" t="n">
        <v>72.40000000000001</v>
      </c>
      <c r="J230" t="n">
        <v>56.5</v>
      </c>
      <c r="L230" t="n">
        <v>58.7</v>
      </c>
      <c r="O230" t="n">
        <v>0.008469050515743695</v>
      </c>
      <c r="P230" t="n">
        <v>0.06042874844751932</v>
      </c>
      <c r="Q230" t="n">
        <v>0.03430898587163456</v>
      </c>
    </row>
    <row r="231">
      <c r="A231" s="123" t="n">
        <v>24381</v>
      </c>
      <c r="B231" t="n">
        <v>51.6</v>
      </c>
      <c r="E231" t="n">
        <v>70.3</v>
      </c>
      <c r="F231" t="n">
        <v>57</v>
      </c>
      <c r="H231" t="n">
        <v>58.2</v>
      </c>
      <c r="I231" t="n">
        <v>68.7</v>
      </c>
      <c r="J231" t="n">
        <v>56.9</v>
      </c>
      <c r="L231" t="n">
        <v>57.2</v>
      </c>
      <c r="N231" t="n">
        <v>4498.66</v>
      </c>
      <c r="O231" t="n">
        <v>0.008204071085663924</v>
      </c>
      <c r="P231" t="n">
        <v>0.04505020174315192</v>
      </c>
      <c r="Q231" t="n">
        <v>0.03322233832563914</v>
      </c>
      <c r="R231" t="n">
        <v>0.008204071085663924</v>
      </c>
      <c r="S231" t="n">
        <v>0.03322233832563914</v>
      </c>
      <c r="T231" t="n">
        <v>0.04505020174315192</v>
      </c>
    </row>
    <row r="232">
      <c r="A232" s="123" t="n">
        <v>24412</v>
      </c>
      <c r="B232" t="n">
        <v>46.8</v>
      </c>
      <c r="E232" t="n">
        <v>71.90000000000001</v>
      </c>
      <c r="F232" t="n">
        <v>54.2</v>
      </c>
      <c r="H232" t="n">
        <v>55.6</v>
      </c>
      <c r="I232" t="n">
        <v>62.6</v>
      </c>
      <c r="J232" t="n">
        <v>55.6</v>
      </c>
      <c r="L232" t="n">
        <v>53.7</v>
      </c>
      <c r="O232" t="n">
        <v>0.008204071085663924</v>
      </c>
      <c r="P232" t="n">
        <v>0.04505020174315192</v>
      </c>
      <c r="Q232" t="n">
        <v>0.03322233832563914</v>
      </c>
    </row>
    <row r="233">
      <c r="A233" s="123" t="n">
        <v>24442</v>
      </c>
      <c r="B233" t="n">
        <v>48.8</v>
      </c>
      <c r="E233" t="n">
        <v>67.59999999999999</v>
      </c>
      <c r="F233" t="n">
        <v>54.1</v>
      </c>
      <c r="H233" t="n">
        <v>53.7</v>
      </c>
      <c r="I233" t="n">
        <v>57.9</v>
      </c>
      <c r="J233" t="n">
        <v>50.7</v>
      </c>
      <c r="L233" t="n">
        <v>52.4</v>
      </c>
      <c r="O233" t="n">
        <v>0.008204071085663924</v>
      </c>
      <c r="P233" t="n">
        <v>0.04505020174315192</v>
      </c>
      <c r="Q233" t="n">
        <v>0.03322233832563914</v>
      </c>
    </row>
    <row r="234">
      <c r="A234" s="123" t="n">
        <v>24473</v>
      </c>
      <c r="B234" t="n">
        <v>46.2</v>
      </c>
      <c r="E234" t="n">
        <v>72.90000000000001</v>
      </c>
      <c r="F234" t="n">
        <v>54.1</v>
      </c>
      <c r="H234" t="n">
        <v>48.2</v>
      </c>
      <c r="I234" t="n">
        <v>48.2</v>
      </c>
      <c r="J234" t="n">
        <v>48.3</v>
      </c>
      <c r="L234" t="n">
        <v>49.1</v>
      </c>
      <c r="N234" t="n">
        <v>4538.498</v>
      </c>
      <c r="O234" t="n">
        <v>0.008855525867702769</v>
      </c>
      <c r="P234" t="n">
        <v>0.02925036251127664</v>
      </c>
      <c r="Q234" t="n">
        <v>0.03589540946426273</v>
      </c>
      <c r="R234" t="n">
        <v>0.008855525867702769</v>
      </c>
      <c r="S234" t="n">
        <v>0.03589540946426273</v>
      </c>
      <c r="T234" t="n">
        <v>0.02925036251127664</v>
      </c>
    </row>
    <row r="235">
      <c r="A235" s="123" t="n">
        <v>24504</v>
      </c>
      <c r="B235" t="n">
        <v>45.1</v>
      </c>
      <c r="E235" t="n">
        <v>61.8</v>
      </c>
      <c r="F235" t="n">
        <v>50.4</v>
      </c>
      <c r="H235" t="n">
        <v>45.3</v>
      </c>
      <c r="I235" t="n">
        <v>49.9</v>
      </c>
      <c r="J235" t="n">
        <v>47.6</v>
      </c>
      <c r="L235" t="n">
        <v>47.6</v>
      </c>
      <c r="O235" t="n">
        <v>0.008855525867702769</v>
      </c>
      <c r="P235" t="n">
        <v>0.02925036251127664</v>
      </c>
      <c r="Q235" t="n">
        <v>0.03589540946426273</v>
      </c>
    </row>
    <row r="236">
      <c r="A236" s="123" t="n">
        <v>24532</v>
      </c>
      <c r="B236" t="n">
        <v>45.3</v>
      </c>
      <c r="E236" t="n">
        <v>54</v>
      </c>
      <c r="F236" t="n">
        <v>48.7</v>
      </c>
      <c r="H236" t="n">
        <v>45.6</v>
      </c>
      <c r="I236" t="n">
        <v>38</v>
      </c>
      <c r="J236" t="n">
        <v>46.3</v>
      </c>
      <c r="L236" t="n">
        <v>45.3</v>
      </c>
      <c r="O236" t="n">
        <v>0.008855525867702769</v>
      </c>
      <c r="P236" t="n">
        <v>0.02925036251127664</v>
      </c>
      <c r="Q236" t="n">
        <v>0.03589540946426273</v>
      </c>
    </row>
    <row r="237">
      <c r="A237" s="123" t="n">
        <v>24563</v>
      </c>
      <c r="B237" t="n">
        <v>46.4</v>
      </c>
      <c r="E237" t="n">
        <v>56.3</v>
      </c>
      <c r="F237" t="n">
        <v>44.3</v>
      </c>
      <c r="H237" t="n">
        <v>39.4</v>
      </c>
      <c r="I237" t="n">
        <v>36.9</v>
      </c>
      <c r="J237" t="n">
        <v>41.8</v>
      </c>
      <c r="L237" t="n">
        <v>42.8</v>
      </c>
      <c r="N237" t="n">
        <v>4541.28</v>
      </c>
      <c r="O237" t="n">
        <v>0.0006129781262435619</v>
      </c>
      <c r="P237" t="n">
        <v>0.02637515281107965</v>
      </c>
      <c r="Q237" t="n">
        <v>0.002454167879502034</v>
      </c>
      <c r="R237" t="n">
        <v>0.0006129781262435619</v>
      </c>
      <c r="S237" t="n">
        <v>0.002454167879502034</v>
      </c>
      <c r="T237" t="n">
        <v>0.02637515281107965</v>
      </c>
    </row>
    <row r="238">
      <c r="A238" s="123" t="n">
        <v>24593</v>
      </c>
      <c r="B238" t="n">
        <v>47.6</v>
      </c>
      <c r="E238" t="n">
        <v>56.1</v>
      </c>
      <c r="F238" t="n">
        <v>48</v>
      </c>
      <c r="H238" t="n">
        <v>39.7</v>
      </c>
      <c r="I238" t="n">
        <v>34.4</v>
      </c>
      <c r="J238" t="n">
        <v>45.5</v>
      </c>
      <c r="L238" t="n">
        <v>44.5</v>
      </c>
      <c r="O238" t="n">
        <v>0.0006129781262435619</v>
      </c>
      <c r="P238" t="n">
        <v>0.02637515281107965</v>
      </c>
      <c r="Q238" t="n">
        <v>0.002454167879502034</v>
      </c>
    </row>
    <row r="239">
      <c r="A239" s="123" t="n">
        <v>24624</v>
      </c>
      <c r="B239" t="n">
        <v>51.8</v>
      </c>
      <c r="E239" t="n">
        <v>58.4</v>
      </c>
      <c r="F239" t="n">
        <v>50.7</v>
      </c>
      <c r="H239" t="n">
        <v>39.6</v>
      </c>
      <c r="I239" t="n">
        <v>36.5</v>
      </c>
      <c r="J239" t="n">
        <v>45.8</v>
      </c>
      <c r="L239" t="n">
        <v>46.8</v>
      </c>
      <c r="O239" t="n">
        <v>0.0006129781262435619</v>
      </c>
      <c r="P239" t="n">
        <v>0.02637515281107965</v>
      </c>
      <c r="Q239" t="n">
        <v>0.002454167879502034</v>
      </c>
    </row>
    <row r="240">
      <c r="A240" s="123" t="n">
        <v>24654</v>
      </c>
      <c r="B240" t="n">
        <v>53.7</v>
      </c>
      <c r="E240" t="n">
        <v>63.9</v>
      </c>
      <c r="F240" t="n">
        <v>53.4</v>
      </c>
      <c r="H240" t="n">
        <v>38.1</v>
      </c>
      <c r="I240" t="n">
        <v>40.9</v>
      </c>
      <c r="J240" t="n">
        <v>50.2</v>
      </c>
      <c r="L240" t="n">
        <v>49.5</v>
      </c>
      <c r="N240" t="n">
        <v>4584.246</v>
      </c>
      <c r="O240" t="n">
        <v>0.009461209174505944</v>
      </c>
      <c r="P240" t="n">
        <v>0.02738492796925546</v>
      </c>
      <c r="Q240" t="n">
        <v>0.03838531924596955</v>
      </c>
      <c r="R240" t="n">
        <v>0.009461209174505944</v>
      </c>
      <c r="S240" t="n">
        <v>0.03838531924596955</v>
      </c>
      <c r="T240" t="n">
        <v>0.02738492796925546</v>
      </c>
    </row>
    <row r="241">
      <c r="A241" s="123" t="n">
        <v>24685</v>
      </c>
      <c r="B241" t="n">
        <v>55.4</v>
      </c>
      <c r="E241" t="n">
        <v>67.5</v>
      </c>
      <c r="F241" t="n">
        <v>56.4</v>
      </c>
      <c r="H241" t="n">
        <v>41.7</v>
      </c>
      <c r="I241" t="n">
        <v>44.8</v>
      </c>
      <c r="J241" t="n">
        <v>52.9</v>
      </c>
      <c r="L241" t="n">
        <v>52.2</v>
      </c>
      <c r="O241" t="n">
        <v>0.009461209174505944</v>
      </c>
      <c r="P241" t="n">
        <v>0.02738492796925546</v>
      </c>
      <c r="Q241" t="n">
        <v>0.03838531924596955</v>
      </c>
    </row>
    <row r="242">
      <c r="A242" s="123" t="n">
        <v>24716</v>
      </c>
      <c r="B242" t="n">
        <v>62</v>
      </c>
      <c r="E242" t="n">
        <v>75.2</v>
      </c>
      <c r="F242" t="n">
        <v>57.4</v>
      </c>
      <c r="H242" t="n">
        <v>46.8</v>
      </c>
      <c r="I242" t="n">
        <v>46.5</v>
      </c>
      <c r="J242" t="n">
        <v>51.6</v>
      </c>
      <c r="L242" t="n">
        <v>54.9</v>
      </c>
      <c r="O242" t="n">
        <v>0.009461209174505944</v>
      </c>
      <c r="P242" t="n">
        <v>0.02738492796925546</v>
      </c>
      <c r="Q242" t="n">
        <v>0.03838531924596955</v>
      </c>
    </row>
    <row r="243">
      <c r="A243" s="123" t="n">
        <v>24746</v>
      </c>
      <c r="B243" t="n">
        <v>55.8</v>
      </c>
      <c r="E243" t="n">
        <v>78.7</v>
      </c>
      <c r="F243" t="n">
        <v>57.7</v>
      </c>
      <c r="H243" t="n">
        <v>48</v>
      </c>
      <c r="I243" t="n">
        <v>51.1</v>
      </c>
      <c r="J243" t="n">
        <v>52.4</v>
      </c>
      <c r="L243" t="n">
        <v>54.1</v>
      </c>
      <c r="N243" t="n">
        <v>4618.812</v>
      </c>
      <c r="O243" t="n">
        <v>0.007540171273531089</v>
      </c>
      <c r="P243" t="n">
        <v>0.02670839761173328</v>
      </c>
      <c r="Q243" t="n">
        <v>0.03050352818463198</v>
      </c>
      <c r="R243" t="n">
        <v>0.007540171273531089</v>
      </c>
      <c r="S243" t="n">
        <v>0.03050352818463198</v>
      </c>
      <c r="T243" t="n">
        <v>0.02670839761173328</v>
      </c>
    </row>
    <row r="244">
      <c r="A244" s="123" t="n">
        <v>24777</v>
      </c>
      <c r="B244" t="n">
        <v>57</v>
      </c>
      <c r="E244" t="n">
        <v>83.8</v>
      </c>
      <c r="F244" t="n">
        <v>58.6</v>
      </c>
      <c r="H244" t="n">
        <v>44.4</v>
      </c>
      <c r="I244" t="n">
        <v>51.4</v>
      </c>
      <c r="J244" t="n">
        <v>51.5</v>
      </c>
      <c r="L244" t="n">
        <v>54.2</v>
      </c>
      <c r="O244" t="n">
        <v>0.007540171273531089</v>
      </c>
      <c r="P244" t="n">
        <v>0.02670839761173328</v>
      </c>
      <c r="Q244" t="n">
        <v>0.03050352818463198</v>
      </c>
    </row>
    <row r="245">
      <c r="A245" s="123" t="n">
        <v>24807</v>
      </c>
      <c r="B245" t="n">
        <v>59.4</v>
      </c>
      <c r="E245" t="n">
        <v>79.59999999999999</v>
      </c>
      <c r="F245" t="n">
        <v>58.7</v>
      </c>
      <c r="H245" t="n">
        <v>53.8</v>
      </c>
      <c r="I245" t="n">
        <v>49.9</v>
      </c>
      <c r="J245" t="n">
        <v>51.5</v>
      </c>
      <c r="L245" t="n">
        <v>55.6</v>
      </c>
      <c r="O245" t="n">
        <v>0.007540171273531089</v>
      </c>
      <c r="P245" t="n">
        <v>0.02670839761173328</v>
      </c>
      <c r="Q245" t="n">
        <v>0.03050352818463198</v>
      </c>
    </row>
    <row r="246">
      <c r="A246" s="123" t="n">
        <v>24838</v>
      </c>
      <c r="B246" t="n">
        <v>60.1</v>
      </c>
      <c r="E246" t="n">
        <v>78</v>
      </c>
      <c r="F246" t="n">
        <v>59.3</v>
      </c>
      <c r="H246" t="n">
        <v>54.8</v>
      </c>
      <c r="I246" t="n">
        <v>50.6</v>
      </c>
      <c r="J246" t="n">
        <v>53.2</v>
      </c>
      <c r="L246" t="n">
        <v>56.6</v>
      </c>
      <c r="N246" t="n">
        <v>4713.013</v>
      </c>
      <c r="O246" t="n">
        <v>0.02039507128672915</v>
      </c>
      <c r="P246" t="n">
        <v>0.0384521487064664</v>
      </c>
      <c r="Q246" t="n">
        <v>0.08411014581384135</v>
      </c>
      <c r="R246" t="n">
        <v>0.02039507128672915</v>
      </c>
      <c r="S246" t="n">
        <v>0.08411014581384135</v>
      </c>
      <c r="T246" t="n">
        <v>0.0384521487064664</v>
      </c>
    </row>
    <row r="247">
      <c r="A247" s="123" t="n">
        <v>24869</v>
      </c>
      <c r="B247" t="n">
        <v>56.6</v>
      </c>
      <c r="E247" t="n">
        <v>76.3</v>
      </c>
      <c r="F247" t="n">
        <v>58.1</v>
      </c>
      <c r="H247" t="n">
        <v>53.7</v>
      </c>
      <c r="I247" t="n">
        <v>53.9</v>
      </c>
      <c r="J247" t="n">
        <v>50.3</v>
      </c>
      <c r="L247" t="n">
        <v>55</v>
      </c>
      <c r="O247" t="n">
        <v>0.02039507128672915</v>
      </c>
      <c r="P247" t="n">
        <v>0.0384521487064664</v>
      </c>
      <c r="Q247" t="n">
        <v>0.08411014581384135</v>
      </c>
    </row>
    <row r="248">
      <c r="A248" s="123" t="n">
        <v>24898</v>
      </c>
      <c r="B248" t="n">
        <v>55.7</v>
      </c>
      <c r="E248" t="n">
        <v>76.09999999999999</v>
      </c>
      <c r="F248" t="n">
        <v>55.8</v>
      </c>
      <c r="H248" t="n">
        <v>50.7</v>
      </c>
      <c r="I248" t="n">
        <v>54</v>
      </c>
      <c r="J248" t="n">
        <v>50.1</v>
      </c>
      <c r="L248" t="n">
        <v>53.8</v>
      </c>
      <c r="O248" t="n">
        <v>0.02039507128672915</v>
      </c>
      <c r="P248" t="n">
        <v>0.0384521487064664</v>
      </c>
      <c r="Q248" t="n">
        <v>0.08411014581384135</v>
      </c>
    </row>
    <row r="249">
      <c r="A249" s="123" t="n">
        <v>24929</v>
      </c>
      <c r="B249" t="n">
        <v>64.5</v>
      </c>
      <c r="E249" t="n">
        <v>71.5</v>
      </c>
      <c r="F249" t="n">
        <v>60.1</v>
      </c>
      <c r="H249" t="n">
        <v>54.9</v>
      </c>
      <c r="I249" t="n">
        <v>49</v>
      </c>
      <c r="J249" t="n">
        <v>53.5</v>
      </c>
      <c r="L249" t="n">
        <v>58</v>
      </c>
      <c r="N249" t="n">
        <v>4791.758</v>
      </c>
      <c r="O249" t="n">
        <v>0.01670799550096719</v>
      </c>
      <c r="P249" t="n">
        <v>0.0551558151005884</v>
      </c>
      <c r="Q249" t="n">
        <v>0.06852565923772147</v>
      </c>
      <c r="R249" t="n">
        <v>0.01670799550096719</v>
      </c>
      <c r="S249" t="n">
        <v>0.06852565923772147</v>
      </c>
      <c r="T249" t="n">
        <v>0.0551558151005884</v>
      </c>
    </row>
    <row r="250">
      <c r="A250" s="123" t="n">
        <v>24959</v>
      </c>
      <c r="B250" t="n">
        <v>56.2</v>
      </c>
      <c r="E250" t="n">
        <v>69.2</v>
      </c>
      <c r="F250" t="n">
        <v>60</v>
      </c>
      <c r="H250" t="n">
        <v>54</v>
      </c>
      <c r="I250" t="n">
        <v>49.4</v>
      </c>
      <c r="J250" t="n">
        <v>53.1</v>
      </c>
      <c r="L250" t="n">
        <v>55.3</v>
      </c>
      <c r="O250" t="n">
        <v>0.01670799550096719</v>
      </c>
      <c r="P250" t="n">
        <v>0.0551558151005884</v>
      </c>
      <c r="Q250" t="n">
        <v>0.06852565923772147</v>
      </c>
    </row>
    <row r="251">
      <c r="A251" s="123" t="n">
        <v>24990</v>
      </c>
      <c r="B251" t="n">
        <v>54.3</v>
      </c>
      <c r="E251" t="n">
        <v>70.40000000000001</v>
      </c>
      <c r="F251" t="n">
        <v>54.9</v>
      </c>
      <c r="H251" t="n">
        <v>55</v>
      </c>
      <c r="I251" t="n">
        <v>49.9</v>
      </c>
      <c r="J251" t="n">
        <v>52.6</v>
      </c>
      <c r="L251" t="n">
        <v>53.5</v>
      </c>
      <c r="O251" t="n">
        <v>0.01670799550096719</v>
      </c>
      <c r="P251" t="n">
        <v>0.0551558151005884</v>
      </c>
      <c r="Q251" t="n">
        <v>0.06852565923772147</v>
      </c>
    </row>
    <row r="252">
      <c r="A252" s="123" t="n">
        <v>25020</v>
      </c>
      <c r="B252" t="n">
        <v>54.5</v>
      </c>
      <c r="E252" t="n">
        <v>67.09999999999999</v>
      </c>
      <c r="F252" t="n">
        <v>56.5</v>
      </c>
      <c r="H252" t="n">
        <v>55.8</v>
      </c>
      <c r="I252" t="n">
        <v>55.9</v>
      </c>
      <c r="J252" t="n">
        <v>48.2</v>
      </c>
      <c r="L252" t="n">
        <v>54.1</v>
      </c>
      <c r="N252" t="n">
        <v>4828.892</v>
      </c>
      <c r="O252" t="n">
        <v>0.007749556634537891</v>
      </c>
      <c r="P252" t="n">
        <v>0.05336668232900235</v>
      </c>
      <c r="Q252" t="n">
        <v>0.03136042553098384</v>
      </c>
      <c r="R252" t="n">
        <v>0.007749556634537891</v>
      </c>
      <c r="S252" t="n">
        <v>0.03136042553098384</v>
      </c>
      <c r="T252" t="n">
        <v>0.05336668232900235</v>
      </c>
    </row>
    <row r="253">
      <c r="A253" s="123" t="n">
        <v>25051</v>
      </c>
      <c r="B253" t="n">
        <v>53.8</v>
      </c>
      <c r="E253" t="n">
        <v>74.3</v>
      </c>
      <c r="F253" t="n">
        <v>56.1</v>
      </c>
      <c r="H253" t="n">
        <v>54.2</v>
      </c>
      <c r="I253" t="n">
        <v>47.8</v>
      </c>
      <c r="J253" t="n">
        <v>49.5</v>
      </c>
      <c r="L253" t="n">
        <v>52.7</v>
      </c>
      <c r="O253" t="n">
        <v>0.007749556634537891</v>
      </c>
      <c r="P253" t="n">
        <v>0.05336668232900235</v>
      </c>
      <c r="Q253" t="n">
        <v>0.03136042553098384</v>
      </c>
    </row>
    <row r="254">
      <c r="A254" s="123" t="n">
        <v>25082</v>
      </c>
      <c r="B254" t="n">
        <v>55.4</v>
      </c>
      <c r="E254" t="n">
        <v>72.40000000000001</v>
      </c>
      <c r="F254" t="n">
        <v>57</v>
      </c>
      <c r="H254" t="n">
        <v>42.4</v>
      </c>
      <c r="I254" t="n">
        <v>48.4</v>
      </c>
      <c r="J254" t="n">
        <v>47.1</v>
      </c>
      <c r="L254" t="n">
        <v>51.8</v>
      </c>
      <c r="O254" t="n">
        <v>0.007749556634537891</v>
      </c>
      <c r="P254" t="n">
        <v>0.05336668232900235</v>
      </c>
      <c r="Q254" t="n">
        <v>0.03136042553098384</v>
      </c>
    </row>
    <row r="255">
      <c r="A255" s="123" t="n">
        <v>25112</v>
      </c>
      <c r="B255" t="n">
        <v>58.5</v>
      </c>
      <c r="E255" t="n">
        <v>70.8</v>
      </c>
      <c r="F255" t="n">
        <v>61.1</v>
      </c>
      <c r="H255" t="n">
        <v>44.3</v>
      </c>
      <c r="I255" t="n">
        <v>53.3</v>
      </c>
      <c r="J255" t="n">
        <v>52.6</v>
      </c>
      <c r="L255" t="n">
        <v>55.8</v>
      </c>
      <c r="N255" t="n">
        <v>4847.885</v>
      </c>
      <c r="O255" t="n">
        <v>0.003933200411191717</v>
      </c>
      <c r="P255" t="n">
        <v>0.04959565360096933</v>
      </c>
      <c r="Q255" t="n">
        <v>0.01582586566440858</v>
      </c>
      <c r="R255" t="n">
        <v>0.003933200411191717</v>
      </c>
      <c r="S255" t="n">
        <v>0.01582586566440858</v>
      </c>
      <c r="T255" t="n">
        <v>0.04959565360096933</v>
      </c>
    </row>
    <row r="256">
      <c r="A256" s="123" t="n">
        <v>25143</v>
      </c>
      <c r="B256" t="n">
        <v>61.3</v>
      </c>
      <c r="E256" t="n">
        <v>69.5</v>
      </c>
      <c r="F256" t="n">
        <v>59.8</v>
      </c>
      <c r="H256" t="n">
        <v>43.5</v>
      </c>
      <c r="I256" t="n">
        <v>61</v>
      </c>
      <c r="J256" t="n">
        <v>56.4</v>
      </c>
      <c r="L256" t="n">
        <v>58.1</v>
      </c>
      <c r="O256" t="n">
        <v>0.003933200411191717</v>
      </c>
      <c r="P256" t="n">
        <v>0.04959565360096933</v>
      </c>
      <c r="Q256" t="n">
        <v>0.01582586566440858</v>
      </c>
    </row>
    <row r="257">
      <c r="A257" s="123" t="n">
        <v>25173</v>
      </c>
      <c r="B257" t="n">
        <v>56.7</v>
      </c>
      <c r="E257" t="n">
        <v>76.8</v>
      </c>
      <c r="F257" t="n">
        <v>60.6</v>
      </c>
      <c r="H257" t="n">
        <v>46.3</v>
      </c>
      <c r="I257" t="n">
        <v>58.3</v>
      </c>
      <c r="J257" t="n">
        <v>52.8</v>
      </c>
      <c r="L257" t="n">
        <v>56.1</v>
      </c>
      <c r="O257" t="n">
        <v>0.003933200411191717</v>
      </c>
      <c r="P257" t="n">
        <v>0.04959565360096933</v>
      </c>
      <c r="Q257" t="n">
        <v>0.01582586566440858</v>
      </c>
    </row>
    <row r="258">
      <c r="A258" s="123" t="n">
        <v>25204</v>
      </c>
      <c r="B258" t="n">
        <v>54.4</v>
      </c>
      <c r="E258" t="n">
        <v>77.09999999999999</v>
      </c>
      <c r="F258" t="n">
        <v>57.1</v>
      </c>
      <c r="H258" t="n">
        <v>44.2</v>
      </c>
      <c r="I258" t="n">
        <v>63.6</v>
      </c>
      <c r="J258" t="n">
        <v>51.9</v>
      </c>
      <c r="L258" t="n">
        <v>54.9</v>
      </c>
      <c r="N258" t="n">
        <v>4923.76</v>
      </c>
      <c r="O258" t="n">
        <v>0.01565115509134396</v>
      </c>
      <c r="P258" t="n">
        <v>0.04471598105076313</v>
      </c>
      <c r="Q258" t="n">
        <v>0.06408976784792308</v>
      </c>
      <c r="R258" t="n">
        <v>0.01565115509134396</v>
      </c>
      <c r="S258" t="n">
        <v>0.06408976784792308</v>
      </c>
      <c r="T258" t="n">
        <v>0.04471598105076313</v>
      </c>
    </row>
    <row r="259">
      <c r="A259" s="123" t="n">
        <v>25235</v>
      </c>
      <c r="B259" t="n">
        <v>57.9</v>
      </c>
      <c r="E259" t="n">
        <v>79.59999999999999</v>
      </c>
      <c r="F259" t="n">
        <v>59.1</v>
      </c>
      <c r="H259" t="n">
        <v>46.3</v>
      </c>
      <c r="I259" t="n">
        <v>60.1</v>
      </c>
      <c r="J259" t="n">
        <v>56.1</v>
      </c>
      <c r="L259" t="n">
        <v>57</v>
      </c>
      <c r="O259" t="n">
        <v>0.01565115509134396</v>
      </c>
      <c r="P259" t="n">
        <v>0.04471598105076313</v>
      </c>
      <c r="Q259" t="n">
        <v>0.06408976784792308</v>
      </c>
    </row>
    <row r="260">
      <c r="A260" s="123" t="n">
        <v>25263</v>
      </c>
      <c r="B260" t="n">
        <v>59.3</v>
      </c>
      <c r="E260" t="n">
        <v>79.40000000000001</v>
      </c>
      <c r="F260" t="n">
        <v>58.8</v>
      </c>
      <c r="H260" t="n">
        <v>47.6</v>
      </c>
      <c r="I260" t="n">
        <v>60.5</v>
      </c>
      <c r="J260" t="n">
        <v>53.8</v>
      </c>
      <c r="L260" t="n">
        <v>57.1</v>
      </c>
      <c r="O260" t="n">
        <v>0.01565115509134396</v>
      </c>
      <c r="P260" t="n">
        <v>0.04471598105076313</v>
      </c>
      <c r="Q260" t="n">
        <v>0.06408976784792308</v>
      </c>
    </row>
    <row r="261">
      <c r="A261" s="123" t="n">
        <v>25294</v>
      </c>
      <c r="B261" t="n">
        <v>54.4</v>
      </c>
      <c r="E261" t="n">
        <v>78.8</v>
      </c>
      <c r="F261" t="n">
        <v>55.1</v>
      </c>
      <c r="H261" t="n">
        <v>49.2</v>
      </c>
      <c r="I261" t="n">
        <v>63.9</v>
      </c>
      <c r="J261" t="n">
        <v>52.7</v>
      </c>
      <c r="L261" t="n">
        <v>55.2</v>
      </c>
      <c r="N261" t="n">
        <v>4938.728</v>
      </c>
      <c r="O261" t="n">
        <v>0.003039953206492568</v>
      </c>
      <c r="P261" t="n">
        <v>0.03067141537615219</v>
      </c>
      <c r="Q261" t="n">
        <v>0.01221537317702515</v>
      </c>
      <c r="R261" t="n">
        <v>0.003039953206492568</v>
      </c>
      <c r="S261" t="n">
        <v>0.01221537317702515</v>
      </c>
      <c r="T261" t="n">
        <v>0.03067141537615219</v>
      </c>
    </row>
    <row r="262">
      <c r="A262" s="123" t="n">
        <v>25324</v>
      </c>
      <c r="B262" t="n">
        <v>57.6</v>
      </c>
      <c r="E262" t="n">
        <v>79.3</v>
      </c>
      <c r="F262" t="n">
        <v>56.3</v>
      </c>
      <c r="H262" t="n">
        <v>50.7</v>
      </c>
      <c r="I262" t="n">
        <v>64.90000000000001</v>
      </c>
      <c r="J262" t="n">
        <v>52.8</v>
      </c>
      <c r="L262" t="n">
        <v>56.7</v>
      </c>
      <c r="O262" t="n">
        <v>0.003039953206492568</v>
      </c>
      <c r="P262" t="n">
        <v>0.03067141537615219</v>
      </c>
      <c r="Q262" t="n">
        <v>0.01221537317702515</v>
      </c>
    </row>
    <row r="263">
      <c r="A263" s="123" t="n">
        <v>25355</v>
      </c>
      <c r="B263" t="n">
        <v>52.7</v>
      </c>
      <c r="E263" t="n">
        <v>80.90000000000001</v>
      </c>
      <c r="F263" t="n">
        <v>56.9</v>
      </c>
      <c r="H263" t="n">
        <v>47.8</v>
      </c>
      <c r="I263" t="n">
        <v>67</v>
      </c>
      <c r="J263" t="n">
        <v>53.1</v>
      </c>
      <c r="L263" t="n">
        <v>55.5</v>
      </c>
      <c r="O263" t="n">
        <v>0.003039953206492568</v>
      </c>
      <c r="P263" t="n">
        <v>0.03067141537615219</v>
      </c>
      <c r="Q263" t="n">
        <v>0.01221537317702515</v>
      </c>
    </row>
    <row r="264">
      <c r="A264" s="123" t="n">
        <v>25385</v>
      </c>
      <c r="B264" t="n">
        <v>49.8</v>
      </c>
      <c r="E264" t="n">
        <v>80.90000000000001</v>
      </c>
      <c r="F264" t="n">
        <v>51.2</v>
      </c>
      <c r="H264" t="n">
        <v>49.3</v>
      </c>
      <c r="I264" t="n">
        <v>65.7</v>
      </c>
      <c r="J264" t="n">
        <v>53</v>
      </c>
      <c r="L264" t="n">
        <v>53.1</v>
      </c>
      <c r="N264" t="n">
        <v>4971.349</v>
      </c>
      <c r="O264" t="n">
        <v>0.006605142052771502</v>
      </c>
      <c r="P264" t="n">
        <v>0.02950097040894688</v>
      </c>
      <c r="Q264" t="n">
        <v>0.02668349019765204</v>
      </c>
      <c r="R264" t="n">
        <v>0.006605142052771502</v>
      </c>
      <c r="S264" t="n">
        <v>0.02668349019765204</v>
      </c>
      <c r="T264" t="n">
        <v>0.02950097040894688</v>
      </c>
    </row>
    <row r="265">
      <c r="A265" s="123" t="n">
        <v>25416</v>
      </c>
      <c r="B265" t="n">
        <v>51.5</v>
      </c>
      <c r="E265" t="n">
        <v>84.40000000000001</v>
      </c>
      <c r="F265" t="n">
        <v>54.1</v>
      </c>
      <c r="H265" t="n">
        <v>50.9</v>
      </c>
      <c r="I265" t="n">
        <v>70.3</v>
      </c>
      <c r="J265" t="n">
        <v>51.2</v>
      </c>
      <c r="L265" t="n">
        <v>54.8</v>
      </c>
      <c r="O265" t="n">
        <v>0.006605142052771502</v>
      </c>
      <c r="P265" t="n">
        <v>0.02950097040894688</v>
      </c>
      <c r="Q265" t="n">
        <v>0.02668349019765204</v>
      </c>
    </row>
    <row r="266">
      <c r="A266" s="123" t="n">
        <v>25447</v>
      </c>
      <c r="B266" t="n">
        <v>50.4</v>
      </c>
      <c r="E266" t="n">
        <v>83.2</v>
      </c>
      <c r="F266" t="n">
        <v>54.8</v>
      </c>
      <c r="H266" t="n">
        <v>49.4</v>
      </c>
      <c r="I266" t="n">
        <v>68.90000000000001</v>
      </c>
      <c r="J266" t="n">
        <v>50.3</v>
      </c>
      <c r="L266" t="n">
        <v>54.1</v>
      </c>
      <c r="O266" t="n">
        <v>0.006605142052771502</v>
      </c>
      <c r="P266" t="n">
        <v>0.02950097040894688</v>
      </c>
      <c r="Q266" t="n">
        <v>0.02668349019765204</v>
      </c>
    </row>
    <row r="267">
      <c r="A267" s="123" t="n">
        <v>25477</v>
      </c>
      <c r="B267" t="n">
        <v>51.9</v>
      </c>
      <c r="E267" t="n">
        <v>85.3</v>
      </c>
      <c r="F267" t="n">
        <v>53.2</v>
      </c>
      <c r="H267" t="n">
        <v>54.2</v>
      </c>
      <c r="I267" t="n">
        <v>66.8</v>
      </c>
      <c r="J267" t="n">
        <v>51.3</v>
      </c>
      <c r="L267" t="n">
        <v>54.6</v>
      </c>
      <c r="N267" t="n">
        <v>4947.104</v>
      </c>
      <c r="O267" t="n">
        <v>-0.004876945875254361</v>
      </c>
      <c r="P267" t="n">
        <v>0.02046645083371409</v>
      </c>
      <c r="Q267" t="n">
        <v>-0.01936553931373741</v>
      </c>
      <c r="R267" t="n">
        <v>-0.004876945875254361</v>
      </c>
      <c r="S267" t="n">
        <v>-0.01936553931373741</v>
      </c>
      <c r="T267" t="n">
        <v>0.02046645083371409</v>
      </c>
    </row>
    <row r="268">
      <c r="A268" s="123" t="n">
        <v>25508</v>
      </c>
      <c r="B268" t="n">
        <v>50.6</v>
      </c>
      <c r="E268" t="n">
        <v>81.8</v>
      </c>
      <c r="F268" t="n">
        <v>51.2</v>
      </c>
      <c r="H268" t="n">
        <v>55.6</v>
      </c>
      <c r="I268" t="n">
        <v>64.09999999999999</v>
      </c>
      <c r="J268" t="n">
        <v>50.4</v>
      </c>
      <c r="L268" t="n">
        <v>53.2</v>
      </c>
      <c r="O268" t="n">
        <v>-0.004876945875254361</v>
      </c>
      <c r="P268" t="n">
        <v>0.02046645083371409</v>
      </c>
      <c r="Q268" t="n">
        <v>-0.01936553931373741</v>
      </c>
    </row>
    <row r="269">
      <c r="A269" s="123" t="n">
        <v>25538</v>
      </c>
      <c r="B269" t="n">
        <v>48</v>
      </c>
      <c r="E269" t="n">
        <v>82.2</v>
      </c>
      <c r="F269" t="n">
        <v>50.3</v>
      </c>
      <c r="H269" t="n">
        <v>51.5</v>
      </c>
      <c r="I269" t="n">
        <v>66.8</v>
      </c>
      <c r="J269" t="n">
        <v>49.6</v>
      </c>
      <c r="L269" t="n">
        <v>52</v>
      </c>
      <c r="O269" t="n">
        <v>-0.004876945875254361</v>
      </c>
      <c r="P269" t="n">
        <v>0.02046645083371409</v>
      </c>
      <c r="Q269" t="n">
        <v>-0.01936553931373741</v>
      </c>
    </row>
    <row r="270">
      <c r="A270" s="123" t="n">
        <v>25569</v>
      </c>
      <c r="B270" t="n">
        <v>45.8</v>
      </c>
      <c r="E270" t="n">
        <v>80.59999999999999</v>
      </c>
      <c r="F270" t="n">
        <v>48.1</v>
      </c>
      <c r="H270" t="n">
        <v>50.2</v>
      </c>
      <c r="I270" t="n">
        <v>57.9</v>
      </c>
      <c r="J270" t="n">
        <v>46.3</v>
      </c>
      <c r="L270" t="n">
        <v>48.7</v>
      </c>
      <c r="N270" t="n">
        <v>4939.759</v>
      </c>
      <c r="O270" t="n">
        <v>-0.001484707012425907</v>
      </c>
      <c r="P270" t="n">
        <v>0.003249346028238541</v>
      </c>
      <c r="Q270" t="n">
        <v>-0.005925615006652563</v>
      </c>
      <c r="R270" t="n">
        <v>-0.001484707012425907</v>
      </c>
      <c r="S270" t="n">
        <v>-0.005925615006652563</v>
      </c>
      <c r="T270" t="n">
        <v>0.003249346028238541</v>
      </c>
    </row>
    <row r="271">
      <c r="A271" s="123" t="n">
        <v>25600</v>
      </c>
      <c r="B271" t="n">
        <v>45.8</v>
      </c>
      <c r="E271" t="n">
        <v>74.5</v>
      </c>
      <c r="F271" t="n">
        <v>45.9</v>
      </c>
      <c r="H271" t="n">
        <v>48.6</v>
      </c>
      <c r="I271" t="n">
        <v>57.7</v>
      </c>
      <c r="J271" t="n">
        <v>43.3</v>
      </c>
      <c r="L271" t="n">
        <v>47.4</v>
      </c>
      <c r="O271" t="n">
        <v>-0.001484707012425907</v>
      </c>
      <c r="P271" t="n">
        <v>0.003249346028238541</v>
      </c>
      <c r="Q271" t="n">
        <v>-0.005925615006652563</v>
      </c>
    </row>
    <row r="272">
      <c r="A272" s="123" t="n">
        <v>25628</v>
      </c>
      <c r="B272" t="n">
        <v>45.2</v>
      </c>
      <c r="E272" t="n">
        <v>67.8</v>
      </c>
      <c r="F272" t="n">
        <v>47.3</v>
      </c>
      <c r="H272" t="n">
        <v>51.4</v>
      </c>
      <c r="I272" t="n">
        <v>49.3</v>
      </c>
      <c r="J272" t="n">
        <v>44.8</v>
      </c>
      <c r="L272" t="n">
        <v>46.9</v>
      </c>
      <c r="O272" t="n">
        <v>-0.001484707012425907</v>
      </c>
      <c r="P272" t="n">
        <v>0.003249346028238541</v>
      </c>
      <c r="Q272" t="n">
        <v>-0.005925615006652563</v>
      </c>
    </row>
    <row r="273">
      <c r="A273" s="123" t="n">
        <v>25659</v>
      </c>
      <c r="B273" t="n">
        <v>45.7</v>
      </c>
      <c r="E273" t="n">
        <v>75.09999999999999</v>
      </c>
      <c r="F273" t="n">
        <v>45.5</v>
      </c>
      <c r="H273" t="n">
        <v>44.3</v>
      </c>
      <c r="I273" t="n">
        <v>48.7</v>
      </c>
      <c r="J273" t="n">
        <v>40.7</v>
      </c>
      <c r="L273" t="n">
        <v>45</v>
      </c>
      <c r="N273" t="n">
        <v>4946.77</v>
      </c>
      <c r="O273" t="n">
        <v>0.001419300010385208</v>
      </c>
      <c r="P273" t="n">
        <v>0.001628354507476494</v>
      </c>
      <c r="Q273" t="n">
        <v>0.00568929795693851</v>
      </c>
      <c r="R273" t="n">
        <v>0.001419300010385208</v>
      </c>
      <c r="S273" t="n">
        <v>0.00568929795693851</v>
      </c>
      <c r="T273" t="n">
        <v>0.001628354507476494</v>
      </c>
    </row>
    <row r="274">
      <c r="A274" s="123" t="n">
        <v>25689</v>
      </c>
      <c r="B274" t="n">
        <v>45.3</v>
      </c>
      <c r="E274" t="n">
        <v>78.3</v>
      </c>
      <c r="F274" t="n">
        <v>45.2</v>
      </c>
      <c r="H274" t="n">
        <v>40.4</v>
      </c>
      <c r="I274" t="n">
        <v>67.2</v>
      </c>
      <c r="J274" t="n">
        <v>40.8</v>
      </c>
      <c r="L274" t="n">
        <v>47.2</v>
      </c>
      <c r="O274" t="n">
        <v>0.001419300010385208</v>
      </c>
      <c r="P274" t="n">
        <v>0.001628354507476494</v>
      </c>
      <c r="Q274" t="n">
        <v>0.00568929795693851</v>
      </c>
    </row>
    <row r="275">
      <c r="A275" s="123" t="n">
        <v>25720</v>
      </c>
      <c r="B275" t="n">
        <v>53.2</v>
      </c>
      <c r="E275" t="n">
        <v>73.8</v>
      </c>
      <c r="F275" t="n">
        <v>49.7</v>
      </c>
      <c r="H275" t="n">
        <v>45.3</v>
      </c>
      <c r="I275" t="n">
        <v>66.09999999999999</v>
      </c>
      <c r="J275" t="n">
        <v>41.4</v>
      </c>
      <c r="L275" t="n">
        <v>51.1</v>
      </c>
      <c r="O275" t="n">
        <v>0.001419300010385208</v>
      </c>
      <c r="P275" t="n">
        <v>0.001628354507476494</v>
      </c>
      <c r="Q275" t="n">
        <v>0.00568929795693851</v>
      </c>
    </row>
    <row r="276">
      <c r="A276" s="123" t="n">
        <v>25750</v>
      </c>
      <c r="B276" t="n">
        <v>52.5</v>
      </c>
      <c r="E276" t="n">
        <v>72.40000000000001</v>
      </c>
      <c r="F276" t="n">
        <v>54.5</v>
      </c>
      <c r="H276" t="n">
        <v>45.4</v>
      </c>
      <c r="I276" t="n">
        <v>49.8</v>
      </c>
      <c r="J276" t="n">
        <v>40.6</v>
      </c>
      <c r="L276" t="n">
        <v>49.5</v>
      </c>
      <c r="N276" t="n">
        <v>4992.357</v>
      </c>
      <c r="O276" t="n">
        <v>0.009215508301376359</v>
      </c>
      <c r="P276" t="n">
        <v>0.004225814763759255</v>
      </c>
      <c r="Q276" t="n">
        <v>0.03737472450741652</v>
      </c>
      <c r="R276" t="n">
        <v>0.009215508301376359</v>
      </c>
      <c r="S276" t="n">
        <v>0.03737472450741652</v>
      </c>
      <c r="T276" t="n">
        <v>0.004225814763759255</v>
      </c>
    </row>
    <row r="277">
      <c r="A277" s="123" t="n">
        <v>25781</v>
      </c>
      <c r="B277" t="n">
        <v>51.8</v>
      </c>
      <c r="E277" t="n">
        <v>68.59999999999999</v>
      </c>
      <c r="F277" t="n">
        <v>49.7</v>
      </c>
      <c r="H277" t="n">
        <v>43.8</v>
      </c>
      <c r="I277" t="n">
        <v>46.1</v>
      </c>
      <c r="J277" t="n">
        <v>40.1</v>
      </c>
      <c r="L277" t="n">
        <v>47.3</v>
      </c>
      <c r="O277" t="n">
        <v>0.009215508301376359</v>
      </c>
      <c r="P277" t="n">
        <v>0.004225814763759255</v>
      </c>
      <c r="Q277" t="n">
        <v>0.03737472450741652</v>
      </c>
    </row>
    <row r="278">
      <c r="A278" s="123" t="n">
        <v>25812</v>
      </c>
      <c r="B278" t="n">
        <v>44.2</v>
      </c>
      <c r="E278" t="n">
        <v>70.59999999999999</v>
      </c>
      <c r="F278" t="n">
        <v>45.1</v>
      </c>
      <c r="H278" t="n">
        <v>47.2</v>
      </c>
      <c r="I278" t="n">
        <v>46.5</v>
      </c>
      <c r="J278" t="n">
        <v>39.5</v>
      </c>
      <c r="L278" t="n">
        <v>44.1</v>
      </c>
      <c r="O278" t="n">
        <v>0.009215508301376359</v>
      </c>
      <c r="P278" t="n">
        <v>0.004225814763759255</v>
      </c>
      <c r="Q278" t="n">
        <v>0.03737472450741652</v>
      </c>
    </row>
    <row r="279">
      <c r="A279" s="123" t="n">
        <v>25842</v>
      </c>
      <c r="B279" t="n">
        <v>44.7</v>
      </c>
      <c r="E279" t="n">
        <v>67.8</v>
      </c>
      <c r="F279" t="n">
        <v>44.1</v>
      </c>
      <c r="H279" t="n">
        <v>45.7</v>
      </c>
      <c r="I279" t="n">
        <v>39</v>
      </c>
      <c r="J279" t="n">
        <v>37.6</v>
      </c>
      <c r="L279" t="n">
        <v>42.4</v>
      </c>
      <c r="N279" t="n">
        <v>4938.857</v>
      </c>
      <c r="O279" t="n">
        <v>-0.01071638106008845</v>
      </c>
      <c r="P279" t="n">
        <v>-0.001667035906259561</v>
      </c>
      <c r="Q279" t="n">
        <v>-0.04218138882587208</v>
      </c>
      <c r="R279" t="n">
        <v>-0.01071638106008845</v>
      </c>
      <c r="S279" t="n">
        <v>-0.04218138882587208</v>
      </c>
      <c r="T279" t="n">
        <v>-0.001667035906259561</v>
      </c>
    </row>
    <row r="280">
      <c r="A280" s="123" t="n">
        <v>25873</v>
      </c>
      <c r="B280" t="n">
        <v>43.3</v>
      </c>
      <c r="E280" t="n">
        <v>68.09999999999999</v>
      </c>
      <c r="F280" t="n">
        <v>38.5</v>
      </c>
      <c r="H280" t="n">
        <v>46.3</v>
      </c>
      <c r="I280" t="n">
        <v>37.8</v>
      </c>
      <c r="J280" t="n">
        <v>33.8</v>
      </c>
      <c r="L280" t="n">
        <v>39.7</v>
      </c>
      <c r="O280" t="n">
        <v>-0.01071638106008845</v>
      </c>
      <c r="P280" t="n">
        <v>-0.001667035906259561</v>
      </c>
      <c r="Q280" t="n">
        <v>-0.04218138882587208</v>
      </c>
    </row>
    <row r="281">
      <c r="A281" s="123" t="n">
        <v>25903</v>
      </c>
      <c r="B281" t="n">
        <v>51.2</v>
      </c>
      <c r="E281" t="n">
        <v>64.5</v>
      </c>
      <c r="F281" t="n">
        <v>46.8</v>
      </c>
      <c r="H281" t="n">
        <v>44.4</v>
      </c>
      <c r="I281" t="n">
        <v>37.5</v>
      </c>
      <c r="J281" t="n">
        <v>41.4</v>
      </c>
      <c r="L281" t="n">
        <v>45.4</v>
      </c>
      <c r="O281" t="n">
        <v>-0.01071638106008845</v>
      </c>
      <c r="P281" t="n">
        <v>-0.001667035906259561</v>
      </c>
      <c r="Q281" t="n">
        <v>-0.04218138882587208</v>
      </c>
    </row>
    <row r="282">
      <c r="A282" s="123" t="n">
        <v>25934</v>
      </c>
      <c r="B282" t="n">
        <v>55.4</v>
      </c>
      <c r="E282" t="n">
        <v>65.09999999999999</v>
      </c>
      <c r="F282" t="n">
        <v>50.5</v>
      </c>
      <c r="H282" t="n">
        <v>47.4</v>
      </c>
      <c r="I282" t="n">
        <v>39.8</v>
      </c>
      <c r="J282" t="n">
        <v>40</v>
      </c>
      <c r="L282" t="n">
        <v>47.9</v>
      </c>
      <c r="N282" t="n">
        <v>5072.996</v>
      </c>
      <c r="O282" t="n">
        <v>0.02715992789424762</v>
      </c>
      <c r="P282" t="n">
        <v>0.02697236849004174</v>
      </c>
      <c r="Q282" t="n">
        <v>0.1131463651735802</v>
      </c>
      <c r="R282" t="n">
        <v>0.02715992789424762</v>
      </c>
      <c r="S282" t="n">
        <v>0.1131463651735802</v>
      </c>
      <c r="T282" t="n">
        <v>0.02697236849004174</v>
      </c>
    </row>
    <row r="283">
      <c r="A283" s="123" t="n">
        <v>25965</v>
      </c>
      <c r="B283" t="n">
        <v>62.8</v>
      </c>
      <c r="E283" t="n">
        <v>64.59999999999999</v>
      </c>
      <c r="F283" t="n">
        <v>60</v>
      </c>
      <c r="H283" t="n">
        <v>48</v>
      </c>
      <c r="I283" t="n">
        <v>44.2</v>
      </c>
      <c r="J283" t="n">
        <v>47.7</v>
      </c>
      <c r="L283" t="n">
        <v>54.8</v>
      </c>
      <c r="O283" t="n">
        <v>0.02715992789424762</v>
      </c>
      <c r="P283" t="n">
        <v>0.02697236849004174</v>
      </c>
      <c r="Q283" t="n">
        <v>0.1131463651735802</v>
      </c>
    </row>
    <row r="284">
      <c r="A284" s="123" t="n">
        <v>25993</v>
      </c>
      <c r="B284" t="n">
        <v>56.2</v>
      </c>
      <c r="E284" t="n">
        <v>67</v>
      </c>
      <c r="F284" t="n">
        <v>54.4</v>
      </c>
      <c r="H284" t="n">
        <v>51.2</v>
      </c>
      <c r="I284" t="n">
        <v>45</v>
      </c>
      <c r="J284" t="n">
        <v>44.3</v>
      </c>
      <c r="L284" t="n">
        <v>51.2</v>
      </c>
      <c r="O284" t="n">
        <v>0.02715992789424762</v>
      </c>
      <c r="P284" t="n">
        <v>0.02697236849004174</v>
      </c>
      <c r="Q284" t="n">
        <v>0.1131463651735802</v>
      </c>
    </row>
    <row r="285">
      <c r="A285" s="123" t="n">
        <v>26024</v>
      </c>
      <c r="B285" t="n">
        <v>59.6</v>
      </c>
      <c r="E285" t="n">
        <v>70.8</v>
      </c>
      <c r="F285" t="n">
        <v>58.1</v>
      </c>
      <c r="H285" t="n">
        <v>55.5</v>
      </c>
      <c r="I285" t="n">
        <v>48.9</v>
      </c>
      <c r="J285" t="n">
        <v>45.7</v>
      </c>
      <c r="L285" t="n">
        <v>54.5</v>
      </c>
      <c r="N285" t="n">
        <v>5100.447</v>
      </c>
      <c r="O285" t="n">
        <v>0.005411200797319773</v>
      </c>
      <c r="P285" t="n">
        <v>0.03106613002019493</v>
      </c>
      <c r="Q285" t="n">
        <v>0.02182112439459316</v>
      </c>
      <c r="R285" t="n">
        <v>0.005411200797319773</v>
      </c>
      <c r="S285" t="n">
        <v>0.02182112439459316</v>
      </c>
      <c r="T285" t="n">
        <v>0.03106613002019493</v>
      </c>
    </row>
    <row r="286">
      <c r="A286" s="123" t="n">
        <v>26054</v>
      </c>
      <c r="B286" t="n">
        <v>57</v>
      </c>
      <c r="E286" t="n">
        <v>71.59999999999999</v>
      </c>
      <c r="F286" t="n">
        <v>58.9</v>
      </c>
      <c r="H286" t="n">
        <v>55.1</v>
      </c>
      <c r="I286" t="n">
        <v>49.4</v>
      </c>
      <c r="J286" t="n">
        <v>47.4</v>
      </c>
      <c r="L286" t="n">
        <v>54.2</v>
      </c>
      <c r="O286" t="n">
        <v>0.005411200797319773</v>
      </c>
      <c r="P286" t="n">
        <v>0.03106613002019493</v>
      </c>
      <c r="Q286" t="n">
        <v>0.02182112439459316</v>
      </c>
    </row>
    <row r="287">
      <c r="A287" s="123" t="n">
        <v>26085</v>
      </c>
      <c r="B287" t="n">
        <v>57.9</v>
      </c>
      <c r="E287" t="n">
        <v>78.09999999999999</v>
      </c>
      <c r="F287" t="n">
        <v>55.4</v>
      </c>
      <c r="H287" t="n">
        <v>59</v>
      </c>
      <c r="I287" t="n">
        <v>47.9</v>
      </c>
      <c r="J287" t="n">
        <v>47.5</v>
      </c>
      <c r="L287" t="n">
        <v>53.8</v>
      </c>
      <c r="O287" t="n">
        <v>0.005411200797319773</v>
      </c>
      <c r="P287" t="n">
        <v>0.03106613002019493</v>
      </c>
      <c r="Q287" t="n">
        <v>0.02182112439459316</v>
      </c>
    </row>
    <row r="288">
      <c r="A288" s="123" t="n">
        <v>26115</v>
      </c>
      <c r="B288" t="n">
        <v>57.8</v>
      </c>
      <c r="E288" t="n">
        <v>72.59999999999999</v>
      </c>
      <c r="F288" t="n">
        <v>56.8</v>
      </c>
      <c r="H288" t="n">
        <v>58.9</v>
      </c>
      <c r="I288" t="n">
        <v>47.4</v>
      </c>
      <c r="J288" t="n">
        <v>49.5</v>
      </c>
      <c r="L288" t="n">
        <v>54.4</v>
      </c>
      <c r="N288" t="n">
        <v>5142.422</v>
      </c>
      <c r="O288" t="n">
        <v>0.008229670850417514</v>
      </c>
      <c r="P288" t="n">
        <v>0.03005894810807793</v>
      </c>
      <c r="Q288" t="n">
        <v>0.03332728238206673</v>
      </c>
      <c r="R288" t="n">
        <v>0.008229670850417514</v>
      </c>
      <c r="S288" t="n">
        <v>0.03332728238206673</v>
      </c>
      <c r="T288" t="n">
        <v>0.03005894810807793</v>
      </c>
    </row>
    <row r="289">
      <c r="A289" s="123" t="n">
        <v>26146</v>
      </c>
      <c r="B289" t="n">
        <v>58.4</v>
      </c>
      <c r="E289" t="n">
        <v>72.40000000000001</v>
      </c>
      <c r="F289" t="n">
        <v>55.6</v>
      </c>
      <c r="H289" t="n">
        <v>50.9</v>
      </c>
      <c r="I289" t="n">
        <v>49.7</v>
      </c>
      <c r="J289" t="n">
        <v>48.4</v>
      </c>
      <c r="L289" t="n">
        <v>53.6</v>
      </c>
      <c r="O289" t="n">
        <v>0.008229670850417514</v>
      </c>
      <c r="P289" t="n">
        <v>0.03005894810807793</v>
      </c>
      <c r="Q289" t="n">
        <v>0.03332728238206673</v>
      </c>
    </row>
    <row r="290">
      <c r="A290" s="123" t="n">
        <v>26177</v>
      </c>
      <c r="B290" t="n">
        <v>61</v>
      </c>
      <c r="E290" t="n">
        <v>52.3</v>
      </c>
      <c r="F290" t="n">
        <v>59.3</v>
      </c>
      <c r="H290" t="n">
        <v>40.2</v>
      </c>
      <c r="I290" t="n">
        <v>48.9</v>
      </c>
      <c r="J290" t="n">
        <v>53</v>
      </c>
      <c r="L290" t="n">
        <v>55.1</v>
      </c>
      <c r="O290" t="n">
        <v>0.008229670850417514</v>
      </c>
      <c r="P290" t="n">
        <v>0.03005894810807793</v>
      </c>
      <c r="Q290" t="n">
        <v>0.03332728238206673</v>
      </c>
    </row>
    <row r="291">
      <c r="A291" s="123" t="n">
        <v>26207</v>
      </c>
      <c r="B291" t="n">
        <v>61.4</v>
      </c>
      <c r="E291" t="n">
        <v>51.7</v>
      </c>
      <c r="F291" t="n">
        <v>60.8</v>
      </c>
      <c r="H291" t="n">
        <v>38.1</v>
      </c>
      <c r="I291" t="n">
        <v>50.9</v>
      </c>
      <c r="J291" t="n">
        <v>49.8</v>
      </c>
      <c r="L291" t="n">
        <v>55</v>
      </c>
      <c r="N291" t="n">
        <v>5154.547</v>
      </c>
      <c r="O291" t="n">
        <v>0.002357838388214737</v>
      </c>
      <c r="P291" t="n">
        <v>0.04367204800624914</v>
      </c>
      <c r="Q291" t="n">
        <v>0.009464762427640272</v>
      </c>
      <c r="R291" t="n">
        <v>0.002357838388214737</v>
      </c>
      <c r="S291" t="n">
        <v>0.009464762427640272</v>
      </c>
      <c r="T291" t="n">
        <v>0.04367204800624914</v>
      </c>
    </row>
    <row r="292">
      <c r="A292" s="123" t="n">
        <v>26238</v>
      </c>
      <c r="B292" t="n">
        <v>55.4</v>
      </c>
      <c r="E292" t="n">
        <v>53.9</v>
      </c>
      <c r="F292" t="n">
        <v>56.1</v>
      </c>
      <c r="H292" t="n">
        <v>41.6</v>
      </c>
      <c r="I292" t="n">
        <v>50.9</v>
      </c>
      <c r="J292" t="n">
        <v>49.3</v>
      </c>
      <c r="L292" t="n">
        <v>52.3</v>
      </c>
      <c r="O292" t="n">
        <v>0.002357838388214737</v>
      </c>
      <c r="P292" t="n">
        <v>0.04367204800624914</v>
      </c>
      <c r="Q292" t="n">
        <v>0.009464762427640272</v>
      </c>
    </row>
    <row r="293">
      <c r="A293" s="123" t="n">
        <v>26268</v>
      </c>
      <c r="B293" t="n">
        <v>63.5</v>
      </c>
      <c r="E293" t="n">
        <v>65.09999999999999</v>
      </c>
      <c r="F293" t="n">
        <v>63.9</v>
      </c>
      <c r="H293" t="n">
        <v>47.7</v>
      </c>
      <c r="I293" t="n">
        <v>53.3</v>
      </c>
      <c r="J293" t="n">
        <v>49</v>
      </c>
      <c r="L293" t="n">
        <v>57.6</v>
      </c>
      <c r="O293" t="n">
        <v>0.002357838388214737</v>
      </c>
      <c r="P293" t="n">
        <v>0.04367204800624914</v>
      </c>
      <c r="Q293" t="n">
        <v>0.009464762427640272</v>
      </c>
    </row>
    <row r="294">
      <c r="A294" s="123" t="n">
        <v>26299</v>
      </c>
      <c r="B294" t="n">
        <v>64.8</v>
      </c>
      <c r="E294" t="n">
        <v>79.3</v>
      </c>
      <c r="F294" t="n">
        <v>65.59999999999999</v>
      </c>
      <c r="H294" t="n">
        <v>48.4</v>
      </c>
      <c r="I294" t="n">
        <v>55.2</v>
      </c>
      <c r="J294" t="n">
        <v>53.3</v>
      </c>
      <c r="L294" t="n">
        <v>59.6</v>
      </c>
      <c r="N294" t="n">
        <v>5249.337</v>
      </c>
      <c r="O294" t="n">
        <v>0.01838958884262785</v>
      </c>
      <c r="P294" t="n">
        <v>0.03476072127791947</v>
      </c>
      <c r="Q294" t="n">
        <v>0.075612407343296</v>
      </c>
      <c r="R294" t="n">
        <v>0.01838958884262785</v>
      </c>
      <c r="S294" t="n">
        <v>0.075612407343296</v>
      </c>
      <c r="T294" t="n">
        <v>0.03476072127791947</v>
      </c>
    </row>
    <row r="295">
      <c r="A295" s="123" t="n">
        <v>26330</v>
      </c>
      <c r="B295" t="n">
        <v>66</v>
      </c>
      <c r="E295" t="n">
        <v>74.09999999999999</v>
      </c>
      <c r="F295" t="n">
        <v>67.7</v>
      </c>
      <c r="H295" t="n">
        <v>51.7</v>
      </c>
      <c r="I295" t="n">
        <v>52.6</v>
      </c>
      <c r="J295" t="n">
        <v>54.4</v>
      </c>
      <c r="L295" t="n">
        <v>60.6</v>
      </c>
      <c r="O295" t="n">
        <v>0.01838958884262785</v>
      </c>
      <c r="P295" t="n">
        <v>0.03476072127791947</v>
      </c>
      <c r="Q295" t="n">
        <v>0.075612407343296</v>
      </c>
    </row>
    <row r="296">
      <c r="A296" s="123" t="n">
        <v>26359</v>
      </c>
      <c r="B296" t="n">
        <v>64.59999999999999</v>
      </c>
      <c r="E296" t="n">
        <v>73.90000000000001</v>
      </c>
      <c r="F296" t="n">
        <v>63.5</v>
      </c>
      <c r="H296" t="n">
        <v>51.5</v>
      </c>
      <c r="I296" t="n">
        <v>57.1</v>
      </c>
      <c r="J296" t="n">
        <v>53.9</v>
      </c>
      <c r="L296" t="n">
        <v>59.8</v>
      </c>
      <c r="O296" t="n">
        <v>0.01838958884262785</v>
      </c>
      <c r="P296" t="n">
        <v>0.03476072127791947</v>
      </c>
      <c r="Q296" t="n">
        <v>0.075612407343296</v>
      </c>
    </row>
    <row r="297">
      <c r="A297" s="123" t="n">
        <v>26390</v>
      </c>
      <c r="B297" t="n">
        <v>63</v>
      </c>
      <c r="E297" t="n">
        <v>73.40000000000001</v>
      </c>
      <c r="F297" t="n">
        <v>62.6</v>
      </c>
      <c r="H297" t="n">
        <v>52.3</v>
      </c>
      <c r="I297" t="n">
        <v>55</v>
      </c>
      <c r="J297" t="n">
        <v>55.9</v>
      </c>
      <c r="L297" t="n">
        <v>59.3</v>
      </c>
      <c r="N297" t="n">
        <v>5368.485</v>
      </c>
      <c r="O297" t="n">
        <v>0.02269772354108704</v>
      </c>
      <c r="P297" t="n">
        <v>0.05255186457186979</v>
      </c>
      <c r="Q297" t="n">
        <v>0.09392905376229566</v>
      </c>
      <c r="R297" t="n">
        <v>0.02269772354108704</v>
      </c>
      <c r="S297" t="n">
        <v>0.09392905376229566</v>
      </c>
      <c r="T297" t="n">
        <v>0.05255186457186979</v>
      </c>
    </row>
    <row r="298">
      <c r="A298" s="123" t="n">
        <v>26420</v>
      </c>
      <c r="B298" t="n">
        <v>66.90000000000001</v>
      </c>
      <c r="E298" t="n">
        <v>71.40000000000001</v>
      </c>
      <c r="F298" t="n">
        <v>65.7</v>
      </c>
      <c r="H298" t="n">
        <v>53.1</v>
      </c>
      <c r="I298" t="n">
        <v>56.1</v>
      </c>
      <c r="J298" t="n">
        <v>56</v>
      </c>
      <c r="L298" t="n">
        <v>61.4</v>
      </c>
      <c r="O298" t="n">
        <v>0.02269772354108704</v>
      </c>
      <c r="P298" t="n">
        <v>0.05255186457186979</v>
      </c>
      <c r="Q298" t="n">
        <v>0.09392905376229566</v>
      </c>
    </row>
    <row r="299">
      <c r="A299" s="123" t="n">
        <v>26451</v>
      </c>
      <c r="B299" t="n">
        <v>62.1</v>
      </c>
      <c r="E299" t="n">
        <v>70.2</v>
      </c>
      <c r="F299" t="n">
        <v>62.2</v>
      </c>
      <c r="H299" t="n">
        <v>49.6</v>
      </c>
      <c r="I299" t="n">
        <v>57.7</v>
      </c>
      <c r="J299" t="n">
        <v>53.9</v>
      </c>
      <c r="L299" t="n">
        <v>58.6</v>
      </c>
      <c r="O299" t="n">
        <v>0.02269772354108704</v>
      </c>
      <c r="P299" t="n">
        <v>0.05255186457186979</v>
      </c>
      <c r="Q299" t="n">
        <v>0.09392905376229566</v>
      </c>
    </row>
    <row r="300">
      <c r="A300" s="123" t="n">
        <v>26481</v>
      </c>
      <c r="B300" t="n">
        <v>64.7</v>
      </c>
      <c r="E300" t="n">
        <v>70.59999999999999</v>
      </c>
      <c r="F300" t="n">
        <v>65.3</v>
      </c>
      <c r="H300" t="n">
        <v>46.7</v>
      </c>
      <c r="I300" t="n">
        <v>61.7</v>
      </c>
      <c r="J300" t="n">
        <v>52.1</v>
      </c>
      <c r="L300" t="n">
        <v>60.1</v>
      </c>
      <c r="N300" t="n">
        <v>5419.184</v>
      </c>
      <c r="O300" t="n">
        <v>0.009443818880000693</v>
      </c>
      <c r="P300" t="n">
        <v>0.05381938705147121</v>
      </c>
      <c r="Q300" t="n">
        <v>0.03831376677928255</v>
      </c>
      <c r="R300" t="n">
        <v>0.009443818880000693</v>
      </c>
      <c r="S300" t="n">
        <v>0.03831376677928255</v>
      </c>
      <c r="T300" t="n">
        <v>0.05381938705147121</v>
      </c>
    </row>
    <row r="301">
      <c r="A301" s="123" t="n">
        <v>26512</v>
      </c>
      <c r="B301" t="n">
        <v>65.09999999999999</v>
      </c>
      <c r="E301" t="n">
        <v>70.09999999999999</v>
      </c>
      <c r="F301" t="n">
        <v>63.2</v>
      </c>
      <c r="H301" t="n">
        <v>55.5</v>
      </c>
      <c r="I301" t="n">
        <v>62.9</v>
      </c>
      <c r="J301" t="n">
        <v>57.1</v>
      </c>
      <c r="L301" t="n">
        <v>61.7</v>
      </c>
      <c r="O301" t="n">
        <v>0.009443818880000693</v>
      </c>
      <c r="P301" t="n">
        <v>0.05381938705147121</v>
      </c>
      <c r="Q301" t="n">
        <v>0.03831376677928255</v>
      </c>
    </row>
    <row r="302">
      <c r="A302" s="123" t="n">
        <v>26543</v>
      </c>
      <c r="B302" t="n">
        <v>69.3</v>
      </c>
      <c r="E302" t="n">
        <v>67.8</v>
      </c>
      <c r="F302" t="n">
        <v>68.3</v>
      </c>
      <c r="H302" t="n">
        <v>56.8</v>
      </c>
      <c r="I302" t="n">
        <v>65.5</v>
      </c>
      <c r="J302" t="n">
        <v>58.6</v>
      </c>
      <c r="L302" t="n">
        <v>65.09999999999999</v>
      </c>
      <c r="O302" t="n">
        <v>0.009443818880000693</v>
      </c>
      <c r="P302" t="n">
        <v>0.05381938705147121</v>
      </c>
      <c r="Q302" t="n">
        <v>0.03831376677928255</v>
      </c>
    </row>
    <row r="303">
      <c r="A303" s="123" t="n">
        <v>26573</v>
      </c>
      <c r="B303" t="n">
        <v>70.8</v>
      </c>
      <c r="E303" t="n">
        <v>72</v>
      </c>
      <c r="F303" t="n">
        <v>66.90000000000001</v>
      </c>
      <c r="H303" t="n">
        <v>63</v>
      </c>
      <c r="I303" t="n">
        <v>73</v>
      </c>
      <c r="J303" t="n">
        <v>59</v>
      </c>
      <c r="L303" t="n">
        <v>67</v>
      </c>
      <c r="N303" t="n">
        <v>5509.926</v>
      </c>
      <c r="O303" t="n">
        <v>0.01674458737699258</v>
      </c>
      <c r="P303" t="n">
        <v>0.06894475887017829</v>
      </c>
      <c r="Q303" t="n">
        <v>0.06867949483058555</v>
      </c>
      <c r="R303" t="n">
        <v>0.01674458737699258</v>
      </c>
      <c r="S303" t="n">
        <v>0.06867949483058555</v>
      </c>
      <c r="T303" t="n">
        <v>0.06894475887017829</v>
      </c>
    </row>
    <row r="304">
      <c r="A304" s="123" t="n">
        <v>26604</v>
      </c>
      <c r="B304" t="n">
        <v>73</v>
      </c>
      <c r="E304" t="n">
        <v>74.5</v>
      </c>
      <c r="F304" t="n">
        <v>72.7</v>
      </c>
      <c r="H304" t="n">
        <v>63.4</v>
      </c>
      <c r="I304" t="n">
        <v>74.5</v>
      </c>
      <c r="J304" t="n">
        <v>61.7</v>
      </c>
      <c r="L304" t="n">
        <v>69.90000000000001</v>
      </c>
      <c r="O304" t="n">
        <v>0.01674458737699258</v>
      </c>
      <c r="P304" t="n">
        <v>0.06894475887017829</v>
      </c>
      <c r="Q304" t="n">
        <v>0.06867949483058555</v>
      </c>
    </row>
    <row r="305">
      <c r="A305" s="123" t="n">
        <v>26634</v>
      </c>
      <c r="B305" t="n">
        <v>71.90000000000001</v>
      </c>
      <c r="E305" t="n">
        <v>78</v>
      </c>
      <c r="F305" t="n">
        <v>71.8</v>
      </c>
      <c r="H305" t="n">
        <v>62.5</v>
      </c>
      <c r="I305" t="n">
        <v>80.7</v>
      </c>
      <c r="J305" t="n">
        <v>63.2</v>
      </c>
      <c r="L305" t="n">
        <v>70.5</v>
      </c>
      <c r="O305" t="n">
        <v>0.01674458737699258</v>
      </c>
      <c r="P305" t="n">
        <v>0.06894475887017829</v>
      </c>
      <c r="Q305" t="n">
        <v>0.06867949483058555</v>
      </c>
    </row>
    <row r="306">
      <c r="A306" s="123" t="n">
        <v>26665</v>
      </c>
      <c r="B306" t="n">
        <v>73.8</v>
      </c>
      <c r="E306" t="n">
        <v>82.90000000000001</v>
      </c>
      <c r="F306" t="n">
        <v>71.09999999999999</v>
      </c>
      <c r="H306" t="n">
        <v>61</v>
      </c>
      <c r="I306" t="n">
        <v>83.7</v>
      </c>
      <c r="J306" t="n">
        <v>67.8</v>
      </c>
      <c r="L306" t="n">
        <v>72.09999999999999</v>
      </c>
      <c r="N306" t="n">
        <v>5646.286</v>
      </c>
      <c r="O306" t="n">
        <v>0.02474806376709953</v>
      </c>
      <c r="P306" t="n">
        <v>0.07561888291797604</v>
      </c>
      <c r="Q306" t="n">
        <v>0.1027280596009803</v>
      </c>
      <c r="R306" t="n">
        <v>0.02474806376709953</v>
      </c>
      <c r="S306" t="n">
        <v>0.1027280596009803</v>
      </c>
      <c r="T306" t="n">
        <v>0.07561888291797604</v>
      </c>
    </row>
    <row r="307">
      <c r="A307" s="123" t="n">
        <v>26696</v>
      </c>
      <c r="B307" t="n">
        <v>69</v>
      </c>
      <c r="E307" t="n">
        <v>87.8</v>
      </c>
      <c r="F307" t="n">
        <v>68.5</v>
      </c>
      <c r="H307" t="n">
        <v>63.6</v>
      </c>
      <c r="I307" t="n">
        <v>85.2</v>
      </c>
      <c r="J307" t="n">
        <v>63.2</v>
      </c>
      <c r="L307" t="n">
        <v>69.59999999999999</v>
      </c>
      <c r="O307" t="n">
        <v>0.02474806376709953</v>
      </c>
      <c r="P307" t="n">
        <v>0.07561888291797604</v>
      </c>
      <c r="Q307" t="n">
        <v>0.1027280596009803</v>
      </c>
    </row>
    <row r="308">
      <c r="A308" s="123" t="n">
        <v>26724</v>
      </c>
      <c r="B308" t="n">
        <v>68.8</v>
      </c>
      <c r="E308" t="n">
        <v>90</v>
      </c>
      <c r="F308" t="n">
        <v>67.7</v>
      </c>
      <c r="H308" t="n">
        <v>61.9</v>
      </c>
      <c r="I308" t="n">
        <v>87.5</v>
      </c>
      <c r="J308" t="n">
        <v>63.6</v>
      </c>
      <c r="L308" t="n">
        <v>69.59999999999999</v>
      </c>
      <c r="O308" t="n">
        <v>0.02474806376709953</v>
      </c>
      <c r="P308" t="n">
        <v>0.07561888291797604</v>
      </c>
      <c r="Q308" t="n">
        <v>0.1027280596009803</v>
      </c>
    </row>
    <row r="309">
      <c r="A309" s="123" t="n">
        <v>26755</v>
      </c>
      <c r="B309" t="n">
        <v>65.90000000000001</v>
      </c>
      <c r="E309" t="n">
        <v>88.3</v>
      </c>
      <c r="F309" t="n">
        <v>65.59999999999999</v>
      </c>
      <c r="H309" t="n">
        <v>59.2</v>
      </c>
      <c r="I309" t="n">
        <v>86.7</v>
      </c>
      <c r="J309" t="n">
        <v>62.6</v>
      </c>
      <c r="L309" t="n">
        <v>67.7</v>
      </c>
      <c r="N309" t="n">
        <v>5707.755</v>
      </c>
      <c r="O309" t="n">
        <v>0.01088662529669947</v>
      </c>
      <c r="P309" t="n">
        <v>0.06319660015814527</v>
      </c>
      <c r="Q309" t="n">
        <v>0.04426278796636973</v>
      </c>
      <c r="R309" t="n">
        <v>0.01088662529669947</v>
      </c>
      <c r="S309" t="n">
        <v>0.04426278796636973</v>
      </c>
      <c r="T309" t="n">
        <v>0.06319660015814527</v>
      </c>
    </row>
    <row r="310">
      <c r="A310" s="123" t="n">
        <v>26785</v>
      </c>
      <c r="B310" t="n">
        <v>63.5</v>
      </c>
      <c r="E310" t="n">
        <v>89.3</v>
      </c>
      <c r="F310" t="n">
        <v>59.2</v>
      </c>
      <c r="H310" t="n">
        <v>59.2</v>
      </c>
      <c r="I310" t="n">
        <v>86.59999999999999</v>
      </c>
      <c r="J310" t="n">
        <v>60.2</v>
      </c>
      <c r="L310" t="n">
        <v>64.8</v>
      </c>
      <c r="O310" t="n">
        <v>0.01088662529669947</v>
      </c>
      <c r="P310" t="n">
        <v>0.06319660015814527</v>
      </c>
      <c r="Q310" t="n">
        <v>0.04426278796636973</v>
      </c>
    </row>
    <row r="311">
      <c r="A311" s="123" t="n">
        <v>26816</v>
      </c>
      <c r="B311" t="n">
        <v>61</v>
      </c>
      <c r="E311" t="n">
        <v>87.59999999999999</v>
      </c>
      <c r="F311" t="n">
        <v>62.7</v>
      </c>
      <c r="H311" t="n">
        <v>62.5</v>
      </c>
      <c r="I311" t="n">
        <v>85.59999999999999</v>
      </c>
      <c r="J311" t="n">
        <v>59.7</v>
      </c>
      <c r="L311" t="n">
        <v>65</v>
      </c>
      <c r="O311" t="n">
        <v>0.01088662529669947</v>
      </c>
      <c r="P311" t="n">
        <v>0.06319660015814527</v>
      </c>
      <c r="Q311" t="n">
        <v>0.04426278796636973</v>
      </c>
    </row>
    <row r="312">
      <c r="A312" s="123" t="n">
        <v>26846</v>
      </c>
      <c r="B312" t="n">
        <v>49.2</v>
      </c>
      <c r="E312" t="n">
        <v>69.59999999999999</v>
      </c>
      <c r="F312" t="n">
        <v>50.4</v>
      </c>
      <c r="H312" t="n">
        <v>64</v>
      </c>
      <c r="I312" t="n">
        <v>85.2</v>
      </c>
      <c r="J312" t="n">
        <v>56.4</v>
      </c>
      <c r="L312" t="n">
        <v>57.8</v>
      </c>
      <c r="N312" t="n">
        <v>5677.738</v>
      </c>
      <c r="O312" t="n">
        <v>-0.005258985362896589</v>
      </c>
      <c r="P312" t="n">
        <v>0.04771087307609412</v>
      </c>
      <c r="Q312" t="n">
        <v>-0.02087058091389593</v>
      </c>
      <c r="R312" t="n">
        <v>-0.005258985362896589</v>
      </c>
      <c r="S312" t="n">
        <v>-0.02087058091389593</v>
      </c>
      <c r="T312" t="n">
        <v>0.04771087307609412</v>
      </c>
    </row>
    <row r="313">
      <c r="A313" s="123" t="n">
        <v>26877</v>
      </c>
      <c r="B313" t="n">
        <v>59.1</v>
      </c>
      <c r="E313" t="n">
        <v>86.09999999999999</v>
      </c>
      <c r="F313" t="n">
        <v>59</v>
      </c>
      <c r="H313" t="n">
        <v>62.1</v>
      </c>
      <c r="I313" t="n">
        <v>86.7</v>
      </c>
      <c r="J313" t="n">
        <v>54.9</v>
      </c>
      <c r="L313" t="n">
        <v>62.7</v>
      </c>
      <c r="O313" t="n">
        <v>-0.005258985362896589</v>
      </c>
      <c r="P313" t="n">
        <v>0.04771087307609412</v>
      </c>
      <c r="Q313" t="n">
        <v>-0.02087058091389593</v>
      </c>
    </row>
    <row r="314">
      <c r="A314" s="123" t="n">
        <v>26908</v>
      </c>
      <c r="B314" t="n">
        <v>60</v>
      </c>
      <c r="E314" t="n">
        <v>92.09999999999999</v>
      </c>
      <c r="F314" t="n">
        <v>58.2</v>
      </c>
      <c r="H314" t="n">
        <v>62.3</v>
      </c>
      <c r="I314" t="n">
        <v>90.09999999999999</v>
      </c>
      <c r="J314" t="n">
        <v>56.1</v>
      </c>
      <c r="L314" t="n">
        <v>63.5</v>
      </c>
      <c r="O314" t="n">
        <v>-0.005258985362896589</v>
      </c>
      <c r="P314" t="n">
        <v>0.04771087307609412</v>
      </c>
      <c r="Q314" t="n">
        <v>-0.02087058091389593</v>
      </c>
    </row>
    <row r="315">
      <c r="A315" s="123" t="n">
        <v>26938</v>
      </c>
      <c r="B315" t="n">
        <v>65.40000000000001</v>
      </c>
      <c r="E315" t="n">
        <v>92.90000000000001</v>
      </c>
      <c r="F315" t="n">
        <v>58.4</v>
      </c>
      <c r="H315" t="n">
        <v>66.5</v>
      </c>
      <c r="I315" t="n">
        <v>88.7</v>
      </c>
      <c r="J315" t="n">
        <v>60.4</v>
      </c>
      <c r="L315" t="n">
        <v>66.2</v>
      </c>
      <c r="N315" t="n">
        <v>5731.632</v>
      </c>
      <c r="O315" t="n">
        <v>0.009492160434313687</v>
      </c>
      <c r="P315" t="n">
        <v>0.0402375639890625</v>
      </c>
      <c r="Q315" t="n">
        <v>0.03851267753048382</v>
      </c>
      <c r="R315" t="n">
        <v>0.009492160434313687</v>
      </c>
      <c r="S315" t="n">
        <v>0.03851267753048382</v>
      </c>
      <c r="T315" t="n">
        <v>0.0402375639890625</v>
      </c>
    </row>
    <row r="316">
      <c r="A316" s="123" t="n">
        <v>26969</v>
      </c>
      <c r="B316" t="n">
        <v>65.2</v>
      </c>
      <c r="E316" t="n">
        <v>97.59999999999999</v>
      </c>
      <c r="F316" t="n">
        <v>62</v>
      </c>
      <c r="H316" t="n">
        <v>63.8</v>
      </c>
      <c r="I316" t="n">
        <v>96.8</v>
      </c>
      <c r="J316" t="n">
        <v>60.8</v>
      </c>
      <c r="L316" t="n">
        <v>68.09999999999999</v>
      </c>
      <c r="O316" t="n">
        <v>0.009492160434313687</v>
      </c>
      <c r="P316" t="n">
        <v>0.0402375639890625</v>
      </c>
      <c r="Q316" t="n">
        <v>0.03851267753048382</v>
      </c>
    </row>
    <row r="317">
      <c r="A317" s="123" t="n">
        <v>26999</v>
      </c>
      <c r="B317" t="n">
        <v>59</v>
      </c>
      <c r="E317" t="n">
        <v>94.2</v>
      </c>
      <c r="F317" t="n">
        <v>56</v>
      </c>
      <c r="H317" t="n">
        <v>63.8</v>
      </c>
      <c r="I317" t="n">
        <v>92.8</v>
      </c>
      <c r="J317" t="n">
        <v>58</v>
      </c>
      <c r="L317" t="n">
        <v>63.6</v>
      </c>
      <c r="O317" t="n">
        <v>0.009492160434313687</v>
      </c>
      <c r="P317" t="n">
        <v>0.0402375639890625</v>
      </c>
      <c r="Q317" t="n">
        <v>0.03851267753048382</v>
      </c>
    </row>
    <row r="318">
      <c r="A318" s="123" t="n">
        <v>27030</v>
      </c>
      <c r="B318" t="n">
        <v>55.7</v>
      </c>
      <c r="E318" t="n">
        <v>95.3</v>
      </c>
      <c r="F318" t="n">
        <v>55.9</v>
      </c>
      <c r="H318" t="n">
        <v>62</v>
      </c>
      <c r="I318" t="n">
        <v>91.8</v>
      </c>
      <c r="J318" t="n">
        <v>57.3</v>
      </c>
      <c r="L318" t="n">
        <v>62.1</v>
      </c>
      <c r="N318" t="n">
        <v>5682.353</v>
      </c>
      <c r="O318" t="n">
        <v>-0.008597725743732246</v>
      </c>
      <c r="P318" t="n">
        <v>0.006387738771999861</v>
      </c>
      <c r="Q318" t="n">
        <v>-0.03394991438893069</v>
      </c>
      <c r="R318" t="n">
        <v>-0.008597725743732246</v>
      </c>
      <c r="S318" t="n">
        <v>-0.03394991438893069</v>
      </c>
      <c r="T318" t="n">
        <v>0.006387738771999861</v>
      </c>
    </row>
    <row r="319">
      <c r="A319" s="123" t="n">
        <v>27061</v>
      </c>
      <c r="B319" t="n">
        <v>56</v>
      </c>
      <c r="E319" t="n">
        <v>93.59999999999999</v>
      </c>
      <c r="F319" t="n">
        <v>49.7</v>
      </c>
      <c r="H319" t="n">
        <v>58.8</v>
      </c>
      <c r="I319" t="n">
        <v>88.8</v>
      </c>
      <c r="J319" t="n">
        <v>51</v>
      </c>
      <c r="L319" t="n">
        <v>58.6</v>
      </c>
      <c r="O319" t="n">
        <v>-0.008597725743732246</v>
      </c>
      <c r="P319" t="n">
        <v>0.006387738771999861</v>
      </c>
      <c r="Q319" t="n">
        <v>-0.03394991438893069</v>
      </c>
    </row>
    <row r="320">
      <c r="A320" s="123" t="n">
        <v>27089</v>
      </c>
      <c r="B320" t="n">
        <v>58</v>
      </c>
      <c r="E320" t="n">
        <v>94</v>
      </c>
      <c r="F320" t="n">
        <v>55.8</v>
      </c>
      <c r="H320" t="n">
        <v>59.1</v>
      </c>
      <c r="I320" t="n">
        <v>88.90000000000001</v>
      </c>
      <c r="J320" t="n">
        <v>56.3</v>
      </c>
      <c r="L320" t="n">
        <v>61.8</v>
      </c>
      <c r="O320" t="n">
        <v>-0.008597725743732246</v>
      </c>
      <c r="P320" t="n">
        <v>0.006387738771999861</v>
      </c>
      <c r="Q320" t="n">
        <v>-0.03394991438893069</v>
      </c>
    </row>
    <row r="321">
      <c r="A321" s="123" t="n">
        <v>27120</v>
      </c>
      <c r="B321" t="n">
        <v>56.4</v>
      </c>
      <c r="E321" t="n">
        <v>93.5</v>
      </c>
      <c r="F321" t="n">
        <v>54.5</v>
      </c>
      <c r="H321" t="n">
        <v>62.5</v>
      </c>
      <c r="I321" t="n">
        <v>82.09999999999999</v>
      </c>
      <c r="J321" t="n">
        <v>53.9</v>
      </c>
      <c r="L321" t="n">
        <v>59.9</v>
      </c>
      <c r="N321" t="n">
        <v>5695.859</v>
      </c>
      <c r="O321" t="n">
        <v>0.002376832273531812</v>
      </c>
      <c r="P321" t="n">
        <v>-0.002084181959456867</v>
      </c>
      <c r="Q321" t="n">
        <v>0.009541278826036503</v>
      </c>
      <c r="R321" t="n">
        <v>0.002376832273531812</v>
      </c>
      <c r="S321" t="n">
        <v>0.009541278826036503</v>
      </c>
      <c r="T321" t="n">
        <v>-0.002084181959456867</v>
      </c>
    </row>
    <row r="322">
      <c r="A322" s="123" t="n">
        <v>27150</v>
      </c>
      <c r="B322" t="n">
        <v>51.6</v>
      </c>
      <c r="E322" t="n">
        <v>92.3</v>
      </c>
      <c r="F322" t="n">
        <v>51.6</v>
      </c>
      <c r="H322" t="n">
        <v>59.3</v>
      </c>
      <c r="I322" t="n">
        <v>74.5</v>
      </c>
      <c r="J322" t="n">
        <v>51.1</v>
      </c>
      <c r="L322" t="n">
        <v>55.7</v>
      </c>
      <c r="O322" t="n">
        <v>0.002376832273531812</v>
      </c>
      <c r="P322" t="n">
        <v>-0.002084181959456867</v>
      </c>
      <c r="Q322" t="n">
        <v>0.009541278826036503</v>
      </c>
    </row>
    <row r="323">
      <c r="A323" s="123" t="n">
        <v>27181</v>
      </c>
      <c r="B323" t="n">
        <v>51.9</v>
      </c>
      <c r="E323" t="n">
        <v>88.59999999999999</v>
      </c>
      <c r="F323" t="n">
        <v>50.4</v>
      </c>
      <c r="H323" t="n">
        <v>55.9</v>
      </c>
      <c r="I323" t="n">
        <v>73.09999999999999</v>
      </c>
      <c r="J323" t="n">
        <v>49.9</v>
      </c>
      <c r="L323" t="n">
        <v>54.7</v>
      </c>
      <c r="O323" t="n">
        <v>0.002376832273531812</v>
      </c>
      <c r="P323" t="n">
        <v>-0.002084181959456867</v>
      </c>
      <c r="Q323" t="n">
        <v>0.009541278826036503</v>
      </c>
    </row>
    <row r="324">
      <c r="A324" s="123" t="n">
        <v>27211</v>
      </c>
      <c r="B324" t="n">
        <v>52.6</v>
      </c>
      <c r="E324" t="n">
        <v>90.40000000000001</v>
      </c>
      <c r="F324" t="n">
        <v>52</v>
      </c>
      <c r="H324" t="n">
        <v>54.8</v>
      </c>
      <c r="I324" t="n">
        <v>69.2</v>
      </c>
      <c r="J324" t="n">
        <v>50.3</v>
      </c>
      <c r="L324" t="n">
        <v>54.8</v>
      </c>
      <c r="N324" t="n">
        <v>5642.025</v>
      </c>
      <c r="O324" t="n">
        <v>-0.009451427782885907</v>
      </c>
      <c r="P324" t="n">
        <v>-0.006290004928018983</v>
      </c>
      <c r="Q324" t="n">
        <v>-0.03727310339376178</v>
      </c>
      <c r="R324" t="n">
        <v>-0.009451427782885907</v>
      </c>
      <c r="S324" t="n">
        <v>-0.03727310339376178</v>
      </c>
      <c r="T324" t="n">
        <v>-0.006290004928018983</v>
      </c>
    </row>
    <row r="325">
      <c r="A325" s="123" t="n">
        <v>27242</v>
      </c>
      <c r="B325" t="n">
        <v>50.2</v>
      </c>
      <c r="E325" t="n">
        <v>86.09999999999999</v>
      </c>
      <c r="F325" t="n">
        <v>49.6</v>
      </c>
      <c r="H325" t="n">
        <v>57</v>
      </c>
      <c r="I325" t="n">
        <v>66.3</v>
      </c>
      <c r="J325" t="n">
        <v>49.2</v>
      </c>
      <c r="L325" t="n">
        <v>52.9</v>
      </c>
      <c r="O325" t="n">
        <v>-0.009451427782885907</v>
      </c>
      <c r="P325" t="n">
        <v>-0.006290004928018983</v>
      </c>
      <c r="Q325" t="n">
        <v>-0.03727310339376178</v>
      </c>
    </row>
    <row r="326">
      <c r="A326" s="123" t="n">
        <v>27273</v>
      </c>
      <c r="B326" t="n">
        <v>41.2</v>
      </c>
      <c r="E326" t="n">
        <v>81</v>
      </c>
      <c r="F326" t="n">
        <v>46.3</v>
      </c>
      <c r="H326" t="n">
        <v>54.8</v>
      </c>
      <c r="I326" t="n">
        <v>51.8</v>
      </c>
      <c r="J326" t="n">
        <v>44.9</v>
      </c>
      <c r="L326" t="n">
        <v>46.2</v>
      </c>
      <c r="O326" t="n">
        <v>-0.009451427782885907</v>
      </c>
      <c r="P326" t="n">
        <v>-0.006290004928018983</v>
      </c>
      <c r="Q326" t="n">
        <v>-0.03727310339376178</v>
      </c>
    </row>
    <row r="327">
      <c r="A327" s="123" t="n">
        <v>27303</v>
      </c>
      <c r="B327" t="n">
        <v>36.5</v>
      </c>
      <c r="E327" t="n">
        <v>75.7</v>
      </c>
      <c r="F327" t="n">
        <v>44.3</v>
      </c>
      <c r="H327" t="n">
        <v>47.9</v>
      </c>
      <c r="I327" t="n">
        <v>45.3</v>
      </c>
      <c r="J327" t="n">
        <v>45.4</v>
      </c>
      <c r="L327" t="n">
        <v>42.7</v>
      </c>
      <c r="N327" t="n">
        <v>5620.126</v>
      </c>
      <c r="O327" t="n">
        <v>-0.003881407827863123</v>
      </c>
      <c r="P327" t="n">
        <v>-0.01945449393820109</v>
      </c>
      <c r="Q327" t="n">
        <v>-0.01543547302283976</v>
      </c>
      <c r="R327" t="n">
        <v>-0.003881407827863123</v>
      </c>
      <c r="S327" t="n">
        <v>-0.01543547302283976</v>
      </c>
      <c r="T327" t="n">
        <v>-0.01945449393820109</v>
      </c>
    </row>
    <row r="328">
      <c r="A328" s="123" t="n">
        <v>27334</v>
      </c>
      <c r="B328" t="n">
        <v>33.1</v>
      </c>
      <c r="E328" t="n">
        <v>71</v>
      </c>
      <c r="F328" t="n">
        <v>40.9</v>
      </c>
      <c r="H328" t="n">
        <v>47.2</v>
      </c>
      <c r="I328" t="n">
        <v>34</v>
      </c>
      <c r="J328" t="n">
        <v>39.6</v>
      </c>
      <c r="L328" t="n">
        <v>37.9</v>
      </c>
      <c r="O328" t="n">
        <v>-0.003881407827863123</v>
      </c>
      <c r="P328" t="n">
        <v>-0.01945449393820109</v>
      </c>
      <c r="Q328" t="n">
        <v>-0.01543547302283976</v>
      </c>
    </row>
    <row r="329">
      <c r="A329" s="123" t="n">
        <v>27364</v>
      </c>
      <c r="B329" t="n">
        <v>27.9</v>
      </c>
      <c r="E329" t="n">
        <v>64.7</v>
      </c>
      <c r="F329" t="n">
        <v>33.4</v>
      </c>
      <c r="H329" t="n">
        <v>40.6</v>
      </c>
      <c r="I329" t="n">
        <v>23.2</v>
      </c>
      <c r="J329" t="n">
        <v>33.3</v>
      </c>
      <c r="L329" t="n">
        <v>30.9</v>
      </c>
      <c r="O329" t="n">
        <v>-0.003881407827863123</v>
      </c>
      <c r="P329" t="n">
        <v>-0.01945449393820109</v>
      </c>
      <c r="Q329" t="n">
        <v>-0.01543547302283976</v>
      </c>
    </row>
    <row r="330">
      <c r="A330" s="123" t="n">
        <v>27395</v>
      </c>
      <c r="B330" t="n">
        <v>32.8</v>
      </c>
      <c r="E330" t="n">
        <v>54.1</v>
      </c>
      <c r="F330" t="n">
        <v>33.4</v>
      </c>
      <c r="H330" t="n">
        <v>36.6</v>
      </c>
      <c r="I330" t="n">
        <v>19.5</v>
      </c>
      <c r="J330" t="n">
        <v>29.7</v>
      </c>
      <c r="L330" t="n">
        <v>30.7</v>
      </c>
      <c r="N330" t="n">
        <v>5551.713</v>
      </c>
      <c r="O330" t="n">
        <v>-0.01217285875797099</v>
      </c>
      <c r="P330" t="n">
        <v>-0.0229904759524796</v>
      </c>
      <c r="Q330" t="n">
        <v>-0.04780955715630564</v>
      </c>
      <c r="R330" t="n">
        <v>-0.01217285875797099</v>
      </c>
      <c r="S330" t="n">
        <v>-0.04780955715630564</v>
      </c>
      <c r="T330" t="n">
        <v>-0.0229904759524796</v>
      </c>
    </row>
    <row r="331">
      <c r="A331" s="123" t="n">
        <v>27426</v>
      </c>
      <c r="B331" t="n">
        <v>40</v>
      </c>
      <c r="E331" t="n">
        <v>48.8</v>
      </c>
      <c r="F331" t="n">
        <v>41.5</v>
      </c>
      <c r="H331" t="n">
        <v>30.6</v>
      </c>
      <c r="I331" t="n">
        <v>15.9</v>
      </c>
      <c r="J331" t="n">
        <v>33.1</v>
      </c>
      <c r="L331" t="n">
        <v>34.4</v>
      </c>
      <c r="O331" t="n">
        <v>-0.01217285875797099</v>
      </c>
      <c r="P331" t="n">
        <v>-0.0229904759524796</v>
      </c>
      <c r="Q331" t="n">
        <v>-0.04780955715630564</v>
      </c>
    </row>
    <row r="332">
      <c r="A332" s="123" t="n">
        <v>27454</v>
      </c>
      <c r="B332" t="n">
        <v>37</v>
      </c>
      <c r="E332" t="n">
        <v>42.7</v>
      </c>
      <c r="F332" t="n">
        <v>33.1</v>
      </c>
      <c r="H332" t="n">
        <v>30.9</v>
      </c>
      <c r="I332" t="n">
        <v>17.3</v>
      </c>
      <c r="J332" t="n">
        <v>32.8</v>
      </c>
      <c r="L332" t="n">
        <v>31.6</v>
      </c>
      <c r="O332" t="n">
        <v>-0.01217285875797099</v>
      </c>
      <c r="P332" t="n">
        <v>-0.0229904759524796</v>
      </c>
      <c r="Q332" t="n">
        <v>-0.04780955715630564</v>
      </c>
    </row>
    <row r="333">
      <c r="A333" s="123" t="n">
        <v>27485</v>
      </c>
      <c r="B333" t="n">
        <v>42.6</v>
      </c>
      <c r="E333" t="n">
        <v>42.6</v>
      </c>
      <c r="F333" t="n">
        <v>45.5</v>
      </c>
      <c r="H333" t="n">
        <v>26.9</v>
      </c>
      <c r="I333" t="n">
        <v>21.7</v>
      </c>
      <c r="J333" t="n">
        <v>36.9</v>
      </c>
      <c r="L333" t="n">
        <v>37.5</v>
      </c>
      <c r="N333" t="n">
        <v>5591.382</v>
      </c>
      <c r="O333" t="n">
        <v>0.007145362161192387</v>
      </c>
      <c r="P333" t="n">
        <v>-0.01834262400105072</v>
      </c>
      <c r="Q333" t="n">
        <v>0.02888924771416268</v>
      </c>
      <c r="R333" t="n">
        <v>0.007145362161192387</v>
      </c>
      <c r="S333" t="n">
        <v>0.02888924771416268</v>
      </c>
      <c r="T333" t="n">
        <v>-0.01834262400105072</v>
      </c>
    </row>
    <row r="334">
      <c r="A334" s="123" t="n">
        <v>27515</v>
      </c>
      <c r="B334" t="n">
        <v>47.2</v>
      </c>
      <c r="E334" t="n">
        <v>45.4</v>
      </c>
      <c r="F334" t="n">
        <v>50.5</v>
      </c>
      <c r="H334" t="n">
        <v>31</v>
      </c>
      <c r="I334" t="n">
        <v>22.7</v>
      </c>
      <c r="J334" t="n">
        <v>39.6</v>
      </c>
      <c r="L334" t="n">
        <v>41.2</v>
      </c>
      <c r="O334" t="n">
        <v>0.007145362161192387</v>
      </c>
      <c r="P334" t="n">
        <v>-0.01834262400105072</v>
      </c>
      <c r="Q334" t="n">
        <v>0.02888924771416268</v>
      </c>
    </row>
    <row r="335">
      <c r="A335" s="123" t="n">
        <v>27546</v>
      </c>
      <c r="B335" t="n">
        <v>54.9</v>
      </c>
      <c r="E335" t="n">
        <v>44</v>
      </c>
      <c r="F335" t="n">
        <v>53.1</v>
      </c>
      <c r="H335" t="n">
        <v>28.7</v>
      </c>
      <c r="I335" t="n">
        <v>24.9</v>
      </c>
      <c r="J335" t="n">
        <v>43.9</v>
      </c>
      <c r="L335" t="n">
        <v>45.1</v>
      </c>
      <c r="O335" t="n">
        <v>0.007145362161192387</v>
      </c>
      <c r="P335" t="n">
        <v>-0.01834262400105072</v>
      </c>
      <c r="Q335" t="n">
        <v>0.02888924771416268</v>
      </c>
    </row>
    <row r="336">
      <c r="A336" s="123" t="n">
        <v>27576</v>
      </c>
      <c r="B336" t="n">
        <v>58.4</v>
      </c>
      <c r="E336" t="n">
        <v>53</v>
      </c>
      <c r="F336" t="n">
        <v>55.8</v>
      </c>
      <c r="H336" t="n">
        <v>24.6</v>
      </c>
      <c r="I336" t="n">
        <v>28.7</v>
      </c>
      <c r="J336" t="n">
        <v>44.3</v>
      </c>
      <c r="L336" t="n">
        <v>47.2</v>
      </c>
      <c r="N336" t="n">
        <v>5687.087</v>
      </c>
      <c r="O336" t="n">
        <v>0.0171165196725963</v>
      </c>
      <c r="P336" t="n">
        <v>0.007986848693510009</v>
      </c>
      <c r="Q336" t="n">
        <v>0.07024407486532014</v>
      </c>
      <c r="R336" t="n">
        <v>0.0171165196725963</v>
      </c>
      <c r="S336" t="n">
        <v>0.07024407486532014</v>
      </c>
      <c r="T336" t="n">
        <v>0.007986848693510009</v>
      </c>
    </row>
    <row r="337">
      <c r="A337" s="123" t="n">
        <v>27607</v>
      </c>
      <c r="B337" t="n">
        <v>60.3</v>
      </c>
      <c r="E337" t="n">
        <v>68.8</v>
      </c>
      <c r="F337" t="n">
        <v>61.1</v>
      </c>
      <c r="H337" t="n">
        <v>28.1</v>
      </c>
      <c r="I337" t="n">
        <v>35.1</v>
      </c>
      <c r="J337" t="n">
        <v>49.7</v>
      </c>
      <c r="L337" t="n">
        <v>51.4</v>
      </c>
      <c r="O337" t="n">
        <v>0.0171165196725963</v>
      </c>
      <c r="P337" t="n">
        <v>0.007986848693510009</v>
      </c>
      <c r="Q337" t="n">
        <v>0.07024407486532014</v>
      </c>
    </row>
    <row r="338">
      <c r="A338" s="123" t="n">
        <v>27638</v>
      </c>
      <c r="B338" t="n">
        <v>60.4</v>
      </c>
      <c r="E338" t="n">
        <v>73.59999999999999</v>
      </c>
      <c r="F338" t="n">
        <v>62.3</v>
      </c>
      <c r="H338" t="n">
        <v>34.2</v>
      </c>
      <c r="I338" t="n">
        <v>43.8</v>
      </c>
      <c r="J338" t="n">
        <v>53.5</v>
      </c>
      <c r="L338" t="n">
        <v>54.4</v>
      </c>
      <c r="O338" t="n">
        <v>0.0171165196725963</v>
      </c>
      <c r="P338" t="n">
        <v>0.007986848693510009</v>
      </c>
      <c r="Q338" t="n">
        <v>0.07024407486532014</v>
      </c>
    </row>
    <row r="339">
      <c r="A339" s="123" t="n">
        <v>27668</v>
      </c>
      <c r="B339" t="n">
        <v>64.2</v>
      </c>
      <c r="E339" t="n">
        <v>75.3</v>
      </c>
      <c r="F339" t="n">
        <v>62.3</v>
      </c>
      <c r="H339" t="n">
        <v>41.9</v>
      </c>
      <c r="I339" t="n">
        <v>44.8</v>
      </c>
      <c r="J339" t="n">
        <v>48.9</v>
      </c>
      <c r="L339" t="n">
        <v>55.5</v>
      </c>
      <c r="N339" t="n">
        <v>5763.665</v>
      </c>
      <c r="O339" t="n">
        <v>0.01346524151995556</v>
      </c>
      <c r="P339" t="n">
        <v>0.02554017472206135</v>
      </c>
      <c r="Q339" t="n">
        <v>0.05495864100802961</v>
      </c>
      <c r="R339" t="n">
        <v>0.01346524151995556</v>
      </c>
      <c r="S339" t="n">
        <v>0.05495864100802961</v>
      </c>
      <c r="T339" t="n">
        <v>0.02554017472206135</v>
      </c>
    </row>
    <row r="340">
      <c r="A340" s="123" t="n">
        <v>27699</v>
      </c>
      <c r="B340" t="n">
        <v>62.2</v>
      </c>
      <c r="E340" t="n">
        <v>70.8</v>
      </c>
      <c r="F340" t="n">
        <v>60</v>
      </c>
      <c r="H340" t="n">
        <v>38.8</v>
      </c>
      <c r="I340" t="n">
        <v>46.8</v>
      </c>
      <c r="J340" t="n">
        <v>49.8</v>
      </c>
      <c r="L340" t="n">
        <v>54.5</v>
      </c>
      <c r="O340" t="n">
        <v>0.01346524151995556</v>
      </c>
      <c r="P340" t="n">
        <v>0.02554017472206135</v>
      </c>
      <c r="Q340" t="n">
        <v>0.05495864100802961</v>
      </c>
    </row>
    <row r="341">
      <c r="A341" s="123" t="n">
        <v>27729</v>
      </c>
      <c r="B341" t="n">
        <v>63.1</v>
      </c>
      <c r="E341" t="n">
        <v>64.40000000000001</v>
      </c>
      <c r="F341" t="n">
        <v>62.4</v>
      </c>
      <c r="H341" t="n">
        <v>40.2</v>
      </c>
      <c r="I341" t="n">
        <v>41.2</v>
      </c>
      <c r="J341" t="n">
        <v>50.8</v>
      </c>
      <c r="L341" t="n">
        <v>54.9</v>
      </c>
      <c r="O341" t="n">
        <v>0.01346524151995556</v>
      </c>
      <c r="P341" t="n">
        <v>0.02554017472206135</v>
      </c>
      <c r="Q341" t="n">
        <v>0.05495864100802961</v>
      </c>
    </row>
    <row r="342">
      <c r="A342" s="123" t="n">
        <v>27760</v>
      </c>
      <c r="B342" t="n">
        <v>63.8</v>
      </c>
      <c r="E342" t="n">
        <v>70.2</v>
      </c>
      <c r="F342" t="n">
        <v>65.59999999999999</v>
      </c>
      <c r="H342" t="n">
        <v>45.3</v>
      </c>
      <c r="I342" t="n">
        <v>54</v>
      </c>
      <c r="J342" t="n">
        <v>53.1</v>
      </c>
      <c r="L342" t="n">
        <v>58.8</v>
      </c>
      <c r="N342" t="n">
        <v>5893.276</v>
      </c>
      <c r="O342" t="n">
        <v>0.02248760120513595</v>
      </c>
      <c r="P342" t="n">
        <v>0.06152389361625864</v>
      </c>
      <c r="Q342" t="n">
        <v>0.09303030101174148</v>
      </c>
      <c r="R342" t="n">
        <v>0.02248760120513595</v>
      </c>
      <c r="S342" t="n">
        <v>0.09303030101174148</v>
      </c>
      <c r="T342" t="n">
        <v>0.06152389361625864</v>
      </c>
    </row>
    <row r="343">
      <c r="A343" s="123" t="n">
        <v>27791</v>
      </c>
      <c r="B343" t="n">
        <v>68.7</v>
      </c>
      <c r="E343" t="n">
        <v>73.2</v>
      </c>
      <c r="F343" t="n">
        <v>64.8</v>
      </c>
      <c r="H343" t="n">
        <v>48.2</v>
      </c>
      <c r="I343" t="n">
        <v>56.1</v>
      </c>
      <c r="J343" t="n">
        <v>57.3</v>
      </c>
      <c r="L343" t="n">
        <v>61.5</v>
      </c>
      <c r="O343" t="n">
        <v>0.02248760120513595</v>
      </c>
      <c r="P343" t="n">
        <v>0.06152389361625864</v>
      </c>
      <c r="Q343" t="n">
        <v>0.09303030101174148</v>
      </c>
    </row>
    <row r="344">
      <c r="A344" s="123" t="n">
        <v>27820</v>
      </c>
      <c r="B344" t="n">
        <v>61.6</v>
      </c>
      <c r="E344" t="n">
        <v>74.3</v>
      </c>
      <c r="F344" t="n">
        <v>63.3</v>
      </c>
      <c r="H344" t="n">
        <v>46.7</v>
      </c>
      <c r="I344" t="n">
        <v>56.7</v>
      </c>
      <c r="J344" t="n">
        <v>54.9</v>
      </c>
      <c r="L344" t="n">
        <v>58.4</v>
      </c>
      <c r="O344" t="n">
        <v>0.02248760120513595</v>
      </c>
      <c r="P344" t="n">
        <v>0.06152389361625864</v>
      </c>
      <c r="Q344" t="n">
        <v>0.09303030101174148</v>
      </c>
    </row>
    <row r="345">
      <c r="A345" s="123" t="n">
        <v>27851</v>
      </c>
      <c r="B345" t="n">
        <v>65.2</v>
      </c>
      <c r="E345" t="n">
        <v>75.90000000000001</v>
      </c>
      <c r="F345" t="n">
        <v>64.09999999999999</v>
      </c>
      <c r="H345" t="n">
        <v>51.4</v>
      </c>
      <c r="I345" t="n">
        <v>57.3</v>
      </c>
      <c r="J345" t="n">
        <v>56.4</v>
      </c>
      <c r="L345" t="n">
        <v>60.6</v>
      </c>
      <c r="N345" t="n">
        <v>5936.515</v>
      </c>
      <c r="O345" t="n">
        <v>0.00733700576725076</v>
      </c>
      <c r="P345" t="n">
        <v>0.06172588458452682</v>
      </c>
      <c r="Q345" t="n">
        <v>0.02967259574123471</v>
      </c>
      <c r="R345" t="n">
        <v>0.00733700576725076</v>
      </c>
      <c r="S345" t="n">
        <v>0.02967259574123471</v>
      </c>
      <c r="T345" t="n">
        <v>0.06172588458452682</v>
      </c>
    </row>
    <row r="346">
      <c r="A346" s="123" t="n">
        <v>27881</v>
      </c>
      <c r="B346" t="n">
        <v>62.3</v>
      </c>
      <c r="E346" t="n">
        <v>78</v>
      </c>
      <c r="F346" t="n">
        <v>60.5</v>
      </c>
      <c r="H346" t="n">
        <v>51.6</v>
      </c>
      <c r="I346" t="n">
        <v>58.3</v>
      </c>
      <c r="J346" t="n">
        <v>55.4</v>
      </c>
      <c r="L346" t="n">
        <v>58.8</v>
      </c>
      <c r="O346" t="n">
        <v>0.00733700576725076</v>
      </c>
      <c r="P346" t="n">
        <v>0.06172588458452682</v>
      </c>
      <c r="Q346" t="n">
        <v>0.02967259574123471</v>
      </c>
    </row>
    <row r="347">
      <c r="A347" s="123" t="n">
        <v>27912</v>
      </c>
      <c r="B347" t="n">
        <v>60.6</v>
      </c>
      <c r="E347" t="n">
        <v>80.09999999999999</v>
      </c>
      <c r="F347" t="n">
        <v>60.5</v>
      </c>
      <c r="H347" t="n">
        <v>52.6</v>
      </c>
      <c r="I347" t="n">
        <v>58.6</v>
      </c>
      <c r="J347" t="n">
        <v>54.3</v>
      </c>
      <c r="L347" t="n">
        <v>58.2</v>
      </c>
      <c r="O347" t="n">
        <v>0.00733700576725076</v>
      </c>
      <c r="P347" t="n">
        <v>0.06172588458452682</v>
      </c>
      <c r="Q347" t="n">
        <v>0.02967259574123471</v>
      </c>
    </row>
    <row r="348">
      <c r="A348" s="123" t="n">
        <v>27942</v>
      </c>
      <c r="B348" t="n">
        <v>58</v>
      </c>
      <c r="E348" t="n">
        <v>84.2</v>
      </c>
      <c r="F348" t="n">
        <v>56.7</v>
      </c>
      <c r="H348" t="n">
        <v>50.5</v>
      </c>
      <c r="I348" t="n">
        <v>54</v>
      </c>
      <c r="J348" t="n">
        <v>55.1</v>
      </c>
      <c r="L348" t="n">
        <v>55.9</v>
      </c>
      <c r="N348" t="n">
        <v>5969.089</v>
      </c>
      <c r="O348" t="n">
        <v>0.005487057642404611</v>
      </c>
      <c r="P348" t="n">
        <v>0.04958636996409576</v>
      </c>
      <c r="Q348" t="n">
        <v>0.02212953909849547</v>
      </c>
      <c r="R348" t="n">
        <v>0.005487057642404611</v>
      </c>
      <c r="S348" t="n">
        <v>0.02212953909849547</v>
      </c>
      <c r="T348" t="n">
        <v>0.04958636996409576</v>
      </c>
    </row>
    <row r="349">
      <c r="A349" s="123" t="n">
        <v>27973</v>
      </c>
      <c r="B349" t="n">
        <v>57.7</v>
      </c>
      <c r="E349" t="n">
        <v>73.3</v>
      </c>
      <c r="F349" t="n">
        <v>52.9</v>
      </c>
      <c r="H349" t="n">
        <v>52.4</v>
      </c>
      <c r="I349" t="n">
        <v>55.2</v>
      </c>
      <c r="J349" t="n">
        <v>52.1</v>
      </c>
      <c r="L349" t="n">
        <v>54.5</v>
      </c>
      <c r="O349" t="n">
        <v>0.005487057642404611</v>
      </c>
      <c r="P349" t="n">
        <v>0.04958636996409576</v>
      </c>
      <c r="Q349" t="n">
        <v>0.02212953909849547</v>
      </c>
    </row>
    <row r="350">
      <c r="A350" s="123" t="n">
        <v>28004</v>
      </c>
      <c r="B350" t="n">
        <v>55.3</v>
      </c>
      <c r="E350" t="n">
        <v>70.59999999999999</v>
      </c>
      <c r="F350" t="n">
        <v>53.2</v>
      </c>
      <c r="H350" t="n">
        <v>49.5</v>
      </c>
      <c r="I350" t="n">
        <v>52.6</v>
      </c>
      <c r="J350" t="n">
        <v>54.2</v>
      </c>
      <c r="L350" t="n">
        <v>53.6</v>
      </c>
      <c r="O350" t="n">
        <v>0.005487057642404611</v>
      </c>
      <c r="P350" t="n">
        <v>0.04958636996409576</v>
      </c>
      <c r="Q350" t="n">
        <v>0.02212953909849547</v>
      </c>
    </row>
    <row r="351">
      <c r="A351" s="123" t="n">
        <v>28034</v>
      </c>
      <c r="B351" t="n">
        <v>57</v>
      </c>
      <c r="E351" t="n">
        <v>67.09999999999999</v>
      </c>
      <c r="F351" t="n">
        <v>56.1</v>
      </c>
      <c r="H351" t="n">
        <v>50</v>
      </c>
      <c r="I351" t="n">
        <v>49</v>
      </c>
      <c r="J351" t="n">
        <v>50.2</v>
      </c>
      <c r="L351" t="n">
        <v>53.5</v>
      </c>
      <c r="N351" t="n">
        <v>6012.356</v>
      </c>
      <c r="O351" t="n">
        <v>0.007248509780973248</v>
      </c>
      <c r="P351" t="n">
        <v>0.04314806637790361</v>
      </c>
      <c r="Q351" t="n">
        <v>0.02931081062144569</v>
      </c>
      <c r="R351" t="n">
        <v>0.007248509780973248</v>
      </c>
      <c r="S351" t="n">
        <v>0.02931081062144569</v>
      </c>
      <c r="T351" t="n">
        <v>0.04314806637790361</v>
      </c>
    </row>
    <row r="352">
      <c r="A352" s="123" t="n">
        <v>28065</v>
      </c>
      <c r="B352" t="n">
        <v>55.7</v>
      </c>
      <c r="E352" t="n">
        <v>69.7</v>
      </c>
      <c r="F352" t="n">
        <v>54.4</v>
      </c>
      <c r="H352" t="n">
        <v>42.4</v>
      </c>
      <c r="I352" t="n">
        <v>47.2</v>
      </c>
      <c r="J352" t="n">
        <v>50.5</v>
      </c>
      <c r="L352" t="n">
        <v>51.7</v>
      </c>
      <c r="O352" t="n">
        <v>0.007248509780973248</v>
      </c>
      <c r="P352" t="n">
        <v>0.04314806637790361</v>
      </c>
      <c r="Q352" t="n">
        <v>0.02931081062144569</v>
      </c>
    </row>
    <row r="353">
      <c r="A353" s="123" t="n">
        <v>28095</v>
      </c>
      <c r="B353" t="n">
        <v>58.9</v>
      </c>
      <c r="E353" t="n">
        <v>75.8</v>
      </c>
      <c r="F353" t="n">
        <v>59.6</v>
      </c>
      <c r="H353" t="n">
        <v>52.8</v>
      </c>
      <c r="I353" t="n">
        <v>53.3</v>
      </c>
      <c r="J353" t="n">
        <v>53.8</v>
      </c>
      <c r="L353" t="n">
        <v>56.6</v>
      </c>
      <c r="O353" t="n">
        <v>0.007248509780973248</v>
      </c>
      <c r="P353" t="n">
        <v>0.04314806637790361</v>
      </c>
      <c r="Q353" t="n">
        <v>0.02931081062144569</v>
      </c>
    </row>
    <row r="354">
      <c r="A354" s="123" t="n">
        <v>28126</v>
      </c>
      <c r="B354" t="n">
        <v>57.2</v>
      </c>
      <c r="E354" t="n">
        <v>78.40000000000001</v>
      </c>
      <c r="F354" t="n">
        <v>56.9</v>
      </c>
      <c r="H354" t="n">
        <v>51.4</v>
      </c>
      <c r="I354" t="n">
        <v>55.3</v>
      </c>
      <c r="J354" t="n">
        <v>49.9</v>
      </c>
      <c r="L354" t="n">
        <v>54.8</v>
      </c>
      <c r="N354" t="n">
        <v>6083.391</v>
      </c>
      <c r="O354" t="n">
        <v>0.01181483598110289</v>
      </c>
      <c r="P354" t="n">
        <v>0.03225964641737461</v>
      </c>
      <c r="Q354" t="n">
        <v>0.04810350245376394</v>
      </c>
      <c r="R354" t="n">
        <v>0.01181483598110289</v>
      </c>
      <c r="S354" t="n">
        <v>0.04810350245376394</v>
      </c>
      <c r="T354" t="n">
        <v>0.03225964641737461</v>
      </c>
    </row>
    <row r="355">
      <c r="A355" s="123" t="n">
        <v>28157</v>
      </c>
      <c r="B355" t="n">
        <v>56.8</v>
      </c>
      <c r="E355" t="n">
        <v>76.8</v>
      </c>
      <c r="F355" t="n">
        <v>50.8</v>
      </c>
      <c r="H355" t="n">
        <v>51.9</v>
      </c>
      <c r="I355" t="n">
        <v>65.09999999999999</v>
      </c>
      <c r="J355" t="n">
        <v>51.5</v>
      </c>
      <c r="L355" t="n">
        <v>55</v>
      </c>
      <c r="O355" t="n">
        <v>0.01181483598110289</v>
      </c>
      <c r="P355" t="n">
        <v>0.03225964641737461</v>
      </c>
      <c r="Q355" t="n">
        <v>0.04810350245376394</v>
      </c>
    </row>
    <row r="356">
      <c r="A356" s="123" t="n">
        <v>28185</v>
      </c>
      <c r="B356" t="n">
        <v>63.5</v>
      </c>
      <c r="E356" t="n">
        <v>80.90000000000001</v>
      </c>
      <c r="F356" t="n">
        <v>62.5</v>
      </c>
      <c r="H356" t="n">
        <v>54.7</v>
      </c>
      <c r="I356" t="n">
        <v>49.6</v>
      </c>
      <c r="J356" t="n">
        <v>54.3</v>
      </c>
      <c r="L356" t="n">
        <v>58.4</v>
      </c>
      <c r="O356" t="n">
        <v>0.01181483598110289</v>
      </c>
      <c r="P356" t="n">
        <v>0.03225964641737461</v>
      </c>
      <c r="Q356" t="n">
        <v>0.04810350245376394</v>
      </c>
    </row>
    <row r="357">
      <c r="A357" s="123" t="n">
        <v>28216</v>
      </c>
      <c r="B357" t="n">
        <v>60.3</v>
      </c>
      <c r="E357" t="n">
        <v>78.8</v>
      </c>
      <c r="F357" t="n">
        <v>59.2</v>
      </c>
      <c r="H357" t="n">
        <v>54.4</v>
      </c>
      <c r="I357" t="n">
        <v>54.6</v>
      </c>
      <c r="J357" t="n">
        <v>51.9</v>
      </c>
      <c r="L357" t="n">
        <v>56.9</v>
      </c>
      <c r="N357" t="n">
        <v>6201.659</v>
      </c>
      <c r="O357" t="n">
        <v>0.01944113077722606</v>
      </c>
      <c r="P357" t="n">
        <v>0.04466324097555541</v>
      </c>
      <c r="Q357" t="n">
        <v>0.08006180304607624</v>
      </c>
      <c r="R357" t="n">
        <v>0.01944113077722606</v>
      </c>
      <c r="S357" t="n">
        <v>0.08006180304607624</v>
      </c>
      <c r="T357" t="n">
        <v>0.04466324097555541</v>
      </c>
    </row>
    <row r="358">
      <c r="A358" s="123" t="n">
        <v>28246</v>
      </c>
      <c r="B358" t="n">
        <v>64.5</v>
      </c>
      <c r="E358" t="n">
        <v>75.7</v>
      </c>
      <c r="F358" t="n">
        <v>63</v>
      </c>
      <c r="H358" t="n">
        <v>53.2</v>
      </c>
      <c r="I358" t="n">
        <v>55.4</v>
      </c>
      <c r="J358" t="n">
        <v>54.8</v>
      </c>
      <c r="L358" t="n">
        <v>59.7</v>
      </c>
      <c r="O358" t="n">
        <v>0.01944113077722606</v>
      </c>
      <c r="P358" t="n">
        <v>0.04466324097555541</v>
      </c>
      <c r="Q358" t="n">
        <v>0.08006180304607624</v>
      </c>
    </row>
    <row r="359">
      <c r="A359" s="123" t="n">
        <v>28277</v>
      </c>
      <c r="B359" t="n">
        <v>58.1</v>
      </c>
      <c r="E359" t="n">
        <v>71.90000000000001</v>
      </c>
      <c r="F359" t="n">
        <v>62.5</v>
      </c>
      <c r="H359" t="n">
        <v>52.6</v>
      </c>
      <c r="I359" t="n">
        <v>53.3</v>
      </c>
      <c r="J359" t="n">
        <v>52.5</v>
      </c>
      <c r="L359" t="n">
        <v>56.8</v>
      </c>
      <c r="O359" t="n">
        <v>0.01944113077722606</v>
      </c>
      <c r="P359" t="n">
        <v>0.04466324097555541</v>
      </c>
      <c r="Q359" t="n">
        <v>0.08006180304607624</v>
      </c>
    </row>
    <row r="360">
      <c r="A360" s="123" t="n">
        <v>28307</v>
      </c>
      <c r="B360" t="n">
        <v>58.9</v>
      </c>
      <c r="E360" t="n">
        <v>69</v>
      </c>
      <c r="F360" t="n">
        <v>60.6</v>
      </c>
      <c r="H360" t="n">
        <v>52</v>
      </c>
      <c r="I360" t="n">
        <v>58.3</v>
      </c>
      <c r="J360" t="n">
        <v>54.5</v>
      </c>
      <c r="L360" t="n">
        <v>57.7</v>
      </c>
      <c r="N360" t="n">
        <v>6313.559</v>
      </c>
      <c r="O360" t="n">
        <v>0.01804355898961884</v>
      </c>
      <c r="P360" t="n">
        <v>0.05770897368090847</v>
      </c>
      <c r="Q360" t="n">
        <v>0.07415125984790261</v>
      </c>
      <c r="R360" t="n">
        <v>0.01804355898961884</v>
      </c>
      <c r="S360" t="n">
        <v>0.07415125984790261</v>
      </c>
      <c r="T360" t="n">
        <v>0.05770897368090847</v>
      </c>
    </row>
    <row r="361">
      <c r="A361" s="123" t="n">
        <v>28338</v>
      </c>
      <c r="B361" t="n">
        <v>58.8</v>
      </c>
      <c r="E361" t="n">
        <v>70.40000000000001</v>
      </c>
      <c r="F361" t="n">
        <v>53.9</v>
      </c>
      <c r="H361" t="n">
        <v>50</v>
      </c>
      <c r="I361" t="n">
        <v>53.5</v>
      </c>
      <c r="J361" t="n">
        <v>53.6</v>
      </c>
      <c r="L361" t="n">
        <v>54.9</v>
      </c>
      <c r="O361" t="n">
        <v>0.01804355898961884</v>
      </c>
      <c r="P361" t="n">
        <v>0.05770897368090847</v>
      </c>
      <c r="Q361" t="n">
        <v>0.07415125984790261</v>
      </c>
    </row>
    <row r="362">
      <c r="A362" s="123" t="n">
        <v>28369</v>
      </c>
      <c r="B362" t="n">
        <v>57</v>
      </c>
      <c r="E362" t="n">
        <v>65.40000000000001</v>
      </c>
      <c r="F362" t="n">
        <v>54.9</v>
      </c>
      <c r="H362" t="n">
        <v>44.8</v>
      </c>
      <c r="I362" t="n">
        <v>56.7</v>
      </c>
      <c r="J362" t="n">
        <v>50.4</v>
      </c>
      <c r="L362" t="n">
        <v>53.9</v>
      </c>
      <c r="O362" t="n">
        <v>0.01804355898961884</v>
      </c>
      <c r="P362" t="n">
        <v>0.05770897368090847</v>
      </c>
      <c r="Q362" t="n">
        <v>0.07415125984790261</v>
      </c>
    </row>
    <row r="363">
      <c r="A363" s="123" t="n">
        <v>28399</v>
      </c>
      <c r="B363" t="n">
        <v>57.1</v>
      </c>
      <c r="E363" t="n">
        <v>64.5</v>
      </c>
      <c r="F363" t="n">
        <v>57</v>
      </c>
      <c r="H363" t="n">
        <v>47.9</v>
      </c>
      <c r="I363" t="n">
        <v>53.6</v>
      </c>
      <c r="J363" t="n">
        <v>56</v>
      </c>
      <c r="L363" t="n">
        <v>55.4</v>
      </c>
      <c r="N363" t="n">
        <v>6313.697</v>
      </c>
      <c r="O363" t="n">
        <v>2.185771923568307e-05</v>
      </c>
      <c r="P363" t="n">
        <v>0.05012028562513603</v>
      </c>
      <c r="Q363" t="n">
        <v>8.743374354391875e-05</v>
      </c>
      <c r="R363" t="n">
        <v>2.185771923568307e-05</v>
      </c>
      <c r="S363" t="n">
        <v>8.743374354391875e-05</v>
      </c>
      <c r="T363" t="n">
        <v>0.05012028562513603</v>
      </c>
    </row>
    <row r="364">
      <c r="A364" s="123" t="n">
        <v>28430</v>
      </c>
      <c r="B364" t="n">
        <v>59.2</v>
      </c>
      <c r="E364" t="n">
        <v>62</v>
      </c>
      <c r="F364" t="n">
        <v>58.7</v>
      </c>
      <c r="H364" t="n">
        <v>48</v>
      </c>
      <c r="I364" t="n">
        <v>56.3</v>
      </c>
      <c r="J364" t="n">
        <v>51.8</v>
      </c>
      <c r="L364" t="n">
        <v>56.1</v>
      </c>
      <c r="O364" t="n">
        <v>2.185771923568307e-05</v>
      </c>
      <c r="P364" t="n">
        <v>0.05012028562513603</v>
      </c>
      <c r="Q364" t="n">
        <v>8.743374354391875e-05</v>
      </c>
    </row>
    <row r="365">
      <c r="A365" s="123" t="n">
        <v>28460</v>
      </c>
      <c r="B365" t="n">
        <v>60.7</v>
      </c>
      <c r="E365" t="n">
        <v>67.2</v>
      </c>
      <c r="F365" t="n">
        <v>64.7</v>
      </c>
      <c r="H365" t="n">
        <v>48.9</v>
      </c>
      <c r="I365" t="n">
        <v>57.1</v>
      </c>
      <c r="J365" t="n">
        <v>59.8</v>
      </c>
      <c r="L365" t="n">
        <v>59.8</v>
      </c>
      <c r="O365" t="n">
        <v>2.185771923568307e-05</v>
      </c>
      <c r="P365" t="n">
        <v>0.05012028562513603</v>
      </c>
      <c r="Q365" t="n">
        <v>8.743374354391875e-05</v>
      </c>
    </row>
    <row r="366">
      <c r="A366" s="123" t="n">
        <v>28491</v>
      </c>
      <c r="B366" t="n">
        <v>60.6</v>
      </c>
      <c r="E366" t="n">
        <v>71.09999999999999</v>
      </c>
      <c r="F366" t="n">
        <v>57.7</v>
      </c>
      <c r="H366" t="n">
        <v>54</v>
      </c>
      <c r="I366" t="n">
        <v>55.6</v>
      </c>
      <c r="J366" t="n">
        <v>55.1</v>
      </c>
      <c r="L366" t="n">
        <v>57.4</v>
      </c>
      <c r="N366" t="n">
        <v>6333.848</v>
      </c>
      <c r="O366" t="n">
        <v>0.003191632414415807</v>
      </c>
      <c r="P366" t="n">
        <v>0.04117062342367939</v>
      </c>
      <c r="Q366" t="n">
        <v>0.01282777891271847</v>
      </c>
      <c r="R366" t="n">
        <v>0.003191632414415807</v>
      </c>
      <c r="S366" t="n">
        <v>0.01282777891271847</v>
      </c>
      <c r="T366" t="n">
        <v>0.04117062342367939</v>
      </c>
    </row>
    <row r="367">
      <c r="A367" s="123" t="n">
        <v>28522</v>
      </c>
      <c r="B367" t="n">
        <v>56.2</v>
      </c>
      <c r="E367" t="n">
        <v>74.40000000000001</v>
      </c>
      <c r="F367" t="n">
        <v>54.6</v>
      </c>
      <c r="H367" t="n">
        <v>54</v>
      </c>
      <c r="I367" t="n">
        <v>63.4</v>
      </c>
      <c r="J367" t="n">
        <v>52.8</v>
      </c>
      <c r="L367" t="n">
        <v>55.9</v>
      </c>
      <c r="O367" t="n">
        <v>0.003191632414415807</v>
      </c>
      <c r="P367" t="n">
        <v>0.04117062342367939</v>
      </c>
      <c r="Q367" t="n">
        <v>0.01282777891271847</v>
      </c>
    </row>
    <row r="368">
      <c r="A368" s="123" t="n">
        <v>28550</v>
      </c>
      <c r="B368" t="n">
        <v>56.6</v>
      </c>
      <c r="E368" t="n">
        <v>72.3</v>
      </c>
      <c r="F368" t="n">
        <v>57</v>
      </c>
      <c r="H368" t="n">
        <v>44</v>
      </c>
      <c r="I368" t="n">
        <v>58.9</v>
      </c>
      <c r="J368" t="n">
        <v>52.9</v>
      </c>
      <c r="L368" t="n">
        <v>55</v>
      </c>
      <c r="O368" t="n">
        <v>0.003191632414415807</v>
      </c>
      <c r="P368" t="n">
        <v>0.04117062342367939</v>
      </c>
      <c r="Q368" t="n">
        <v>0.01282777891271847</v>
      </c>
    </row>
    <row r="369">
      <c r="A369" s="123" t="n">
        <v>28581</v>
      </c>
      <c r="B369" t="n">
        <v>60.2</v>
      </c>
      <c r="E369" t="n">
        <v>78.7</v>
      </c>
      <c r="F369" t="n">
        <v>60.3</v>
      </c>
      <c r="H369" t="n">
        <v>52.4</v>
      </c>
      <c r="I369" t="n">
        <v>57.1</v>
      </c>
      <c r="J369" t="n">
        <v>53.8</v>
      </c>
      <c r="L369" t="n">
        <v>57.7</v>
      </c>
      <c r="N369" t="n">
        <v>6578.605</v>
      </c>
      <c r="O369" t="n">
        <v>0.03864270187727897</v>
      </c>
      <c r="P369" t="n">
        <v>0.06078147798838987</v>
      </c>
      <c r="Q369" t="n">
        <v>0.1637634019380503</v>
      </c>
      <c r="R369" t="n">
        <v>0.03864270187727897</v>
      </c>
      <c r="S369" t="n">
        <v>0.1637634019380503</v>
      </c>
      <c r="T369" t="n">
        <v>0.06078147798838987</v>
      </c>
    </row>
    <row r="370">
      <c r="A370" s="123" t="n">
        <v>28611</v>
      </c>
      <c r="B370" t="n">
        <v>63.9</v>
      </c>
      <c r="E370" t="n">
        <v>81.8</v>
      </c>
      <c r="F370" t="n">
        <v>62.3</v>
      </c>
      <c r="H370" t="n">
        <v>54.5</v>
      </c>
      <c r="I370" t="n">
        <v>57.4</v>
      </c>
      <c r="J370" t="n">
        <v>57</v>
      </c>
      <c r="L370" t="n">
        <v>60.2</v>
      </c>
      <c r="O370" t="n">
        <v>0.03864270187727897</v>
      </c>
      <c r="P370" t="n">
        <v>0.06078147798838987</v>
      </c>
      <c r="Q370" t="n">
        <v>0.1637634019380503</v>
      </c>
    </row>
    <row r="371">
      <c r="A371" s="123" t="n">
        <v>28642</v>
      </c>
      <c r="B371" t="n">
        <v>63.6</v>
      </c>
      <c r="E371" t="n">
        <v>82.3</v>
      </c>
      <c r="F371" t="n">
        <v>61.7</v>
      </c>
      <c r="H371" t="n">
        <v>54.2</v>
      </c>
      <c r="I371" t="n">
        <v>61.1</v>
      </c>
      <c r="J371" t="n">
        <v>57.2</v>
      </c>
      <c r="L371" t="n">
        <v>60.5</v>
      </c>
      <c r="O371" t="n">
        <v>0.03864270187727897</v>
      </c>
      <c r="P371" t="n">
        <v>0.06078147798838987</v>
      </c>
      <c r="Q371" t="n">
        <v>0.1637634019380503</v>
      </c>
    </row>
    <row r="372">
      <c r="A372" s="123" t="n">
        <v>28672</v>
      </c>
      <c r="B372" t="n">
        <v>64.7</v>
      </c>
      <c r="E372" t="n">
        <v>83</v>
      </c>
      <c r="F372" t="n">
        <v>65.09999999999999</v>
      </c>
      <c r="H372" t="n">
        <v>57.7</v>
      </c>
      <c r="I372" t="n">
        <v>59.4</v>
      </c>
      <c r="J372" t="n">
        <v>58.8</v>
      </c>
      <c r="L372" t="n">
        <v>62.2</v>
      </c>
      <c r="N372" t="n">
        <v>6644.754</v>
      </c>
      <c r="O372" t="n">
        <v>0.010055171271113</v>
      </c>
      <c r="P372" t="n">
        <v>0.05245773421932062</v>
      </c>
      <c r="Q372" t="n">
        <v>0.0408314006941799</v>
      </c>
      <c r="R372" t="n">
        <v>0.010055171271113</v>
      </c>
      <c r="S372" t="n">
        <v>0.0408314006941799</v>
      </c>
      <c r="T372" t="n">
        <v>0.05245773421932062</v>
      </c>
    </row>
    <row r="373">
      <c r="A373" s="123" t="n">
        <v>28703</v>
      </c>
      <c r="B373" t="n">
        <v>61.3</v>
      </c>
      <c r="E373" t="n">
        <v>85.40000000000001</v>
      </c>
      <c r="F373" t="n">
        <v>64.90000000000001</v>
      </c>
      <c r="H373" t="n">
        <v>55.4</v>
      </c>
      <c r="I373" t="n">
        <v>60.6</v>
      </c>
      <c r="J373" t="n">
        <v>55.3</v>
      </c>
      <c r="L373" t="n">
        <v>60.3</v>
      </c>
      <c r="O373" t="n">
        <v>0.010055171271113</v>
      </c>
      <c r="P373" t="n">
        <v>0.05245773421932062</v>
      </c>
      <c r="Q373" t="n">
        <v>0.0408314006941799</v>
      </c>
    </row>
    <row r="374">
      <c r="A374" s="123" t="n">
        <v>28734</v>
      </c>
      <c r="B374" t="n">
        <v>61.3</v>
      </c>
      <c r="E374" t="n">
        <v>86.8</v>
      </c>
      <c r="F374" t="n">
        <v>65</v>
      </c>
      <c r="H374" t="n">
        <v>54.5</v>
      </c>
      <c r="I374" t="n">
        <v>60</v>
      </c>
      <c r="J374" t="n">
        <v>57.2</v>
      </c>
      <c r="L374" t="n">
        <v>60.5</v>
      </c>
      <c r="O374" t="n">
        <v>0.010055171271113</v>
      </c>
      <c r="P374" t="n">
        <v>0.05245773421932062</v>
      </c>
      <c r="Q374" t="n">
        <v>0.0408314006941799</v>
      </c>
    </row>
    <row r="375">
      <c r="A375" s="123" t="n">
        <v>28764</v>
      </c>
      <c r="B375" t="n">
        <v>58.8</v>
      </c>
      <c r="E375" t="n">
        <v>86.8</v>
      </c>
      <c r="F375" t="n">
        <v>62</v>
      </c>
      <c r="H375" t="n">
        <v>56.1</v>
      </c>
      <c r="I375" t="n">
        <v>64.7</v>
      </c>
      <c r="J375" t="n">
        <v>57.9</v>
      </c>
      <c r="L375" t="n">
        <v>60.1</v>
      </c>
      <c r="N375" t="n">
        <v>6734.069</v>
      </c>
      <c r="O375" t="n">
        <v>0.01344143063836532</v>
      </c>
      <c r="P375" t="n">
        <v>0.06658095882650059</v>
      </c>
      <c r="Q375" t="n">
        <v>0.05485950150521157</v>
      </c>
      <c r="R375" t="n">
        <v>0.01344143063836532</v>
      </c>
      <c r="S375" t="n">
        <v>0.05485950150521157</v>
      </c>
      <c r="T375" t="n">
        <v>0.06658095882650059</v>
      </c>
    </row>
    <row r="376">
      <c r="A376" s="123" t="n">
        <v>28795</v>
      </c>
      <c r="B376" t="n">
        <v>61.9</v>
      </c>
      <c r="E376" t="n">
        <v>84.09999999999999</v>
      </c>
      <c r="F376" t="n">
        <v>61.3</v>
      </c>
      <c r="H376" t="n">
        <v>56.7</v>
      </c>
      <c r="I376" t="n">
        <v>64.5</v>
      </c>
      <c r="J376" t="n">
        <v>60.4</v>
      </c>
      <c r="L376" t="n">
        <v>61.3</v>
      </c>
      <c r="O376" t="n">
        <v>0.01344143063836532</v>
      </c>
      <c r="P376" t="n">
        <v>0.06658095882650059</v>
      </c>
      <c r="Q376" t="n">
        <v>0.05485950150521157</v>
      </c>
    </row>
    <row r="377">
      <c r="A377" s="123" t="n">
        <v>28825</v>
      </c>
      <c r="B377" t="n">
        <v>59.9</v>
      </c>
      <c r="E377" t="n">
        <v>84.5</v>
      </c>
      <c r="F377" t="n">
        <v>60.4</v>
      </c>
      <c r="H377" t="n">
        <v>53.9</v>
      </c>
      <c r="I377" t="n">
        <v>63.5</v>
      </c>
      <c r="J377" t="n">
        <v>56.9</v>
      </c>
      <c r="L377" t="n">
        <v>59.4</v>
      </c>
      <c r="O377" t="n">
        <v>0.01344143063836532</v>
      </c>
      <c r="P377" t="n">
        <v>0.06658095882650059</v>
      </c>
      <c r="Q377" t="n">
        <v>0.05485950150521157</v>
      </c>
    </row>
    <row r="378">
      <c r="A378" s="123" t="n">
        <v>28856</v>
      </c>
      <c r="B378" t="n">
        <v>57.3</v>
      </c>
      <c r="E378" t="n">
        <v>85.8</v>
      </c>
      <c r="F378" t="n">
        <v>58.8</v>
      </c>
      <c r="H378" t="n">
        <v>52.3</v>
      </c>
      <c r="I378" t="n">
        <v>66.40000000000001</v>
      </c>
      <c r="J378" t="n">
        <v>57.3</v>
      </c>
      <c r="L378" t="n">
        <v>58.5</v>
      </c>
      <c r="N378" t="n">
        <v>6746.176</v>
      </c>
      <c r="O378" t="n">
        <v>0.001797872875968448</v>
      </c>
      <c r="P378" t="n">
        <v>0.06509913089167918</v>
      </c>
      <c r="Q378" t="n">
        <v>0.007210908840985741</v>
      </c>
      <c r="R378" t="n">
        <v>0.001797872875968448</v>
      </c>
      <c r="S378" t="n">
        <v>0.007210908840985741</v>
      </c>
      <c r="T378" t="n">
        <v>0.06509913089167918</v>
      </c>
    </row>
    <row r="379">
      <c r="A379" s="123" t="n">
        <v>28887</v>
      </c>
      <c r="B379" t="n">
        <v>58.6</v>
      </c>
      <c r="E379" t="n">
        <v>86.5</v>
      </c>
      <c r="F379" t="n">
        <v>59</v>
      </c>
      <c r="H379" t="n">
        <v>51.4</v>
      </c>
      <c r="I379" t="n">
        <v>64</v>
      </c>
      <c r="J379" t="n">
        <v>55.6</v>
      </c>
      <c r="L379" t="n">
        <v>58.2</v>
      </c>
      <c r="O379" t="n">
        <v>0.001797872875968448</v>
      </c>
      <c r="P379" t="n">
        <v>0.06509913089167918</v>
      </c>
      <c r="Q379" t="n">
        <v>0.007210908840985741</v>
      </c>
    </row>
    <row r="380">
      <c r="A380" s="123" t="n">
        <v>28915</v>
      </c>
      <c r="B380" t="n">
        <v>56.7</v>
      </c>
      <c r="E380" t="n">
        <v>87.7</v>
      </c>
      <c r="F380" t="n">
        <v>57.4</v>
      </c>
      <c r="H380" t="n">
        <v>54.1</v>
      </c>
      <c r="I380" t="n">
        <v>66.7</v>
      </c>
      <c r="J380" t="n">
        <v>54.8</v>
      </c>
      <c r="L380" t="n">
        <v>57.7</v>
      </c>
      <c r="O380" t="n">
        <v>0.001797872875968448</v>
      </c>
      <c r="P380" t="n">
        <v>0.06509913089167918</v>
      </c>
      <c r="Q380" t="n">
        <v>0.007210908840985741</v>
      </c>
    </row>
    <row r="381">
      <c r="A381" s="123" t="n">
        <v>28946</v>
      </c>
      <c r="B381" t="n">
        <v>55.1</v>
      </c>
      <c r="E381" t="n">
        <v>86.3</v>
      </c>
      <c r="F381" t="n">
        <v>55.5</v>
      </c>
      <c r="H381" t="n">
        <v>50.9</v>
      </c>
      <c r="I381" t="n">
        <v>75.59999999999999</v>
      </c>
      <c r="J381" t="n">
        <v>46.9</v>
      </c>
      <c r="L381" t="n">
        <v>56.2</v>
      </c>
      <c r="N381" t="n">
        <v>6753.389</v>
      </c>
      <c r="O381" t="n">
        <v>0.001069198313236971</v>
      </c>
      <c r="P381" t="n">
        <v>0.02656855062737474</v>
      </c>
      <c r="Q381" t="n">
        <v>0.0042836572536189</v>
      </c>
      <c r="R381" t="n">
        <v>0.001069198313236971</v>
      </c>
      <c r="S381" t="n">
        <v>0.0042836572536189</v>
      </c>
      <c r="T381" t="n">
        <v>0.02656855062737474</v>
      </c>
    </row>
    <row r="382">
      <c r="A382" s="123" t="n">
        <v>28976</v>
      </c>
      <c r="B382" t="n">
        <v>52.1</v>
      </c>
      <c r="E382" t="n">
        <v>86.90000000000001</v>
      </c>
      <c r="F382" t="n">
        <v>52.1</v>
      </c>
      <c r="H382" t="n">
        <v>53.3</v>
      </c>
      <c r="I382" t="n">
        <v>63.7</v>
      </c>
      <c r="J382" t="n">
        <v>54.5</v>
      </c>
      <c r="L382" t="n">
        <v>54.4</v>
      </c>
      <c r="O382" t="n">
        <v>0.001069198313236971</v>
      </c>
      <c r="P382" t="n">
        <v>0.02656855062737474</v>
      </c>
      <c r="Q382" t="n">
        <v>0.0042836572536189</v>
      </c>
    </row>
    <row r="383">
      <c r="A383" s="123" t="n">
        <v>29007</v>
      </c>
      <c r="B383" t="n">
        <v>49.4</v>
      </c>
      <c r="E383" t="n">
        <v>88.7</v>
      </c>
      <c r="F383" t="n">
        <v>50.2</v>
      </c>
      <c r="H383" t="n">
        <v>53.8</v>
      </c>
      <c r="I383" t="n">
        <v>61.4</v>
      </c>
      <c r="J383" t="n">
        <v>53.8</v>
      </c>
      <c r="L383" t="n">
        <v>52.7</v>
      </c>
      <c r="O383" t="n">
        <v>0.001069198313236971</v>
      </c>
      <c r="P383" t="n">
        <v>0.02656855062737474</v>
      </c>
      <c r="Q383" t="n">
        <v>0.0042836572536189</v>
      </c>
    </row>
    <row r="384">
      <c r="A384" s="123" t="n">
        <v>29037</v>
      </c>
      <c r="B384" t="n">
        <v>49.8</v>
      </c>
      <c r="E384" t="n">
        <v>93.09999999999999</v>
      </c>
      <c r="F384" t="n">
        <v>49.4</v>
      </c>
      <c r="H384" t="n">
        <v>53.6</v>
      </c>
      <c r="I384" t="n">
        <v>57.4</v>
      </c>
      <c r="J384" t="n">
        <v>50.2</v>
      </c>
      <c r="L384" t="n">
        <v>51.3</v>
      </c>
      <c r="N384" t="n">
        <v>6803.558</v>
      </c>
      <c r="O384" t="n">
        <v>0.007428714679400205</v>
      </c>
      <c r="P384" t="n">
        <v>0.02389915412970895</v>
      </c>
      <c r="Q384" t="n">
        <v>0.03004761641210396</v>
      </c>
      <c r="R384" t="n">
        <v>0.007428714679400205</v>
      </c>
      <c r="S384" t="n">
        <v>0.03004761641210396</v>
      </c>
      <c r="T384" t="n">
        <v>0.02389915412970895</v>
      </c>
    </row>
    <row r="385">
      <c r="A385" s="123" t="n">
        <v>29068</v>
      </c>
      <c r="B385" t="n">
        <v>46.9</v>
      </c>
      <c r="E385" t="n">
        <v>85.59999999999999</v>
      </c>
      <c r="F385" t="n">
        <v>49</v>
      </c>
      <c r="H385" t="n">
        <v>51.6</v>
      </c>
      <c r="I385" t="n">
        <v>52.9</v>
      </c>
      <c r="J385" t="n">
        <v>50.5</v>
      </c>
      <c r="L385" t="n">
        <v>49.5</v>
      </c>
      <c r="O385" t="n">
        <v>0.007428714679400205</v>
      </c>
      <c r="P385" t="n">
        <v>0.02389915412970895</v>
      </c>
      <c r="Q385" t="n">
        <v>0.03004761641210396</v>
      </c>
    </row>
    <row r="386">
      <c r="A386" s="123" t="n">
        <v>29099</v>
      </c>
      <c r="B386" t="n">
        <v>48.7</v>
      </c>
      <c r="E386" t="n">
        <v>85</v>
      </c>
      <c r="F386" t="n">
        <v>48.3</v>
      </c>
      <c r="H386" t="n">
        <v>52.3</v>
      </c>
      <c r="I386" t="n">
        <v>50.7</v>
      </c>
      <c r="J386" t="n">
        <v>50.3</v>
      </c>
      <c r="L386" t="n">
        <v>49.6</v>
      </c>
      <c r="O386" t="n">
        <v>0.007428714679400205</v>
      </c>
      <c r="P386" t="n">
        <v>0.02389915412970895</v>
      </c>
      <c r="Q386" t="n">
        <v>0.03004761641210396</v>
      </c>
    </row>
    <row r="387">
      <c r="A387" s="123" t="n">
        <v>29129</v>
      </c>
      <c r="B387" t="n">
        <v>47.3</v>
      </c>
      <c r="E387" t="n">
        <v>85.59999999999999</v>
      </c>
      <c r="F387" t="n">
        <v>49</v>
      </c>
      <c r="H387" t="n">
        <v>46</v>
      </c>
      <c r="I387" t="n">
        <v>46.9</v>
      </c>
      <c r="J387" t="n">
        <v>54.6</v>
      </c>
      <c r="L387" t="n">
        <v>49</v>
      </c>
      <c r="N387" t="n">
        <v>6820.572</v>
      </c>
      <c r="O387" t="n">
        <v>0.002500750342688359</v>
      </c>
      <c r="P387" t="n">
        <v>0.01284557672337478</v>
      </c>
      <c r="Q387" t="n">
        <v>0.01004058647981432</v>
      </c>
      <c r="R387" t="n">
        <v>0.002500750342688359</v>
      </c>
      <c r="S387" t="n">
        <v>0.01004058647981432</v>
      </c>
      <c r="T387" t="n">
        <v>0.01284557672337478</v>
      </c>
    </row>
    <row r="388">
      <c r="A388" s="123" t="n">
        <v>29160</v>
      </c>
      <c r="B388" t="n">
        <v>46.5</v>
      </c>
      <c r="E388" t="n">
        <v>89.2</v>
      </c>
      <c r="F388" t="n">
        <v>52.6</v>
      </c>
      <c r="H388" t="n">
        <v>44.3</v>
      </c>
      <c r="I388" t="n">
        <v>46.8</v>
      </c>
      <c r="J388" t="n">
        <v>47.3</v>
      </c>
      <c r="L388" t="n">
        <v>48</v>
      </c>
      <c r="O388" t="n">
        <v>0.002500750342688359</v>
      </c>
      <c r="P388" t="n">
        <v>0.01284557672337478</v>
      </c>
      <c r="Q388" t="n">
        <v>0.01004058647981432</v>
      </c>
    </row>
    <row r="389">
      <c r="A389" s="123" t="n">
        <v>29190</v>
      </c>
      <c r="B389" t="n">
        <v>44.3</v>
      </c>
      <c r="E389" t="n">
        <v>84.40000000000001</v>
      </c>
      <c r="F389" t="n">
        <v>48.2</v>
      </c>
      <c r="H389" t="n">
        <v>43.5</v>
      </c>
      <c r="I389" t="n">
        <v>42.2</v>
      </c>
      <c r="J389" t="n">
        <v>44.1</v>
      </c>
      <c r="L389" t="n">
        <v>44.8</v>
      </c>
      <c r="O389" t="n">
        <v>0.002500750342688359</v>
      </c>
      <c r="P389" t="n">
        <v>0.01284557672337478</v>
      </c>
      <c r="Q389" t="n">
        <v>0.01004058647981432</v>
      </c>
    </row>
    <row r="390">
      <c r="A390" s="123" t="n">
        <v>29221</v>
      </c>
      <c r="B390" t="n">
        <v>47.1</v>
      </c>
      <c r="E390" t="n">
        <v>83</v>
      </c>
      <c r="F390" t="n">
        <v>48.4</v>
      </c>
      <c r="H390" t="n">
        <v>44.5</v>
      </c>
      <c r="I390" t="n">
        <v>42.1</v>
      </c>
      <c r="J390" t="n">
        <v>46.2</v>
      </c>
      <c r="L390" t="n">
        <v>46.2</v>
      </c>
      <c r="N390" t="n">
        <v>6842.024</v>
      </c>
      <c r="O390" t="n">
        <v>0.003145190755262202</v>
      </c>
      <c r="P390" t="n">
        <v>0.01420775265869138</v>
      </c>
      <c r="Q390" t="n">
        <v>0.01264024091996396</v>
      </c>
      <c r="R390" t="n">
        <v>0.003145190755262202</v>
      </c>
      <c r="S390" t="n">
        <v>0.01264024091996396</v>
      </c>
      <c r="T390" t="n">
        <v>0.01420775265869138</v>
      </c>
    </row>
    <row r="391">
      <c r="A391" s="123" t="n">
        <v>29252</v>
      </c>
      <c r="B391" t="n">
        <v>51.6</v>
      </c>
      <c r="E391" t="n">
        <v>84.5</v>
      </c>
      <c r="F391" t="n">
        <v>53.1</v>
      </c>
      <c r="H391" t="n">
        <v>46.5</v>
      </c>
      <c r="I391" t="n">
        <v>46</v>
      </c>
      <c r="J391" t="n">
        <v>49.7</v>
      </c>
      <c r="L391" t="n">
        <v>50.2</v>
      </c>
      <c r="O391" t="n">
        <v>0.003145190755262202</v>
      </c>
      <c r="P391" t="n">
        <v>0.01420775265869138</v>
      </c>
      <c r="Q391" t="n">
        <v>0.01264024091996396</v>
      </c>
    </row>
    <row r="392">
      <c r="A392" s="123" t="n">
        <v>29281</v>
      </c>
      <c r="B392" t="n">
        <v>43.8</v>
      </c>
      <c r="E392" t="n">
        <v>84</v>
      </c>
      <c r="F392" t="n">
        <v>46.7</v>
      </c>
      <c r="H392" t="n">
        <v>43</v>
      </c>
      <c r="I392" t="n">
        <v>39.1</v>
      </c>
      <c r="J392" t="n">
        <v>43.2</v>
      </c>
      <c r="L392" t="n">
        <v>43.6</v>
      </c>
      <c r="O392" t="n">
        <v>0.003145190755262202</v>
      </c>
      <c r="P392" t="n">
        <v>0.01420775265869138</v>
      </c>
      <c r="Q392" t="n">
        <v>0.01264024091996396</v>
      </c>
    </row>
    <row r="393">
      <c r="A393" s="123" t="n">
        <v>29312</v>
      </c>
      <c r="B393" t="n">
        <v>32</v>
      </c>
      <c r="E393" t="n">
        <v>77.5</v>
      </c>
      <c r="F393" t="n">
        <v>37.9</v>
      </c>
      <c r="H393" t="n">
        <v>45.3</v>
      </c>
      <c r="I393" t="n">
        <v>36.9</v>
      </c>
      <c r="J393" t="n">
        <v>41.2</v>
      </c>
      <c r="L393" t="n">
        <v>37.4</v>
      </c>
      <c r="N393" t="n">
        <v>6701.046</v>
      </c>
      <c r="O393" t="n">
        <v>-0.02060472164377091</v>
      </c>
      <c r="P393" t="n">
        <v>-0.007750627129578919</v>
      </c>
      <c r="Q393" t="n">
        <v>-0.07990637031804315</v>
      </c>
      <c r="R393" t="n">
        <v>-0.02060472164377091</v>
      </c>
      <c r="S393" t="n">
        <v>-0.07990637031804315</v>
      </c>
      <c r="T393" t="n">
        <v>-0.007750627129578919</v>
      </c>
    </row>
    <row r="394">
      <c r="A394" s="123" t="n">
        <v>29342</v>
      </c>
      <c r="B394" t="n">
        <v>25.6</v>
      </c>
      <c r="E394" t="n">
        <v>70.8</v>
      </c>
      <c r="F394" t="n">
        <v>28.1</v>
      </c>
      <c r="H394" t="n">
        <v>33.3</v>
      </c>
      <c r="I394" t="n">
        <v>29.8</v>
      </c>
      <c r="J394" t="n">
        <v>34.3</v>
      </c>
      <c r="L394" t="n">
        <v>29.4</v>
      </c>
      <c r="O394" t="n">
        <v>-0.02060472164377091</v>
      </c>
      <c r="P394" t="n">
        <v>-0.007750627129578919</v>
      </c>
      <c r="Q394" t="n">
        <v>-0.07990637031804315</v>
      </c>
    </row>
    <row r="395">
      <c r="A395" s="123" t="n">
        <v>29373</v>
      </c>
      <c r="B395" t="n">
        <v>24.2</v>
      </c>
      <c r="E395" t="n">
        <v>63.4</v>
      </c>
      <c r="F395" t="n">
        <v>31.5</v>
      </c>
      <c r="H395" t="n">
        <v>37.3</v>
      </c>
      <c r="I395" t="n">
        <v>32.4</v>
      </c>
      <c r="J395" t="n">
        <v>32.8</v>
      </c>
      <c r="L395" t="n">
        <v>30.3</v>
      </c>
      <c r="O395" t="n">
        <v>-0.02060472164377091</v>
      </c>
      <c r="P395" t="n">
        <v>-0.007750627129578919</v>
      </c>
      <c r="Q395" t="n">
        <v>-0.07990637031804315</v>
      </c>
    </row>
    <row r="396">
      <c r="A396" s="123" t="n">
        <v>29403</v>
      </c>
      <c r="B396" t="n">
        <v>36.1</v>
      </c>
      <c r="E396" t="n">
        <v>59.3</v>
      </c>
      <c r="F396" t="n">
        <v>35.1</v>
      </c>
      <c r="H396" t="n">
        <v>29.5</v>
      </c>
      <c r="I396" t="n">
        <v>36.3</v>
      </c>
      <c r="J396" t="n">
        <v>35</v>
      </c>
      <c r="L396" t="n">
        <v>35</v>
      </c>
      <c r="N396" t="n">
        <v>6693.082</v>
      </c>
      <c r="O396" t="n">
        <v>-0.001188471173007907</v>
      </c>
      <c r="P396" t="n">
        <v>-0.01623797430697286</v>
      </c>
      <c r="Q396" t="n">
        <v>-0.004745416622351839</v>
      </c>
      <c r="R396" t="n">
        <v>-0.001188471173007907</v>
      </c>
      <c r="S396" t="n">
        <v>-0.004745416622351839</v>
      </c>
      <c r="T396" t="n">
        <v>-0.01623797430697286</v>
      </c>
    </row>
    <row r="397">
      <c r="A397" s="123" t="n">
        <v>29434</v>
      </c>
      <c r="B397" t="n">
        <v>54.1</v>
      </c>
      <c r="E397" t="n">
        <v>67</v>
      </c>
      <c r="F397" t="n">
        <v>46.9</v>
      </c>
      <c r="H397" t="n">
        <v>37.6</v>
      </c>
      <c r="I397" t="n">
        <v>40.1</v>
      </c>
      <c r="J397" t="n">
        <v>38.7</v>
      </c>
      <c r="L397" t="n">
        <v>45.5</v>
      </c>
      <c r="O397" t="n">
        <v>-0.001188471173007907</v>
      </c>
      <c r="P397" t="n">
        <v>-0.01623797430697286</v>
      </c>
      <c r="Q397" t="n">
        <v>-0.004745416622351839</v>
      </c>
    </row>
    <row r="398">
      <c r="A398" s="123" t="n">
        <v>29465</v>
      </c>
      <c r="B398" t="n">
        <v>53.9</v>
      </c>
      <c r="E398" t="n">
        <v>68</v>
      </c>
      <c r="F398" t="n">
        <v>55.1</v>
      </c>
      <c r="H398" t="n">
        <v>45.3</v>
      </c>
      <c r="I398" t="n">
        <v>41.2</v>
      </c>
      <c r="J398" t="n">
        <v>47</v>
      </c>
      <c r="L398" t="n">
        <v>50.1</v>
      </c>
      <c r="O398" t="n">
        <v>-0.001188471173007907</v>
      </c>
      <c r="P398" t="n">
        <v>-0.01623797430697286</v>
      </c>
      <c r="Q398" t="n">
        <v>-0.004745416622351839</v>
      </c>
    </row>
    <row r="399">
      <c r="A399" s="123" t="n">
        <v>29495</v>
      </c>
      <c r="B399" t="n">
        <v>63.7</v>
      </c>
      <c r="E399" t="n">
        <v>75.2</v>
      </c>
      <c r="F399" t="n">
        <v>60.7</v>
      </c>
      <c r="H399" t="n">
        <v>43.9</v>
      </c>
      <c r="I399" t="n">
        <v>46.5</v>
      </c>
      <c r="J399" t="n">
        <v>49.4</v>
      </c>
      <c r="L399" t="n">
        <v>55.5</v>
      </c>
      <c r="N399" t="n">
        <v>6817.903</v>
      </c>
      <c r="O399" t="n">
        <v>0.01864925605274221</v>
      </c>
      <c r="P399" t="n">
        <v>-0.0003913161535425283</v>
      </c>
      <c r="Q399" t="n">
        <v>0.07670985813356723</v>
      </c>
      <c r="R399" t="n">
        <v>0.01864925605274221</v>
      </c>
      <c r="S399" t="n">
        <v>0.07670985813356723</v>
      </c>
      <c r="T399" t="n">
        <v>-0.0003913161535425283</v>
      </c>
    </row>
    <row r="400">
      <c r="A400" s="123" t="n">
        <v>29526</v>
      </c>
      <c r="B400" t="n">
        <v>65.3</v>
      </c>
      <c r="E400" t="n">
        <v>76.7</v>
      </c>
      <c r="F400" t="n">
        <v>66.8</v>
      </c>
      <c r="H400" t="n">
        <v>42.2</v>
      </c>
      <c r="I400" t="n">
        <v>46.8</v>
      </c>
      <c r="J400" t="n">
        <v>53.3</v>
      </c>
      <c r="L400" t="n">
        <v>58.2</v>
      </c>
      <c r="O400" t="n">
        <v>0.01864925605274221</v>
      </c>
      <c r="P400" t="n">
        <v>-0.0003913161535425283</v>
      </c>
      <c r="Q400" t="n">
        <v>0.07670985813356723</v>
      </c>
    </row>
    <row r="401">
      <c r="A401" s="123" t="n">
        <v>29556</v>
      </c>
      <c r="B401" t="n">
        <v>51.2</v>
      </c>
      <c r="E401" t="n">
        <v>74.59999999999999</v>
      </c>
      <c r="F401" t="n">
        <v>57.2</v>
      </c>
      <c r="H401" t="n">
        <v>51.4</v>
      </c>
      <c r="I401" t="n">
        <v>50.1</v>
      </c>
      <c r="J401" t="n">
        <v>53.2</v>
      </c>
      <c r="L401" t="n">
        <v>53</v>
      </c>
      <c r="O401" t="n">
        <v>0.01864925605274221</v>
      </c>
      <c r="P401" t="n">
        <v>-0.0003913161535425283</v>
      </c>
      <c r="Q401" t="n">
        <v>0.07670985813356723</v>
      </c>
    </row>
    <row r="402">
      <c r="A402" s="123" t="n">
        <v>29587</v>
      </c>
      <c r="B402" t="n">
        <v>48.7</v>
      </c>
      <c r="E402" t="n">
        <v>76.3</v>
      </c>
      <c r="F402" t="n">
        <v>51.8</v>
      </c>
      <c r="H402" t="n">
        <v>44.6</v>
      </c>
      <c r="I402" t="n">
        <v>49.7</v>
      </c>
      <c r="J402" t="n">
        <v>48.7</v>
      </c>
      <c r="L402" t="n">
        <v>49.2</v>
      </c>
      <c r="N402" t="n">
        <v>6951.495</v>
      </c>
      <c r="O402" t="n">
        <v>0.01959429460935417</v>
      </c>
      <c r="P402" t="n">
        <v>0.0159997977206744</v>
      </c>
      <c r="Q402" t="n">
        <v>0.08071103598225138</v>
      </c>
      <c r="R402" t="n">
        <v>0.01959429460935417</v>
      </c>
      <c r="S402" t="n">
        <v>0.08071103598225138</v>
      </c>
      <c r="T402" t="n">
        <v>0.0159997977206744</v>
      </c>
    </row>
    <row r="403">
      <c r="A403" s="123" t="n">
        <v>29618</v>
      </c>
      <c r="B403" t="n">
        <v>51.1</v>
      </c>
      <c r="E403" t="n">
        <v>70.90000000000001</v>
      </c>
      <c r="F403" t="n">
        <v>50.9</v>
      </c>
      <c r="H403" t="n">
        <v>42.1</v>
      </c>
      <c r="I403" t="n">
        <v>48.5</v>
      </c>
      <c r="J403" t="n">
        <v>46.3</v>
      </c>
      <c r="L403" t="n">
        <v>48.8</v>
      </c>
      <c r="O403" t="n">
        <v>0.01959429460935417</v>
      </c>
      <c r="P403" t="n">
        <v>0.0159997977206744</v>
      </c>
      <c r="Q403" t="n">
        <v>0.08071103598225138</v>
      </c>
    </row>
    <row r="404">
      <c r="A404" s="123" t="n">
        <v>29646</v>
      </c>
      <c r="B404" t="n">
        <v>50.2</v>
      </c>
      <c r="E404" t="n">
        <v>72.59999999999999</v>
      </c>
      <c r="F404" t="n">
        <v>52.8</v>
      </c>
      <c r="H404" t="n">
        <v>44.7</v>
      </c>
      <c r="I404" t="n">
        <v>48.7</v>
      </c>
      <c r="J404" t="n">
        <v>48.1</v>
      </c>
      <c r="L404" t="n">
        <v>49.6</v>
      </c>
      <c r="O404" t="n">
        <v>0.01959429460935417</v>
      </c>
      <c r="P404" t="n">
        <v>0.0159997977206744</v>
      </c>
      <c r="Q404" t="n">
        <v>0.08071103598225138</v>
      </c>
    </row>
    <row r="405">
      <c r="A405" s="123" t="n">
        <v>29677</v>
      </c>
      <c r="B405" t="n">
        <v>53.1</v>
      </c>
      <c r="E405" t="n">
        <v>70.2</v>
      </c>
      <c r="F405" t="n">
        <v>55</v>
      </c>
      <c r="H405" t="n">
        <v>44.4</v>
      </c>
      <c r="I405" t="n">
        <v>51.2</v>
      </c>
      <c r="J405" t="n">
        <v>49.2</v>
      </c>
      <c r="L405" t="n">
        <v>51.6</v>
      </c>
      <c r="N405" t="n">
        <v>6899.98</v>
      </c>
      <c r="O405" t="n">
        <v>-0.00741063612935064</v>
      </c>
      <c r="P405" t="n">
        <v>0.02968700707322398</v>
      </c>
      <c r="Q405" t="n">
        <v>-0.02931466422968176</v>
      </c>
      <c r="R405" t="n">
        <v>-0.00741063612935064</v>
      </c>
      <c r="S405" t="n">
        <v>-0.02931466422968176</v>
      </c>
      <c r="T405" t="n">
        <v>0.02968700707322398</v>
      </c>
    </row>
    <row r="406">
      <c r="A406" s="123" t="n">
        <v>29707</v>
      </c>
      <c r="B406" t="n">
        <v>55.7</v>
      </c>
      <c r="E406" t="n">
        <v>66.2</v>
      </c>
      <c r="F406" t="n">
        <v>59</v>
      </c>
      <c r="H406" t="n">
        <v>48.7</v>
      </c>
      <c r="I406" t="n">
        <v>50.2</v>
      </c>
      <c r="J406" t="n">
        <v>48.3</v>
      </c>
      <c r="L406" t="n">
        <v>53.5</v>
      </c>
      <c r="O406" t="n">
        <v>-0.00741063612935064</v>
      </c>
      <c r="P406" t="n">
        <v>0.02968700707322398</v>
      </c>
      <c r="Q406" t="n">
        <v>-0.02931466422968176</v>
      </c>
    </row>
    <row r="407">
      <c r="A407" s="123" t="n">
        <v>29738</v>
      </c>
      <c r="B407" t="n">
        <v>51</v>
      </c>
      <c r="E407" t="n">
        <v>70.8</v>
      </c>
      <c r="F407" t="n">
        <v>53.9</v>
      </c>
      <c r="H407" t="n">
        <v>49.4</v>
      </c>
      <c r="I407" t="n">
        <v>47.9</v>
      </c>
      <c r="J407" t="n">
        <v>48.8</v>
      </c>
      <c r="L407" t="n">
        <v>50.7</v>
      </c>
      <c r="O407" t="n">
        <v>-0.00741063612935064</v>
      </c>
      <c r="P407" t="n">
        <v>0.02968700707322398</v>
      </c>
      <c r="Q407" t="n">
        <v>-0.02931466422968176</v>
      </c>
    </row>
    <row r="408">
      <c r="A408" s="123" t="n">
        <v>29768</v>
      </c>
      <c r="B408" t="n">
        <v>47.6</v>
      </c>
      <c r="E408" t="n">
        <v>66.90000000000001</v>
      </c>
      <c r="F408" t="n">
        <v>47.6</v>
      </c>
      <c r="H408" t="n">
        <v>44.4</v>
      </c>
      <c r="I408" t="n">
        <v>44.9</v>
      </c>
      <c r="J408" t="n">
        <v>46.6</v>
      </c>
      <c r="L408" t="n">
        <v>46.7</v>
      </c>
      <c r="N408" t="n">
        <v>6982.609</v>
      </c>
      <c r="O408" t="n">
        <v>0.01197525210218013</v>
      </c>
      <c r="P408" t="n">
        <v>0.04325765021256277</v>
      </c>
      <c r="Q408" t="n">
        <v>0.04876833827542182</v>
      </c>
      <c r="R408" t="n">
        <v>0.01197525210218013</v>
      </c>
      <c r="S408" t="n">
        <v>0.04876833827542182</v>
      </c>
      <c r="T408" t="n">
        <v>0.04325765021256277</v>
      </c>
    </row>
    <row r="409">
      <c r="A409" s="123" t="n">
        <v>29799</v>
      </c>
      <c r="B409" t="n">
        <v>47.2</v>
      </c>
      <c r="E409" t="n">
        <v>65.59999999999999</v>
      </c>
      <c r="F409" t="n">
        <v>49.5</v>
      </c>
      <c r="H409" t="n">
        <v>47.3</v>
      </c>
      <c r="I409" t="n">
        <v>49.6</v>
      </c>
      <c r="J409" t="n">
        <v>47.8</v>
      </c>
      <c r="L409" t="n">
        <v>48.3</v>
      </c>
      <c r="O409" t="n">
        <v>0.01197525210218013</v>
      </c>
      <c r="P409" t="n">
        <v>0.04325765021256277</v>
      </c>
      <c r="Q409" t="n">
        <v>0.04876833827542182</v>
      </c>
    </row>
    <row r="410">
      <c r="A410" s="123" t="n">
        <v>29830</v>
      </c>
      <c r="B410" t="n">
        <v>42.2</v>
      </c>
      <c r="E410" t="n">
        <v>65.8</v>
      </c>
      <c r="F410" t="n">
        <v>43.8</v>
      </c>
      <c r="H410" t="n">
        <v>41.9</v>
      </c>
      <c r="I410" t="n">
        <v>45.9</v>
      </c>
      <c r="J410" t="n">
        <v>39.2</v>
      </c>
      <c r="L410" t="n">
        <v>42.5</v>
      </c>
      <c r="O410" t="n">
        <v>0.01197525210218013</v>
      </c>
      <c r="P410" t="n">
        <v>0.04325765021256277</v>
      </c>
      <c r="Q410" t="n">
        <v>0.04876833827542182</v>
      </c>
    </row>
    <row r="411">
      <c r="A411" s="123" t="n">
        <v>29860</v>
      </c>
      <c r="B411" t="n">
        <v>40.2</v>
      </c>
      <c r="E411" t="n">
        <v>57.5</v>
      </c>
      <c r="F411" t="n">
        <v>39.4</v>
      </c>
      <c r="H411" t="n">
        <v>48.9</v>
      </c>
      <c r="I411" t="n">
        <v>37.7</v>
      </c>
      <c r="J411" t="n">
        <v>37.9</v>
      </c>
      <c r="L411" t="n">
        <v>40</v>
      </c>
      <c r="N411" t="n">
        <v>6906.529</v>
      </c>
      <c r="O411" t="n">
        <v>-0.010895640870053</v>
      </c>
      <c r="P411" t="n">
        <v>0.01299901157291328</v>
      </c>
      <c r="Q411" t="n">
        <v>-0.04287543335073463</v>
      </c>
      <c r="R411" t="n">
        <v>-0.010895640870053</v>
      </c>
      <c r="S411" t="n">
        <v>-0.04287543335073463</v>
      </c>
      <c r="T411" t="n">
        <v>0.01299901157291328</v>
      </c>
    </row>
    <row r="412">
      <c r="A412" s="123" t="n">
        <v>29891</v>
      </c>
      <c r="B412" t="n">
        <v>32.8</v>
      </c>
      <c r="E412" t="n">
        <v>58.4</v>
      </c>
      <c r="F412" t="n">
        <v>36.1</v>
      </c>
      <c r="H412" t="n">
        <v>42.3</v>
      </c>
      <c r="I412" t="n">
        <v>40.5</v>
      </c>
      <c r="J412" t="n">
        <v>34.8</v>
      </c>
      <c r="L412" t="n">
        <v>36.1</v>
      </c>
      <c r="O412" t="n">
        <v>-0.010895640870053</v>
      </c>
      <c r="P412" t="n">
        <v>0.01299901157291328</v>
      </c>
      <c r="Q412" t="n">
        <v>-0.04287543335073463</v>
      </c>
    </row>
    <row r="413">
      <c r="A413" s="123" t="n">
        <v>29921</v>
      </c>
      <c r="B413" t="n">
        <v>39.1</v>
      </c>
      <c r="E413" t="n">
        <v>54.7</v>
      </c>
      <c r="F413" t="n">
        <v>37.3</v>
      </c>
      <c r="H413" t="n">
        <v>37.2</v>
      </c>
      <c r="I413" t="n">
        <v>41.2</v>
      </c>
      <c r="J413" t="n">
        <v>34</v>
      </c>
      <c r="L413" t="n">
        <v>37.8</v>
      </c>
      <c r="O413" t="n">
        <v>-0.010895640870053</v>
      </c>
      <c r="P413" t="n">
        <v>0.01299901157291328</v>
      </c>
      <c r="Q413" t="n">
        <v>-0.04287543335073463</v>
      </c>
    </row>
    <row r="414">
      <c r="A414" s="123" t="n">
        <v>29952</v>
      </c>
      <c r="B414" t="n">
        <v>39.9</v>
      </c>
      <c r="E414" t="n">
        <v>48.8</v>
      </c>
      <c r="F414" t="n">
        <v>39</v>
      </c>
      <c r="H414" t="n">
        <v>35.8</v>
      </c>
      <c r="I414" t="n">
        <v>40.1</v>
      </c>
      <c r="J414" t="n">
        <v>34.5</v>
      </c>
      <c r="L414" t="n">
        <v>38.2</v>
      </c>
      <c r="N414" t="n">
        <v>6799.233</v>
      </c>
      <c r="O414" t="n">
        <v>-0.01553544479433885</v>
      </c>
      <c r="P414" t="n">
        <v>-0.02190348982485059</v>
      </c>
      <c r="Q414" t="n">
        <v>-0.06070861857896181</v>
      </c>
      <c r="R414" t="n">
        <v>-0.01553544479433885</v>
      </c>
      <c r="S414" t="n">
        <v>-0.06070861857896181</v>
      </c>
      <c r="T414" t="n">
        <v>-0.02190348982485059</v>
      </c>
    </row>
    <row r="415">
      <c r="A415" s="123" t="n">
        <v>29983</v>
      </c>
      <c r="B415" t="n">
        <v>38.6</v>
      </c>
      <c r="E415" t="n">
        <v>45.3</v>
      </c>
      <c r="F415" t="n">
        <v>40.1</v>
      </c>
      <c r="H415" t="n">
        <v>34.7</v>
      </c>
      <c r="I415" t="n">
        <v>40.8</v>
      </c>
      <c r="J415" t="n">
        <v>35.5</v>
      </c>
      <c r="L415" t="n">
        <v>38.3</v>
      </c>
      <c r="O415" t="n">
        <v>-0.01553544479433885</v>
      </c>
      <c r="P415" t="n">
        <v>-0.02190348982485059</v>
      </c>
      <c r="Q415" t="n">
        <v>-0.06070861857896181</v>
      </c>
    </row>
    <row r="416">
      <c r="A416" s="123" t="n">
        <v>30011</v>
      </c>
      <c r="B416" t="n">
        <v>40.4</v>
      </c>
      <c r="E416" t="n">
        <v>35.4</v>
      </c>
      <c r="F416" t="n">
        <v>38</v>
      </c>
      <c r="H416" t="n">
        <v>31.2</v>
      </c>
      <c r="I416" t="n">
        <v>36.4</v>
      </c>
      <c r="J416" t="n">
        <v>33.1</v>
      </c>
      <c r="L416" t="n">
        <v>36.8</v>
      </c>
      <c r="O416" t="n">
        <v>-0.01553544479433885</v>
      </c>
      <c r="P416" t="n">
        <v>-0.02190348982485059</v>
      </c>
      <c r="Q416" t="n">
        <v>-0.06070861857896181</v>
      </c>
    </row>
    <row r="417">
      <c r="A417" s="123" t="n">
        <v>30042</v>
      </c>
      <c r="B417" t="n">
        <v>40.9</v>
      </c>
      <c r="E417" t="n">
        <v>35.7</v>
      </c>
      <c r="F417" t="n">
        <v>41.3</v>
      </c>
      <c r="H417" t="n">
        <v>31.5</v>
      </c>
      <c r="I417" t="n">
        <v>38.2</v>
      </c>
      <c r="J417" t="n">
        <v>31.7</v>
      </c>
      <c r="L417" t="n">
        <v>37.8</v>
      </c>
      <c r="N417" t="n">
        <v>6830.251</v>
      </c>
      <c r="O417" t="n">
        <v>0.004561985153325386</v>
      </c>
      <c r="P417" t="n">
        <v>-0.01010568146574329</v>
      </c>
      <c r="Q417" t="n">
        <v>0.01837319106848523</v>
      </c>
      <c r="R417" t="n">
        <v>0.004561985153325386</v>
      </c>
      <c r="S417" t="n">
        <v>0.01837319106848523</v>
      </c>
      <c r="T417" t="n">
        <v>-0.01010568146574329</v>
      </c>
    </row>
    <row r="418">
      <c r="A418" s="123" t="n">
        <v>30072</v>
      </c>
      <c r="B418" t="n">
        <v>38.1</v>
      </c>
      <c r="E418" t="n">
        <v>41.4</v>
      </c>
      <c r="F418" t="n">
        <v>37.2</v>
      </c>
      <c r="H418" t="n">
        <v>28.8</v>
      </c>
      <c r="I418" t="n">
        <v>42.1</v>
      </c>
      <c r="J418" t="n">
        <v>27.8</v>
      </c>
      <c r="L418" t="n">
        <v>35.5</v>
      </c>
      <c r="O418" t="n">
        <v>0.004561985153325386</v>
      </c>
      <c r="P418" t="n">
        <v>-0.01010568146574329</v>
      </c>
      <c r="Q418" t="n">
        <v>0.01837319106848523</v>
      </c>
    </row>
    <row r="419">
      <c r="A419" s="123" t="n">
        <v>30103</v>
      </c>
      <c r="B419" t="n">
        <v>42</v>
      </c>
      <c r="E419" t="n">
        <v>39.6</v>
      </c>
      <c r="F419" t="n">
        <v>39.4</v>
      </c>
      <c r="H419" t="n">
        <v>29.4</v>
      </c>
      <c r="I419" t="n">
        <v>45.2</v>
      </c>
      <c r="J419" t="n">
        <v>30.8</v>
      </c>
      <c r="L419" t="n">
        <v>38.3</v>
      </c>
      <c r="O419" t="n">
        <v>0.004561985153325386</v>
      </c>
      <c r="P419" t="n">
        <v>-0.01010568146574329</v>
      </c>
      <c r="Q419" t="n">
        <v>0.01837319106848523</v>
      </c>
    </row>
    <row r="420">
      <c r="A420" s="123" t="n">
        <v>30133</v>
      </c>
      <c r="B420" t="n">
        <v>40.7</v>
      </c>
      <c r="E420" t="n">
        <v>40.8</v>
      </c>
      <c r="F420" t="n">
        <v>41.1</v>
      </c>
      <c r="H420" t="n">
        <v>29.5</v>
      </c>
      <c r="I420" t="n">
        <v>45.8</v>
      </c>
      <c r="J420" t="n">
        <v>30.5</v>
      </c>
      <c r="L420" t="n">
        <v>38.4</v>
      </c>
      <c r="N420" t="n">
        <v>6804.139</v>
      </c>
      <c r="O420" t="n">
        <v>-0.00382299274214082</v>
      </c>
      <c r="P420" t="n">
        <v>-0.02555921432805421</v>
      </c>
      <c r="Q420" t="n">
        <v>-0.01520450261025641</v>
      </c>
      <c r="R420" t="n">
        <v>-0.00382299274214082</v>
      </c>
      <c r="S420" t="n">
        <v>-0.01520450261025641</v>
      </c>
      <c r="T420" t="n">
        <v>-0.02555921432805421</v>
      </c>
    </row>
    <row r="421">
      <c r="A421" s="123" t="n">
        <v>30164</v>
      </c>
      <c r="B421" t="n">
        <v>40.1</v>
      </c>
      <c r="E421" t="n">
        <v>39.2</v>
      </c>
      <c r="F421" t="n">
        <v>39.9</v>
      </c>
      <c r="H421" t="n">
        <v>31.6</v>
      </c>
      <c r="I421" t="n">
        <v>45.3</v>
      </c>
      <c r="J421" t="n">
        <v>31.8</v>
      </c>
      <c r="L421" t="n">
        <v>38.3</v>
      </c>
      <c r="O421" t="n">
        <v>-0.00382299274214082</v>
      </c>
      <c r="P421" t="n">
        <v>-0.02555921432805421</v>
      </c>
      <c r="Q421" t="n">
        <v>-0.01520450261025641</v>
      </c>
    </row>
    <row r="422">
      <c r="A422" s="123" t="n">
        <v>30195</v>
      </c>
      <c r="B422" t="n">
        <v>40.4</v>
      </c>
      <c r="E422" t="n">
        <v>41.2</v>
      </c>
      <c r="F422" t="n">
        <v>41.3</v>
      </c>
      <c r="H422" t="n">
        <v>33.6</v>
      </c>
      <c r="I422" t="n">
        <v>45.9</v>
      </c>
      <c r="J422" t="n">
        <v>30.6</v>
      </c>
      <c r="L422" t="n">
        <v>38.8</v>
      </c>
      <c r="O422" t="n">
        <v>-0.00382299274214082</v>
      </c>
      <c r="P422" t="n">
        <v>-0.02555921432805421</v>
      </c>
      <c r="Q422" t="n">
        <v>-0.01520450261025641</v>
      </c>
    </row>
    <row r="423">
      <c r="A423" s="123" t="n">
        <v>30225</v>
      </c>
      <c r="B423" t="n">
        <v>41.9</v>
      </c>
      <c r="E423" t="n">
        <v>41</v>
      </c>
      <c r="F423" t="n">
        <v>42</v>
      </c>
      <c r="H423" t="n">
        <v>32.5</v>
      </c>
      <c r="I423" t="n">
        <v>46.5</v>
      </c>
      <c r="J423" t="n">
        <v>30.6</v>
      </c>
      <c r="L423" t="n">
        <v>39.4</v>
      </c>
      <c r="N423" t="n">
        <v>6806.857</v>
      </c>
      <c r="O423" t="n">
        <v>0.0003994627387829448</v>
      </c>
      <c r="P423" t="n">
        <v>-0.01443156178740442</v>
      </c>
      <c r="Q423" t="n">
        <v>0.001598808633004989</v>
      </c>
      <c r="R423" t="n">
        <v>0.0003994627387829448</v>
      </c>
      <c r="S423" t="n">
        <v>0.001598808633004989</v>
      </c>
      <c r="T423" t="n">
        <v>-0.01443156178740442</v>
      </c>
    </row>
    <row r="424">
      <c r="A424" s="123" t="n">
        <v>30256</v>
      </c>
      <c r="B424" t="n">
        <v>41.5</v>
      </c>
      <c r="E424" t="n">
        <v>37.3</v>
      </c>
      <c r="F424" t="n">
        <v>42.6</v>
      </c>
      <c r="H424" t="n">
        <v>33.6</v>
      </c>
      <c r="I424" t="n">
        <v>46.9</v>
      </c>
      <c r="J424" t="n">
        <v>28.2</v>
      </c>
      <c r="L424" t="n">
        <v>39.2</v>
      </c>
      <c r="O424" t="n">
        <v>0.0003994627387829448</v>
      </c>
      <c r="P424" t="n">
        <v>-0.01443156178740442</v>
      </c>
      <c r="Q424" t="n">
        <v>0.001598808633004989</v>
      </c>
    </row>
    <row r="425">
      <c r="A425" s="123" t="n">
        <v>30286</v>
      </c>
      <c r="B425" t="n">
        <v>46</v>
      </c>
      <c r="E425" t="n">
        <v>39.1</v>
      </c>
      <c r="F425" t="n">
        <v>44</v>
      </c>
      <c r="H425" t="n">
        <v>34.7</v>
      </c>
      <c r="I425" t="n">
        <v>48.6</v>
      </c>
      <c r="J425" t="n">
        <v>36.3</v>
      </c>
      <c r="L425" t="n">
        <v>42.8</v>
      </c>
      <c r="O425" t="n">
        <v>0.0003994627387829448</v>
      </c>
      <c r="P425" t="n">
        <v>-0.01443156178740442</v>
      </c>
      <c r="Q425" t="n">
        <v>0.001598808633004989</v>
      </c>
    </row>
    <row r="426">
      <c r="A426" s="123" t="n">
        <v>30317</v>
      </c>
      <c r="B426" t="n">
        <v>50.3</v>
      </c>
      <c r="E426" t="n">
        <v>43.7</v>
      </c>
      <c r="F426" t="n">
        <v>50.8</v>
      </c>
      <c r="H426" t="n">
        <v>36.3</v>
      </c>
      <c r="I426" t="n">
        <v>46.7</v>
      </c>
      <c r="J426" t="n">
        <v>37.7</v>
      </c>
      <c r="L426" t="n">
        <v>46</v>
      </c>
      <c r="N426" t="n">
        <v>6896.561</v>
      </c>
      <c r="O426" t="n">
        <v>0.01317847576348375</v>
      </c>
      <c r="P426" t="n">
        <v>0.01431455577415857</v>
      </c>
      <c r="Q426" t="n">
        <v>0.05376512149741908</v>
      </c>
      <c r="R426" t="n">
        <v>0.01317847576348375</v>
      </c>
      <c r="S426" t="n">
        <v>0.05376512149741908</v>
      </c>
      <c r="T426" t="n">
        <v>0.01431455577415857</v>
      </c>
    </row>
    <row r="427">
      <c r="A427" s="123" t="n">
        <v>30348</v>
      </c>
      <c r="B427" t="n">
        <v>60.6</v>
      </c>
      <c r="E427" t="n">
        <v>48.7</v>
      </c>
      <c r="F427" t="n">
        <v>61.1</v>
      </c>
      <c r="H427" t="n">
        <v>40.1</v>
      </c>
      <c r="I427" t="n">
        <v>49.9</v>
      </c>
      <c r="J427" t="n">
        <v>47.4</v>
      </c>
      <c r="L427" t="n">
        <v>54.4</v>
      </c>
      <c r="O427" t="n">
        <v>0.01317847576348375</v>
      </c>
      <c r="P427" t="n">
        <v>0.01431455577415857</v>
      </c>
      <c r="Q427" t="n">
        <v>0.05376512149741908</v>
      </c>
    </row>
    <row r="428">
      <c r="A428" s="123" t="n">
        <v>30376</v>
      </c>
      <c r="B428" t="n">
        <v>60.8</v>
      </c>
      <c r="E428" t="n">
        <v>47.9</v>
      </c>
      <c r="F428" t="n">
        <v>58.4</v>
      </c>
      <c r="H428" t="n">
        <v>44.2</v>
      </c>
      <c r="I428" t="n">
        <v>50.8</v>
      </c>
      <c r="J428" t="n">
        <v>45.1</v>
      </c>
      <c r="L428" t="n">
        <v>53.9</v>
      </c>
      <c r="O428" t="n">
        <v>0.01317847576348375</v>
      </c>
      <c r="P428" t="n">
        <v>0.01431455577415857</v>
      </c>
      <c r="Q428" t="n">
        <v>0.05376512149741908</v>
      </c>
    </row>
    <row r="429">
      <c r="A429" s="123" t="n">
        <v>30407</v>
      </c>
      <c r="B429" t="n">
        <v>59.4</v>
      </c>
      <c r="E429" t="n">
        <v>55.6</v>
      </c>
      <c r="F429" t="n">
        <v>58.2</v>
      </c>
      <c r="H429" t="n">
        <v>46</v>
      </c>
      <c r="I429" t="n">
        <v>52.7</v>
      </c>
      <c r="J429" t="n">
        <v>46.4</v>
      </c>
      <c r="L429" t="n">
        <v>54.2</v>
      </c>
      <c r="N429" t="n">
        <v>7053.5</v>
      </c>
      <c r="O429" t="n">
        <v>0.02275612439301274</v>
      </c>
      <c r="P429" t="n">
        <v>0.03268532884077024</v>
      </c>
      <c r="Q429" t="n">
        <v>0.09417894915071301</v>
      </c>
      <c r="R429" t="n">
        <v>0.02275612439301274</v>
      </c>
      <c r="S429" t="n">
        <v>0.09417894915071301</v>
      </c>
      <c r="T429" t="n">
        <v>0.03268532884077024</v>
      </c>
    </row>
    <row r="430">
      <c r="A430" s="123" t="n">
        <v>30437</v>
      </c>
      <c r="B430" t="n">
        <v>61.8</v>
      </c>
      <c r="E430" t="n">
        <v>60.3</v>
      </c>
      <c r="F430" t="n">
        <v>61.5</v>
      </c>
      <c r="H430" t="n">
        <v>45.7</v>
      </c>
      <c r="I430" t="n">
        <v>51.9</v>
      </c>
      <c r="J430" t="n">
        <v>49.2</v>
      </c>
      <c r="L430" t="n">
        <v>56.1</v>
      </c>
      <c r="O430" t="n">
        <v>0.02275612439301274</v>
      </c>
      <c r="P430" t="n">
        <v>0.03268532884077024</v>
      </c>
      <c r="Q430" t="n">
        <v>0.09417894915071301</v>
      </c>
    </row>
    <row r="431">
      <c r="A431" s="123" t="n">
        <v>30468</v>
      </c>
      <c r="B431" t="n">
        <v>62.3</v>
      </c>
      <c r="E431" t="n">
        <v>61.5</v>
      </c>
      <c r="F431" t="n">
        <v>63.2</v>
      </c>
      <c r="H431" t="n">
        <v>45.7</v>
      </c>
      <c r="I431" t="n">
        <v>56.8</v>
      </c>
      <c r="J431" t="n">
        <v>49.7</v>
      </c>
      <c r="L431" t="n">
        <v>57.5</v>
      </c>
      <c r="O431" t="n">
        <v>0.02275612439301274</v>
      </c>
      <c r="P431" t="n">
        <v>0.03268532884077024</v>
      </c>
      <c r="Q431" t="n">
        <v>0.09417894915071301</v>
      </c>
    </row>
    <row r="432">
      <c r="A432" s="123" t="n">
        <v>30498</v>
      </c>
      <c r="B432" t="n">
        <v>70.3</v>
      </c>
      <c r="E432" t="n">
        <v>63.2</v>
      </c>
      <c r="F432" t="n">
        <v>71.5</v>
      </c>
      <c r="H432" t="n">
        <v>50.8</v>
      </c>
      <c r="I432" t="n">
        <v>58.9</v>
      </c>
      <c r="J432" t="n">
        <v>53.7</v>
      </c>
      <c r="L432" t="n">
        <v>63.6</v>
      </c>
      <c r="N432" t="n">
        <v>7194.504</v>
      </c>
      <c r="O432" t="n">
        <v>0.01999064294321967</v>
      </c>
      <c r="P432" t="n">
        <v>0.05737169684511145</v>
      </c>
      <c r="Q432" t="n">
        <v>0.08239244141250013</v>
      </c>
      <c r="R432" t="n">
        <v>0.01999064294321967</v>
      </c>
      <c r="S432" t="n">
        <v>0.08239244141250013</v>
      </c>
      <c r="T432" t="n">
        <v>0.05737169684511145</v>
      </c>
    </row>
    <row r="433">
      <c r="A433" s="123" t="n">
        <v>30529</v>
      </c>
      <c r="B433" t="n">
        <v>68.09999999999999</v>
      </c>
      <c r="E433" t="n">
        <v>69.40000000000001</v>
      </c>
      <c r="F433" t="n">
        <v>69.90000000000001</v>
      </c>
      <c r="H433" t="n">
        <v>49.3</v>
      </c>
      <c r="I433" t="n">
        <v>60.2</v>
      </c>
      <c r="J433" t="n">
        <v>56</v>
      </c>
      <c r="L433" t="n">
        <v>63.1</v>
      </c>
      <c r="O433" t="n">
        <v>0.01999064294321967</v>
      </c>
      <c r="P433" t="n">
        <v>0.05737169684511145</v>
      </c>
      <c r="Q433" t="n">
        <v>0.08239244141250013</v>
      </c>
    </row>
    <row r="434">
      <c r="A434" s="123" t="n">
        <v>30560</v>
      </c>
      <c r="B434" t="n">
        <v>66.90000000000001</v>
      </c>
      <c r="E434" t="n">
        <v>68</v>
      </c>
      <c r="F434" t="n">
        <v>67.8</v>
      </c>
      <c r="H434" t="n">
        <v>48.6</v>
      </c>
      <c r="I434" t="n">
        <v>60.7</v>
      </c>
      <c r="J434" t="n">
        <v>57.8</v>
      </c>
      <c r="L434" t="n">
        <v>62.5</v>
      </c>
      <c r="O434" t="n">
        <v>0.01999064294321967</v>
      </c>
      <c r="P434" t="n">
        <v>0.05737169684511145</v>
      </c>
      <c r="Q434" t="n">
        <v>0.08239244141250013</v>
      </c>
    </row>
    <row r="435">
      <c r="A435" s="123" t="n">
        <v>30590</v>
      </c>
      <c r="B435" t="n">
        <v>69.5</v>
      </c>
      <c r="E435" t="n">
        <v>69.3</v>
      </c>
      <c r="F435" t="n">
        <v>69.59999999999999</v>
      </c>
      <c r="H435" t="n">
        <v>52.1</v>
      </c>
      <c r="I435" t="n">
        <v>62.8</v>
      </c>
      <c r="J435" t="n">
        <v>57.6</v>
      </c>
      <c r="L435" t="n">
        <v>64.40000000000001</v>
      </c>
      <c r="N435" t="n">
        <v>7344.597</v>
      </c>
      <c r="O435" t="n">
        <v>0.02086217479342563</v>
      </c>
      <c r="P435" t="n">
        <v>0.07899974981110956</v>
      </c>
      <c r="Q435" t="n">
        <v>0.08609659002729053</v>
      </c>
      <c r="R435" t="n">
        <v>0.02086217479342563</v>
      </c>
      <c r="S435" t="n">
        <v>0.08609659002729053</v>
      </c>
      <c r="T435" t="n">
        <v>0.07899974981110956</v>
      </c>
    </row>
    <row r="436">
      <c r="A436" s="123" t="n">
        <v>30621</v>
      </c>
      <c r="B436" t="n">
        <v>69.2</v>
      </c>
      <c r="E436" t="n">
        <v>68.09999999999999</v>
      </c>
      <c r="F436" t="n">
        <v>70.7</v>
      </c>
      <c r="H436" t="n">
        <v>55</v>
      </c>
      <c r="I436" t="n">
        <v>67.5</v>
      </c>
      <c r="J436" t="n">
        <v>59.7</v>
      </c>
      <c r="L436" t="n">
        <v>66</v>
      </c>
      <c r="O436" t="n">
        <v>0.02086217479342563</v>
      </c>
      <c r="P436" t="n">
        <v>0.07899974981110956</v>
      </c>
      <c r="Q436" t="n">
        <v>0.08609659002729053</v>
      </c>
    </row>
    <row r="437">
      <c r="A437" s="123" t="n">
        <v>30651</v>
      </c>
      <c r="B437" t="n">
        <v>74.8</v>
      </c>
      <c r="E437" t="n">
        <v>71.40000000000001</v>
      </c>
      <c r="F437" t="n">
        <v>80.59999999999999</v>
      </c>
      <c r="H437" t="n">
        <v>59.6</v>
      </c>
      <c r="I437" t="n">
        <v>62.1</v>
      </c>
      <c r="J437" t="n">
        <v>60.4</v>
      </c>
      <c r="L437" t="n">
        <v>69.90000000000001</v>
      </c>
      <c r="O437" t="n">
        <v>0.02086217479342563</v>
      </c>
      <c r="P437" t="n">
        <v>0.07899974981110956</v>
      </c>
      <c r="Q437" t="n">
        <v>0.08609659002729053</v>
      </c>
    </row>
    <row r="438">
      <c r="A438" s="123" t="n">
        <v>30682</v>
      </c>
      <c r="B438" t="n">
        <v>63.7</v>
      </c>
      <c r="E438" t="n">
        <v>64.40000000000001</v>
      </c>
      <c r="F438" t="n">
        <v>59.9</v>
      </c>
      <c r="H438" t="n">
        <v>52.7</v>
      </c>
      <c r="I438" t="n">
        <v>64.40000000000001</v>
      </c>
      <c r="J438" t="n">
        <v>57.6</v>
      </c>
      <c r="L438" t="n">
        <v>60.5</v>
      </c>
      <c r="N438" t="n">
        <v>7488.167</v>
      </c>
      <c r="O438" t="n">
        <v>0.01954770288962085</v>
      </c>
      <c r="P438" t="n">
        <v>0.08578275462219513</v>
      </c>
      <c r="Q438" t="n">
        <v>0.08051351139935758</v>
      </c>
      <c r="R438" t="n">
        <v>0.01954770288962085</v>
      </c>
      <c r="S438" t="n">
        <v>0.08051351139935758</v>
      </c>
      <c r="T438" t="n">
        <v>0.08578275462219513</v>
      </c>
    </row>
    <row r="439">
      <c r="A439" s="123" t="n">
        <v>30713</v>
      </c>
      <c r="B439" t="n">
        <v>64.90000000000001</v>
      </c>
      <c r="E439" t="n">
        <v>71.09999999999999</v>
      </c>
      <c r="F439" t="n">
        <v>64</v>
      </c>
      <c r="H439" t="n">
        <v>52.7</v>
      </c>
      <c r="I439" t="n">
        <v>61.5</v>
      </c>
      <c r="J439" t="n">
        <v>56.4</v>
      </c>
      <c r="L439" t="n">
        <v>61.3</v>
      </c>
      <c r="O439" t="n">
        <v>0.01954770288962085</v>
      </c>
      <c r="P439" t="n">
        <v>0.08578275462219513</v>
      </c>
      <c r="Q439" t="n">
        <v>0.08051351139935758</v>
      </c>
    </row>
    <row r="440">
      <c r="A440" s="123" t="n">
        <v>30742</v>
      </c>
      <c r="B440" t="n">
        <v>60.9</v>
      </c>
      <c r="E440" t="n">
        <v>73.59999999999999</v>
      </c>
      <c r="F440" t="n">
        <v>61.5</v>
      </c>
      <c r="H440" t="n">
        <v>52.7</v>
      </c>
      <c r="I440" t="n">
        <v>65.5</v>
      </c>
      <c r="J440" t="n">
        <v>51.1</v>
      </c>
      <c r="L440" t="n">
        <v>58.9</v>
      </c>
      <c r="O440" t="n">
        <v>0.01954770288962085</v>
      </c>
      <c r="P440" t="n">
        <v>0.08578275462219513</v>
      </c>
      <c r="Q440" t="n">
        <v>0.08051351139935758</v>
      </c>
    </row>
    <row r="441">
      <c r="A441" s="123" t="n">
        <v>30773</v>
      </c>
      <c r="B441" t="n">
        <v>63.2</v>
      </c>
      <c r="E441" t="n">
        <v>71.90000000000001</v>
      </c>
      <c r="F441" t="n">
        <v>62.3</v>
      </c>
      <c r="H441" t="n">
        <v>54</v>
      </c>
      <c r="I441" t="n">
        <v>64.59999999999999</v>
      </c>
      <c r="J441" t="n">
        <v>56.8</v>
      </c>
      <c r="L441" t="n">
        <v>61</v>
      </c>
      <c r="N441" t="n">
        <v>7617.547</v>
      </c>
      <c r="O441" t="n">
        <v>0.01727792662743756</v>
      </c>
      <c r="P441" t="n">
        <v>0.07996696675409365</v>
      </c>
      <c r="Q441" t="n">
        <v>0.0709235878122596</v>
      </c>
      <c r="R441" t="n">
        <v>0.01727792662743756</v>
      </c>
      <c r="S441" t="n">
        <v>0.0709235878122596</v>
      </c>
      <c r="T441" t="n">
        <v>0.07996696675409365</v>
      </c>
    </row>
    <row r="442">
      <c r="A442" s="123" t="n">
        <v>30803</v>
      </c>
      <c r="B442" t="n">
        <v>59.2</v>
      </c>
      <c r="E442" t="n">
        <v>62.5</v>
      </c>
      <c r="F442" t="n">
        <v>59.3</v>
      </c>
      <c r="H442" t="n">
        <v>54.1</v>
      </c>
      <c r="I442" t="n">
        <v>62.5</v>
      </c>
      <c r="J442" t="n">
        <v>56.2</v>
      </c>
      <c r="L442" t="n">
        <v>58.6</v>
      </c>
      <c r="O442" t="n">
        <v>0.01727792662743756</v>
      </c>
      <c r="P442" t="n">
        <v>0.07996696675409365</v>
      </c>
      <c r="Q442" t="n">
        <v>0.0709235878122596</v>
      </c>
    </row>
    <row r="443">
      <c r="A443" s="123" t="n">
        <v>30834</v>
      </c>
      <c r="B443" t="n">
        <v>60.5</v>
      </c>
      <c r="E443" t="n">
        <v>64</v>
      </c>
      <c r="F443" t="n">
        <v>62.3</v>
      </c>
      <c r="H443" t="n">
        <v>56.3</v>
      </c>
      <c r="I443" t="n">
        <v>56.2</v>
      </c>
      <c r="J443" t="n">
        <v>51.7</v>
      </c>
      <c r="L443" t="n">
        <v>58.1</v>
      </c>
      <c r="O443" t="n">
        <v>0.01727792662743756</v>
      </c>
      <c r="P443" t="n">
        <v>0.07996696675409365</v>
      </c>
      <c r="Q443" t="n">
        <v>0.0709235878122596</v>
      </c>
    </row>
    <row r="444">
      <c r="A444" s="123" t="n">
        <v>30864</v>
      </c>
      <c r="B444" t="n">
        <v>54.1</v>
      </c>
      <c r="E444" t="n">
        <v>61.3</v>
      </c>
      <c r="F444" t="n">
        <v>58.2</v>
      </c>
      <c r="H444" t="n">
        <v>57.8</v>
      </c>
      <c r="I444" t="n">
        <v>59.1</v>
      </c>
      <c r="J444" t="n">
        <v>53.5</v>
      </c>
      <c r="L444" t="n">
        <v>56.1</v>
      </c>
      <c r="N444" t="n">
        <v>7690.985</v>
      </c>
      <c r="O444" t="n">
        <v>0.00964063628357004</v>
      </c>
      <c r="P444" t="n">
        <v>0.06900837083418117</v>
      </c>
      <c r="Q444" t="n">
        <v>0.03912378905516167</v>
      </c>
      <c r="R444" t="n">
        <v>0.00964063628357004</v>
      </c>
      <c r="S444" t="n">
        <v>0.03912378905516167</v>
      </c>
      <c r="T444" t="n">
        <v>0.06900837083418117</v>
      </c>
    </row>
    <row r="445">
      <c r="A445" s="123" t="n">
        <v>30895</v>
      </c>
      <c r="B445" t="n">
        <v>54</v>
      </c>
      <c r="E445" t="n">
        <v>58.7</v>
      </c>
      <c r="F445" t="n">
        <v>54.3</v>
      </c>
      <c r="H445" t="n">
        <v>49.1</v>
      </c>
      <c r="I445" t="n">
        <v>55.2</v>
      </c>
      <c r="J445" t="n">
        <v>50.4</v>
      </c>
      <c r="L445" t="n">
        <v>53</v>
      </c>
      <c r="O445" t="n">
        <v>0.00964063628357004</v>
      </c>
      <c r="P445" t="n">
        <v>0.06900837083418117</v>
      </c>
      <c r="Q445" t="n">
        <v>0.03912378905516167</v>
      </c>
    </row>
    <row r="446">
      <c r="A446" s="123" t="n">
        <v>30926</v>
      </c>
      <c r="B446" t="n">
        <v>47.2</v>
      </c>
      <c r="E446" t="n">
        <v>53.4</v>
      </c>
      <c r="F446" t="n">
        <v>52.2</v>
      </c>
      <c r="H446" t="n">
        <v>46.8</v>
      </c>
      <c r="I446" t="n">
        <v>52.8</v>
      </c>
      <c r="J446" t="n">
        <v>51.1</v>
      </c>
      <c r="L446" t="n">
        <v>50</v>
      </c>
      <c r="O446" t="n">
        <v>0.00964063628357004</v>
      </c>
      <c r="P446" t="n">
        <v>0.06900837083418117</v>
      </c>
      <c r="Q446" t="n">
        <v>0.03912378905516167</v>
      </c>
    </row>
    <row r="447">
      <c r="A447" s="123" t="n">
        <v>30956</v>
      </c>
      <c r="B447" t="n">
        <v>52.9</v>
      </c>
      <c r="E447" t="n">
        <v>51.7</v>
      </c>
      <c r="F447" t="n">
        <v>53.4</v>
      </c>
      <c r="H447" t="n">
        <v>45.6</v>
      </c>
      <c r="I447" t="n">
        <v>49.3</v>
      </c>
      <c r="J447" t="n">
        <v>48.1</v>
      </c>
      <c r="L447" t="n">
        <v>50.8</v>
      </c>
      <c r="N447" t="n">
        <v>7754.117</v>
      </c>
      <c r="O447" t="n">
        <v>0.008208571463863279</v>
      </c>
      <c r="P447" t="n">
        <v>0.05575799461835693</v>
      </c>
      <c r="Q447" t="n">
        <v>0.03324078666384356</v>
      </c>
      <c r="R447" t="n">
        <v>0.008208571463863279</v>
      </c>
      <c r="S447" t="n">
        <v>0.03324078666384356</v>
      </c>
      <c r="T447" t="n">
        <v>0.05575799461835693</v>
      </c>
    </row>
    <row r="448">
      <c r="A448" s="123" t="n">
        <v>30987</v>
      </c>
      <c r="B448" t="n">
        <v>52</v>
      </c>
      <c r="E448" t="n">
        <v>55</v>
      </c>
      <c r="F448" t="n">
        <v>53.8</v>
      </c>
      <c r="H448" t="n">
        <v>45.7</v>
      </c>
      <c r="I448" t="n">
        <v>48.1</v>
      </c>
      <c r="J448" t="n">
        <v>47.4</v>
      </c>
      <c r="L448" t="n">
        <v>50.3</v>
      </c>
      <c r="O448" t="n">
        <v>0.008208571463863279</v>
      </c>
      <c r="P448" t="n">
        <v>0.05575799461835693</v>
      </c>
      <c r="Q448" t="n">
        <v>0.03324078666384356</v>
      </c>
    </row>
    <row r="449">
      <c r="A449" s="123" t="n">
        <v>31017</v>
      </c>
      <c r="B449" t="n">
        <v>52.8</v>
      </c>
      <c r="E449" t="n">
        <v>50.7</v>
      </c>
      <c r="F449" t="n">
        <v>54.9</v>
      </c>
      <c r="H449" t="n">
        <v>47.3</v>
      </c>
      <c r="I449" t="n">
        <v>48.8</v>
      </c>
      <c r="J449" t="n">
        <v>45.2</v>
      </c>
      <c r="L449" t="n">
        <v>50.6</v>
      </c>
      <c r="O449" t="n">
        <v>0.008208571463863279</v>
      </c>
      <c r="P449" t="n">
        <v>0.05575799461835693</v>
      </c>
      <c r="Q449" t="n">
        <v>0.03324078666384356</v>
      </c>
    </row>
    <row r="450">
      <c r="A450" s="123" t="n">
        <v>31048</v>
      </c>
      <c r="B450" t="n">
        <v>51.8</v>
      </c>
      <c r="E450" t="n">
        <v>47.6</v>
      </c>
      <c r="F450" t="n">
        <v>54.9</v>
      </c>
      <c r="H450" t="n">
        <v>45.9</v>
      </c>
      <c r="I450" t="n">
        <v>50.4</v>
      </c>
      <c r="J450" t="n">
        <v>44.4</v>
      </c>
      <c r="L450" t="n">
        <v>50.3</v>
      </c>
      <c r="M450" t="n">
        <v>179.6300048828125</v>
      </c>
      <c r="N450" t="n">
        <v>7829.26</v>
      </c>
      <c r="O450" t="n">
        <v>0.00969072300559819</v>
      </c>
      <c r="P450" t="n">
        <v>0.04555093389343478</v>
      </c>
      <c r="Q450" t="n">
        <v>0.03933000174327517</v>
      </c>
      <c r="R450" t="n">
        <v>0.00969072300559819</v>
      </c>
      <c r="S450" t="n">
        <v>0.03933000174327517</v>
      </c>
      <c r="T450" t="n">
        <v>0.04555093389343478</v>
      </c>
    </row>
    <row r="451">
      <c r="A451" s="123" t="n">
        <v>31079</v>
      </c>
      <c r="B451" t="n">
        <v>51.8</v>
      </c>
      <c r="E451" t="n">
        <v>44.8</v>
      </c>
      <c r="F451" t="n">
        <v>54.2</v>
      </c>
      <c r="H451" t="n">
        <v>44.8</v>
      </c>
      <c r="I451" t="n">
        <v>48.6</v>
      </c>
      <c r="J451" t="n">
        <v>45.2</v>
      </c>
      <c r="L451" t="n">
        <v>49.9</v>
      </c>
      <c r="M451" t="n">
        <v>181.1799926757812</v>
      </c>
      <c r="O451" t="n">
        <v>0.00969072300559819</v>
      </c>
      <c r="P451" t="n">
        <v>0.04555093389343478</v>
      </c>
      <c r="Q451" t="n">
        <v>0.03933000174327517</v>
      </c>
    </row>
    <row r="452">
      <c r="A452" s="123" t="n">
        <v>31107</v>
      </c>
      <c r="B452" t="n">
        <v>49.1</v>
      </c>
      <c r="E452" t="n">
        <v>46.2</v>
      </c>
      <c r="F452" t="n">
        <v>51.2</v>
      </c>
      <c r="H452" t="n">
        <v>44</v>
      </c>
      <c r="I452" t="n">
        <v>46.7</v>
      </c>
      <c r="J452" t="n">
        <v>44.2</v>
      </c>
      <c r="L452" t="n">
        <v>47.8</v>
      </c>
      <c r="M452" t="n">
        <v>180.6600036621094</v>
      </c>
      <c r="O452" t="n">
        <v>0.00969072300559819</v>
      </c>
      <c r="P452" t="n">
        <v>0.04555093389343478</v>
      </c>
      <c r="Q452" t="n">
        <v>0.03933000174327517</v>
      </c>
    </row>
    <row r="453">
      <c r="A453" s="123" t="n">
        <v>31138</v>
      </c>
      <c r="B453" t="n">
        <v>51.3</v>
      </c>
      <c r="E453" t="n">
        <v>44.1</v>
      </c>
      <c r="F453" t="n">
        <v>51.6</v>
      </c>
      <c r="H453" t="n">
        <v>43.8</v>
      </c>
      <c r="I453" t="n">
        <v>46.1</v>
      </c>
      <c r="J453" t="n">
        <v>43.2</v>
      </c>
      <c r="L453" t="n">
        <v>48.2</v>
      </c>
      <c r="M453" t="n">
        <v>179.8300018310547</v>
      </c>
      <c r="N453" t="n">
        <v>7898.194</v>
      </c>
      <c r="O453" t="n">
        <v>0.008804663531419342</v>
      </c>
      <c r="P453" t="n">
        <v>0.03684217504663914</v>
      </c>
      <c r="Q453" t="n">
        <v>0.03568652295878616</v>
      </c>
      <c r="R453" t="n">
        <v>0.008804663531419342</v>
      </c>
      <c r="S453" t="n">
        <v>0.03568652295878616</v>
      </c>
      <c r="T453" t="n">
        <v>0.03684217504663914</v>
      </c>
    </row>
    <row r="454">
      <c r="A454" s="123" t="n">
        <v>31168</v>
      </c>
      <c r="B454" t="n">
        <v>49.5</v>
      </c>
      <c r="E454" t="n">
        <v>48.7</v>
      </c>
      <c r="F454" t="n">
        <v>51.9</v>
      </c>
      <c r="H454" t="n">
        <v>40.4</v>
      </c>
      <c r="I454" t="n">
        <v>48</v>
      </c>
      <c r="J454" t="n">
        <v>40.4</v>
      </c>
      <c r="L454" t="n">
        <v>47.1</v>
      </c>
      <c r="M454" t="n">
        <v>189.5500030517578</v>
      </c>
      <c r="O454" t="n">
        <v>0.008804663531419342</v>
      </c>
      <c r="P454" t="n">
        <v>0.03684217504663914</v>
      </c>
      <c r="Q454" t="n">
        <v>0.03568652295878616</v>
      </c>
    </row>
    <row r="455">
      <c r="A455" s="123" t="n">
        <v>31199</v>
      </c>
      <c r="B455" t="n">
        <v>50.7</v>
      </c>
      <c r="E455" t="n">
        <v>42.4</v>
      </c>
      <c r="F455" t="n">
        <v>50.5</v>
      </c>
      <c r="H455" t="n">
        <v>40.2</v>
      </c>
      <c r="I455" t="n">
        <v>47.1</v>
      </c>
      <c r="J455" t="n">
        <v>44.5</v>
      </c>
      <c r="L455" t="n">
        <v>47.8</v>
      </c>
      <c r="M455" t="n">
        <v>191.8500061035156</v>
      </c>
      <c r="O455" t="n">
        <v>0.008804663531419342</v>
      </c>
      <c r="P455" t="n">
        <v>0.03684217504663914</v>
      </c>
      <c r="Q455" t="n">
        <v>0.03568652295878616</v>
      </c>
    </row>
    <row r="456">
      <c r="A456" s="123" t="n">
        <v>31229</v>
      </c>
      <c r="B456" t="n">
        <v>52.5</v>
      </c>
      <c r="E456" t="n">
        <v>45.6</v>
      </c>
      <c r="F456" t="n">
        <v>48.2</v>
      </c>
      <c r="H456" t="n">
        <v>41.8</v>
      </c>
      <c r="I456" t="n">
        <v>45.7</v>
      </c>
      <c r="J456" t="n">
        <v>45.2</v>
      </c>
      <c r="L456" t="n">
        <v>47.9</v>
      </c>
      <c r="M456" t="n">
        <v>190.9199981689453</v>
      </c>
      <c r="N456" t="n">
        <v>8018.809</v>
      </c>
      <c r="O456" t="n">
        <v>0.01527121263417938</v>
      </c>
      <c r="P456" t="n">
        <v>0.04262444927405274</v>
      </c>
      <c r="Q456" t="n">
        <v>0.06249841012954405</v>
      </c>
      <c r="R456" t="n">
        <v>0.01527121263417938</v>
      </c>
      <c r="S456" t="n">
        <v>0.06249841012954405</v>
      </c>
      <c r="T456" t="n">
        <v>0.04262444927405274</v>
      </c>
    </row>
    <row r="457">
      <c r="A457" s="123" t="n">
        <v>31260</v>
      </c>
      <c r="B457" t="n">
        <v>51.8</v>
      </c>
      <c r="E457" t="n">
        <v>44</v>
      </c>
      <c r="F457" t="n">
        <v>50.6</v>
      </c>
      <c r="H457" t="n">
        <v>43</v>
      </c>
      <c r="I457" t="n">
        <v>46.6</v>
      </c>
      <c r="J457" t="n">
        <v>41.1</v>
      </c>
      <c r="L457" t="n">
        <v>47.7</v>
      </c>
      <c r="M457" t="n">
        <v>188.6300048828125</v>
      </c>
      <c r="O457" t="n">
        <v>0.01527121263417938</v>
      </c>
      <c r="P457" t="n">
        <v>0.04262444927405274</v>
      </c>
      <c r="Q457" t="n">
        <v>0.06249841012954405</v>
      </c>
    </row>
    <row r="458">
      <c r="A458" s="123" t="n">
        <v>31291</v>
      </c>
      <c r="B458" t="n">
        <v>54.6</v>
      </c>
      <c r="E458" t="n">
        <v>44.3</v>
      </c>
      <c r="F458" t="n">
        <v>52.8</v>
      </c>
      <c r="H458" t="n">
        <v>45.5</v>
      </c>
      <c r="I458" t="n">
        <v>49.5</v>
      </c>
      <c r="J458" t="n">
        <v>41.8</v>
      </c>
      <c r="L458" t="n">
        <v>49.9</v>
      </c>
      <c r="M458" t="n">
        <v>182.0800018310547</v>
      </c>
      <c r="O458" t="n">
        <v>0.01527121263417938</v>
      </c>
      <c r="P458" t="n">
        <v>0.04262444927405274</v>
      </c>
      <c r="Q458" t="n">
        <v>0.06249841012954405</v>
      </c>
    </row>
    <row r="459">
      <c r="A459" s="123" t="n">
        <v>31321</v>
      </c>
      <c r="B459" t="n">
        <v>53.4</v>
      </c>
      <c r="E459" t="n">
        <v>46.4</v>
      </c>
      <c r="F459" t="n">
        <v>54.9</v>
      </c>
      <c r="H459" t="n">
        <v>45.9</v>
      </c>
      <c r="I459" t="n">
        <v>50</v>
      </c>
      <c r="J459" t="n">
        <v>45.2</v>
      </c>
      <c r="L459" t="n">
        <v>50.9</v>
      </c>
      <c r="M459" t="n">
        <v>189.8200073242188</v>
      </c>
      <c r="N459" t="n">
        <v>8078.415</v>
      </c>
      <c r="O459" t="n">
        <v>0.007433273444971662</v>
      </c>
      <c r="P459" t="n">
        <v>0.04182268593574223</v>
      </c>
      <c r="Q459" t="n">
        <v>0.03006626101659382</v>
      </c>
      <c r="R459" t="n">
        <v>0.007433273444971662</v>
      </c>
      <c r="S459" t="n">
        <v>0.03006626101659382</v>
      </c>
      <c r="T459" t="n">
        <v>0.04182268593574223</v>
      </c>
    </row>
    <row r="460">
      <c r="A460" s="123" t="n">
        <v>31352</v>
      </c>
      <c r="B460" t="n">
        <v>57.2</v>
      </c>
      <c r="E460" t="n">
        <v>45.7</v>
      </c>
      <c r="F460" t="n">
        <v>56.5</v>
      </c>
      <c r="H460" t="n">
        <v>45.2</v>
      </c>
      <c r="I460" t="n">
        <v>48.5</v>
      </c>
      <c r="J460" t="n">
        <v>44.5</v>
      </c>
      <c r="L460" t="n">
        <v>52</v>
      </c>
      <c r="M460" t="n">
        <v>202.1699981689453</v>
      </c>
      <c r="O460" t="n">
        <v>0.007433273444971662</v>
      </c>
      <c r="P460" t="n">
        <v>0.04182268593574223</v>
      </c>
      <c r="Q460" t="n">
        <v>0.03006626101659382</v>
      </c>
    </row>
    <row r="461">
      <c r="A461" s="123" t="n">
        <v>31382</v>
      </c>
      <c r="B461" t="n">
        <v>54.8</v>
      </c>
      <c r="E461" t="n">
        <v>48.7</v>
      </c>
      <c r="F461" t="n">
        <v>55.3</v>
      </c>
      <c r="H461" t="n">
        <v>45.2</v>
      </c>
      <c r="I461" t="n">
        <v>49.3</v>
      </c>
      <c r="J461" t="n">
        <v>42.6</v>
      </c>
      <c r="L461" t="n">
        <v>50.7</v>
      </c>
      <c r="M461" t="n">
        <v>211.2799987792969</v>
      </c>
      <c r="O461" t="n">
        <v>0.007433273444971662</v>
      </c>
      <c r="P461" t="n">
        <v>0.04182268593574223</v>
      </c>
      <c r="Q461" t="n">
        <v>0.03006626101659382</v>
      </c>
    </row>
    <row r="462">
      <c r="A462" s="123" t="n">
        <v>31413</v>
      </c>
      <c r="B462" t="n">
        <v>56.7</v>
      </c>
      <c r="E462" t="n">
        <v>48.4</v>
      </c>
      <c r="F462" t="n">
        <v>52.9</v>
      </c>
      <c r="H462" t="n">
        <v>44.9</v>
      </c>
      <c r="I462" t="n">
        <v>50.1</v>
      </c>
      <c r="J462" t="n">
        <v>45.1</v>
      </c>
      <c r="L462" t="n">
        <v>51.2</v>
      </c>
      <c r="M462" t="n">
        <v>211.7799987792969</v>
      </c>
      <c r="N462" t="n">
        <v>8153.829</v>
      </c>
      <c r="O462" t="n">
        <v>0.009335247075075961</v>
      </c>
      <c r="P462" t="n">
        <v>0.04145589749222781</v>
      </c>
      <c r="Q462" t="n">
        <v>0.0378671310716483</v>
      </c>
      <c r="R462" t="n">
        <v>0.009335247075075961</v>
      </c>
      <c r="S462" t="n">
        <v>0.0378671310716483</v>
      </c>
      <c r="T462" t="n">
        <v>0.04145589749222781</v>
      </c>
    </row>
    <row r="463">
      <c r="A463" s="123" t="n">
        <v>31444</v>
      </c>
      <c r="B463" t="n">
        <v>57.1</v>
      </c>
      <c r="E463" t="n">
        <v>49.7</v>
      </c>
      <c r="F463" t="n">
        <v>53.6</v>
      </c>
      <c r="H463" t="n">
        <v>44.7</v>
      </c>
      <c r="I463" t="n">
        <v>49.8</v>
      </c>
      <c r="J463" t="n">
        <v>43</v>
      </c>
      <c r="L463" t="n">
        <v>51</v>
      </c>
      <c r="M463" t="n">
        <v>226.9199981689453</v>
      </c>
      <c r="O463" t="n">
        <v>0.009335247075075961</v>
      </c>
      <c r="P463" t="n">
        <v>0.04145589749222781</v>
      </c>
      <c r="Q463" t="n">
        <v>0.0378671310716483</v>
      </c>
    </row>
    <row r="464">
      <c r="A464" s="123" t="n">
        <v>31472</v>
      </c>
      <c r="B464" t="n">
        <v>54.5</v>
      </c>
      <c r="E464" t="n">
        <v>49</v>
      </c>
      <c r="F464" t="n">
        <v>56</v>
      </c>
      <c r="H464" t="n">
        <v>43.7</v>
      </c>
      <c r="I464" t="n">
        <v>50.5</v>
      </c>
      <c r="J464" t="n">
        <v>43.4</v>
      </c>
      <c r="L464" t="n">
        <v>51</v>
      </c>
      <c r="M464" t="n">
        <v>238.8999938964844</v>
      </c>
      <c r="O464" t="n">
        <v>0.009335247075075961</v>
      </c>
      <c r="P464" t="n">
        <v>0.04145589749222781</v>
      </c>
      <c r="Q464" t="n">
        <v>0.0378671310716483</v>
      </c>
    </row>
    <row r="465">
      <c r="A465" s="123" t="n">
        <v>31503</v>
      </c>
      <c r="B465" t="n">
        <v>54.4</v>
      </c>
      <c r="E465" t="n">
        <v>42.8</v>
      </c>
      <c r="F465" t="n">
        <v>52.5</v>
      </c>
      <c r="H465" t="n">
        <v>42.5</v>
      </c>
      <c r="I465" t="n">
        <v>50.7</v>
      </c>
      <c r="J465" t="n">
        <v>42.2</v>
      </c>
      <c r="L465" t="n">
        <v>49.7</v>
      </c>
      <c r="M465" t="n">
        <v>235.5200042724609</v>
      </c>
      <c r="N465" t="n">
        <v>8190.552</v>
      </c>
      <c r="O465" t="n">
        <v>0.004503773625863378</v>
      </c>
      <c r="P465" t="n">
        <v>0.03701580386604827</v>
      </c>
      <c r="Q465" t="n">
        <v>0.01813716419389122</v>
      </c>
      <c r="R465" t="n">
        <v>0.004503773625863378</v>
      </c>
      <c r="S465" t="n">
        <v>0.01813716419389122</v>
      </c>
      <c r="T465" t="n">
        <v>0.03701580386604827</v>
      </c>
    </row>
    <row r="466">
      <c r="A466" s="123" t="n">
        <v>31533</v>
      </c>
      <c r="B466" t="n">
        <v>61.1</v>
      </c>
      <c r="E466" t="n">
        <v>49.5</v>
      </c>
      <c r="F466" t="n">
        <v>55.1</v>
      </c>
      <c r="H466" t="n">
        <v>46.9</v>
      </c>
      <c r="I466" t="n">
        <v>50.2</v>
      </c>
      <c r="J466" t="n">
        <v>45.4</v>
      </c>
      <c r="L466" t="n">
        <v>53.4</v>
      </c>
      <c r="M466" t="n">
        <v>247.3500061035156</v>
      </c>
      <c r="O466" t="n">
        <v>0.004503773625863378</v>
      </c>
      <c r="P466" t="n">
        <v>0.03701580386604827</v>
      </c>
      <c r="Q466" t="n">
        <v>0.01813716419389122</v>
      </c>
    </row>
    <row r="467">
      <c r="A467" s="123" t="n">
        <v>31564</v>
      </c>
      <c r="B467" t="n">
        <v>55.3</v>
      </c>
      <c r="E467" t="n">
        <v>51.3</v>
      </c>
      <c r="F467" t="n">
        <v>53.5</v>
      </c>
      <c r="H467" t="n">
        <v>44.4</v>
      </c>
      <c r="I467" t="n">
        <v>49.9</v>
      </c>
      <c r="J467" t="n">
        <v>43.3</v>
      </c>
      <c r="L467" t="n">
        <v>50.5</v>
      </c>
      <c r="M467" t="n">
        <v>250.8399963378906</v>
      </c>
      <c r="O467" t="n">
        <v>0.004503773625863378</v>
      </c>
      <c r="P467" t="n">
        <v>0.03701580386604827</v>
      </c>
      <c r="Q467" t="n">
        <v>0.01813716419389122</v>
      </c>
    </row>
    <row r="468">
      <c r="A468" s="123" t="n">
        <v>31594</v>
      </c>
      <c r="B468" t="n">
        <v>51.2</v>
      </c>
      <c r="E468" t="n">
        <v>49.3</v>
      </c>
      <c r="F468" t="n">
        <v>49.3</v>
      </c>
      <c r="H468" t="n">
        <v>43.9</v>
      </c>
      <c r="I468" t="n">
        <v>49.9</v>
      </c>
      <c r="J468" t="n">
        <v>41.9</v>
      </c>
      <c r="L468" t="n">
        <v>48</v>
      </c>
      <c r="M468" t="n">
        <v>236.1199951171875</v>
      </c>
      <c r="N468" t="n">
        <v>8268.934999999999</v>
      </c>
      <c r="O468" t="n">
        <v>0.009569928864379325</v>
      </c>
      <c r="P468" t="n">
        <v>0.03119241273859987</v>
      </c>
      <c r="Q468" t="n">
        <v>0.03883273086767081</v>
      </c>
      <c r="R468" t="n">
        <v>0.009569928864379325</v>
      </c>
      <c r="S468" t="n">
        <v>0.03883273086767081</v>
      </c>
      <c r="T468" t="n">
        <v>0.03119241273859987</v>
      </c>
    </row>
    <row r="469">
      <c r="A469" s="123" t="n">
        <v>31625</v>
      </c>
      <c r="B469" t="n">
        <v>58.4</v>
      </c>
      <c r="E469" t="n">
        <v>51.5</v>
      </c>
      <c r="F469" t="n">
        <v>56</v>
      </c>
      <c r="H469" t="n">
        <v>45.9</v>
      </c>
      <c r="I469" t="n">
        <v>50.8</v>
      </c>
      <c r="J469" t="n">
        <v>44.5</v>
      </c>
      <c r="L469" t="n">
        <v>52.6</v>
      </c>
      <c r="M469" t="n">
        <v>252.9299926757812</v>
      </c>
      <c r="O469" t="n">
        <v>0.009569928864379325</v>
      </c>
      <c r="P469" t="n">
        <v>0.03119241273859987</v>
      </c>
      <c r="Q469" t="n">
        <v>0.03883273086767081</v>
      </c>
    </row>
    <row r="470">
      <c r="A470" s="123" t="n">
        <v>31656</v>
      </c>
      <c r="B470" t="n">
        <v>57.3</v>
      </c>
      <c r="E470" t="n">
        <v>57.1</v>
      </c>
      <c r="F470" t="n">
        <v>56.5</v>
      </c>
      <c r="H470" t="n">
        <v>48.2</v>
      </c>
      <c r="I470" t="n">
        <v>49.6</v>
      </c>
      <c r="J470" t="n">
        <v>43.9</v>
      </c>
      <c r="L470" t="n">
        <v>52.4</v>
      </c>
      <c r="M470" t="n">
        <v>231.3200073242188</v>
      </c>
      <c r="O470" t="n">
        <v>0.009569928864379325</v>
      </c>
      <c r="P470" t="n">
        <v>0.03119241273859987</v>
      </c>
      <c r="Q470" t="n">
        <v>0.03883273086767081</v>
      </c>
    </row>
    <row r="471">
      <c r="A471" s="123" t="n">
        <v>31686</v>
      </c>
      <c r="B471" t="n">
        <v>54.5</v>
      </c>
      <c r="E471" t="n">
        <v>56.9</v>
      </c>
      <c r="F471" t="n">
        <v>54.2</v>
      </c>
      <c r="H471" t="n">
        <v>48.2</v>
      </c>
      <c r="I471" t="n">
        <v>51.3</v>
      </c>
      <c r="J471" t="n">
        <v>43.7</v>
      </c>
      <c r="L471" t="n">
        <v>51.2</v>
      </c>
      <c r="M471" t="n">
        <v>243.9799957275391</v>
      </c>
      <c r="N471" t="n">
        <v>8313.338</v>
      </c>
      <c r="O471" t="n">
        <v>0.005369857182333668</v>
      </c>
      <c r="P471" t="n">
        <v>0.02908033320892772</v>
      </c>
      <c r="Q471" t="n">
        <v>0.02165306112495746</v>
      </c>
      <c r="R471" t="n">
        <v>0.005369857182333668</v>
      </c>
      <c r="S471" t="n">
        <v>0.02165306112495746</v>
      </c>
      <c r="T471" t="n">
        <v>0.02908033320892772</v>
      </c>
    </row>
    <row r="472">
      <c r="A472" s="123" t="n">
        <v>31717</v>
      </c>
      <c r="B472" t="n">
        <v>57</v>
      </c>
      <c r="E472" t="n">
        <v>57.1</v>
      </c>
      <c r="F472" t="n">
        <v>54.7</v>
      </c>
      <c r="H472" t="n">
        <v>42.2</v>
      </c>
      <c r="I472" t="n">
        <v>52</v>
      </c>
      <c r="J472" t="n">
        <v>42.2</v>
      </c>
      <c r="L472" t="n">
        <v>51.2</v>
      </c>
      <c r="M472" t="n">
        <v>249.2200012207031</v>
      </c>
      <c r="O472" t="n">
        <v>0.005369857182333668</v>
      </c>
      <c r="P472" t="n">
        <v>0.02908033320892772</v>
      </c>
      <c r="Q472" t="n">
        <v>0.02165306112495746</v>
      </c>
    </row>
    <row r="473">
      <c r="A473" s="123" t="n">
        <v>31747</v>
      </c>
      <c r="B473" t="n">
        <v>55.4</v>
      </c>
      <c r="E473" t="n">
        <v>57</v>
      </c>
      <c r="F473" t="n">
        <v>53</v>
      </c>
      <c r="H473" t="n">
        <v>38.4</v>
      </c>
      <c r="I473" t="n">
        <v>52.8</v>
      </c>
      <c r="J473" t="n">
        <v>44.5</v>
      </c>
      <c r="L473" t="n">
        <v>50.5</v>
      </c>
      <c r="M473" t="n">
        <v>242.1699981689453</v>
      </c>
      <c r="O473" t="n">
        <v>0.005369857182333668</v>
      </c>
      <c r="P473" t="n">
        <v>0.02908033320892772</v>
      </c>
      <c r="Q473" t="n">
        <v>0.02165306112495746</v>
      </c>
    </row>
    <row r="474">
      <c r="A474" s="123" t="n">
        <v>31778</v>
      </c>
      <c r="B474" t="n">
        <v>59.8</v>
      </c>
      <c r="E474" t="n">
        <v>61.1</v>
      </c>
      <c r="F474" t="n">
        <v>60.7</v>
      </c>
      <c r="H474" t="n">
        <v>46.3</v>
      </c>
      <c r="I474" t="n">
        <v>51.5</v>
      </c>
      <c r="J474" t="n">
        <v>47.3</v>
      </c>
      <c r="L474" t="n">
        <v>54.9</v>
      </c>
      <c r="M474" t="n">
        <v>274.0799865722656</v>
      </c>
      <c r="N474" t="n">
        <v>8375.273999999999</v>
      </c>
      <c r="O474" t="n">
        <v>0.007450196299007655</v>
      </c>
      <c r="P474" t="n">
        <v>0.02715840619174129</v>
      </c>
      <c r="Q474" t="n">
        <v>0.03013547493148994</v>
      </c>
      <c r="R474" t="n">
        <v>0.007450196299007655</v>
      </c>
      <c r="S474" t="n">
        <v>0.03013547493148994</v>
      </c>
      <c r="T474" t="n">
        <v>0.02715840619174129</v>
      </c>
    </row>
    <row r="475">
      <c r="A475" s="123" t="n">
        <v>31809</v>
      </c>
      <c r="B475" t="n">
        <v>55.4</v>
      </c>
      <c r="E475" t="n">
        <v>62.5</v>
      </c>
      <c r="F475" t="n">
        <v>57.3</v>
      </c>
      <c r="H475" t="n">
        <v>46.7</v>
      </c>
      <c r="I475" t="n">
        <v>51.2</v>
      </c>
      <c r="J475" t="n">
        <v>46.6</v>
      </c>
      <c r="L475" t="n">
        <v>52.6</v>
      </c>
      <c r="M475" t="n">
        <v>284.2000122070312</v>
      </c>
      <c r="O475" t="n">
        <v>0.007450196299007655</v>
      </c>
      <c r="P475" t="n">
        <v>0.02715840619174129</v>
      </c>
      <c r="Q475" t="n">
        <v>0.03013547493148994</v>
      </c>
    </row>
    <row r="476">
      <c r="A476" s="123" t="n">
        <v>31837</v>
      </c>
      <c r="B476" t="n">
        <v>61.6</v>
      </c>
      <c r="E476" t="n">
        <v>62.7</v>
      </c>
      <c r="F476" t="n">
        <v>57.6</v>
      </c>
      <c r="H476" t="n">
        <v>46.5</v>
      </c>
      <c r="I476" t="n">
        <v>51.9</v>
      </c>
      <c r="J476" t="n">
        <v>48.3</v>
      </c>
      <c r="L476" t="n">
        <v>55</v>
      </c>
      <c r="M476" t="n">
        <v>291.7000122070312</v>
      </c>
      <c r="O476" t="n">
        <v>0.007450196299007655</v>
      </c>
      <c r="P476" t="n">
        <v>0.02715840619174129</v>
      </c>
      <c r="Q476" t="n">
        <v>0.03013547493148994</v>
      </c>
    </row>
    <row r="477">
      <c r="A477" s="123" t="n">
        <v>31868</v>
      </c>
      <c r="B477" t="n">
        <v>59.8</v>
      </c>
      <c r="E477" t="n">
        <v>65.59999999999999</v>
      </c>
      <c r="F477" t="n">
        <v>59.3</v>
      </c>
      <c r="H477" t="n">
        <v>45.9</v>
      </c>
      <c r="I477" t="n">
        <v>52.8</v>
      </c>
      <c r="J477" t="n">
        <v>51.3</v>
      </c>
      <c r="L477" t="n">
        <v>55.5</v>
      </c>
      <c r="M477" t="n">
        <v>288.3599853515625</v>
      </c>
      <c r="N477" t="n">
        <v>8465.629999999999</v>
      </c>
      <c r="O477" t="n">
        <v>0.01078842316084223</v>
      </c>
      <c r="P477" t="n">
        <v>0.03358479379655969</v>
      </c>
      <c r="Q477" t="n">
        <v>0.04385706929729549</v>
      </c>
      <c r="R477" t="n">
        <v>0.01078842316084223</v>
      </c>
      <c r="S477" t="n">
        <v>0.04385706929729549</v>
      </c>
      <c r="T477" t="n">
        <v>0.03358479379655969</v>
      </c>
    </row>
    <row r="478">
      <c r="A478" s="123" t="n">
        <v>31898</v>
      </c>
      <c r="B478" t="n">
        <v>63.4</v>
      </c>
      <c r="E478" t="n">
        <v>67.59999999999999</v>
      </c>
      <c r="F478" t="n">
        <v>60.6</v>
      </c>
      <c r="H478" t="n">
        <v>47.5</v>
      </c>
      <c r="I478" t="n">
        <v>54</v>
      </c>
      <c r="J478" t="n">
        <v>50.9</v>
      </c>
      <c r="L478" t="n">
        <v>57.2</v>
      </c>
      <c r="M478" t="n">
        <v>290.1000061035156</v>
      </c>
      <c r="O478" t="n">
        <v>0.01078842316084223</v>
      </c>
      <c r="P478" t="n">
        <v>0.03358479379655969</v>
      </c>
      <c r="Q478" t="n">
        <v>0.04385706929729549</v>
      </c>
    </row>
    <row r="479">
      <c r="A479" s="123" t="n">
        <v>31929</v>
      </c>
      <c r="B479" t="n">
        <v>61.2</v>
      </c>
      <c r="E479" t="n">
        <v>72.59999999999999</v>
      </c>
      <c r="F479" t="n">
        <v>60.1</v>
      </c>
      <c r="H479" t="n">
        <v>52.4</v>
      </c>
      <c r="I479" t="n">
        <v>56.8</v>
      </c>
      <c r="J479" t="n">
        <v>51.4</v>
      </c>
      <c r="L479" t="n">
        <v>57.4</v>
      </c>
      <c r="M479" t="n">
        <v>304</v>
      </c>
      <c r="O479" t="n">
        <v>0.01078842316084223</v>
      </c>
      <c r="P479" t="n">
        <v>0.03358479379655969</v>
      </c>
      <c r="Q479" t="n">
        <v>0.04385706929729549</v>
      </c>
    </row>
    <row r="480">
      <c r="A480" s="123" t="n">
        <v>31959</v>
      </c>
      <c r="B480" t="n">
        <v>64</v>
      </c>
      <c r="E480" t="n">
        <v>74.3</v>
      </c>
      <c r="F480" t="n">
        <v>62.5</v>
      </c>
      <c r="H480" t="n">
        <v>44.7</v>
      </c>
      <c r="I480" t="n">
        <v>58.9</v>
      </c>
      <c r="J480" t="n">
        <v>46.6</v>
      </c>
      <c r="L480" t="n">
        <v>57.5</v>
      </c>
      <c r="M480" t="n">
        <v>318.6600036621094</v>
      </c>
      <c r="N480" t="n">
        <v>8539.075000000001</v>
      </c>
      <c r="O480" t="n">
        <v>0.008675668556268291</v>
      </c>
      <c r="P480" t="n">
        <v>0.03266926151916798</v>
      </c>
      <c r="Q480" t="n">
        <v>0.03515689521360321</v>
      </c>
      <c r="R480" t="n">
        <v>0.008675668556268291</v>
      </c>
      <c r="S480" t="n">
        <v>0.03515689521360321</v>
      </c>
      <c r="T480" t="n">
        <v>0.03266926151916798</v>
      </c>
    </row>
    <row r="481">
      <c r="A481" s="123" t="n">
        <v>31990</v>
      </c>
      <c r="B481" t="n">
        <v>62.7</v>
      </c>
      <c r="E481" t="n">
        <v>77.40000000000001</v>
      </c>
      <c r="F481" t="n">
        <v>64.2</v>
      </c>
      <c r="H481" t="n">
        <v>49.3</v>
      </c>
      <c r="I481" t="n">
        <v>60.3</v>
      </c>
      <c r="J481" t="n">
        <v>52.4</v>
      </c>
      <c r="L481" t="n">
        <v>59.3</v>
      </c>
      <c r="M481" t="n">
        <v>329.7999877929688</v>
      </c>
      <c r="O481" t="n">
        <v>0.008675668556268291</v>
      </c>
      <c r="P481" t="n">
        <v>0.03266926151916798</v>
      </c>
      <c r="Q481" t="n">
        <v>0.03515689521360321</v>
      </c>
    </row>
    <row r="482">
      <c r="A482" s="123" t="n">
        <v>32021</v>
      </c>
      <c r="B482" t="n">
        <v>62.1</v>
      </c>
      <c r="E482" t="n">
        <v>77.3</v>
      </c>
      <c r="F482" t="n">
        <v>65.5</v>
      </c>
      <c r="H482" t="n">
        <v>49.2</v>
      </c>
      <c r="I482" t="n">
        <v>61.5</v>
      </c>
      <c r="J482" t="n">
        <v>54.5</v>
      </c>
      <c r="L482" t="n">
        <v>60</v>
      </c>
      <c r="M482" t="n">
        <v>321.8299865722656</v>
      </c>
      <c r="O482" t="n">
        <v>0.008675668556268291</v>
      </c>
      <c r="P482" t="n">
        <v>0.03266926151916798</v>
      </c>
      <c r="Q482" t="n">
        <v>0.03515689521360321</v>
      </c>
    </row>
    <row r="483">
      <c r="A483" s="123" t="n">
        <v>32051</v>
      </c>
      <c r="B483" t="n">
        <v>65.3</v>
      </c>
      <c r="E483" t="n">
        <v>78.09999999999999</v>
      </c>
      <c r="F483" t="n">
        <v>63.2</v>
      </c>
      <c r="H483" t="n">
        <v>50.7</v>
      </c>
      <c r="I483" t="n">
        <v>62.2</v>
      </c>
      <c r="J483" t="n">
        <v>54.6</v>
      </c>
      <c r="L483" t="n">
        <v>60.7</v>
      </c>
      <c r="M483" t="n">
        <v>251.7899932861328</v>
      </c>
      <c r="N483" t="n">
        <v>8685.694</v>
      </c>
      <c r="O483" t="n">
        <v>0.01717036095830037</v>
      </c>
      <c r="P483" t="n">
        <v>0.04479019137679711</v>
      </c>
      <c r="Q483" t="n">
        <v>0.07047070727767069</v>
      </c>
      <c r="R483" t="n">
        <v>0.01717036095830037</v>
      </c>
      <c r="S483" t="n">
        <v>0.07047070727767069</v>
      </c>
      <c r="T483" t="n">
        <v>0.04479019137679711</v>
      </c>
    </row>
    <row r="484">
      <c r="A484" s="123" t="n">
        <v>32082</v>
      </c>
      <c r="B484" t="n">
        <v>59.3</v>
      </c>
      <c r="E484" t="n">
        <v>79.2</v>
      </c>
      <c r="F484" t="n">
        <v>61.9</v>
      </c>
      <c r="H484" t="n">
        <v>51.2</v>
      </c>
      <c r="I484" t="n">
        <v>64.90000000000001</v>
      </c>
      <c r="J484" t="n">
        <v>53.7</v>
      </c>
      <c r="L484" t="n">
        <v>58.8</v>
      </c>
      <c r="M484" t="n">
        <v>230.3000030517578</v>
      </c>
      <c r="O484" t="n">
        <v>0.01717036095830037</v>
      </c>
      <c r="P484" t="n">
        <v>0.04479019137679711</v>
      </c>
      <c r="Q484" t="n">
        <v>0.07047070727767069</v>
      </c>
    </row>
    <row r="485">
      <c r="A485" s="123" t="n">
        <v>32112</v>
      </c>
      <c r="B485" t="n">
        <v>61.5</v>
      </c>
      <c r="E485" t="n">
        <v>80.2</v>
      </c>
      <c r="F485" t="n">
        <v>65.09999999999999</v>
      </c>
      <c r="H485" t="n">
        <v>50.8</v>
      </c>
      <c r="I485" t="n">
        <v>62.7</v>
      </c>
      <c r="J485" t="n">
        <v>59.1</v>
      </c>
      <c r="L485" t="n">
        <v>61</v>
      </c>
      <c r="M485" t="n">
        <v>247.0800018310547</v>
      </c>
      <c r="O485" t="n">
        <v>0.01717036095830037</v>
      </c>
      <c r="P485" t="n">
        <v>0.04479019137679711</v>
      </c>
      <c r="Q485" t="n">
        <v>0.07047070727767069</v>
      </c>
    </row>
    <row r="486">
      <c r="A486" s="123" t="n">
        <v>32143</v>
      </c>
      <c r="B486" t="n">
        <v>60.3</v>
      </c>
      <c r="E486" t="n">
        <v>78.7</v>
      </c>
      <c r="F486" t="n">
        <v>59.3</v>
      </c>
      <c r="H486" t="n">
        <v>50.7</v>
      </c>
      <c r="I486" t="n">
        <v>62</v>
      </c>
      <c r="J486" t="n">
        <v>51.2</v>
      </c>
      <c r="K486" t="n">
        <v>66</v>
      </c>
      <c r="L486" t="n">
        <v>57.5</v>
      </c>
      <c r="M486" t="n">
        <v>257.0700073242188</v>
      </c>
      <c r="N486" t="n">
        <v>8730.569</v>
      </c>
      <c r="O486" t="n">
        <v>0.005166541671857194</v>
      </c>
      <c r="P486" t="n">
        <v>0.04242189568962163</v>
      </c>
      <c r="Q486" t="n">
        <v>0.02082687796218141</v>
      </c>
      <c r="R486" t="n">
        <v>0.005166541671857194</v>
      </c>
      <c r="S486" t="n">
        <v>0.02082687796218141</v>
      </c>
      <c r="T486" t="n">
        <v>0.04242189568962163</v>
      </c>
    </row>
    <row r="487">
      <c r="A487" s="123" t="n">
        <v>32174</v>
      </c>
      <c r="B487" t="n">
        <v>57</v>
      </c>
      <c r="E487" t="n">
        <v>81.2</v>
      </c>
      <c r="F487" t="n">
        <v>58.6</v>
      </c>
      <c r="H487" t="n">
        <v>48.1</v>
      </c>
      <c r="I487" t="n">
        <v>61.2</v>
      </c>
      <c r="J487" t="n">
        <v>52.5</v>
      </c>
      <c r="K487" t="n">
        <v>65.7</v>
      </c>
      <c r="L487" t="n">
        <v>56.2</v>
      </c>
      <c r="M487" t="n">
        <v>267.8200073242188</v>
      </c>
      <c r="O487" t="n">
        <v>0.005166541671857194</v>
      </c>
      <c r="P487" t="n">
        <v>0.04242189568962163</v>
      </c>
      <c r="Q487" t="n">
        <v>0.02082687796218141</v>
      </c>
    </row>
    <row r="488">
      <c r="A488" s="123" t="n">
        <v>32203</v>
      </c>
      <c r="B488" t="n">
        <v>57.9</v>
      </c>
      <c r="E488" t="n">
        <v>74.5</v>
      </c>
      <c r="F488" t="n">
        <v>57.7</v>
      </c>
      <c r="H488" t="n">
        <v>41.9</v>
      </c>
      <c r="I488" t="n">
        <v>57.3</v>
      </c>
      <c r="J488" t="n">
        <v>50.2</v>
      </c>
      <c r="K488" t="n">
        <v>64.5</v>
      </c>
      <c r="L488" t="n">
        <v>54.6</v>
      </c>
      <c r="M488" t="n">
        <v>258.8900146484375</v>
      </c>
      <c r="O488" t="n">
        <v>0.005166541671857194</v>
      </c>
      <c r="P488" t="n">
        <v>0.04242189568962163</v>
      </c>
      <c r="Q488" t="n">
        <v>0.02082687796218141</v>
      </c>
    </row>
    <row r="489">
      <c r="A489" s="123" t="n">
        <v>32234</v>
      </c>
      <c r="B489" t="n">
        <v>57.6</v>
      </c>
      <c r="E489" t="n">
        <v>81</v>
      </c>
      <c r="F489" t="n">
        <v>59.1</v>
      </c>
      <c r="H489" t="n">
        <v>51</v>
      </c>
      <c r="I489" t="n">
        <v>58.6</v>
      </c>
      <c r="J489" t="n">
        <v>49.2</v>
      </c>
      <c r="K489" t="n">
        <v>64</v>
      </c>
      <c r="L489" t="n">
        <v>55.8</v>
      </c>
      <c r="M489" t="n">
        <v>261.3299865722656</v>
      </c>
      <c r="N489" t="n">
        <v>8845.280000000001</v>
      </c>
      <c r="O489" t="n">
        <v>0.01313900617474086</v>
      </c>
      <c r="P489" t="n">
        <v>0.0448460421728804</v>
      </c>
      <c r="Q489" t="n">
        <v>0.0536009283304526</v>
      </c>
      <c r="R489" t="n">
        <v>0.01313900617474086</v>
      </c>
      <c r="S489" t="n">
        <v>0.0536009283304526</v>
      </c>
      <c r="T489" t="n">
        <v>0.0448460421728804</v>
      </c>
    </row>
    <row r="490">
      <c r="A490" s="123" t="n">
        <v>32264</v>
      </c>
      <c r="B490" t="n">
        <v>57.7</v>
      </c>
      <c r="E490" t="n">
        <v>81.5</v>
      </c>
      <c r="F490" t="n">
        <v>58</v>
      </c>
      <c r="H490" t="n">
        <v>51.2</v>
      </c>
      <c r="I490" t="n">
        <v>56.9</v>
      </c>
      <c r="J490" t="n">
        <v>50.4</v>
      </c>
      <c r="K490" t="n">
        <v>65.5</v>
      </c>
      <c r="L490" t="n">
        <v>55.5</v>
      </c>
      <c r="M490" t="n">
        <v>262.1600036621094</v>
      </c>
      <c r="O490" t="n">
        <v>0.01313900617474086</v>
      </c>
      <c r="P490" t="n">
        <v>0.0448460421728804</v>
      </c>
      <c r="Q490" t="n">
        <v>0.0536009283304526</v>
      </c>
    </row>
    <row r="491">
      <c r="A491" s="123" t="n">
        <v>32295</v>
      </c>
      <c r="B491" t="n">
        <v>63.6</v>
      </c>
      <c r="E491" t="n">
        <v>80.7</v>
      </c>
      <c r="F491" t="n">
        <v>61.7</v>
      </c>
      <c r="H491" t="n">
        <v>48.2</v>
      </c>
      <c r="I491" t="n">
        <v>65.59999999999999</v>
      </c>
      <c r="J491" t="n">
        <v>50.5</v>
      </c>
      <c r="K491" t="n">
        <v>66</v>
      </c>
      <c r="L491" t="n">
        <v>59.3</v>
      </c>
      <c r="M491" t="n">
        <v>273.5</v>
      </c>
      <c r="O491" t="n">
        <v>0.01313900617474086</v>
      </c>
      <c r="P491" t="n">
        <v>0.0448460421728804</v>
      </c>
      <c r="Q491" t="n">
        <v>0.0536009283304526</v>
      </c>
    </row>
    <row r="492">
      <c r="A492" s="123" t="n">
        <v>32325</v>
      </c>
      <c r="B492" t="n">
        <v>60.6</v>
      </c>
      <c r="E492" t="n">
        <v>81</v>
      </c>
      <c r="F492" t="n">
        <v>61.2</v>
      </c>
      <c r="H492" t="n">
        <v>54.5</v>
      </c>
      <c r="I492" t="n">
        <v>58.4</v>
      </c>
      <c r="J492" t="n">
        <v>52.5</v>
      </c>
      <c r="K492" t="n">
        <v>67.5</v>
      </c>
      <c r="L492" t="n">
        <v>58.2</v>
      </c>
      <c r="M492" t="n">
        <v>272.0199890136719</v>
      </c>
      <c r="N492" t="n">
        <v>8897.107</v>
      </c>
      <c r="O492" t="n">
        <v>0.005859283143099971</v>
      </c>
      <c r="P492" t="n">
        <v>0.04192866323342976</v>
      </c>
      <c r="Q492" t="n">
        <v>0.02364392556959816</v>
      </c>
      <c r="R492" t="n">
        <v>0.005859283143099971</v>
      </c>
      <c r="S492" t="n">
        <v>0.02364392556959816</v>
      </c>
      <c r="T492" t="n">
        <v>0.04192866323342976</v>
      </c>
    </row>
    <row r="493">
      <c r="A493" s="123" t="n">
        <v>32356</v>
      </c>
      <c r="B493" t="n">
        <v>59.2</v>
      </c>
      <c r="E493" t="n">
        <v>78.2</v>
      </c>
      <c r="F493" t="n">
        <v>57.8</v>
      </c>
      <c r="H493" t="n">
        <v>49.4</v>
      </c>
      <c r="I493" t="n">
        <v>57.4</v>
      </c>
      <c r="J493" t="n">
        <v>51.2</v>
      </c>
      <c r="K493" t="n">
        <v>59.9</v>
      </c>
      <c r="L493" t="n">
        <v>56</v>
      </c>
      <c r="M493" t="n">
        <v>261.5199890136719</v>
      </c>
      <c r="O493" t="n">
        <v>0.005859283143099971</v>
      </c>
      <c r="P493" t="n">
        <v>0.04192866323342976</v>
      </c>
      <c r="Q493" t="n">
        <v>0.02364392556959816</v>
      </c>
    </row>
    <row r="494">
      <c r="A494" s="123" t="n">
        <v>32387</v>
      </c>
      <c r="B494" t="n">
        <v>58.6</v>
      </c>
      <c r="E494" t="n">
        <v>72.8</v>
      </c>
      <c r="F494" t="n">
        <v>54.8</v>
      </c>
      <c r="H494" t="n">
        <v>49.5</v>
      </c>
      <c r="I494" t="n">
        <v>55.2</v>
      </c>
      <c r="J494" t="n">
        <v>50.2</v>
      </c>
      <c r="K494" t="n">
        <v>61.7</v>
      </c>
      <c r="L494" t="n">
        <v>54.5</v>
      </c>
      <c r="M494" t="n">
        <v>271.9100036621094</v>
      </c>
      <c r="O494" t="n">
        <v>0.005859283143099971</v>
      </c>
      <c r="P494" t="n">
        <v>0.04192866323342976</v>
      </c>
      <c r="Q494" t="n">
        <v>0.02364392556959816</v>
      </c>
    </row>
    <row r="495">
      <c r="A495" s="123" t="n">
        <v>32417</v>
      </c>
      <c r="B495" t="n">
        <v>57.2</v>
      </c>
      <c r="E495" t="n">
        <v>71.5</v>
      </c>
      <c r="F495" t="n">
        <v>58.7</v>
      </c>
      <c r="H495" t="n">
        <v>49.2</v>
      </c>
      <c r="I495" t="n">
        <v>54.8</v>
      </c>
      <c r="J495" t="n">
        <v>52.4</v>
      </c>
      <c r="K495" t="n">
        <v>60.8</v>
      </c>
      <c r="L495" t="n">
        <v>55.4</v>
      </c>
      <c r="M495" t="n">
        <v>278.9700012207031</v>
      </c>
      <c r="N495" t="n">
        <v>9015.661</v>
      </c>
      <c r="O495" t="n">
        <v>0.01332500553269732</v>
      </c>
      <c r="P495" t="n">
        <v>0.03798971043649484</v>
      </c>
      <c r="Q495" t="n">
        <v>0.05437485201812042</v>
      </c>
      <c r="R495" t="n">
        <v>0.01332500553269732</v>
      </c>
      <c r="S495" t="n">
        <v>0.05437485201812042</v>
      </c>
      <c r="T495" t="n">
        <v>0.03798971043649484</v>
      </c>
    </row>
    <row r="496">
      <c r="A496" s="123" t="n">
        <v>32448</v>
      </c>
      <c r="B496" t="n">
        <v>58.4</v>
      </c>
      <c r="E496" t="n">
        <v>70.90000000000001</v>
      </c>
      <c r="F496" t="n">
        <v>57.5</v>
      </c>
      <c r="H496" t="n">
        <v>51.6</v>
      </c>
      <c r="I496" t="n">
        <v>52.1</v>
      </c>
      <c r="J496" t="n">
        <v>53.8</v>
      </c>
      <c r="K496" t="n">
        <v>58.1</v>
      </c>
      <c r="L496" t="n">
        <v>55.6</v>
      </c>
      <c r="M496" t="n">
        <v>273.7000122070312</v>
      </c>
      <c r="O496" t="n">
        <v>0.01332500553269732</v>
      </c>
      <c r="P496" t="n">
        <v>0.03798971043649484</v>
      </c>
      <c r="Q496" t="n">
        <v>0.05437485201812042</v>
      </c>
    </row>
    <row r="497">
      <c r="A497" s="123" t="n">
        <v>32478</v>
      </c>
      <c r="B497" t="n">
        <v>59</v>
      </c>
      <c r="E497" t="n">
        <v>69.8</v>
      </c>
      <c r="F497" t="n">
        <v>57.6</v>
      </c>
      <c r="H497" t="n">
        <v>49.9</v>
      </c>
      <c r="I497" t="n">
        <v>53</v>
      </c>
      <c r="J497" t="n">
        <v>54.8</v>
      </c>
      <c r="K497" t="n">
        <v>64.3</v>
      </c>
      <c r="L497" t="n">
        <v>56</v>
      </c>
      <c r="M497" t="n">
        <v>277.7200012207031</v>
      </c>
      <c r="O497" t="n">
        <v>0.01332500553269732</v>
      </c>
      <c r="P497" t="n">
        <v>0.03798971043649484</v>
      </c>
      <c r="Q497" t="n">
        <v>0.05437485201812042</v>
      </c>
    </row>
    <row r="498">
      <c r="A498" s="123" t="n">
        <v>32509</v>
      </c>
      <c r="B498" t="n">
        <v>57.3</v>
      </c>
      <c r="E498" t="n">
        <v>70.5</v>
      </c>
      <c r="F498" t="n">
        <v>57.9</v>
      </c>
      <c r="H498" t="n">
        <v>46.7</v>
      </c>
      <c r="I498" t="n">
        <v>53.9</v>
      </c>
      <c r="J498" t="n">
        <v>51.4</v>
      </c>
      <c r="K498" t="n">
        <v>60.1</v>
      </c>
      <c r="L498" t="n">
        <v>54.7</v>
      </c>
      <c r="M498" t="n">
        <v>297.4700012207031</v>
      </c>
      <c r="N498" t="n">
        <v>9107.314</v>
      </c>
      <c r="O498" t="n">
        <v>0.01016597673759032</v>
      </c>
      <c r="P498" t="n">
        <v>0.04315239934533486</v>
      </c>
      <c r="Q498" t="n">
        <v>0.04128820262532429</v>
      </c>
      <c r="R498" t="n">
        <v>0.01016597673759032</v>
      </c>
      <c r="S498" t="n">
        <v>0.04128820262532429</v>
      </c>
      <c r="T498" t="n">
        <v>0.04315239934533486</v>
      </c>
    </row>
    <row r="499">
      <c r="A499" s="123" t="n">
        <v>32540</v>
      </c>
      <c r="B499" t="n">
        <v>57.3</v>
      </c>
      <c r="E499" t="n">
        <v>67.90000000000001</v>
      </c>
      <c r="F499" t="n">
        <v>55.6</v>
      </c>
      <c r="H499" t="n">
        <v>49</v>
      </c>
      <c r="I499" t="n">
        <v>54</v>
      </c>
      <c r="J499" t="n">
        <v>50</v>
      </c>
      <c r="K499" t="n">
        <v>60</v>
      </c>
      <c r="L499" t="n">
        <v>54.1</v>
      </c>
      <c r="M499" t="n">
        <v>288.8599853515625</v>
      </c>
      <c r="O499" t="n">
        <v>0.01016597673759032</v>
      </c>
      <c r="P499" t="n">
        <v>0.04315239934533486</v>
      </c>
      <c r="Q499" t="n">
        <v>0.04128820262532429</v>
      </c>
    </row>
    <row r="500">
      <c r="A500" s="123" t="n">
        <v>32568</v>
      </c>
      <c r="B500" t="n">
        <v>52</v>
      </c>
      <c r="E500" t="n">
        <v>67.90000000000001</v>
      </c>
      <c r="F500" t="n">
        <v>52.7</v>
      </c>
      <c r="H500" t="n">
        <v>48.3</v>
      </c>
      <c r="I500" t="n">
        <v>52.5</v>
      </c>
      <c r="J500" t="n">
        <v>50.2</v>
      </c>
      <c r="K500" t="n">
        <v>52.8</v>
      </c>
      <c r="L500" t="n">
        <v>51.5</v>
      </c>
      <c r="M500" t="n">
        <v>294.8699951171875</v>
      </c>
      <c r="O500" t="n">
        <v>0.01016597673759032</v>
      </c>
      <c r="P500" t="n">
        <v>0.04315239934533486</v>
      </c>
      <c r="Q500" t="n">
        <v>0.04128820262532429</v>
      </c>
    </row>
    <row r="501">
      <c r="A501" s="123" t="n">
        <v>32599</v>
      </c>
      <c r="B501" t="n">
        <v>53.1</v>
      </c>
      <c r="E501" t="n">
        <v>65.40000000000001</v>
      </c>
      <c r="F501" t="n">
        <v>54.9</v>
      </c>
      <c r="H501" t="n">
        <v>47.4</v>
      </c>
      <c r="I501" t="n">
        <v>52.2</v>
      </c>
      <c r="J501" t="n">
        <v>50</v>
      </c>
      <c r="K501" t="n">
        <v>58.4</v>
      </c>
      <c r="L501" t="n">
        <v>52.2</v>
      </c>
      <c r="M501" t="n">
        <v>309.6400146484375</v>
      </c>
      <c r="N501" t="n">
        <v>9176.826999999999</v>
      </c>
      <c r="O501" t="n">
        <v>0.007632656565920425</v>
      </c>
      <c r="P501" t="n">
        <v>0.03748292874843969</v>
      </c>
      <c r="Q501" t="n">
        <v>0.03088195297144991</v>
      </c>
      <c r="R501" t="n">
        <v>0.007632656565920425</v>
      </c>
      <c r="S501" t="n">
        <v>0.03088195297144991</v>
      </c>
      <c r="T501" t="n">
        <v>0.03748292874843969</v>
      </c>
    </row>
    <row r="502">
      <c r="A502" s="123" t="n">
        <v>32629</v>
      </c>
      <c r="B502" t="n">
        <v>50.7</v>
      </c>
      <c r="E502" t="n">
        <v>59.3</v>
      </c>
      <c r="F502" t="n">
        <v>50.7</v>
      </c>
      <c r="H502" t="n">
        <v>44.9</v>
      </c>
      <c r="I502" t="n">
        <v>49.1</v>
      </c>
      <c r="J502" t="n">
        <v>47.6</v>
      </c>
      <c r="K502" t="n">
        <v>60.9</v>
      </c>
      <c r="L502" t="n">
        <v>49.3</v>
      </c>
      <c r="M502" t="n">
        <v>320.5199890136719</v>
      </c>
      <c r="O502" t="n">
        <v>0.007632656565920425</v>
      </c>
      <c r="P502" t="n">
        <v>0.03748292874843969</v>
      </c>
      <c r="Q502" t="n">
        <v>0.03088195297144991</v>
      </c>
    </row>
    <row r="503">
      <c r="A503" s="123" t="n">
        <v>32660</v>
      </c>
      <c r="B503" t="n">
        <v>45.6</v>
      </c>
      <c r="E503" t="n">
        <v>50</v>
      </c>
      <c r="F503" t="n">
        <v>49.5</v>
      </c>
      <c r="H503" t="n">
        <v>47.5</v>
      </c>
      <c r="I503" t="n">
        <v>46.5</v>
      </c>
      <c r="J503" t="n">
        <v>47.4</v>
      </c>
      <c r="K503" t="n">
        <v>53.3</v>
      </c>
      <c r="L503" t="n">
        <v>47.3</v>
      </c>
      <c r="M503" t="n">
        <v>317.9800109863281</v>
      </c>
      <c r="O503" t="n">
        <v>0.007632656565920425</v>
      </c>
      <c r="P503" t="n">
        <v>0.03748292874843969</v>
      </c>
      <c r="Q503" t="n">
        <v>0.03088195297144991</v>
      </c>
    </row>
    <row r="504">
      <c r="A504" s="123" t="n">
        <v>32690</v>
      </c>
      <c r="B504" t="n">
        <v>45.8</v>
      </c>
      <c r="E504" t="n">
        <v>48.1</v>
      </c>
      <c r="F504" t="n">
        <v>46.9</v>
      </c>
      <c r="H504" t="n">
        <v>46.2</v>
      </c>
      <c r="I504" t="n">
        <v>46.1</v>
      </c>
      <c r="J504" t="n">
        <v>44.5</v>
      </c>
      <c r="K504" t="n">
        <v>56.1</v>
      </c>
      <c r="L504" t="n">
        <v>45.9</v>
      </c>
      <c r="M504" t="n">
        <v>346.0799865722656</v>
      </c>
      <c r="N504" t="n">
        <v>9244.816000000001</v>
      </c>
      <c r="O504" t="n">
        <v>0.007408769937583154</v>
      </c>
      <c r="P504" t="n">
        <v>0.03908113052928337</v>
      </c>
      <c r="Q504" t="n">
        <v>0.02996604866089259</v>
      </c>
      <c r="R504" t="n">
        <v>0.007408769937583154</v>
      </c>
      <c r="S504" t="n">
        <v>0.02996604866089259</v>
      </c>
      <c r="T504" t="n">
        <v>0.03908113052928337</v>
      </c>
    </row>
    <row r="505">
      <c r="A505" s="123" t="n">
        <v>32721</v>
      </c>
      <c r="B505" t="n">
        <v>45.2</v>
      </c>
      <c r="E505" t="n">
        <v>43.3</v>
      </c>
      <c r="F505" t="n">
        <v>46.7</v>
      </c>
      <c r="H505" t="n">
        <v>43.5</v>
      </c>
      <c r="I505" t="n">
        <v>44</v>
      </c>
      <c r="J505" t="n">
        <v>44.6</v>
      </c>
      <c r="K505" t="n">
        <v>57.8</v>
      </c>
      <c r="L505" t="n">
        <v>45.1</v>
      </c>
      <c r="M505" t="n">
        <v>351.4500122070312</v>
      </c>
      <c r="O505" t="n">
        <v>0.007408769937583154</v>
      </c>
      <c r="P505" t="n">
        <v>0.03908113052928337</v>
      </c>
      <c r="Q505" t="n">
        <v>0.02996604866089259</v>
      </c>
    </row>
    <row r="506">
      <c r="A506" s="123" t="n">
        <v>32752</v>
      </c>
      <c r="B506" t="n">
        <v>46</v>
      </c>
      <c r="E506" t="n">
        <v>42.4</v>
      </c>
      <c r="F506" t="n">
        <v>48</v>
      </c>
      <c r="H506" t="n">
        <v>44.8</v>
      </c>
      <c r="I506" t="n">
        <v>43.9</v>
      </c>
      <c r="J506" t="n">
        <v>45.4</v>
      </c>
      <c r="K506" t="n">
        <v>61.7</v>
      </c>
      <c r="L506" t="n">
        <v>46</v>
      </c>
      <c r="M506" t="n">
        <v>349.1499938964844</v>
      </c>
      <c r="O506" t="n">
        <v>0.007408769937583154</v>
      </c>
      <c r="P506" t="n">
        <v>0.03908113052928337</v>
      </c>
      <c r="Q506" t="n">
        <v>0.02996604866089259</v>
      </c>
    </row>
    <row r="507">
      <c r="A507" s="123" t="n">
        <v>32782</v>
      </c>
      <c r="B507" t="n">
        <v>49.3</v>
      </c>
      <c r="C507" t="n">
        <v>49</v>
      </c>
      <c r="E507" t="n">
        <v>41</v>
      </c>
      <c r="F507" t="n">
        <v>48.5</v>
      </c>
      <c r="H507" t="n">
        <v>43.8</v>
      </c>
      <c r="I507" t="n">
        <v>43.3</v>
      </c>
      <c r="J507" t="n">
        <v>45</v>
      </c>
      <c r="K507" t="n">
        <v>57.2</v>
      </c>
      <c r="L507" t="n">
        <v>46.8</v>
      </c>
      <c r="M507" t="n">
        <v>340.3599853515625</v>
      </c>
      <c r="N507" t="n">
        <v>9263.032999999999</v>
      </c>
      <c r="O507" t="n">
        <v>0.001970509742973655</v>
      </c>
      <c r="P507" t="n">
        <v>0.02743803255246614</v>
      </c>
      <c r="Q507" t="n">
        <v>0.007905367044091838</v>
      </c>
      <c r="R507" t="n">
        <v>0.001970509742973655</v>
      </c>
      <c r="S507" t="n">
        <v>0.007905367044091838</v>
      </c>
      <c r="T507" t="n">
        <v>0.02743803255246614</v>
      </c>
    </row>
    <row r="508">
      <c r="A508" s="123" t="n">
        <v>32813</v>
      </c>
      <c r="B508" t="n">
        <v>49.3</v>
      </c>
      <c r="C508" t="n">
        <v>47</v>
      </c>
      <c r="E508" t="n">
        <v>40.9</v>
      </c>
      <c r="F508" t="n">
        <v>49.2</v>
      </c>
      <c r="H508" t="n">
        <v>41.4</v>
      </c>
      <c r="I508" t="n">
        <v>42.5</v>
      </c>
      <c r="J508" t="n">
        <v>45.9</v>
      </c>
      <c r="K508" t="n">
        <v>56.6</v>
      </c>
      <c r="L508" t="n">
        <v>46.8</v>
      </c>
      <c r="M508" t="n">
        <v>345.989990234375</v>
      </c>
      <c r="O508" t="n">
        <v>0.001970509742973655</v>
      </c>
      <c r="P508" t="n">
        <v>0.02743803255246614</v>
      </c>
      <c r="Q508" t="n">
        <v>0.007905367044091838</v>
      </c>
    </row>
    <row r="509">
      <c r="A509" s="123" t="n">
        <v>32843</v>
      </c>
      <c r="B509" t="n">
        <v>50.4</v>
      </c>
      <c r="C509" t="n">
        <v>45.5</v>
      </c>
      <c r="E509" t="n">
        <v>41</v>
      </c>
      <c r="F509" t="n">
        <v>49.7</v>
      </c>
      <c r="H509" t="n">
        <v>43.9</v>
      </c>
      <c r="I509" t="n">
        <v>43.5</v>
      </c>
      <c r="J509" t="n">
        <v>44.6</v>
      </c>
      <c r="K509" t="n">
        <v>54.9</v>
      </c>
      <c r="L509" t="n">
        <v>47.4</v>
      </c>
      <c r="M509" t="n">
        <v>353.3999938964844</v>
      </c>
      <c r="O509" t="n">
        <v>0.001970509742973655</v>
      </c>
      <c r="P509" t="n">
        <v>0.02743803255246614</v>
      </c>
      <c r="Q509" t="n">
        <v>0.007905367044091838</v>
      </c>
    </row>
    <row r="510">
      <c r="A510" s="123" t="n">
        <v>32874</v>
      </c>
      <c r="B510" t="n">
        <v>49.1</v>
      </c>
      <c r="C510" t="n">
        <v>51.8</v>
      </c>
      <c r="E510" t="n">
        <v>50.8</v>
      </c>
      <c r="F510" t="n">
        <v>47.4</v>
      </c>
      <c r="H510" t="n">
        <v>42.7</v>
      </c>
      <c r="I510" t="n">
        <v>48.2</v>
      </c>
      <c r="J510" t="n">
        <v>45.4</v>
      </c>
      <c r="K510" t="n">
        <v>54.3</v>
      </c>
      <c r="L510" t="n">
        <v>47.2</v>
      </c>
      <c r="M510" t="n">
        <v>329.0799865722656</v>
      </c>
      <c r="N510" t="n">
        <v>9364.259</v>
      </c>
      <c r="O510" t="n">
        <v>0.01092795415929108</v>
      </c>
      <c r="P510" t="n">
        <v>0.02821303844360694</v>
      </c>
      <c r="Q510" t="n">
        <v>0.04443357206409249</v>
      </c>
      <c r="R510" t="n">
        <v>0.01092795415929108</v>
      </c>
      <c r="S510" t="n">
        <v>0.04443357206409249</v>
      </c>
      <c r="T510" t="n">
        <v>0.02821303844360694</v>
      </c>
    </row>
    <row r="511">
      <c r="A511" s="123" t="n">
        <v>32905</v>
      </c>
      <c r="B511" t="n">
        <v>52.5</v>
      </c>
      <c r="C511" t="n">
        <v>50.3</v>
      </c>
      <c r="E511" t="n">
        <v>44.6</v>
      </c>
      <c r="F511" t="n">
        <v>52.8</v>
      </c>
      <c r="H511" t="n">
        <v>41.4</v>
      </c>
      <c r="I511" t="n">
        <v>44.4</v>
      </c>
      <c r="J511" t="n">
        <v>46.5</v>
      </c>
      <c r="K511" t="n">
        <v>54.7</v>
      </c>
      <c r="L511" t="n">
        <v>49.1</v>
      </c>
      <c r="M511" t="n">
        <v>331.8900146484375</v>
      </c>
      <c r="O511" t="n">
        <v>0.01092795415929108</v>
      </c>
      <c r="P511" t="n">
        <v>0.02821303844360694</v>
      </c>
      <c r="Q511" t="n">
        <v>0.04443357206409249</v>
      </c>
    </row>
    <row r="512">
      <c r="A512" s="123" t="n">
        <v>32933</v>
      </c>
      <c r="B512" t="n">
        <v>52.3</v>
      </c>
      <c r="C512" t="n">
        <v>48.7</v>
      </c>
      <c r="E512" t="n">
        <v>50.1</v>
      </c>
      <c r="F512" t="n">
        <v>54.7</v>
      </c>
      <c r="H512" t="n">
        <v>41.2</v>
      </c>
      <c r="I512" t="n">
        <v>47.2</v>
      </c>
      <c r="J512" t="n">
        <v>46.5</v>
      </c>
      <c r="K512" t="n">
        <v>56.3</v>
      </c>
      <c r="L512" t="n">
        <v>49.9</v>
      </c>
      <c r="M512" t="n">
        <v>339.9400024414062</v>
      </c>
      <c r="O512" t="n">
        <v>0.01092795415929108</v>
      </c>
      <c r="P512" t="n">
        <v>0.02821303844360694</v>
      </c>
      <c r="Q512" t="n">
        <v>0.04443357206409249</v>
      </c>
    </row>
    <row r="513">
      <c r="A513" s="123" t="n">
        <v>32964</v>
      </c>
      <c r="B513" t="n">
        <v>53.7</v>
      </c>
      <c r="C513" t="n">
        <v>48</v>
      </c>
      <c r="E513" t="n">
        <v>50.9</v>
      </c>
      <c r="F513" t="n">
        <v>53.5</v>
      </c>
      <c r="H513" t="n">
        <v>41.3</v>
      </c>
      <c r="I513" t="n">
        <v>47.2</v>
      </c>
      <c r="J513" t="n">
        <v>46.6</v>
      </c>
      <c r="K513" t="n">
        <v>57.5</v>
      </c>
      <c r="L513" t="n">
        <v>50</v>
      </c>
      <c r="M513" t="n">
        <v>330.7999877929688</v>
      </c>
      <c r="N513" t="n">
        <v>9398.243</v>
      </c>
      <c r="O513" t="n">
        <v>0.003629117904577434</v>
      </c>
      <c r="P513" t="n">
        <v>0.02412772955183759</v>
      </c>
      <c r="Q513" t="n">
        <v>0.01459568596150662</v>
      </c>
      <c r="R513" t="n">
        <v>0.003629117904577434</v>
      </c>
      <c r="S513" t="n">
        <v>0.01459568596150662</v>
      </c>
      <c r="T513" t="n">
        <v>0.02412772955183759</v>
      </c>
    </row>
    <row r="514">
      <c r="A514" s="123" t="n">
        <v>32994</v>
      </c>
      <c r="B514" t="n">
        <v>51.7</v>
      </c>
      <c r="C514" t="n">
        <v>46.5</v>
      </c>
      <c r="E514" t="n">
        <v>50.1</v>
      </c>
      <c r="F514" t="n">
        <v>53.9</v>
      </c>
      <c r="H514" t="n">
        <v>40</v>
      </c>
      <c r="I514" t="n">
        <v>48.2</v>
      </c>
      <c r="J514" t="n">
        <v>46.2</v>
      </c>
      <c r="K514" t="n">
        <v>54.3</v>
      </c>
      <c r="L514" t="n">
        <v>49.5</v>
      </c>
      <c r="M514" t="n">
        <v>361.2300109863281</v>
      </c>
      <c r="O514" t="n">
        <v>0.003629117904577434</v>
      </c>
      <c r="P514" t="n">
        <v>0.02412772955183759</v>
      </c>
      <c r="Q514" t="n">
        <v>0.01459568596150662</v>
      </c>
    </row>
    <row r="515">
      <c r="A515" s="123" t="n">
        <v>33025</v>
      </c>
      <c r="B515" t="n">
        <v>52</v>
      </c>
      <c r="C515" t="n">
        <v>47.6</v>
      </c>
      <c r="E515" t="n">
        <v>53.2</v>
      </c>
      <c r="F515" t="n">
        <v>51.3</v>
      </c>
      <c r="H515" t="n">
        <v>42.6</v>
      </c>
      <c r="I515" t="n">
        <v>49.8</v>
      </c>
      <c r="J515" t="n">
        <v>45.4</v>
      </c>
      <c r="K515" t="n">
        <v>56</v>
      </c>
      <c r="L515" t="n">
        <v>49.2</v>
      </c>
      <c r="M515" t="n">
        <v>358.0199890136719</v>
      </c>
      <c r="O515" t="n">
        <v>0.003629117904577434</v>
      </c>
      <c r="P515" t="n">
        <v>0.02412772955183759</v>
      </c>
      <c r="Q515" t="n">
        <v>0.01459568596150662</v>
      </c>
    </row>
    <row r="516">
      <c r="A516" s="123" t="n">
        <v>33055</v>
      </c>
      <c r="B516" t="n">
        <v>46.7</v>
      </c>
      <c r="C516" t="n">
        <v>47.5</v>
      </c>
      <c r="E516" t="n">
        <v>51.4</v>
      </c>
      <c r="F516" t="n">
        <v>49.8</v>
      </c>
      <c r="H516" t="n">
        <v>39.6</v>
      </c>
      <c r="I516" t="n">
        <v>46.4</v>
      </c>
      <c r="J516" t="n">
        <v>46.3</v>
      </c>
      <c r="K516" t="n">
        <v>57.2</v>
      </c>
      <c r="L516" t="n">
        <v>46.6</v>
      </c>
      <c r="M516" t="n">
        <v>356.1499938964844</v>
      </c>
      <c r="N516" t="n">
        <v>9404.494000000001</v>
      </c>
      <c r="O516" t="n">
        <v>0.0006651243216418434</v>
      </c>
      <c r="P516" t="n">
        <v>0.01727216636869786</v>
      </c>
      <c r="Q516" t="n">
        <v>0.002663152805920666</v>
      </c>
      <c r="R516" t="n">
        <v>0.0006651243216418434</v>
      </c>
      <c r="S516" t="n">
        <v>0.002663152805920666</v>
      </c>
      <c r="T516" t="n">
        <v>0.01727216636869786</v>
      </c>
    </row>
    <row r="517">
      <c r="A517" s="123" t="n">
        <v>33086</v>
      </c>
      <c r="B517" t="n">
        <v>45.5</v>
      </c>
      <c r="C517" t="n">
        <v>46.9</v>
      </c>
      <c r="E517" t="n">
        <v>53.1</v>
      </c>
      <c r="F517" t="n">
        <v>47.9</v>
      </c>
      <c r="H517" t="n">
        <v>43</v>
      </c>
      <c r="I517" t="n">
        <v>50.1</v>
      </c>
      <c r="J517" t="n">
        <v>43.1</v>
      </c>
      <c r="K517" t="n">
        <v>54.6</v>
      </c>
      <c r="L517" t="n">
        <v>46.1</v>
      </c>
      <c r="M517" t="n">
        <v>322.5599975585938</v>
      </c>
      <c r="O517" t="n">
        <v>0.0006651243216418434</v>
      </c>
      <c r="P517" t="n">
        <v>0.01727216636869786</v>
      </c>
      <c r="Q517" t="n">
        <v>0.002663152805920666</v>
      </c>
    </row>
    <row r="518">
      <c r="A518" s="123" t="n">
        <v>33117</v>
      </c>
      <c r="B518" t="n">
        <v>44.9</v>
      </c>
      <c r="C518" t="n">
        <v>46</v>
      </c>
      <c r="E518" t="n">
        <v>70.2</v>
      </c>
      <c r="F518" t="n">
        <v>45.5</v>
      </c>
      <c r="H518" t="n">
        <v>40.8</v>
      </c>
      <c r="I518" t="n">
        <v>48.9</v>
      </c>
      <c r="J518" t="n">
        <v>41.3</v>
      </c>
      <c r="K518" t="n">
        <v>54.7</v>
      </c>
      <c r="L518" t="n">
        <v>44.5</v>
      </c>
      <c r="M518" t="n">
        <v>306.0499877929688</v>
      </c>
      <c r="O518" t="n">
        <v>0.0006651243216418434</v>
      </c>
      <c r="P518" t="n">
        <v>0.01727216636869786</v>
      </c>
      <c r="Q518" t="n">
        <v>0.002663152805920666</v>
      </c>
    </row>
    <row r="519">
      <c r="A519" s="123" t="n">
        <v>33147</v>
      </c>
      <c r="B519" t="n">
        <v>43.1</v>
      </c>
      <c r="C519" t="n">
        <v>47.4</v>
      </c>
      <c r="E519" t="n">
        <v>73.40000000000001</v>
      </c>
      <c r="F519" t="n">
        <v>43.6</v>
      </c>
      <c r="H519" t="n">
        <v>41.2</v>
      </c>
      <c r="I519" t="n">
        <v>48.1</v>
      </c>
      <c r="J519" t="n">
        <v>40.2</v>
      </c>
      <c r="K519" t="n">
        <v>51.5</v>
      </c>
      <c r="L519" t="n">
        <v>43.2</v>
      </c>
      <c r="M519" t="n">
        <v>304</v>
      </c>
      <c r="N519" t="n">
        <v>9318.876</v>
      </c>
      <c r="O519" t="n">
        <v>-0.009103945411629843</v>
      </c>
      <c r="P519" t="n">
        <v>0.006028586964982286</v>
      </c>
      <c r="Q519" t="n">
        <v>-0.03592150205110989</v>
      </c>
      <c r="R519" t="n">
        <v>-0.009103945411629843</v>
      </c>
      <c r="S519" t="n">
        <v>-0.03592150205110989</v>
      </c>
      <c r="T519" t="n">
        <v>0.006028586964982286</v>
      </c>
    </row>
    <row r="520">
      <c r="A520" s="123" t="n">
        <v>33178</v>
      </c>
      <c r="B520" t="n">
        <v>40.4</v>
      </c>
      <c r="C520" t="n">
        <v>43.1</v>
      </c>
      <c r="E520" t="n">
        <v>64.2</v>
      </c>
      <c r="F520" t="n">
        <v>42.1</v>
      </c>
      <c r="H520" t="n">
        <v>40.9</v>
      </c>
      <c r="I520" t="n">
        <v>48.6</v>
      </c>
      <c r="J520" t="n">
        <v>36.2</v>
      </c>
      <c r="K520" t="n">
        <v>55.5</v>
      </c>
      <c r="L520" t="n">
        <v>41.3</v>
      </c>
      <c r="M520" t="n">
        <v>322.2200012207031</v>
      </c>
      <c r="O520" t="n">
        <v>-0.009103945411629843</v>
      </c>
      <c r="P520" t="n">
        <v>0.006028586964982286</v>
      </c>
      <c r="Q520" t="n">
        <v>-0.03592150205110989</v>
      </c>
    </row>
    <row r="521">
      <c r="A521" s="123" t="n">
        <v>33208</v>
      </c>
      <c r="B521" t="n">
        <v>38.5</v>
      </c>
      <c r="C521" t="n">
        <v>46.5</v>
      </c>
      <c r="E521" t="n">
        <v>58.9</v>
      </c>
      <c r="F521" t="n">
        <v>41.8</v>
      </c>
      <c r="H521" t="n">
        <v>39.6</v>
      </c>
      <c r="I521" t="n">
        <v>47.2</v>
      </c>
      <c r="J521" t="n">
        <v>38.8</v>
      </c>
      <c r="K521" t="n">
        <v>56.5</v>
      </c>
      <c r="L521" t="n">
        <v>40.8</v>
      </c>
      <c r="M521" t="n">
        <v>330.2200012207031</v>
      </c>
      <c r="O521" t="n">
        <v>-0.009103945411629843</v>
      </c>
      <c r="P521" t="n">
        <v>0.006028586964982286</v>
      </c>
      <c r="Q521" t="n">
        <v>-0.03592150205110989</v>
      </c>
    </row>
    <row r="522">
      <c r="A522" s="123" t="n">
        <v>33239</v>
      </c>
      <c r="B522" t="n">
        <v>38.1</v>
      </c>
      <c r="C522" t="n">
        <v>44.6</v>
      </c>
      <c r="E522" t="n">
        <v>51.6</v>
      </c>
      <c r="F522" t="n">
        <v>38.9</v>
      </c>
      <c r="H522" t="n">
        <v>39.6</v>
      </c>
      <c r="I522" t="n">
        <v>44.4</v>
      </c>
      <c r="J522" t="n">
        <v>37.3</v>
      </c>
      <c r="K522" t="n">
        <v>55.9</v>
      </c>
      <c r="L522" t="n">
        <v>39.2</v>
      </c>
      <c r="M522" t="n">
        <v>343.9299926757812</v>
      </c>
      <c r="N522" t="n">
        <v>9275.276</v>
      </c>
      <c r="O522" t="n">
        <v>-0.004678675840305243</v>
      </c>
      <c r="P522" t="n">
        <v>-0.009502406971016092</v>
      </c>
      <c r="Q522" t="n">
        <v>-0.01858377250133569</v>
      </c>
      <c r="R522" t="n">
        <v>-0.004678675840305243</v>
      </c>
      <c r="S522" t="n">
        <v>-0.01858377250133569</v>
      </c>
      <c r="T522" t="n">
        <v>-0.009502406971016092</v>
      </c>
    </row>
    <row r="523">
      <c r="A523" s="123" t="n">
        <v>33270</v>
      </c>
      <c r="B523" t="n">
        <v>39.2</v>
      </c>
      <c r="C523" t="n">
        <v>45.8</v>
      </c>
      <c r="E523" t="n">
        <v>44.5</v>
      </c>
      <c r="F523" t="n">
        <v>39.1</v>
      </c>
      <c r="H523" t="n">
        <v>39.9</v>
      </c>
      <c r="I523" t="n">
        <v>44.7</v>
      </c>
      <c r="J523" t="n">
        <v>35.6</v>
      </c>
      <c r="K523" t="n">
        <v>53.3</v>
      </c>
      <c r="L523" t="n">
        <v>39.4</v>
      </c>
      <c r="M523" t="n">
        <v>367.0700073242188</v>
      </c>
      <c r="O523" t="n">
        <v>-0.004678675840305243</v>
      </c>
      <c r="P523" t="n">
        <v>-0.009502406971016092</v>
      </c>
      <c r="Q523" t="n">
        <v>-0.01858377250133569</v>
      </c>
    </row>
    <row r="524">
      <c r="A524" s="123" t="n">
        <v>33298</v>
      </c>
      <c r="B524" t="n">
        <v>42.4</v>
      </c>
      <c r="C524" t="n">
        <v>45.8</v>
      </c>
      <c r="E524" t="n">
        <v>41.2</v>
      </c>
      <c r="F524" t="n">
        <v>41.2</v>
      </c>
      <c r="H524" t="n">
        <v>43.6</v>
      </c>
      <c r="I524" t="n">
        <v>43.9</v>
      </c>
      <c r="J524" t="n">
        <v>33.6</v>
      </c>
      <c r="K524" t="n">
        <v>55.9</v>
      </c>
      <c r="L524" t="n">
        <v>40.7</v>
      </c>
      <c r="M524" t="n">
        <v>375.2200012207031</v>
      </c>
      <c r="O524" t="n">
        <v>-0.004678675840305243</v>
      </c>
      <c r="P524" t="n">
        <v>-0.009502406971016092</v>
      </c>
      <c r="Q524" t="n">
        <v>-0.01858377250133569</v>
      </c>
    </row>
    <row r="525">
      <c r="A525" s="123" t="n">
        <v>33329</v>
      </c>
      <c r="B525" t="n">
        <v>46.1</v>
      </c>
      <c r="C525" t="n">
        <v>45.2</v>
      </c>
      <c r="E525" t="n">
        <v>38.8</v>
      </c>
      <c r="F525" t="n">
        <v>44.5</v>
      </c>
      <c r="H525" t="n">
        <v>39.6</v>
      </c>
      <c r="I525" t="n">
        <v>45</v>
      </c>
      <c r="J525" t="n">
        <v>35.8</v>
      </c>
      <c r="K525" t="n">
        <v>53.9</v>
      </c>
      <c r="L525" t="n">
        <v>42.8</v>
      </c>
      <c r="M525" t="n">
        <v>375.3399963378906</v>
      </c>
      <c r="N525" t="n">
        <v>9347.597</v>
      </c>
      <c r="O525" t="n">
        <v>0.007797180375009856</v>
      </c>
      <c r="P525" t="n">
        <v>-0.005388879602283176</v>
      </c>
      <c r="Q525" t="n">
        <v>0.03155539747719072</v>
      </c>
      <c r="R525" t="n">
        <v>0.007797180375009856</v>
      </c>
      <c r="S525" t="n">
        <v>0.03155539747719072</v>
      </c>
      <c r="T525" t="n">
        <v>-0.005388879602283176</v>
      </c>
    </row>
    <row r="526">
      <c r="A526" s="123" t="n">
        <v>33359</v>
      </c>
      <c r="B526" t="n">
        <v>48.9</v>
      </c>
      <c r="C526" t="n">
        <v>47</v>
      </c>
      <c r="E526" t="n">
        <v>38.2</v>
      </c>
      <c r="F526" t="n">
        <v>46.9</v>
      </c>
      <c r="H526" t="n">
        <v>37.3</v>
      </c>
      <c r="I526" t="n">
        <v>46</v>
      </c>
      <c r="J526" t="n">
        <v>37.4</v>
      </c>
      <c r="K526" t="n">
        <v>53.2</v>
      </c>
      <c r="L526" t="n">
        <v>44.5</v>
      </c>
      <c r="M526" t="n">
        <v>389.8299865722656</v>
      </c>
      <c r="O526" t="n">
        <v>0.007797180375009856</v>
      </c>
      <c r="P526" t="n">
        <v>-0.005388879602283176</v>
      </c>
      <c r="Q526" t="n">
        <v>0.03155539747719072</v>
      </c>
    </row>
    <row r="527">
      <c r="A527" s="123" t="n">
        <v>33390</v>
      </c>
      <c r="B527" t="n">
        <v>58.4</v>
      </c>
      <c r="C527" t="n">
        <v>47</v>
      </c>
      <c r="E527" t="n">
        <v>39.6</v>
      </c>
      <c r="F527" t="n">
        <v>53.7</v>
      </c>
      <c r="H527" t="n">
        <v>37.1</v>
      </c>
      <c r="I527" t="n">
        <v>47.1</v>
      </c>
      <c r="J527" t="n">
        <v>43</v>
      </c>
      <c r="K527" t="n">
        <v>54.8</v>
      </c>
      <c r="L527" t="n">
        <v>50.3</v>
      </c>
      <c r="M527" t="n">
        <v>371.1600036621094</v>
      </c>
      <c r="O527" t="n">
        <v>0.007797180375009856</v>
      </c>
      <c r="P527" t="n">
        <v>-0.005388879602283176</v>
      </c>
      <c r="Q527" t="n">
        <v>0.03155539747719072</v>
      </c>
    </row>
    <row r="528">
      <c r="A528" s="123" t="n">
        <v>33420</v>
      </c>
      <c r="B528" t="n">
        <v>55.6</v>
      </c>
      <c r="C528" t="n">
        <v>47.6</v>
      </c>
      <c r="E528" t="n">
        <v>38.4</v>
      </c>
      <c r="F528" t="n">
        <v>57.2</v>
      </c>
      <c r="H528" t="n">
        <v>39.1</v>
      </c>
      <c r="I528" t="n">
        <v>49.6</v>
      </c>
      <c r="J528" t="n">
        <v>41.3</v>
      </c>
      <c r="K528" t="n">
        <v>52.8</v>
      </c>
      <c r="L528" t="n">
        <v>50.6</v>
      </c>
      <c r="M528" t="n">
        <v>387.8099975585938</v>
      </c>
      <c r="N528" t="n">
        <v>9394.834000000001</v>
      </c>
      <c r="O528" t="n">
        <v>0.005053384308288108</v>
      </c>
      <c r="P528" t="n">
        <v>-0.001027168500506232</v>
      </c>
      <c r="Q528" t="n">
        <v>0.02036727422997253</v>
      </c>
      <c r="R528" t="n">
        <v>0.005053384308288108</v>
      </c>
      <c r="S528" t="n">
        <v>0.02036727422997253</v>
      </c>
      <c r="T528" t="n">
        <v>-0.001027168500506232</v>
      </c>
    </row>
    <row r="529">
      <c r="A529" s="123" t="n">
        <v>33451</v>
      </c>
      <c r="B529" t="n">
        <v>60.1</v>
      </c>
      <c r="C529" t="n">
        <v>49.5</v>
      </c>
      <c r="E529" t="n">
        <v>41.8</v>
      </c>
      <c r="F529" t="n">
        <v>59.8</v>
      </c>
      <c r="H529" t="n">
        <v>39</v>
      </c>
      <c r="I529" t="n">
        <v>48.3</v>
      </c>
      <c r="J529" t="n">
        <v>44</v>
      </c>
      <c r="K529" t="n">
        <v>56.5</v>
      </c>
      <c r="L529" t="n">
        <v>52.9</v>
      </c>
      <c r="M529" t="n">
        <v>395.4299926757812</v>
      </c>
      <c r="O529" t="n">
        <v>0.005053384308288108</v>
      </c>
      <c r="P529" t="n">
        <v>-0.001027168500506232</v>
      </c>
      <c r="Q529" t="n">
        <v>0.02036727422997253</v>
      </c>
    </row>
    <row r="530">
      <c r="A530" s="123" t="n">
        <v>33482</v>
      </c>
      <c r="B530" t="n">
        <v>60.7</v>
      </c>
      <c r="C530" t="n">
        <v>49.5</v>
      </c>
      <c r="E530" t="n">
        <v>45.5</v>
      </c>
      <c r="F530" t="n">
        <v>61.2</v>
      </c>
      <c r="H530" t="n">
        <v>45.9</v>
      </c>
      <c r="I530" t="n">
        <v>48.8</v>
      </c>
      <c r="J530" t="n">
        <v>47.3</v>
      </c>
      <c r="K530" t="n">
        <v>53.8</v>
      </c>
      <c r="L530" t="n">
        <v>54.9</v>
      </c>
      <c r="M530" t="n">
        <v>387.8599853515625</v>
      </c>
      <c r="O530" t="n">
        <v>0.005053384308288108</v>
      </c>
      <c r="P530" t="n">
        <v>-0.001027168500506232</v>
      </c>
      <c r="Q530" t="n">
        <v>0.02036727422997253</v>
      </c>
    </row>
    <row r="531">
      <c r="A531" s="123" t="n">
        <v>33512</v>
      </c>
      <c r="B531" t="n">
        <v>58</v>
      </c>
      <c r="C531" t="n">
        <v>48.4</v>
      </c>
      <c r="E531" t="n">
        <v>50</v>
      </c>
      <c r="F531" t="n">
        <v>60.7</v>
      </c>
      <c r="H531" t="n">
        <v>40.5</v>
      </c>
      <c r="I531" t="n">
        <v>50.2</v>
      </c>
      <c r="J531" t="n">
        <v>44.7</v>
      </c>
      <c r="K531" t="n">
        <v>55.7</v>
      </c>
      <c r="L531" t="n">
        <v>53.1</v>
      </c>
      <c r="M531" t="n">
        <v>392.4500122070312</v>
      </c>
      <c r="N531" t="n">
        <v>9427.581</v>
      </c>
      <c r="O531" t="n">
        <v>0.003485639022466963</v>
      </c>
      <c r="P531" t="n">
        <v>0.01166503342248571</v>
      </c>
      <c r="Q531" t="n">
        <v>0.01401562371143839</v>
      </c>
      <c r="R531" t="n">
        <v>0.003485639022466963</v>
      </c>
      <c r="S531" t="n">
        <v>0.01401562371143839</v>
      </c>
      <c r="T531" t="n">
        <v>0.01166503342248571</v>
      </c>
    </row>
    <row r="532">
      <c r="A532" s="123" t="n">
        <v>33543</v>
      </c>
      <c r="B532" t="n">
        <v>53.5</v>
      </c>
      <c r="C532" t="n">
        <v>46.1</v>
      </c>
      <c r="E532" t="n">
        <v>47.6</v>
      </c>
      <c r="F532" t="n">
        <v>52.1</v>
      </c>
      <c r="H532" t="n">
        <v>42.8</v>
      </c>
      <c r="I532" t="n">
        <v>50.1</v>
      </c>
      <c r="J532" t="n">
        <v>43</v>
      </c>
      <c r="K532" t="n">
        <v>55.2</v>
      </c>
      <c r="L532" t="n">
        <v>49.5</v>
      </c>
      <c r="M532" t="n">
        <v>375.2200012207031</v>
      </c>
      <c r="O532" t="n">
        <v>0.003485639022466963</v>
      </c>
      <c r="P532" t="n">
        <v>0.01166503342248571</v>
      </c>
      <c r="Q532" t="n">
        <v>0.01401562371143839</v>
      </c>
    </row>
    <row r="533">
      <c r="A533" s="123" t="n">
        <v>33573</v>
      </c>
      <c r="B533" t="n">
        <v>49.5</v>
      </c>
      <c r="C533" t="n">
        <v>47.6</v>
      </c>
      <c r="E533" t="n">
        <v>48.9</v>
      </c>
      <c r="F533" t="n">
        <v>50.6</v>
      </c>
      <c r="H533" t="n">
        <v>38.8</v>
      </c>
      <c r="I533" t="n">
        <v>49.4</v>
      </c>
      <c r="J533" t="n">
        <v>39.8</v>
      </c>
      <c r="K533" t="n">
        <v>53.6</v>
      </c>
      <c r="L533" t="n">
        <v>46.8</v>
      </c>
      <c r="M533" t="n">
        <v>417.0899963378906</v>
      </c>
      <c r="O533" t="n">
        <v>0.003485639022466963</v>
      </c>
      <c r="P533" t="n">
        <v>0.01166503342248571</v>
      </c>
      <c r="Q533" t="n">
        <v>0.01401562371143839</v>
      </c>
    </row>
    <row r="534">
      <c r="A534" s="123" t="n">
        <v>33604</v>
      </c>
      <c r="B534" t="n">
        <v>49.6</v>
      </c>
      <c r="C534" t="n">
        <v>47</v>
      </c>
      <c r="E534" t="n">
        <v>45.4</v>
      </c>
      <c r="F534" t="n">
        <v>50.4</v>
      </c>
      <c r="H534" t="n">
        <v>44.1</v>
      </c>
      <c r="I534" t="n">
        <v>48.7</v>
      </c>
      <c r="J534" t="n">
        <v>40.6</v>
      </c>
      <c r="K534" t="n">
        <v>51.9</v>
      </c>
      <c r="L534" t="n">
        <v>47.3</v>
      </c>
      <c r="M534" t="n">
        <v>408.7799987792969</v>
      </c>
      <c r="N534" t="n">
        <v>9540.444</v>
      </c>
      <c r="O534" t="n">
        <v>0.0119715757414335</v>
      </c>
      <c r="P534" t="n">
        <v>0.02858869105350608</v>
      </c>
      <c r="Q534" t="n">
        <v>0.04875309825949259</v>
      </c>
      <c r="R534" t="n">
        <v>0.0119715757414335</v>
      </c>
      <c r="S534" t="n">
        <v>0.04875309825949259</v>
      </c>
      <c r="T534" t="n">
        <v>0.02858869105350608</v>
      </c>
    </row>
    <row r="535">
      <c r="A535" s="123" t="n">
        <v>33635</v>
      </c>
      <c r="B535" t="n">
        <v>58.3</v>
      </c>
      <c r="C535" t="n">
        <v>47.2</v>
      </c>
      <c r="E535" t="n">
        <v>45.9</v>
      </c>
      <c r="F535" t="n">
        <v>58.7</v>
      </c>
      <c r="H535" t="n">
        <v>44</v>
      </c>
      <c r="I535" t="n">
        <v>49.3</v>
      </c>
      <c r="J535" t="n">
        <v>43.9</v>
      </c>
      <c r="K535" t="n">
        <v>54.7</v>
      </c>
      <c r="L535" t="n">
        <v>52.7</v>
      </c>
      <c r="M535" t="n">
        <v>412.7000122070312</v>
      </c>
      <c r="O535" t="n">
        <v>0.0119715757414335</v>
      </c>
      <c r="P535" t="n">
        <v>0.02858869105350608</v>
      </c>
      <c r="Q535" t="n">
        <v>0.04875309825949259</v>
      </c>
    </row>
    <row r="536">
      <c r="A536" s="123" t="n">
        <v>33664</v>
      </c>
      <c r="B536" t="n">
        <v>63.3</v>
      </c>
      <c r="C536" t="n">
        <v>49.8</v>
      </c>
      <c r="E536" t="n">
        <v>48.1</v>
      </c>
      <c r="F536" t="n">
        <v>59.7</v>
      </c>
      <c r="H536" t="n">
        <v>44.3</v>
      </c>
      <c r="I536" t="n">
        <v>50.3</v>
      </c>
      <c r="J536" t="n">
        <v>43.7</v>
      </c>
      <c r="K536" t="n">
        <v>54.7</v>
      </c>
      <c r="L536" t="n">
        <v>54.6</v>
      </c>
      <c r="M536" t="n">
        <v>403.6900024414062</v>
      </c>
      <c r="O536" t="n">
        <v>0.0119715757414335</v>
      </c>
      <c r="P536" t="n">
        <v>0.02858869105350608</v>
      </c>
      <c r="Q536" t="n">
        <v>0.04875309825949259</v>
      </c>
    </row>
    <row r="537">
      <c r="A537" s="123" t="n">
        <v>33695</v>
      </c>
      <c r="B537" t="n">
        <v>59.1</v>
      </c>
      <c r="C537" t="n">
        <v>52.1</v>
      </c>
      <c r="E537" t="n">
        <v>51.1</v>
      </c>
      <c r="F537" t="n">
        <v>57.8</v>
      </c>
      <c r="H537" t="n">
        <v>43.2</v>
      </c>
      <c r="I537" t="n">
        <v>47.4</v>
      </c>
      <c r="J537" t="n">
        <v>45</v>
      </c>
      <c r="K537" t="n">
        <v>53.4</v>
      </c>
      <c r="L537" t="n">
        <v>52.6</v>
      </c>
      <c r="M537" t="n">
        <v>414.9500122070312</v>
      </c>
      <c r="N537" t="n">
        <v>9643.893</v>
      </c>
      <c r="O537" t="n">
        <v>0.0108432060394674</v>
      </c>
      <c r="P537" t="n">
        <v>0.03169755820667069</v>
      </c>
      <c r="Q537" t="n">
        <v>0.04408338824994829</v>
      </c>
      <c r="R537" t="n">
        <v>0.0108432060394674</v>
      </c>
      <c r="S537" t="n">
        <v>0.04408338824994829</v>
      </c>
      <c r="T537" t="n">
        <v>0.03169755820667069</v>
      </c>
    </row>
    <row r="538">
      <c r="A538" s="123" t="n">
        <v>33725</v>
      </c>
      <c r="B538" t="n">
        <v>60.9</v>
      </c>
      <c r="C538" t="n">
        <v>53.9</v>
      </c>
      <c r="E538" t="n">
        <v>55</v>
      </c>
      <c r="F538" t="n">
        <v>61.2</v>
      </c>
      <c r="H538" t="n">
        <v>47</v>
      </c>
      <c r="I538" t="n">
        <v>50</v>
      </c>
      <c r="J538" t="n">
        <v>49.5</v>
      </c>
      <c r="K538" t="n">
        <v>56.2</v>
      </c>
      <c r="L538" t="n">
        <v>55.7</v>
      </c>
      <c r="M538" t="n">
        <v>415.3500061035156</v>
      </c>
      <c r="O538" t="n">
        <v>0.0108432060394674</v>
      </c>
      <c r="P538" t="n">
        <v>0.03169755820667069</v>
      </c>
      <c r="Q538" t="n">
        <v>0.04408338824994829</v>
      </c>
    </row>
    <row r="539">
      <c r="A539" s="123" t="n">
        <v>33756</v>
      </c>
      <c r="B539" t="n">
        <v>59.8</v>
      </c>
      <c r="C539" t="n">
        <v>49.1</v>
      </c>
      <c r="E539" t="n">
        <v>53.9</v>
      </c>
      <c r="F539" t="n">
        <v>57.6</v>
      </c>
      <c r="H539" t="n">
        <v>43.1</v>
      </c>
      <c r="I539" t="n">
        <v>50.8</v>
      </c>
      <c r="J539" t="n">
        <v>46.6</v>
      </c>
      <c r="K539" t="n">
        <v>53.1</v>
      </c>
      <c r="L539" t="n">
        <v>53.6</v>
      </c>
      <c r="M539" t="n">
        <v>408.1400146484375</v>
      </c>
      <c r="O539" t="n">
        <v>0.0108432060394674</v>
      </c>
      <c r="P539" t="n">
        <v>0.03169755820667069</v>
      </c>
      <c r="Q539" t="n">
        <v>0.04408338824994829</v>
      </c>
    </row>
    <row r="540">
      <c r="A540" s="123" t="n">
        <v>33786</v>
      </c>
      <c r="B540" t="n">
        <v>59.5</v>
      </c>
      <c r="C540" t="n">
        <v>49.7</v>
      </c>
      <c r="E540" t="n">
        <v>56.2</v>
      </c>
      <c r="F540" t="n">
        <v>57.4</v>
      </c>
      <c r="H540" t="n">
        <v>46.9</v>
      </c>
      <c r="I540" t="n">
        <v>52.5</v>
      </c>
      <c r="J540" t="n">
        <v>45.5</v>
      </c>
      <c r="K540" t="n">
        <v>55.2</v>
      </c>
      <c r="L540" t="n">
        <v>53.9</v>
      </c>
      <c r="M540" t="n">
        <v>424.2099914550781</v>
      </c>
      <c r="N540" t="n">
        <v>9739.184999999999</v>
      </c>
      <c r="O540" t="n">
        <v>0.009881071886633277</v>
      </c>
      <c r="P540" t="n">
        <v>0.03665322878509601</v>
      </c>
      <c r="Q540" t="n">
        <v>0.04011396954581614</v>
      </c>
      <c r="R540" t="n">
        <v>0.009881071886633277</v>
      </c>
      <c r="S540" t="n">
        <v>0.04011396954581614</v>
      </c>
      <c r="T540" t="n">
        <v>0.03665322878509601</v>
      </c>
    </row>
    <row r="541">
      <c r="A541" s="123" t="n">
        <v>33817</v>
      </c>
      <c r="B541" t="n">
        <v>58.8</v>
      </c>
      <c r="C541" t="n">
        <v>48.6</v>
      </c>
      <c r="E541" t="n">
        <v>53.7</v>
      </c>
      <c r="F541" t="n">
        <v>56.8</v>
      </c>
      <c r="H541" t="n">
        <v>45.8</v>
      </c>
      <c r="I541" t="n">
        <v>50.3</v>
      </c>
      <c r="J541" t="n">
        <v>47.3</v>
      </c>
      <c r="K541" t="n">
        <v>53.3</v>
      </c>
      <c r="L541" t="n">
        <v>53.4</v>
      </c>
      <c r="M541" t="n">
        <v>414.0299987792969</v>
      </c>
      <c r="O541" t="n">
        <v>0.009881071886633277</v>
      </c>
      <c r="P541" t="n">
        <v>0.03665322878509601</v>
      </c>
      <c r="Q541" t="n">
        <v>0.04011396954581614</v>
      </c>
    </row>
    <row r="542">
      <c r="A542" s="123" t="n">
        <v>33848</v>
      </c>
      <c r="B542" t="n">
        <v>51.1</v>
      </c>
      <c r="C542" t="n">
        <v>46.7</v>
      </c>
      <c r="E542" t="n">
        <v>51.6</v>
      </c>
      <c r="F542" t="n">
        <v>53.9</v>
      </c>
      <c r="H542" t="n">
        <v>42.3</v>
      </c>
      <c r="I542" t="n">
        <v>51.2</v>
      </c>
      <c r="J542" t="n">
        <v>45.1</v>
      </c>
      <c r="K542" t="n">
        <v>55.8</v>
      </c>
      <c r="L542" t="n">
        <v>49.7</v>
      </c>
      <c r="M542" t="n">
        <v>417.7999877929688</v>
      </c>
      <c r="O542" t="n">
        <v>0.009881071886633277</v>
      </c>
      <c r="P542" t="n">
        <v>0.03665322878509601</v>
      </c>
      <c r="Q542" t="n">
        <v>0.04011396954581614</v>
      </c>
    </row>
    <row r="543">
      <c r="A543" s="123" t="n">
        <v>33878</v>
      </c>
      <c r="B543" t="n">
        <v>53.8</v>
      </c>
      <c r="C543" t="n">
        <v>47.7</v>
      </c>
      <c r="E543" t="n">
        <v>46.4</v>
      </c>
      <c r="F543" t="n">
        <v>54.7</v>
      </c>
      <c r="H543" t="n">
        <v>42.4</v>
      </c>
      <c r="I543" t="n">
        <v>48.6</v>
      </c>
      <c r="J543" t="n">
        <v>44.7</v>
      </c>
      <c r="K543" t="n">
        <v>53.8</v>
      </c>
      <c r="L543" t="n">
        <v>50.3</v>
      </c>
      <c r="M543" t="n">
        <v>418.6799926757812</v>
      </c>
      <c r="N543" t="n">
        <v>9840.753000000001</v>
      </c>
      <c r="O543" t="n">
        <v>0.01042879871365018</v>
      </c>
      <c r="P543" t="n">
        <v>0.04382587643638389</v>
      </c>
      <c r="Q543" t="n">
        <v>0.04237230267698999</v>
      </c>
      <c r="R543" t="n">
        <v>0.01042879871365018</v>
      </c>
      <c r="S543" t="n">
        <v>0.04237230267698999</v>
      </c>
      <c r="T543" t="n">
        <v>0.04382587643638389</v>
      </c>
    </row>
    <row r="544">
      <c r="A544" s="123" t="n">
        <v>33909</v>
      </c>
      <c r="B544" t="n">
        <v>58.8</v>
      </c>
      <c r="C544" t="n">
        <v>48</v>
      </c>
      <c r="E544" t="n">
        <v>42.1</v>
      </c>
      <c r="F544" t="n">
        <v>58.6</v>
      </c>
      <c r="H544" t="n">
        <v>42.1</v>
      </c>
      <c r="I544" t="n">
        <v>51.3</v>
      </c>
      <c r="J544" t="n">
        <v>47.1</v>
      </c>
      <c r="K544" t="n">
        <v>52.9</v>
      </c>
      <c r="L544" t="n">
        <v>53.6</v>
      </c>
      <c r="M544" t="n">
        <v>431.3500061035156</v>
      </c>
      <c r="O544" t="n">
        <v>0.01042879871365018</v>
      </c>
      <c r="P544" t="n">
        <v>0.04382587643638389</v>
      </c>
      <c r="Q544" t="n">
        <v>0.04237230267698999</v>
      </c>
    </row>
    <row r="545">
      <c r="A545" s="123" t="n">
        <v>33939</v>
      </c>
      <c r="B545" t="n">
        <v>61</v>
      </c>
      <c r="C545" t="n">
        <v>51.4</v>
      </c>
      <c r="E545" t="n">
        <v>48</v>
      </c>
      <c r="F545" t="n">
        <v>57.9</v>
      </c>
      <c r="H545" t="n">
        <v>45</v>
      </c>
      <c r="I545" t="n">
        <v>51.5</v>
      </c>
      <c r="J545" t="n">
        <v>45.9</v>
      </c>
      <c r="K545" t="n">
        <v>53.1</v>
      </c>
      <c r="L545" t="n">
        <v>54.2</v>
      </c>
      <c r="M545" t="n">
        <v>435.7099914550781</v>
      </c>
      <c r="O545" t="n">
        <v>0.01042879871365018</v>
      </c>
      <c r="P545" t="n">
        <v>0.04382587643638389</v>
      </c>
      <c r="Q545" t="n">
        <v>0.04237230267698999</v>
      </c>
    </row>
    <row r="546">
      <c r="A546" s="123" t="n">
        <v>33970</v>
      </c>
      <c r="B546" t="n">
        <v>63</v>
      </c>
      <c r="C546" t="n">
        <v>49.4</v>
      </c>
      <c r="D546" t="n">
        <v>56.5</v>
      </c>
      <c r="E546" t="n">
        <v>49.8</v>
      </c>
      <c r="F546" t="n">
        <v>61.5</v>
      </c>
      <c r="H546" t="n">
        <v>43.3</v>
      </c>
      <c r="I546" t="n">
        <v>52.3</v>
      </c>
      <c r="J546" t="n">
        <v>46.9</v>
      </c>
      <c r="K546" t="n">
        <v>53.4</v>
      </c>
      <c r="L546" t="n">
        <v>55.8</v>
      </c>
      <c r="M546" t="n">
        <v>438.7799987792969</v>
      </c>
      <c r="N546" t="n">
        <v>9857.184999999999</v>
      </c>
      <c r="O546" t="n">
        <v>0.001669790919454932</v>
      </c>
      <c r="P546" t="n">
        <v>0.03319981753469755</v>
      </c>
      <c r="Q546" t="n">
        <v>0.006695911518737718</v>
      </c>
      <c r="R546" t="n">
        <v>0.001669790919454932</v>
      </c>
      <c r="S546" t="n">
        <v>0.006695911518737718</v>
      </c>
      <c r="T546" t="n">
        <v>0.03319981753469755</v>
      </c>
    </row>
    <row r="547">
      <c r="A547" s="123" t="n">
        <v>34001</v>
      </c>
      <c r="B547" t="n">
        <v>59.7</v>
      </c>
      <c r="C547" t="n">
        <v>49.5</v>
      </c>
      <c r="D547" t="n">
        <v>56</v>
      </c>
      <c r="E547" t="n">
        <v>53.9</v>
      </c>
      <c r="F547" t="n">
        <v>63.5</v>
      </c>
      <c r="H547" t="n">
        <v>42.6</v>
      </c>
      <c r="I547" t="n">
        <v>51.7</v>
      </c>
      <c r="J547" t="n">
        <v>47</v>
      </c>
      <c r="K547" t="n">
        <v>53.2</v>
      </c>
      <c r="L547" t="n">
        <v>55.2</v>
      </c>
      <c r="M547" t="n">
        <v>443.3800048828125</v>
      </c>
      <c r="O547" t="n">
        <v>0.001669790919454932</v>
      </c>
      <c r="P547" t="n">
        <v>0.03319981753469755</v>
      </c>
      <c r="Q547" t="n">
        <v>0.006695911518737718</v>
      </c>
    </row>
    <row r="548">
      <c r="A548" s="123" t="n">
        <v>34029</v>
      </c>
      <c r="B548" t="n">
        <v>58.1</v>
      </c>
      <c r="C548" t="n">
        <v>49.4</v>
      </c>
      <c r="D548" t="n">
        <v>54.5</v>
      </c>
      <c r="E548" t="n">
        <v>53.6</v>
      </c>
      <c r="F548" t="n">
        <v>56.7</v>
      </c>
      <c r="H548" t="n">
        <v>45.6</v>
      </c>
      <c r="I548" t="n">
        <v>52.7</v>
      </c>
      <c r="J548" t="n">
        <v>47.1</v>
      </c>
      <c r="K548" t="n">
        <v>52.3</v>
      </c>
      <c r="L548" t="n">
        <v>53.5</v>
      </c>
      <c r="M548" t="n">
        <v>451.6700134277344</v>
      </c>
      <c r="O548" t="n">
        <v>0.001669790919454932</v>
      </c>
      <c r="P548" t="n">
        <v>0.03319981753469755</v>
      </c>
      <c r="Q548" t="n">
        <v>0.006695911518737718</v>
      </c>
    </row>
    <row r="549">
      <c r="A549" s="123" t="n">
        <v>34060</v>
      </c>
      <c r="B549" t="n">
        <v>53</v>
      </c>
      <c r="C549" t="n">
        <v>50.1</v>
      </c>
      <c r="D549" t="n">
        <v>51</v>
      </c>
      <c r="E549" t="n">
        <v>54.6</v>
      </c>
      <c r="F549" t="n">
        <v>51.6</v>
      </c>
      <c r="H549" t="n">
        <v>44.7</v>
      </c>
      <c r="I549" t="n">
        <v>52.8</v>
      </c>
      <c r="J549" t="n">
        <v>44.8</v>
      </c>
      <c r="K549" t="n">
        <v>53.5</v>
      </c>
      <c r="L549" t="n">
        <v>50.2</v>
      </c>
      <c r="M549" t="n">
        <v>440.1900024414062</v>
      </c>
      <c r="N549" t="n">
        <v>9914.565000000001</v>
      </c>
      <c r="O549" t="n">
        <v>0.005821134532830724</v>
      </c>
      <c r="P549" t="n">
        <v>0.02806667390440774</v>
      </c>
      <c r="Q549" t="n">
        <v>0.02348864193376721</v>
      </c>
      <c r="R549" t="n">
        <v>0.005821134532830724</v>
      </c>
      <c r="S549" t="n">
        <v>0.02348864193376721</v>
      </c>
      <c r="T549" t="n">
        <v>0.02806667390440774</v>
      </c>
    </row>
    <row r="550">
      <c r="A550" s="123" t="n">
        <v>34090</v>
      </c>
      <c r="B550" t="n">
        <v>55.2</v>
      </c>
      <c r="C550" t="n">
        <v>47.4</v>
      </c>
      <c r="D550" t="n">
        <v>51.5</v>
      </c>
      <c r="E550" t="n">
        <v>50.4</v>
      </c>
      <c r="F550" t="n">
        <v>55</v>
      </c>
      <c r="H550" t="n">
        <v>44.8</v>
      </c>
      <c r="I550" t="n">
        <v>51.5</v>
      </c>
      <c r="J550" t="n">
        <v>43.6</v>
      </c>
      <c r="K550" t="n">
        <v>54.2</v>
      </c>
      <c r="L550" t="n">
        <v>51.2</v>
      </c>
      <c r="M550" t="n">
        <v>450.1900024414062</v>
      </c>
      <c r="O550" t="n">
        <v>0.005821134532830724</v>
      </c>
      <c r="P550" t="n">
        <v>0.02806667390440774</v>
      </c>
      <c r="Q550" t="n">
        <v>0.02348864193376721</v>
      </c>
    </row>
    <row r="551">
      <c r="A551" s="123" t="n">
        <v>34121</v>
      </c>
      <c r="B551" t="n">
        <v>51.6</v>
      </c>
      <c r="C551" t="n">
        <v>49.8</v>
      </c>
      <c r="D551" t="n">
        <v>52</v>
      </c>
      <c r="E551" t="n">
        <v>50.6</v>
      </c>
      <c r="F551" t="n">
        <v>53.1</v>
      </c>
      <c r="H551" t="n">
        <v>46.5</v>
      </c>
      <c r="I551" t="n">
        <v>50.4</v>
      </c>
      <c r="J551" t="n">
        <v>43.2</v>
      </c>
      <c r="K551" t="n">
        <v>52.4</v>
      </c>
      <c r="L551" t="n">
        <v>49.6</v>
      </c>
      <c r="M551" t="n">
        <v>450.5299987792969</v>
      </c>
      <c r="O551" t="n">
        <v>0.005821134532830724</v>
      </c>
      <c r="P551" t="n">
        <v>0.02806667390440774</v>
      </c>
      <c r="Q551" t="n">
        <v>0.02348864193376721</v>
      </c>
    </row>
    <row r="552">
      <c r="A552" s="123" t="n">
        <v>34151</v>
      </c>
      <c r="B552" t="n">
        <v>53.8</v>
      </c>
      <c r="C552" t="n">
        <v>48.7</v>
      </c>
      <c r="D552" t="n">
        <v>45</v>
      </c>
      <c r="E552" t="n">
        <v>51.4</v>
      </c>
      <c r="F552" t="n">
        <v>52.7</v>
      </c>
      <c r="H552" t="n">
        <v>45.5</v>
      </c>
      <c r="I552" t="n">
        <v>51</v>
      </c>
      <c r="J552" t="n">
        <v>43.6</v>
      </c>
      <c r="K552" t="n">
        <v>50.1</v>
      </c>
      <c r="L552" t="n">
        <v>50.2</v>
      </c>
      <c r="M552" t="n">
        <v>448.1300048828125</v>
      </c>
      <c r="N552" t="n">
        <v>9961.873</v>
      </c>
      <c r="O552" t="n">
        <v>0.004771565873036193</v>
      </c>
      <c r="P552" t="n">
        <v>0.02286515760815716</v>
      </c>
      <c r="Q552" t="n">
        <v>0.01922330560881425</v>
      </c>
      <c r="R552" t="n">
        <v>0.004771565873036193</v>
      </c>
      <c r="S552" t="n">
        <v>0.01922330560881425</v>
      </c>
      <c r="T552" t="n">
        <v>0.02286515760815716</v>
      </c>
    </row>
    <row r="553">
      <c r="A553" s="123" t="n">
        <v>34182</v>
      </c>
      <c r="B553" t="n">
        <v>55.3</v>
      </c>
      <c r="C553" t="n">
        <v>49.4</v>
      </c>
      <c r="D553" t="n">
        <v>51</v>
      </c>
      <c r="E553" t="n">
        <v>52.3</v>
      </c>
      <c r="F553" t="n">
        <v>53.9</v>
      </c>
      <c r="H553" t="n">
        <v>44.4</v>
      </c>
      <c r="I553" t="n">
        <v>51.8</v>
      </c>
      <c r="J553" t="n">
        <v>41.9</v>
      </c>
      <c r="K553" t="n">
        <v>52.6</v>
      </c>
      <c r="L553" t="n">
        <v>50.7</v>
      </c>
      <c r="M553" t="n">
        <v>463.5599975585938</v>
      </c>
      <c r="O553" t="n">
        <v>0.004771565873036193</v>
      </c>
      <c r="P553" t="n">
        <v>0.02286515760815716</v>
      </c>
      <c r="Q553" t="n">
        <v>0.01922330560881425</v>
      </c>
    </row>
    <row r="554">
      <c r="A554" s="123" t="n">
        <v>34213</v>
      </c>
      <c r="B554" t="n">
        <v>52.6</v>
      </c>
      <c r="C554" t="n">
        <v>49.9</v>
      </c>
      <c r="D554" t="n">
        <v>49</v>
      </c>
      <c r="E554" t="n">
        <v>49</v>
      </c>
      <c r="F554" t="n">
        <v>55.2</v>
      </c>
      <c r="H554" t="n">
        <v>46.2</v>
      </c>
      <c r="I554" t="n">
        <v>51.3</v>
      </c>
      <c r="J554" t="n">
        <v>44.5</v>
      </c>
      <c r="K554" t="n">
        <v>51.7</v>
      </c>
      <c r="L554" t="n">
        <v>50.8</v>
      </c>
      <c r="M554" t="n">
        <v>458.9299926757812</v>
      </c>
      <c r="O554" t="n">
        <v>0.004771565873036193</v>
      </c>
      <c r="P554" t="n">
        <v>0.02286515760815716</v>
      </c>
      <c r="Q554" t="n">
        <v>0.01922330560881425</v>
      </c>
    </row>
    <row r="555">
      <c r="A555" s="123" t="n">
        <v>34243</v>
      </c>
      <c r="B555" t="n">
        <v>58.9</v>
      </c>
      <c r="C555" t="n">
        <v>49.4</v>
      </c>
      <c r="D555" t="n">
        <v>55.5</v>
      </c>
      <c r="E555" t="n">
        <v>50.9</v>
      </c>
      <c r="F555" t="n">
        <v>56.1</v>
      </c>
      <c r="H555" t="n">
        <v>48.6</v>
      </c>
      <c r="I555" t="n">
        <v>50.7</v>
      </c>
      <c r="J555" t="n">
        <v>46</v>
      </c>
      <c r="K555" t="n">
        <v>54.1</v>
      </c>
      <c r="L555" t="n">
        <v>53.4</v>
      </c>
      <c r="M555" t="n">
        <v>467.8299865722656</v>
      </c>
      <c r="N555" t="n">
        <v>10097.362</v>
      </c>
      <c r="O555" t="n">
        <v>0.01360075560087943</v>
      </c>
      <c r="P555" t="n">
        <v>0.02607615494464687</v>
      </c>
      <c r="Q555" t="n">
        <v>0.05552300343997651</v>
      </c>
      <c r="R555" t="n">
        <v>0.01360075560087943</v>
      </c>
      <c r="S555" t="n">
        <v>0.05552300343997651</v>
      </c>
      <c r="T555" t="n">
        <v>0.02607615494464687</v>
      </c>
    </row>
    <row r="556">
      <c r="A556" s="123" t="n">
        <v>34274</v>
      </c>
      <c r="B556" t="n">
        <v>60.4</v>
      </c>
      <c r="C556" t="n">
        <v>51.5</v>
      </c>
      <c r="D556" t="n">
        <v>56.5</v>
      </c>
      <c r="E556" t="n">
        <v>52.7</v>
      </c>
      <c r="F556" t="n">
        <v>57.5</v>
      </c>
      <c r="H556" t="n">
        <v>45.5</v>
      </c>
      <c r="I556" t="n">
        <v>50.9</v>
      </c>
      <c r="J556" t="n">
        <v>45.5</v>
      </c>
      <c r="K556" t="n">
        <v>55</v>
      </c>
      <c r="L556" t="n">
        <v>53.8</v>
      </c>
      <c r="M556" t="n">
        <v>461.7900085449219</v>
      </c>
      <c r="O556" t="n">
        <v>0.01360075560087943</v>
      </c>
      <c r="P556" t="n">
        <v>0.02607615494464687</v>
      </c>
      <c r="Q556" t="n">
        <v>0.05552300343997651</v>
      </c>
    </row>
    <row r="557">
      <c r="A557" s="123" t="n">
        <v>34304</v>
      </c>
      <c r="B557" t="n">
        <v>62.4</v>
      </c>
      <c r="C557" t="n">
        <v>50.3</v>
      </c>
      <c r="D557" t="n">
        <v>54.5</v>
      </c>
      <c r="E557" t="n">
        <v>53.1</v>
      </c>
      <c r="F557" t="n">
        <v>61.7</v>
      </c>
      <c r="H557" t="n">
        <v>43.2</v>
      </c>
      <c r="I557" t="n">
        <v>51.5</v>
      </c>
      <c r="J557" t="n">
        <v>47.1</v>
      </c>
      <c r="K557" t="n">
        <v>53.8</v>
      </c>
      <c r="L557" t="n">
        <v>55.6</v>
      </c>
      <c r="M557" t="n">
        <v>466.4500122070312</v>
      </c>
      <c r="O557" t="n">
        <v>0.01360075560087943</v>
      </c>
      <c r="P557" t="n">
        <v>0.02607615494464687</v>
      </c>
      <c r="Q557" t="n">
        <v>0.05552300343997651</v>
      </c>
    </row>
    <row r="558">
      <c r="A558" s="123" t="n">
        <v>34335</v>
      </c>
      <c r="B558" t="n">
        <v>63.5</v>
      </c>
      <c r="C558" t="n">
        <v>52.4</v>
      </c>
      <c r="D558" t="n">
        <v>58</v>
      </c>
      <c r="E558" t="n">
        <v>58.9</v>
      </c>
      <c r="F558" t="n">
        <v>59.7</v>
      </c>
      <c r="H558" t="n">
        <v>43.9</v>
      </c>
      <c r="I558" t="n">
        <v>54.4</v>
      </c>
      <c r="J558" t="n">
        <v>47.5</v>
      </c>
      <c r="K558" t="n">
        <v>55.3</v>
      </c>
      <c r="L558" t="n">
        <v>56</v>
      </c>
      <c r="M558" t="n">
        <v>481.6099853515625</v>
      </c>
      <c r="N558" t="n">
        <v>10195.338</v>
      </c>
      <c r="O558" t="n">
        <v>0.009703128401259713</v>
      </c>
      <c r="P558" t="n">
        <v>0.03430523014430593</v>
      </c>
      <c r="Q558" t="n">
        <v>0.03938108089937553</v>
      </c>
      <c r="R558" t="n">
        <v>0.009703128401259713</v>
      </c>
      <c r="S558" t="n">
        <v>0.03938108089937553</v>
      </c>
      <c r="T558" t="n">
        <v>0.03430523014430593</v>
      </c>
    </row>
    <row r="559">
      <c r="A559" s="123" t="n">
        <v>34366</v>
      </c>
      <c r="B559" t="n">
        <v>62.2</v>
      </c>
      <c r="C559" t="n">
        <v>51.9</v>
      </c>
      <c r="D559" t="n">
        <v>56.5</v>
      </c>
      <c r="E559" t="n">
        <v>63</v>
      </c>
      <c r="F559" t="n">
        <v>60.2</v>
      </c>
      <c r="H559" t="n">
        <v>44.6</v>
      </c>
      <c r="I559" t="n">
        <v>57</v>
      </c>
      <c r="J559" t="n">
        <v>48.7</v>
      </c>
      <c r="K559" t="n">
        <v>58.3</v>
      </c>
      <c r="L559" t="n">
        <v>56.5</v>
      </c>
      <c r="M559" t="n">
        <v>467.1400146484375</v>
      </c>
      <c r="O559" t="n">
        <v>0.009703128401259713</v>
      </c>
      <c r="P559" t="n">
        <v>0.03430523014430593</v>
      </c>
      <c r="Q559" t="n">
        <v>0.03938108089937553</v>
      </c>
    </row>
    <row r="560">
      <c r="A560" s="123" t="n">
        <v>34394</v>
      </c>
      <c r="B560" t="n">
        <v>62.8</v>
      </c>
      <c r="C560" t="n">
        <v>51.8</v>
      </c>
      <c r="D560" t="n">
        <v>56.5</v>
      </c>
      <c r="E560" t="n">
        <v>62.9</v>
      </c>
      <c r="F560" t="n">
        <v>63.4</v>
      </c>
      <c r="H560" t="n">
        <v>43</v>
      </c>
      <c r="I560" t="n">
        <v>55.4</v>
      </c>
      <c r="J560" t="n">
        <v>48.2</v>
      </c>
      <c r="K560" t="n">
        <v>55.2</v>
      </c>
      <c r="L560" t="n">
        <v>56.9</v>
      </c>
      <c r="M560" t="n">
        <v>445.7699890136719</v>
      </c>
      <c r="O560" t="n">
        <v>0.009703128401259713</v>
      </c>
      <c r="P560" t="n">
        <v>0.03430523014430593</v>
      </c>
      <c r="Q560" t="n">
        <v>0.03938108089937553</v>
      </c>
    </row>
    <row r="561">
      <c r="A561" s="123" t="n">
        <v>34425</v>
      </c>
      <c r="B561" t="n">
        <v>62.7</v>
      </c>
      <c r="C561" t="n">
        <v>51.8</v>
      </c>
      <c r="D561" t="n">
        <v>61.5</v>
      </c>
      <c r="E561" t="n">
        <v>63.5</v>
      </c>
      <c r="F561" t="n">
        <v>61.4</v>
      </c>
      <c r="H561" t="n">
        <v>45.9</v>
      </c>
      <c r="I561" t="n">
        <v>57.2</v>
      </c>
      <c r="J561" t="n">
        <v>50.1</v>
      </c>
      <c r="K561" t="n">
        <v>56.9</v>
      </c>
      <c r="L561" t="n">
        <v>57.4</v>
      </c>
      <c r="M561" t="n">
        <v>450.9100036621094</v>
      </c>
      <c r="N561" t="n">
        <v>10333.495</v>
      </c>
      <c r="O561" t="n">
        <v>0.01355099752455496</v>
      </c>
      <c r="P561" t="n">
        <v>0.0422539970235709</v>
      </c>
      <c r="Q561" t="n">
        <v>0.05531575447492609</v>
      </c>
      <c r="R561" t="n">
        <v>0.01355099752455496</v>
      </c>
      <c r="S561" t="n">
        <v>0.05531575447492609</v>
      </c>
      <c r="T561" t="n">
        <v>0.0422539970235709</v>
      </c>
    </row>
    <row r="562">
      <c r="A562" s="123" t="n">
        <v>34455</v>
      </c>
      <c r="B562" t="n">
        <v>61.6</v>
      </c>
      <c r="C562" t="n">
        <v>53.4</v>
      </c>
      <c r="D562" t="n">
        <v>61.5</v>
      </c>
      <c r="E562" t="n">
        <v>67.8</v>
      </c>
      <c r="F562" t="n">
        <v>62.7</v>
      </c>
      <c r="H562" t="n">
        <v>47.6</v>
      </c>
      <c r="I562" t="n">
        <v>60.2</v>
      </c>
      <c r="J562" t="n">
        <v>51.4</v>
      </c>
      <c r="K562" t="n">
        <v>54.9</v>
      </c>
      <c r="L562" t="n">
        <v>58.2</v>
      </c>
      <c r="M562" t="n">
        <v>456.5</v>
      </c>
      <c r="O562" t="n">
        <v>0.01355099752455496</v>
      </c>
      <c r="P562" t="n">
        <v>0.0422539970235709</v>
      </c>
      <c r="Q562" t="n">
        <v>0.05531575447492609</v>
      </c>
    </row>
    <row r="563">
      <c r="A563" s="123" t="n">
        <v>34486</v>
      </c>
      <c r="B563" t="n">
        <v>65</v>
      </c>
      <c r="C563" t="n">
        <v>55.2</v>
      </c>
      <c r="D563" t="n">
        <v>60</v>
      </c>
      <c r="E563" t="n">
        <v>69.7</v>
      </c>
      <c r="F563" t="n">
        <v>62</v>
      </c>
      <c r="H563" t="n">
        <v>48.3</v>
      </c>
      <c r="I563" t="n">
        <v>60.3</v>
      </c>
      <c r="J563" t="n">
        <v>49.5</v>
      </c>
      <c r="K563" t="n">
        <v>57.8</v>
      </c>
      <c r="L563" t="n">
        <v>58.8</v>
      </c>
      <c r="M563" t="n">
        <v>444.2699890136719</v>
      </c>
      <c r="O563" t="n">
        <v>0.01355099752455496</v>
      </c>
      <c r="P563" t="n">
        <v>0.0422539970235709</v>
      </c>
      <c r="Q563" t="n">
        <v>0.05531575447492609</v>
      </c>
    </row>
    <row r="564">
      <c r="A564" s="123" t="n">
        <v>34516</v>
      </c>
      <c r="B564" t="n">
        <v>64.2</v>
      </c>
      <c r="C564" t="n">
        <v>51.1</v>
      </c>
      <c r="D564" t="n">
        <v>59.5</v>
      </c>
      <c r="E564" t="n">
        <v>71.59999999999999</v>
      </c>
      <c r="F564" t="n">
        <v>62.3</v>
      </c>
      <c r="H564" t="n">
        <v>45.1</v>
      </c>
      <c r="I564" t="n">
        <v>58.1</v>
      </c>
      <c r="J564" t="n">
        <v>52.3</v>
      </c>
      <c r="K564" t="n">
        <v>56.7</v>
      </c>
      <c r="L564" t="n">
        <v>58.5</v>
      </c>
      <c r="M564" t="n">
        <v>458.260009765625</v>
      </c>
      <c r="N564" t="n">
        <v>10393.898</v>
      </c>
      <c r="O564" t="n">
        <v>0.005845360161300549</v>
      </c>
      <c r="P564" t="n">
        <v>0.04336784859634325</v>
      </c>
      <c r="Q564" t="n">
        <v>0.02358725012773033</v>
      </c>
      <c r="R564" t="n">
        <v>0.005845360161300549</v>
      </c>
      <c r="S564" t="n">
        <v>0.02358725012773033</v>
      </c>
      <c r="T564" t="n">
        <v>0.04336784859634325</v>
      </c>
    </row>
    <row r="565">
      <c r="A565" s="123" t="n">
        <v>34547</v>
      </c>
      <c r="B565" t="n">
        <v>63</v>
      </c>
      <c r="C565" t="n">
        <v>51.3</v>
      </c>
      <c r="D565" t="n">
        <v>60.5</v>
      </c>
      <c r="E565" t="n">
        <v>75.2</v>
      </c>
      <c r="F565" t="n">
        <v>60.2</v>
      </c>
      <c r="H565" t="n">
        <v>44.9</v>
      </c>
      <c r="I565" t="n">
        <v>61.6</v>
      </c>
      <c r="J565" t="n">
        <v>51.4</v>
      </c>
      <c r="K565" t="n">
        <v>57.7</v>
      </c>
      <c r="L565" t="n">
        <v>58</v>
      </c>
      <c r="M565" t="n">
        <v>475.489990234375</v>
      </c>
      <c r="O565" t="n">
        <v>0.005845360161300549</v>
      </c>
      <c r="P565" t="n">
        <v>0.04336784859634325</v>
      </c>
      <c r="Q565" t="n">
        <v>0.02358725012773033</v>
      </c>
    </row>
    <row r="566">
      <c r="A566" s="123" t="n">
        <v>34578</v>
      </c>
      <c r="B566" t="n">
        <v>62.7</v>
      </c>
      <c r="C566" t="n">
        <v>53</v>
      </c>
      <c r="D566" t="n">
        <v>60.5</v>
      </c>
      <c r="E566" t="n">
        <v>80.3</v>
      </c>
      <c r="F566" t="n">
        <v>62.8</v>
      </c>
      <c r="H566" t="n">
        <v>46.1</v>
      </c>
      <c r="I566" t="n">
        <v>62.5</v>
      </c>
      <c r="J566" t="n">
        <v>52.5</v>
      </c>
      <c r="K566" t="n">
        <v>60</v>
      </c>
      <c r="L566" t="n">
        <v>59</v>
      </c>
      <c r="M566" t="n">
        <v>462.7099914550781</v>
      </c>
      <c r="O566" t="n">
        <v>0.005845360161300549</v>
      </c>
      <c r="P566" t="n">
        <v>0.04336784859634325</v>
      </c>
      <c r="Q566" t="n">
        <v>0.02358725012773033</v>
      </c>
    </row>
    <row r="567">
      <c r="A567" s="123" t="n">
        <v>34608</v>
      </c>
      <c r="B567" t="n">
        <v>63</v>
      </c>
      <c r="C567" t="n">
        <v>53.7</v>
      </c>
      <c r="D567" t="n">
        <v>60.5</v>
      </c>
      <c r="E567" t="n">
        <v>84.09999999999999</v>
      </c>
      <c r="F567" t="n">
        <v>63.3</v>
      </c>
      <c r="H567" t="n">
        <v>47.6</v>
      </c>
      <c r="I567" t="n">
        <v>64.90000000000001</v>
      </c>
      <c r="J567" t="n">
        <v>51.1</v>
      </c>
      <c r="K567" t="n">
        <v>58.5</v>
      </c>
      <c r="L567" t="n">
        <v>59.4</v>
      </c>
      <c r="M567" t="n">
        <v>472.3500061035156</v>
      </c>
      <c r="N567" t="n">
        <v>10512.962</v>
      </c>
      <c r="O567" t="n">
        <v>0.01145518264658748</v>
      </c>
      <c r="P567" t="n">
        <v>0.04115926516252467</v>
      </c>
      <c r="Q567" t="n">
        <v>0.04661408771384168</v>
      </c>
      <c r="R567" t="n">
        <v>0.01145518264658748</v>
      </c>
      <c r="S567" t="n">
        <v>0.04661408771384168</v>
      </c>
      <c r="T567" t="n">
        <v>0.04115926516252467</v>
      </c>
    </row>
    <row r="568">
      <c r="A568" s="123" t="n">
        <v>34639</v>
      </c>
      <c r="B568" t="n">
        <v>61.5</v>
      </c>
      <c r="C568" t="n">
        <v>53.2</v>
      </c>
      <c r="D568" t="n">
        <v>58</v>
      </c>
      <c r="E568" t="n">
        <v>84.5</v>
      </c>
      <c r="F568" t="n">
        <v>63.9</v>
      </c>
      <c r="H568" t="n">
        <v>47.3</v>
      </c>
      <c r="I568" t="n">
        <v>64.7</v>
      </c>
      <c r="J568" t="n">
        <v>51.6</v>
      </c>
      <c r="K568" t="n">
        <v>56.1</v>
      </c>
      <c r="L568" t="n">
        <v>59.2</v>
      </c>
      <c r="M568" t="n">
        <v>453.6900024414062</v>
      </c>
      <c r="O568" t="n">
        <v>0.01145518264658748</v>
      </c>
      <c r="P568" t="n">
        <v>0.04115926516252467</v>
      </c>
      <c r="Q568" t="n">
        <v>0.04661408771384168</v>
      </c>
    </row>
    <row r="569">
      <c r="A569" s="123" t="n">
        <v>34669</v>
      </c>
      <c r="B569" t="n">
        <v>58.9</v>
      </c>
      <c r="C569" t="n">
        <v>52.6</v>
      </c>
      <c r="D569" t="n">
        <v>53.5</v>
      </c>
      <c r="E569" t="n">
        <v>87.09999999999999</v>
      </c>
      <c r="F569" t="n">
        <v>59.5</v>
      </c>
      <c r="H569" t="n">
        <v>45</v>
      </c>
      <c r="I569" t="n">
        <v>64.8</v>
      </c>
      <c r="J569" t="n">
        <v>46.7</v>
      </c>
      <c r="K569" t="n">
        <v>58.4</v>
      </c>
      <c r="L569" t="n">
        <v>56.1</v>
      </c>
      <c r="M569" t="n">
        <v>459.2699890136719</v>
      </c>
      <c r="O569" t="n">
        <v>0.01145518264658748</v>
      </c>
      <c r="P569" t="n">
        <v>0.04115926516252467</v>
      </c>
      <c r="Q569" t="n">
        <v>0.04661408771384168</v>
      </c>
    </row>
    <row r="570">
      <c r="A570" s="123" t="n">
        <v>34700</v>
      </c>
      <c r="B570" t="n">
        <v>59.7</v>
      </c>
      <c r="C570" t="n">
        <v>52.2</v>
      </c>
      <c r="D570" t="n">
        <v>54</v>
      </c>
      <c r="E570" t="n">
        <v>86</v>
      </c>
      <c r="F570" t="n">
        <v>60.9</v>
      </c>
      <c r="H570" t="n">
        <v>45.2</v>
      </c>
      <c r="I570" t="n">
        <v>62.7</v>
      </c>
      <c r="J570" t="n">
        <v>51.9</v>
      </c>
      <c r="K570" t="n">
        <v>59.1</v>
      </c>
      <c r="L570" t="n">
        <v>57.4</v>
      </c>
      <c r="M570" t="n">
        <v>470.4200134277344</v>
      </c>
      <c r="N570" t="n">
        <v>10550.251</v>
      </c>
      <c r="O570" t="n">
        <v>0.003546954702204828</v>
      </c>
      <c r="P570" t="n">
        <v>0.0348113029700438</v>
      </c>
      <c r="Q570" t="n">
        <v>0.01426348278840983</v>
      </c>
      <c r="R570" t="n">
        <v>0.003546954702204828</v>
      </c>
      <c r="S570" t="n">
        <v>0.01426348278840983</v>
      </c>
      <c r="T570" t="n">
        <v>0.0348113029700438</v>
      </c>
    </row>
    <row r="571">
      <c r="A571" s="123" t="n">
        <v>34731</v>
      </c>
      <c r="B571" t="n">
        <v>56.6</v>
      </c>
      <c r="C571" t="n">
        <v>53</v>
      </c>
      <c r="D571" t="n">
        <v>55</v>
      </c>
      <c r="E571" t="n">
        <v>81.7</v>
      </c>
      <c r="F571" t="n">
        <v>57.4</v>
      </c>
      <c r="H571" t="n">
        <v>47</v>
      </c>
      <c r="I571" t="n">
        <v>60.7</v>
      </c>
      <c r="J571" t="n">
        <v>50</v>
      </c>
      <c r="K571" t="n">
        <v>58.7</v>
      </c>
      <c r="L571" t="n">
        <v>55.1</v>
      </c>
      <c r="M571" t="n">
        <v>487.3900146484375</v>
      </c>
      <c r="O571" t="n">
        <v>0.003546954702204828</v>
      </c>
      <c r="P571" t="n">
        <v>0.0348113029700438</v>
      </c>
      <c r="Q571" t="n">
        <v>0.01426348278840983</v>
      </c>
    </row>
    <row r="572">
      <c r="A572" s="123" t="n">
        <v>34759</v>
      </c>
      <c r="B572" t="n">
        <v>51.9</v>
      </c>
      <c r="C572" t="n">
        <v>52</v>
      </c>
      <c r="D572" t="n">
        <v>51</v>
      </c>
      <c r="E572" t="n">
        <v>78.90000000000001</v>
      </c>
      <c r="F572" t="n">
        <v>54.8</v>
      </c>
      <c r="H572" t="n">
        <v>47</v>
      </c>
      <c r="I572" t="n">
        <v>56.9</v>
      </c>
      <c r="J572" t="n">
        <v>48.1</v>
      </c>
      <c r="K572" t="n">
        <v>56.9</v>
      </c>
      <c r="L572" t="n">
        <v>52.1</v>
      </c>
      <c r="M572" t="n">
        <v>500.7099914550781</v>
      </c>
      <c r="O572" t="n">
        <v>0.003546954702204828</v>
      </c>
      <c r="P572" t="n">
        <v>0.0348113029700438</v>
      </c>
      <c r="Q572" t="n">
        <v>0.01426348278840983</v>
      </c>
    </row>
    <row r="573">
      <c r="A573" s="123" t="n">
        <v>34790</v>
      </c>
      <c r="B573" t="n">
        <v>52.2</v>
      </c>
      <c r="C573" t="n">
        <v>49.8</v>
      </c>
      <c r="D573" t="n">
        <v>47.5</v>
      </c>
      <c r="E573" t="n">
        <v>74.5</v>
      </c>
      <c r="F573" t="n">
        <v>54.1</v>
      </c>
      <c r="H573" t="n">
        <v>44.2</v>
      </c>
      <c r="I573" t="n">
        <v>56.3</v>
      </c>
      <c r="J573" t="n">
        <v>47.4</v>
      </c>
      <c r="K573" t="n">
        <v>55.6</v>
      </c>
      <c r="L573" t="n">
        <v>51.5</v>
      </c>
      <c r="M573" t="n">
        <v>514.7100219726562</v>
      </c>
      <c r="N573" t="n">
        <v>10581.723</v>
      </c>
      <c r="O573" t="n">
        <v>0.002983056990776784</v>
      </c>
      <c r="P573" t="n">
        <v>0.02402168869293488</v>
      </c>
      <c r="Q573" t="n">
        <v>0.01198572599682368</v>
      </c>
      <c r="R573" t="n">
        <v>0.002983056990776784</v>
      </c>
      <c r="S573" t="n">
        <v>0.01198572599682368</v>
      </c>
      <c r="T573" t="n">
        <v>0.02402168869293488</v>
      </c>
    </row>
    <row r="574">
      <c r="A574" s="123" t="n">
        <v>34820</v>
      </c>
      <c r="B574" t="n">
        <v>44</v>
      </c>
      <c r="C574" t="n">
        <v>47.9</v>
      </c>
      <c r="D574" t="n">
        <v>42</v>
      </c>
      <c r="E574" t="n">
        <v>70.5</v>
      </c>
      <c r="F574" t="n">
        <v>49.9</v>
      </c>
      <c r="H574" t="n">
        <v>43.3</v>
      </c>
      <c r="I574" t="n">
        <v>53.3</v>
      </c>
      <c r="J574" t="n">
        <v>43.7</v>
      </c>
      <c r="K574" t="n">
        <v>56.3</v>
      </c>
      <c r="L574" t="n">
        <v>46.7</v>
      </c>
      <c r="M574" t="n">
        <v>533.4000244140625</v>
      </c>
      <c r="O574" t="n">
        <v>0.002983056990776784</v>
      </c>
      <c r="P574" t="n">
        <v>0.02402168869293488</v>
      </c>
      <c r="Q574" t="n">
        <v>0.01198572599682368</v>
      </c>
    </row>
    <row r="575">
      <c r="A575" s="123" t="n">
        <v>34851</v>
      </c>
      <c r="B575" t="n">
        <v>43.5</v>
      </c>
      <c r="C575" t="n">
        <v>49.3</v>
      </c>
      <c r="D575" t="n">
        <v>36</v>
      </c>
      <c r="E575" t="n">
        <v>64.7</v>
      </c>
      <c r="F575" t="n">
        <v>46.1</v>
      </c>
      <c r="H575" t="n">
        <v>43</v>
      </c>
      <c r="I575" t="n">
        <v>51.8</v>
      </c>
      <c r="J575" t="n">
        <v>46.5</v>
      </c>
      <c r="K575" t="n">
        <v>56.1</v>
      </c>
      <c r="L575" t="n">
        <v>45.9</v>
      </c>
      <c r="M575" t="n">
        <v>544.75</v>
      </c>
      <c r="O575" t="n">
        <v>0.002983056990776784</v>
      </c>
      <c r="P575" t="n">
        <v>0.02402168869293488</v>
      </c>
      <c r="Q575" t="n">
        <v>0.01198572599682368</v>
      </c>
    </row>
    <row r="576">
      <c r="A576" s="123" t="n">
        <v>34881</v>
      </c>
      <c r="B576" t="n">
        <v>52.7</v>
      </c>
      <c r="C576" t="n">
        <v>53.3</v>
      </c>
      <c r="D576" t="n">
        <v>41.5</v>
      </c>
      <c r="E576" t="n">
        <v>58.6</v>
      </c>
      <c r="F576" t="n">
        <v>51.6</v>
      </c>
      <c r="H576" t="n">
        <v>46.5</v>
      </c>
      <c r="I576" t="n">
        <v>51.3</v>
      </c>
      <c r="J576" t="n">
        <v>48.1</v>
      </c>
      <c r="K576" t="n">
        <v>56.4</v>
      </c>
      <c r="L576" t="n">
        <v>50.7</v>
      </c>
      <c r="M576" t="n">
        <v>562.0599975585938</v>
      </c>
      <c r="N576" t="n">
        <v>10671.738</v>
      </c>
      <c r="O576" t="n">
        <v>0.008506648680937822</v>
      </c>
      <c r="P576" t="n">
        <v>0.02673106855580074</v>
      </c>
      <c r="Q576" t="n">
        <v>0.03446324065976714</v>
      </c>
      <c r="R576" t="n">
        <v>0.008506648680937822</v>
      </c>
      <c r="S576" t="n">
        <v>0.03446324065976714</v>
      </c>
      <c r="T576" t="n">
        <v>0.02673106855580074</v>
      </c>
    </row>
    <row r="577">
      <c r="A577" s="123" t="n">
        <v>34912</v>
      </c>
      <c r="B577" t="n">
        <v>46.5</v>
      </c>
      <c r="C577" t="n">
        <v>51.8</v>
      </c>
      <c r="D577" t="n">
        <v>40.5</v>
      </c>
      <c r="E577" t="n">
        <v>48.5</v>
      </c>
      <c r="F577" t="n">
        <v>49.1</v>
      </c>
      <c r="H577" t="n">
        <v>45.5</v>
      </c>
      <c r="I577" t="n">
        <v>49.1</v>
      </c>
      <c r="J577" t="n">
        <v>45</v>
      </c>
      <c r="K577" t="n">
        <v>53.7</v>
      </c>
      <c r="L577" t="n">
        <v>47.1</v>
      </c>
      <c r="M577" t="n">
        <v>561.8800048828125</v>
      </c>
      <c r="O577" t="n">
        <v>0.008506648680937822</v>
      </c>
      <c r="P577" t="n">
        <v>0.02673106855580074</v>
      </c>
      <c r="Q577" t="n">
        <v>0.03446324065976714</v>
      </c>
    </row>
    <row r="578">
      <c r="A578" s="123" t="n">
        <v>34943</v>
      </c>
      <c r="B578" t="n">
        <v>49.4</v>
      </c>
      <c r="C578" t="n">
        <v>49.4</v>
      </c>
      <c r="D578" t="n">
        <v>43.5</v>
      </c>
      <c r="E578" t="n">
        <v>48.8</v>
      </c>
      <c r="F578" t="n">
        <v>50.5</v>
      </c>
      <c r="H578" t="n">
        <v>40.3</v>
      </c>
      <c r="I578" t="n">
        <v>50</v>
      </c>
      <c r="J578" t="n">
        <v>45.5</v>
      </c>
      <c r="K578" t="n">
        <v>52.6</v>
      </c>
      <c r="L578" t="n">
        <v>48.1</v>
      </c>
      <c r="M578" t="n">
        <v>584.4099731445312</v>
      </c>
      <c r="O578" t="n">
        <v>0.008506648680937822</v>
      </c>
      <c r="P578" t="n">
        <v>0.02673106855580074</v>
      </c>
      <c r="Q578" t="n">
        <v>0.03446324065976714</v>
      </c>
    </row>
    <row r="579">
      <c r="A579" s="123" t="n">
        <v>34973</v>
      </c>
      <c r="B579" t="n">
        <v>47.5</v>
      </c>
      <c r="C579" t="n">
        <v>49.5</v>
      </c>
      <c r="D579" t="n">
        <v>40.5</v>
      </c>
      <c r="E579" t="n">
        <v>46.5</v>
      </c>
      <c r="F579" t="n">
        <v>47</v>
      </c>
      <c r="H579" t="n">
        <v>42.2</v>
      </c>
      <c r="I579" t="n">
        <v>48.4</v>
      </c>
      <c r="J579" t="n">
        <v>45.9</v>
      </c>
      <c r="K579" t="n">
        <v>52.2</v>
      </c>
      <c r="L579" t="n">
        <v>46.7</v>
      </c>
      <c r="M579" t="n">
        <v>581.5</v>
      </c>
      <c r="N579" t="n">
        <v>10744.203</v>
      </c>
      <c r="O579" t="n">
        <v>0.006790365355671227</v>
      </c>
      <c r="P579" t="n">
        <v>0.02199579909068443</v>
      </c>
      <c r="Q579" t="n">
        <v>0.02743937030821075</v>
      </c>
      <c r="R579" t="n">
        <v>0.006790365355671227</v>
      </c>
      <c r="S579" t="n">
        <v>0.02743937030821075</v>
      </c>
      <c r="T579" t="n">
        <v>0.02199579909068443</v>
      </c>
    </row>
    <row r="580">
      <c r="A580" s="123" t="n">
        <v>35004</v>
      </c>
      <c r="B580" t="n">
        <v>48.6</v>
      </c>
      <c r="C580" t="n">
        <v>44.2</v>
      </c>
      <c r="D580" t="n">
        <v>41.5</v>
      </c>
      <c r="E580" t="n">
        <v>44.5</v>
      </c>
      <c r="F580" t="n">
        <v>45</v>
      </c>
      <c r="H580" t="n">
        <v>43.3</v>
      </c>
      <c r="I580" t="n">
        <v>45.3</v>
      </c>
      <c r="J580" t="n">
        <v>44.5</v>
      </c>
      <c r="K580" t="n">
        <v>54.7</v>
      </c>
      <c r="L580" t="n">
        <v>45.9</v>
      </c>
      <c r="M580" t="n">
        <v>605.3699951171875</v>
      </c>
      <c r="O580" t="n">
        <v>0.006790365355671227</v>
      </c>
      <c r="P580" t="n">
        <v>0.02199579909068443</v>
      </c>
      <c r="Q580" t="n">
        <v>0.02743937030821075</v>
      </c>
    </row>
    <row r="581">
      <c r="A581" s="123" t="n">
        <v>35034</v>
      </c>
      <c r="B581" t="n">
        <v>45.9</v>
      </c>
      <c r="C581" t="n">
        <v>49.5</v>
      </c>
      <c r="D581" t="n">
        <v>42</v>
      </c>
      <c r="E581" t="n">
        <v>40.3</v>
      </c>
      <c r="F581" t="n">
        <v>46.9</v>
      </c>
      <c r="H581" t="n">
        <v>43.1</v>
      </c>
      <c r="I581" t="n">
        <v>47.5</v>
      </c>
      <c r="J581" t="n">
        <v>46.2</v>
      </c>
      <c r="K581" t="n">
        <v>56.5</v>
      </c>
      <c r="L581" t="n">
        <v>46.2</v>
      </c>
      <c r="M581" t="n">
        <v>615.9299926757812</v>
      </c>
      <c r="O581" t="n">
        <v>0.006790365355671227</v>
      </c>
      <c r="P581" t="n">
        <v>0.02199579909068443</v>
      </c>
      <c r="Q581" t="n">
        <v>0.02743937030821075</v>
      </c>
    </row>
    <row r="582">
      <c r="A582" s="123" t="n">
        <v>35065</v>
      </c>
      <c r="B582" t="n">
        <v>44.1</v>
      </c>
      <c r="C582" t="n">
        <v>48.3</v>
      </c>
      <c r="D582" t="n">
        <v>41.5</v>
      </c>
      <c r="E582" t="n">
        <v>40.3</v>
      </c>
      <c r="F582" t="n">
        <v>45.6</v>
      </c>
      <c r="H582" t="n">
        <v>46.6</v>
      </c>
      <c r="I582" t="n">
        <v>47.8</v>
      </c>
      <c r="J582" t="n">
        <v>45.3</v>
      </c>
      <c r="K582" t="n">
        <v>50</v>
      </c>
      <c r="L582" t="n">
        <v>45.5</v>
      </c>
      <c r="M582" t="n">
        <v>636.02001953125</v>
      </c>
      <c r="N582" t="n">
        <v>10824.674</v>
      </c>
      <c r="O582" t="n">
        <v>0.007489713290041279</v>
      </c>
      <c r="P582" t="n">
        <v>0.02601103992691744</v>
      </c>
      <c r="Q582" t="n">
        <v>0.03029711170389682</v>
      </c>
      <c r="R582" t="n">
        <v>0.007489713290041279</v>
      </c>
      <c r="S582" t="n">
        <v>0.03029711170389682</v>
      </c>
      <c r="T582" t="n">
        <v>0.02601103992691744</v>
      </c>
    </row>
    <row r="583">
      <c r="A583" s="123" t="n">
        <v>35096</v>
      </c>
      <c r="B583" t="n">
        <v>46.1</v>
      </c>
      <c r="C583" t="n">
        <v>48.1</v>
      </c>
      <c r="D583" t="n">
        <v>43.5</v>
      </c>
      <c r="E583" t="n">
        <v>38.8</v>
      </c>
      <c r="F583" t="n">
        <v>45.7</v>
      </c>
      <c r="H583" t="n">
        <v>43.3</v>
      </c>
      <c r="I583" t="n">
        <v>49.5</v>
      </c>
      <c r="J583" t="n">
        <v>44.6</v>
      </c>
      <c r="K583" t="n">
        <v>51.3</v>
      </c>
      <c r="L583" t="n">
        <v>45.9</v>
      </c>
      <c r="M583" t="n">
        <v>640.4299926757812</v>
      </c>
      <c r="O583" t="n">
        <v>0.007489713290041279</v>
      </c>
      <c r="P583" t="n">
        <v>0.02601103992691744</v>
      </c>
      <c r="Q583" t="n">
        <v>0.03029711170389682</v>
      </c>
    </row>
    <row r="584">
      <c r="A584" s="123" t="n">
        <v>35125</v>
      </c>
      <c r="B584" t="n">
        <v>49.1</v>
      </c>
      <c r="C584" t="n">
        <v>47.5</v>
      </c>
      <c r="D584" t="n">
        <v>40</v>
      </c>
      <c r="E584" t="n">
        <v>39.9</v>
      </c>
      <c r="F584" t="n">
        <v>47.3</v>
      </c>
      <c r="H584" t="n">
        <v>40</v>
      </c>
      <c r="I584" t="n">
        <v>49.6</v>
      </c>
      <c r="J584" t="n">
        <v>44.4</v>
      </c>
      <c r="K584" t="n">
        <v>50.8</v>
      </c>
      <c r="L584" t="n">
        <v>46.9</v>
      </c>
      <c r="M584" t="n">
        <v>645.5</v>
      </c>
      <c r="O584" t="n">
        <v>0.007489713290041279</v>
      </c>
      <c r="P584" t="n">
        <v>0.02601103992691744</v>
      </c>
      <c r="Q584" t="n">
        <v>0.03029711170389682</v>
      </c>
    </row>
    <row r="585">
      <c r="A585" s="123" t="n">
        <v>35156</v>
      </c>
      <c r="B585" t="n">
        <v>52.3</v>
      </c>
      <c r="C585" t="n">
        <v>47.5</v>
      </c>
      <c r="D585" t="n">
        <v>44</v>
      </c>
      <c r="E585" t="n">
        <v>41.5</v>
      </c>
      <c r="F585" t="n">
        <v>51.6</v>
      </c>
      <c r="H585" t="n">
        <v>43.9</v>
      </c>
      <c r="I585" t="n">
        <v>49.4</v>
      </c>
      <c r="J585" t="n">
        <v>44.7</v>
      </c>
      <c r="K585" t="n">
        <v>51.4</v>
      </c>
      <c r="L585" t="n">
        <v>49.3</v>
      </c>
      <c r="M585" t="n">
        <v>654.1699829101562</v>
      </c>
      <c r="N585" t="n">
        <v>11005.217</v>
      </c>
      <c r="O585" t="n">
        <v>0.0166788394735952</v>
      </c>
      <c r="P585" t="n">
        <v>0.04002127063806155</v>
      </c>
      <c r="Q585" t="n">
        <v>0.06840309652184429</v>
      </c>
      <c r="R585" t="n">
        <v>0.0166788394735952</v>
      </c>
      <c r="S585" t="n">
        <v>0.06840309652184429</v>
      </c>
      <c r="T585" t="n">
        <v>0.04002127063806155</v>
      </c>
    </row>
    <row r="586">
      <c r="A586" s="123" t="n">
        <v>35186</v>
      </c>
      <c r="B586" t="n">
        <v>51.7</v>
      </c>
      <c r="C586" t="n">
        <v>48.5</v>
      </c>
      <c r="D586" t="n">
        <v>48.5</v>
      </c>
      <c r="E586" t="n">
        <v>50.2</v>
      </c>
      <c r="F586" t="n">
        <v>53</v>
      </c>
      <c r="H586" t="n">
        <v>39.2</v>
      </c>
      <c r="I586" t="n">
        <v>49.9</v>
      </c>
      <c r="J586" t="n">
        <v>44.7</v>
      </c>
      <c r="K586" t="n">
        <v>57.2</v>
      </c>
      <c r="L586" t="n">
        <v>49.1</v>
      </c>
      <c r="M586" t="n">
        <v>669.1199951171875</v>
      </c>
      <c r="O586" t="n">
        <v>0.0166788394735952</v>
      </c>
      <c r="P586" t="n">
        <v>0.04002127063806155</v>
      </c>
      <c r="Q586" t="n">
        <v>0.06840309652184429</v>
      </c>
    </row>
    <row r="587">
      <c r="A587" s="123" t="n">
        <v>35217</v>
      </c>
      <c r="B587" t="n">
        <v>59.4</v>
      </c>
      <c r="C587" t="n">
        <v>48.7</v>
      </c>
      <c r="D587" t="n">
        <v>51</v>
      </c>
      <c r="E587" t="n">
        <v>47.9</v>
      </c>
      <c r="F587" t="n">
        <v>55.5</v>
      </c>
      <c r="H587" t="n">
        <v>43.1</v>
      </c>
      <c r="I587" t="n">
        <v>52.8</v>
      </c>
      <c r="J587" t="n">
        <v>48.2</v>
      </c>
      <c r="K587" t="n">
        <v>53.1</v>
      </c>
      <c r="L587" t="n">
        <v>53.6</v>
      </c>
      <c r="M587" t="n">
        <v>670.6300048828125</v>
      </c>
      <c r="O587" t="n">
        <v>0.0166788394735952</v>
      </c>
      <c r="P587" t="n">
        <v>0.04002127063806155</v>
      </c>
      <c r="Q587" t="n">
        <v>0.06840309652184429</v>
      </c>
    </row>
    <row r="588">
      <c r="A588" s="123" t="n">
        <v>35247</v>
      </c>
      <c r="B588" t="n">
        <v>51.9</v>
      </c>
      <c r="C588" t="n">
        <v>53.1</v>
      </c>
      <c r="D588" t="n">
        <v>47.5</v>
      </c>
      <c r="E588" t="n">
        <v>44.1</v>
      </c>
      <c r="F588" t="n">
        <v>52.4</v>
      </c>
      <c r="H588" t="n">
        <v>40.8</v>
      </c>
      <c r="I588" t="n">
        <v>50.8</v>
      </c>
      <c r="J588" t="n">
        <v>46.7</v>
      </c>
      <c r="K588" t="n">
        <v>53.2</v>
      </c>
      <c r="L588" t="n">
        <v>49.7</v>
      </c>
      <c r="M588" t="n">
        <v>639.9500122070312</v>
      </c>
      <c r="N588" t="n">
        <v>11103.935</v>
      </c>
      <c r="O588" t="n">
        <v>0.008970109358134323</v>
      </c>
      <c r="P588" t="n">
        <v>0.04049921390498906</v>
      </c>
      <c r="Q588" t="n">
        <v>0.03636610812087238</v>
      </c>
      <c r="R588" t="n">
        <v>0.008970109358134323</v>
      </c>
      <c r="S588" t="n">
        <v>0.03636610812087238</v>
      </c>
      <c r="T588" t="n">
        <v>0.04049921390498906</v>
      </c>
    </row>
    <row r="589">
      <c r="A589" s="123" t="n">
        <v>35278</v>
      </c>
      <c r="B589" t="n">
        <v>54.6</v>
      </c>
      <c r="C589" t="n">
        <v>50</v>
      </c>
      <c r="D589" t="n">
        <v>47</v>
      </c>
      <c r="E589" t="n">
        <v>46.6</v>
      </c>
      <c r="F589" t="n">
        <v>55.1</v>
      </c>
      <c r="H589" t="n">
        <v>42.2</v>
      </c>
      <c r="I589" t="n">
        <v>51.9</v>
      </c>
      <c r="J589" t="n">
        <v>47.4</v>
      </c>
      <c r="K589" t="n">
        <v>55.3</v>
      </c>
      <c r="L589" t="n">
        <v>51.6</v>
      </c>
      <c r="M589" t="n">
        <v>651.989990234375</v>
      </c>
      <c r="O589" t="n">
        <v>0.008970109358134323</v>
      </c>
      <c r="P589" t="n">
        <v>0.04049921390498906</v>
      </c>
      <c r="Q589" t="n">
        <v>0.03636610812087238</v>
      </c>
    </row>
    <row r="590">
      <c r="A590" s="123" t="n">
        <v>35309</v>
      </c>
      <c r="B590" t="n">
        <v>54.6</v>
      </c>
      <c r="C590" t="n">
        <v>50.7</v>
      </c>
      <c r="D590" t="n">
        <v>49.5</v>
      </c>
      <c r="E590" t="n">
        <v>50.1</v>
      </c>
      <c r="F590" t="n">
        <v>53.5</v>
      </c>
      <c r="H590" t="n">
        <v>43.7</v>
      </c>
      <c r="I590" t="n">
        <v>50</v>
      </c>
      <c r="J590" t="n">
        <v>47.2</v>
      </c>
      <c r="K590" t="n">
        <v>55.1</v>
      </c>
      <c r="L590" t="n">
        <v>51.1</v>
      </c>
      <c r="M590" t="n">
        <v>687.3300170898438</v>
      </c>
      <c r="O590" t="n">
        <v>0.008970109358134323</v>
      </c>
      <c r="P590" t="n">
        <v>0.04049921390498906</v>
      </c>
      <c r="Q590" t="n">
        <v>0.03636610812087238</v>
      </c>
    </row>
    <row r="591">
      <c r="A591" s="123" t="n">
        <v>35339</v>
      </c>
      <c r="B591" t="n">
        <v>52.9</v>
      </c>
      <c r="C591" t="n">
        <v>52.8</v>
      </c>
      <c r="D591" t="n">
        <v>44.5</v>
      </c>
      <c r="E591" t="n">
        <v>45.7</v>
      </c>
      <c r="F591" t="n">
        <v>55.4</v>
      </c>
      <c r="H591" t="n">
        <v>39.6</v>
      </c>
      <c r="I591" t="n">
        <v>50.9</v>
      </c>
      <c r="J591" t="n">
        <v>46</v>
      </c>
      <c r="K591" t="n">
        <v>57</v>
      </c>
      <c r="L591" t="n">
        <v>50.5</v>
      </c>
      <c r="M591" t="n">
        <v>705.27001953125</v>
      </c>
      <c r="N591" t="n">
        <v>11219.238</v>
      </c>
      <c r="O591" t="n">
        <v>0.01038397649121684</v>
      </c>
      <c r="P591" t="n">
        <v>0.0442131445208174</v>
      </c>
      <c r="Q591" t="n">
        <v>0.04218735808893692</v>
      </c>
      <c r="R591" t="n">
        <v>0.01038397649121684</v>
      </c>
      <c r="S591" t="n">
        <v>0.04218735808893692</v>
      </c>
      <c r="T591" t="n">
        <v>0.0442131445208174</v>
      </c>
    </row>
    <row r="592">
      <c r="A592" s="123" t="n">
        <v>35370</v>
      </c>
      <c r="B592" t="n">
        <v>56.9</v>
      </c>
      <c r="C592" t="n">
        <v>53.2</v>
      </c>
      <c r="D592" t="n">
        <v>49</v>
      </c>
      <c r="E592" t="n">
        <v>46.3</v>
      </c>
      <c r="F592" t="n">
        <v>58.1</v>
      </c>
      <c r="H592" t="n">
        <v>42.3</v>
      </c>
      <c r="I592" t="n">
        <v>51.2</v>
      </c>
      <c r="J592" t="n">
        <v>47.6</v>
      </c>
      <c r="K592" t="n">
        <v>55.5</v>
      </c>
      <c r="L592" t="n">
        <v>53</v>
      </c>
      <c r="M592" t="n">
        <v>757.02001953125</v>
      </c>
      <c r="O592" t="n">
        <v>0.01038397649121684</v>
      </c>
      <c r="P592" t="n">
        <v>0.0442131445208174</v>
      </c>
      <c r="Q592" t="n">
        <v>0.04218735808893692</v>
      </c>
    </row>
    <row r="593">
      <c r="A593" s="123" t="n">
        <v>35400</v>
      </c>
      <c r="B593" t="n">
        <v>61.7</v>
      </c>
      <c r="C593" t="n">
        <v>51.6</v>
      </c>
      <c r="D593" t="n">
        <v>51</v>
      </c>
      <c r="E593" t="n">
        <v>52</v>
      </c>
      <c r="F593" t="n">
        <v>58.9</v>
      </c>
      <c r="H593" t="n">
        <v>44.4</v>
      </c>
      <c r="I593" t="n">
        <v>52</v>
      </c>
      <c r="J593" t="n">
        <v>48.6</v>
      </c>
      <c r="K593" t="n">
        <v>56.5</v>
      </c>
      <c r="L593" t="n">
        <v>55.2</v>
      </c>
      <c r="M593" t="n">
        <v>740.739990234375</v>
      </c>
      <c r="O593" t="n">
        <v>0.01038397649121684</v>
      </c>
      <c r="P593" t="n">
        <v>0.0442131445208174</v>
      </c>
      <c r="Q593" t="n">
        <v>0.04218735808893692</v>
      </c>
    </row>
    <row r="594">
      <c r="A594" s="123"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0.006455607769440447</v>
      </c>
      <c r="P594" t="n">
        <v>0.04314134541141839</v>
      </c>
      <c r="Q594" t="n">
        <v>0.02607355819109536</v>
      </c>
      <c r="R594" t="n">
        <v>0.006455607769440447</v>
      </c>
      <c r="S594" t="n">
        <v>0.02607355819109536</v>
      </c>
      <c r="T594" t="n">
        <v>0.04314134541141839</v>
      </c>
    </row>
    <row r="595">
      <c r="A595" s="123" t="n">
        <v>35462</v>
      </c>
      <c r="B595" t="n">
        <v>57.6</v>
      </c>
      <c r="C595" t="n">
        <v>53.7</v>
      </c>
      <c r="D595" t="n">
        <v>48.5</v>
      </c>
      <c r="E595" t="n">
        <v>56.4</v>
      </c>
      <c r="F595" t="n">
        <v>58.9</v>
      </c>
      <c r="G595" t="n">
        <v>44.5</v>
      </c>
      <c r="H595" t="n">
        <v>41.3</v>
      </c>
      <c r="I595" t="n">
        <v>52.1</v>
      </c>
      <c r="J595" t="n">
        <v>45.9</v>
      </c>
      <c r="K595" t="n">
        <v>54.6</v>
      </c>
      <c r="L595" t="n">
        <v>53.1</v>
      </c>
      <c r="M595" t="n">
        <v>790.8200073242188</v>
      </c>
      <c r="O595" t="n">
        <v>0.006455607769440447</v>
      </c>
      <c r="P595" t="n">
        <v>0.04314134541141839</v>
      </c>
      <c r="Q595" t="n">
        <v>0.02607355819109536</v>
      </c>
    </row>
    <row r="596">
      <c r="A596" s="123" t="n">
        <v>35490</v>
      </c>
      <c r="B596" t="n">
        <v>58.6</v>
      </c>
      <c r="C596" t="n">
        <v>48.3</v>
      </c>
      <c r="D596" t="n">
        <v>51.5</v>
      </c>
      <c r="E596" t="n">
        <v>51.1</v>
      </c>
      <c r="F596" t="n">
        <v>55</v>
      </c>
      <c r="G596" t="n">
        <v>46.5</v>
      </c>
      <c r="H596" t="n">
        <v>43.5</v>
      </c>
      <c r="I596" t="n">
        <v>53.1</v>
      </c>
      <c r="J596" t="n">
        <v>50.8</v>
      </c>
      <c r="K596" t="n">
        <v>55.7</v>
      </c>
      <c r="L596" t="n">
        <v>53.8</v>
      </c>
      <c r="M596" t="n">
        <v>757.1199951171875</v>
      </c>
      <c r="O596" t="n">
        <v>0.006455607769440447</v>
      </c>
      <c r="P596" t="n">
        <v>0.04314134541141839</v>
      </c>
      <c r="Q596" t="n">
        <v>0.02607355819109536</v>
      </c>
    </row>
    <row r="597">
      <c r="A597" s="123"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0.01661978105089011</v>
      </c>
      <c r="P597" t="n">
        <v>0.04308074979348425</v>
      </c>
      <c r="Q597" t="n">
        <v>0.06815486590490871</v>
      </c>
      <c r="R597" t="n">
        <v>0.01661978105089011</v>
      </c>
      <c r="S597" t="n">
        <v>0.06815486590490871</v>
      </c>
      <c r="T597" t="n">
        <v>0.04308074979348425</v>
      </c>
    </row>
    <row r="598">
      <c r="A598" s="123" t="n">
        <v>35551</v>
      </c>
      <c r="B598" t="n">
        <v>62.3</v>
      </c>
      <c r="C598" t="n">
        <v>52.1</v>
      </c>
      <c r="D598" t="n">
        <v>58</v>
      </c>
      <c r="E598" t="n">
        <v>48.5</v>
      </c>
      <c r="F598" t="n">
        <v>56.7</v>
      </c>
      <c r="G598" t="n">
        <v>44.5</v>
      </c>
      <c r="H598" t="n">
        <v>48.1</v>
      </c>
      <c r="I598" t="n">
        <v>55</v>
      </c>
      <c r="J598" t="n">
        <v>50.7</v>
      </c>
      <c r="K598" t="n">
        <v>53.6</v>
      </c>
      <c r="L598" t="n">
        <v>56.1</v>
      </c>
      <c r="M598" t="n">
        <v>848.280029296875</v>
      </c>
      <c r="O598" t="n">
        <v>0.01661978105089011</v>
      </c>
      <c r="P598" t="n">
        <v>0.04308074979348425</v>
      </c>
      <c r="Q598" t="n">
        <v>0.06815486590490871</v>
      </c>
    </row>
    <row r="599">
      <c r="A599" s="123" t="n">
        <v>35582</v>
      </c>
      <c r="B599" t="n">
        <v>59.4</v>
      </c>
      <c r="C599" t="n">
        <v>54.1</v>
      </c>
      <c r="D599" t="n">
        <v>53.5</v>
      </c>
      <c r="E599" t="n">
        <v>48.9</v>
      </c>
      <c r="F599" t="n">
        <v>56.5</v>
      </c>
      <c r="G599" t="n">
        <v>50.5</v>
      </c>
      <c r="H599" t="n">
        <v>45.2</v>
      </c>
      <c r="I599" t="n">
        <v>54.6</v>
      </c>
      <c r="J599" t="n">
        <v>51.3</v>
      </c>
      <c r="K599" t="n">
        <v>53.5</v>
      </c>
      <c r="L599" t="n">
        <v>54.9</v>
      </c>
      <c r="M599" t="n">
        <v>885.1400146484375</v>
      </c>
      <c r="O599" t="n">
        <v>0.01661978105089011</v>
      </c>
      <c r="P599" t="n">
        <v>0.04308074979348425</v>
      </c>
      <c r="Q599" t="n">
        <v>0.06815486590490871</v>
      </c>
    </row>
    <row r="600">
      <c r="A600" s="123"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0.01250778573313949</v>
      </c>
      <c r="P600" t="n">
        <v>0.04673802575393323</v>
      </c>
      <c r="Q600" t="n">
        <v>0.05097766273852433</v>
      </c>
      <c r="R600" t="n">
        <v>0.01250778573313949</v>
      </c>
      <c r="S600" t="n">
        <v>0.05097766273852433</v>
      </c>
      <c r="T600" t="n">
        <v>0.04673802575393323</v>
      </c>
    </row>
    <row r="601">
      <c r="A601" s="123" t="n">
        <v>35643</v>
      </c>
      <c r="B601" t="n">
        <v>60.3</v>
      </c>
      <c r="C601" t="n">
        <v>53.7</v>
      </c>
      <c r="D601" t="n">
        <v>60</v>
      </c>
      <c r="E601" t="n">
        <v>52.1</v>
      </c>
      <c r="F601" t="n">
        <v>61.5</v>
      </c>
      <c r="G601" t="n">
        <v>47</v>
      </c>
      <c r="H601" t="n">
        <v>43</v>
      </c>
      <c r="I601" t="n">
        <v>55.2</v>
      </c>
      <c r="J601" t="n">
        <v>51.3</v>
      </c>
      <c r="K601" t="n">
        <v>54.9</v>
      </c>
      <c r="L601" t="n">
        <v>56.3</v>
      </c>
      <c r="M601" t="n">
        <v>899.469970703125</v>
      </c>
      <c r="O601" t="n">
        <v>0.01250778573313949</v>
      </c>
      <c r="P601" t="n">
        <v>0.04673802575393323</v>
      </c>
      <c r="Q601" t="n">
        <v>0.05097766273852433</v>
      </c>
    </row>
    <row r="602">
      <c r="A602" s="123" t="n">
        <v>35674</v>
      </c>
      <c r="B602" t="n">
        <v>55.4</v>
      </c>
      <c r="C602" t="n">
        <v>51.6</v>
      </c>
      <c r="D602" t="n">
        <v>50</v>
      </c>
      <c r="E602" t="n">
        <v>53</v>
      </c>
      <c r="F602" t="n">
        <v>56.6</v>
      </c>
      <c r="G602" t="n">
        <v>49.5</v>
      </c>
      <c r="H602" t="n">
        <v>47.2</v>
      </c>
      <c r="I602" t="n">
        <v>54.8</v>
      </c>
      <c r="J602" t="n">
        <v>51.2</v>
      </c>
      <c r="K602" t="n">
        <v>49.4</v>
      </c>
      <c r="L602" t="n">
        <v>53.9</v>
      </c>
      <c r="M602" t="n">
        <v>947.280029296875</v>
      </c>
      <c r="O602" t="n">
        <v>0.01250778573313949</v>
      </c>
      <c r="P602" t="n">
        <v>0.04673802575393323</v>
      </c>
      <c r="Q602" t="n">
        <v>0.05097766273852433</v>
      </c>
    </row>
    <row r="603">
      <c r="A603" s="123"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0.008587435626066455</v>
      </c>
      <c r="P603" t="n">
        <v>0.04487684457714512</v>
      </c>
      <c r="Q603" t="n">
        <v>0.03479474533539229</v>
      </c>
      <c r="R603" t="n">
        <v>0.008587435626066455</v>
      </c>
      <c r="S603" t="n">
        <v>0.03479474533539229</v>
      </c>
      <c r="T603" t="n">
        <v>0.04487684457714512</v>
      </c>
    </row>
    <row r="604">
      <c r="A604" s="123" t="n">
        <v>35735</v>
      </c>
      <c r="B604" t="n">
        <v>57.4</v>
      </c>
      <c r="C604" t="n">
        <v>54.7</v>
      </c>
      <c r="D604" t="n">
        <v>50</v>
      </c>
      <c r="E604" t="n">
        <v>52.1</v>
      </c>
      <c r="F604" t="n">
        <v>60.1</v>
      </c>
      <c r="G604" t="n">
        <v>48</v>
      </c>
      <c r="H604" t="n">
        <v>43.8</v>
      </c>
      <c r="I604" t="n">
        <v>55.2</v>
      </c>
      <c r="J604" t="n">
        <v>53.7</v>
      </c>
      <c r="K604" t="n">
        <v>53.6</v>
      </c>
      <c r="L604" t="n">
        <v>55.7</v>
      </c>
      <c r="M604" t="n">
        <v>955.4000244140625</v>
      </c>
      <c r="O604" t="n">
        <v>0.008587435626066455</v>
      </c>
      <c r="P604" t="n">
        <v>0.04487684457714512</v>
      </c>
      <c r="Q604" t="n">
        <v>0.03479474533539229</v>
      </c>
    </row>
    <row r="605">
      <c r="A605" s="123" t="n">
        <v>35765</v>
      </c>
      <c r="B605" t="n">
        <v>57.2</v>
      </c>
      <c r="C605" t="n">
        <v>56</v>
      </c>
      <c r="D605" t="n">
        <v>52</v>
      </c>
      <c r="E605" t="n">
        <v>52.2</v>
      </c>
      <c r="F605" t="n">
        <v>56.7</v>
      </c>
      <c r="G605" t="n">
        <v>46.5</v>
      </c>
      <c r="H605" t="n">
        <v>46.2</v>
      </c>
      <c r="I605" t="n">
        <v>53.9</v>
      </c>
      <c r="J605" t="n">
        <v>52.1</v>
      </c>
      <c r="K605" t="n">
        <v>51.4</v>
      </c>
      <c r="L605" t="n">
        <v>54.5</v>
      </c>
      <c r="M605" t="n">
        <v>970.4299926757812</v>
      </c>
      <c r="O605" t="n">
        <v>0.008587435626066455</v>
      </c>
      <c r="P605" t="n">
        <v>0.04487684457714512</v>
      </c>
      <c r="Q605" t="n">
        <v>0.03479474533539229</v>
      </c>
    </row>
    <row r="606">
      <c r="A606" s="123"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0.009993754010374081</v>
      </c>
      <c r="P606" t="n">
        <v>0.04855005882657688</v>
      </c>
      <c r="Q606" t="n">
        <v>0.04057826924134789</v>
      </c>
      <c r="R606" t="n">
        <v>0.009993754010374081</v>
      </c>
      <c r="S606" t="n">
        <v>0.04057826924134789</v>
      </c>
      <c r="T606" t="n">
        <v>0.04855005882657688</v>
      </c>
    </row>
    <row r="607">
      <c r="A607" s="123" t="n">
        <v>35827</v>
      </c>
      <c r="B607" t="n">
        <v>54.6</v>
      </c>
      <c r="C607" t="n">
        <v>53.4</v>
      </c>
      <c r="D607" t="n">
        <v>48</v>
      </c>
      <c r="E607" t="n">
        <v>45.5</v>
      </c>
      <c r="F607" t="n">
        <v>54.6</v>
      </c>
      <c r="G607" t="n">
        <v>46.5</v>
      </c>
      <c r="H607" t="n">
        <v>46.2</v>
      </c>
      <c r="I607" t="n">
        <v>52.8</v>
      </c>
      <c r="J607" t="n">
        <v>51.7</v>
      </c>
      <c r="K607" t="n">
        <v>48.3</v>
      </c>
      <c r="L607" t="n">
        <v>52.9</v>
      </c>
      <c r="M607" t="n">
        <v>1049.339965820312</v>
      </c>
      <c r="O607" t="n">
        <v>0.009993754010374081</v>
      </c>
      <c r="P607" t="n">
        <v>0.04855005882657688</v>
      </c>
      <c r="Q607" t="n">
        <v>0.04057826924134789</v>
      </c>
    </row>
    <row r="608">
      <c r="A608" s="123" t="n">
        <v>35855</v>
      </c>
      <c r="B608" t="n">
        <v>54.9</v>
      </c>
      <c r="C608" t="n">
        <v>52.1</v>
      </c>
      <c r="D608" t="n">
        <v>51.5</v>
      </c>
      <c r="E608" t="n">
        <v>44.2</v>
      </c>
      <c r="F608" t="n">
        <v>54.5</v>
      </c>
      <c r="G608" t="n">
        <v>47</v>
      </c>
      <c r="H608" t="n">
        <v>46</v>
      </c>
      <c r="I608" t="n">
        <v>53</v>
      </c>
      <c r="J608" t="n">
        <v>51.4</v>
      </c>
      <c r="K608" t="n">
        <v>46.7</v>
      </c>
      <c r="L608" t="n">
        <v>52.9</v>
      </c>
      <c r="M608" t="n">
        <v>1101.75</v>
      </c>
      <c r="O608" t="n">
        <v>0.009993754010374081</v>
      </c>
      <c r="P608" t="n">
        <v>0.04855005882657688</v>
      </c>
      <c r="Q608" t="n">
        <v>0.04057826924134789</v>
      </c>
    </row>
    <row r="609">
      <c r="A609" s="123"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0.009258205069039573</v>
      </c>
      <c r="P609" t="n">
        <v>0.04095726841200665</v>
      </c>
      <c r="Q609" t="n">
        <v>0.03755028803424176</v>
      </c>
      <c r="R609" t="n">
        <v>0.009258205069039573</v>
      </c>
      <c r="S609" t="n">
        <v>0.03755028803424176</v>
      </c>
      <c r="T609" t="n">
        <v>0.04095726841200665</v>
      </c>
    </row>
    <row r="610">
      <c r="A610" s="123" t="n">
        <v>35916</v>
      </c>
      <c r="B610" t="n">
        <v>51.5</v>
      </c>
      <c r="C610" t="n">
        <v>52.1</v>
      </c>
      <c r="D610" t="n">
        <v>48.5</v>
      </c>
      <c r="E610" t="n">
        <v>41.1</v>
      </c>
      <c r="F610" t="n">
        <v>53.2</v>
      </c>
      <c r="G610" t="n">
        <v>47.5</v>
      </c>
      <c r="H610" t="n">
        <v>46</v>
      </c>
      <c r="I610" t="n">
        <v>51.5</v>
      </c>
      <c r="J610" t="n">
        <v>49.3</v>
      </c>
      <c r="K610" t="n">
        <v>46.1</v>
      </c>
      <c r="L610" t="n">
        <v>50.9</v>
      </c>
      <c r="M610" t="n">
        <v>1090.819946289062</v>
      </c>
      <c r="O610" t="n">
        <v>0.009258205069039573</v>
      </c>
      <c r="P610" t="n">
        <v>0.04095726841200665</v>
      </c>
      <c r="Q610" t="n">
        <v>0.03755028803424176</v>
      </c>
    </row>
    <row r="611">
      <c r="A611" s="123" t="n">
        <v>35947</v>
      </c>
      <c r="B611" t="n">
        <v>50.2</v>
      </c>
      <c r="C611" t="n">
        <v>51.7</v>
      </c>
      <c r="D611" t="n">
        <v>48.5</v>
      </c>
      <c r="E611" t="n">
        <v>39.3</v>
      </c>
      <c r="F611" t="n">
        <v>50.6</v>
      </c>
      <c r="G611" t="n">
        <v>44.5</v>
      </c>
      <c r="H611" t="n">
        <v>42</v>
      </c>
      <c r="I611" t="n">
        <v>50.9</v>
      </c>
      <c r="J611" t="n">
        <v>47</v>
      </c>
      <c r="K611" t="n">
        <v>46.3</v>
      </c>
      <c r="L611" t="n">
        <v>48.9</v>
      </c>
      <c r="M611" t="n">
        <v>1133.839965820312</v>
      </c>
      <c r="O611" t="n">
        <v>0.009258205069039573</v>
      </c>
      <c r="P611" t="n">
        <v>0.04095726841200665</v>
      </c>
      <c r="Q611" t="n">
        <v>0.03755028803424176</v>
      </c>
    </row>
    <row r="612">
      <c r="A612" s="123"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0.01252764552668854</v>
      </c>
      <c r="P612" t="n">
        <v>0.04097768622679814</v>
      </c>
      <c r="Q612" t="n">
        <v>0.05106012260225734</v>
      </c>
      <c r="R612" t="n">
        <v>0.01252764552668854</v>
      </c>
      <c r="S612" t="n">
        <v>0.05106012260225734</v>
      </c>
      <c r="T612" t="n">
        <v>0.04097768622679814</v>
      </c>
    </row>
    <row r="613">
      <c r="A613" s="123" t="n">
        <v>36008</v>
      </c>
      <c r="B613" t="n">
        <v>50.9</v>
      </c>
      <c r="C613" t="n">
        <v>51.2</v>
      </c>
      <c r="D613" t="n">
        <v>48.5</v>
      </c>
      <c r="E613" t="n">
        <v>37.8</v>
      </c>
      <c r="F613" t="n">
        <v>50.7</v>
      </c>
      <c r="G613" t="n">
        <v>50.5</v>
      </c>
      <c r="H613" t="n">
        <v>44.8</v>
      </c>
      <c r="I613" t="n">
        <v>50.3</v>
      </c>
      <c r="J613" t="n">
        <v>46.7</v>
      </c>
      <c r="K613" t="n">
        <v>44</v>
      </c>
      <c r="L613" t="n">
        <v>49.3</v>
      </c>
      <c r="M613" t="n">
        <v>957.280029296875</v>
      </c>
      <c r="O613" t="n">
        <v>0.01252764552668854</v>
      </c>
      <c r="P613" t="n">
        <v>0.04097768622679814</v>
      </c>
      <c r="Q613" t="n">
        <v>0.05106012260225734</v>
      </c>
    </row>
    <row r="614">
      <c r="A614" s="123" t="n">
        <v>36039</v>
      </c>
      <c r="B614" t="n">
        <v>49.4</v>
      </c>
      <c r="C614" t="n">
        <v>51.5</v>
      </c>
      <c r="D614" t="n">
        <v>46</v>
      </c>
      <c r="E614" t="n">
        <v>34</v>
      </c>
      <c r="F614" t="n">
        <v>51.2</v>
      </c>
      <c r="G614" t="n">
        <v>49</v>
      </c>
      <c r="H614" t="n">
        <v>43.2</v>
      </c>
      <c r="I614" t="n">
        <v>50.8</v>
      </c>
      <c r="J614" t="n">
        <v>45.7</v>
      </c>
      <c r="K614" t="n">
        <v>44.2</v>
      </c>
      <c r="L614" t="n">
        <v>48.7</v>
      </c>
      <c r="M614" t="n">
        <v>1017.010009765625</v>
      </c>
      <c r="O614" t="n">
        <v>0.01252764552668854</v>
      </c>
      <c r="P614" t="n">
        <v>0.04097768622679814</v>
      </c>
      <c r="Q614" t="n">
        <v>0.05106012260225734</v>
      </c>
    </row>
    <row r="615">
      <c r="A615" s="123"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0.01616190702337028</v>
      </c>
      <c r="P615" t="n">
        <v>0.04879540775598017</v>
      </c>
      <c r="Q615" t="n">
        <v>0.06623182618291334</v>
      </c>
      <c r="R615" t="n">
        <v>0.01616190702337028</v>
      </c>
      <c r="S615" t="n">
        <v>0.06623182618291334</v>
      </c>
      <c r="T615" t="n">
        <v>0.04879540775598017</v>
      </c>
    </row>
    <row r="616">
      <c r="A616" s="123" t="n">
        <v>36100</v>
      </c>
      <c r="B616" t="n">
        <v>48.3</v>
      </c>
      <c r="C616" t="n">
        <v>51.1</v>
      </c>
      <c r="D616" t="n">
        <v>40.5</v>
      </c>
      <c r="E616" t="n">
        <v>34.5</v>
      </c>
      <c r="F616" t="n">
        <v>50.4</v>
      </c>
      <c r="G616" t="n">
        <v>47.5</v>
      </c>
      <c r="H616" t="n">
        <v>44.5</v>
      </c>
      <c r="I616" t="n">
        <v>50.4</v>
      </c>
      <c r="J616" t="n">
        <v>45.3</v>
      </c>
      <c r="K616" t="n">
        <v>43.7</v>
      </c>
      <c r="L616" t="n">
        <v>48.2</v>
      </c>
      <c r="M616" t="n">
        <v>1163.630004882812</v>
      </c>
      <c r="O616" t="n">
        <v>0.01616190702337028</v>
      </c>
      <c r="P616" t="n">
        <v>0.04879540775598017</v>
      </c>
      <c r="Q616" t="n">
        <v>0.06623182618291334</v>
      </c>
    </row>
    <row r="617">
      <c r="A617" s="123" t="n">
        <v>36130</v>
      </c>
      <c r="B617" t="n">
        <v>49.7</v>
      </c>
      <c r="C617" t="n">
        <v>50.5</v>
      </c>
      <c r="D617" t="n">
        <v>37</v>
      </c>
      <c r="E617" t="n">
        <v>31.9</v>
      </c>
      <c r="F617" t="n">
        <v>47.7</v>
      </c>
      <c r="G617" t="n">
        <v>47</v>
      </c>
      <c r="H617" t="n">
        <v>42.7</v>
      </c>
      <c r="I617" t="n">
        <v>48.5</v>
      </c>
      <c r="J617" t="n">
        <v>41.9</v>
      </c>
      <c r="K617" t="n">
        <v>46.2</v>
      </c>
      <c r="L617" t="n">
        <v>46.8</v>
      </c>
      <c r="M617" t="n">
        <v>1229.22998046875</v>
      </c>
      <c r="O617" t="n">
        <v>0.01616190702337028</v>
      </c>
      <c r="P617" t="n">
        <v>0.04879540775598017</v>
      </c>
      <c r="Q617" t="n">
        <v>0.06623182618291334</v>
      </c>
    </row>
    <row r="618">
      <c r="A618" s="123"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0.009438266145912767</v>
      </c>
      <c r="P618" t="n">
        <v>0.0482185793162023</v>
      </c>
      <c r="Q618" t="n">
        <v>0.03829092080185514</v>
      </c>
      <c r="R618" t="n">
        <v>0.009438266145912767</v>
      </c>
      <c r="S618" t="n">
        <v>0.03829092080185514</v>
      </c>
      <c r="T618" t="n">
        <v>0.0482185793162023</v>
      </c>
    </row>
    <row r="619">
      <c r="A619" s="123" t="n">
        <v>36192</v>
      </c>
      <c r="B619" t="n">
        <v>55</v>
      </c>
      <c r="C619" t="n">
        <v>54.6</v>
      </c>
      <c r="D619" t="n">
        <v>48.5</v>
      </c>
      <c r="E619" t="n">
        <v>35.2</v>
      </c>
      <c r="F619" t="n">
        <v>56</v>
      </c>
      <c r="G619" t="n">
        <v>43</v>
      </c>
      <c r="H619" t="n">
        <v>43.5</v>
      </c>
      <c r="I619" t="n">
        <v>50.8</v>
      </c>
      <c r="J619" t="n">
        <v>45.8</v>
      </c>
      <c r="K619" t="n">
        <v>53.3</v>
      </c>
      <c r="L619" t="n">
        <v>51.7</v>
      </c>
      <c r="M619" t="n">
        <v>1238.329956054688</v>
      </c>
      <c r="O619" t="n">
        <v>0.009438266145912767</v>
      </c>
      <c r="P619" t="n">
        <v>0.0482185793162023</v>
      </c>
      <c r="Q619" t="n">
        <v>0.03829092080185514</v>
      </c>
    </row>
    <row r="620">
      <c r="A620" s="123" t="n">
        <v>36220</v>
      </c>
      <c r="B620" t="n">
        <v>55.9</v>
      </c>
      <c r="C620" t="n">
        <v>52.8</v>
      </c>
      <c r="D620" t="n">
        <v>52</v>
      </c>
      <c r="E620" t="n">
        <v>42.5</v>
      </c>
      <c r="F620" t="n">
        <v>55.7</v>
      </c>
      <c r="G620" t="n">
        <v>43.5</v>
      </c>
      <c r="H620" t="n">
        <v>43.7</v>
      </c>
      <c r="I620" t="n">
        <v>52.3</v>
      </c>
      <c r="J620" t="n">
        <v>47.6</v>
      </c>
      <c r="K620" t="n">
        <v>50.1</v>
      </c>
      <c r="L620" t="n">
        <v>52.4</v>
      </c>
      <c r="M620" t="n">
        <v>1286.369995117188</v>
      </c>
      <c r="O620" t="n">
        <v>0.009438266145912767</v>
      </c>
      <c r="P620" t="n">
        <v>0.0482185793162023</v>
      </c>
      <c r="Q620" t="n">
        <v>0.03829092080185514</v>
      </c>
    </row>
    <row r="621">
      <c r="A621" s="123"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0.008350000298127901</v>
      </c>
      <c r="P621" t="n">
        <v>0.04727531513473537</v>
      </c>
      <c r="Q621" t="n">
        <v>0.03382066981536092</v>
      </c>
      <c r="R621" t="n">
        <v>0.008350000298127901</v>
      </c>
      <c r="S621" t="n">
        <v>0.03382066981536092</v>
      </c>
      <c r="T621" t="n">
        <v>0.04727531513473537</v>
      </c>
    </row>
    <row r="622">
      <c r="A622" s="123" t="n">
        <v>36281</v>
      </c>
      <c r="B622" t="n">
        <v>57.8</v>
      </c>
      <c r="C622" t="n">
        <v>53.1</v>
      </c>
      <c r="D622" t="n">
        <v>55.5</v>
      </c>
      <c r="E622" t="n">
        <v>51.2</v>
      </c>
      <c r="F622" t="n">
        <v>58.5</v>
      </c>
      <c r="G622" t="n">
        <v>45.5</v>
      </c>
      <c r="H622" t="n">
        <v>43.6</v>
      </c>
      <c r="I622" t="n">
        <v>52.1</v>
      </c>
      <c r="J622" t="n">
        <v>51.1</v>
      </c>
      <c r="K622" t="n">
        <v>50.9</v>
      </c>
      <c r="L622" t="n">
        <v>54.3</v>
      </c>
      <c r="M622" t="n">
        <v>1301.839965820312</v>
      </c>
      <c r="O622" t="n">
        <v>0.008350000298127901</v>
      </c>
      <c r="P622" t="n">
        <v>0.04727531513473537</v>
      </c>
      <c r="Q622" t="n">
        <v>0.03382066981536092</v>
      </c>
    </row>
    <row r="623">
      <c r="A623" s="123" t="n">
        <v>36312</v>
      </c>
      <c r="B623" t="n">
        <v>59.4</v>
      </c>
      <c r="C623" t="n">
        <v>52.2</v>
      </c>
      <c r="D623" t="n">
        <v>54.5</v>
      </c>
      <c r="E623" t="n">
        <v>54.2</v>
      </c>
      <c r="F623" t="n">
        <v>61.6</v>
      </c>
      <c r="G623" t="n">
        <v>43.5</v>
      </c>
      <c r="H623" t="n">
        <v>44.7</v>
      </c>
      <c r="I623" t="n">
        <v>52.6</v>
      </c>
      <c r="J623" t="n">
        <v>51.3</v>
      </c>
      <c r="K623" t="n">
        <v>52.4</v>
      </c>
      <c r="L623" t="n">
        <v>55.8</v>
      </c>
      <c r="M623" t="n">
        <v>1372.7099609375</v>
      </c>
      <c r="O623" t="n">
        <v>0.008350000298127901</v>
      </c>
      <c r="P623" t="n">
        <v>0.04727531513473537</v>
      </c>
      <c r="Q623" t="n">
        <v>0.03382066981536092</v>
      </c>
    </row>
    <row r="624">
      <c r="A624" s="123"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0.01323027026128614</v>
      </c>
      <c r="P624" t="n">
        <v>0.04800205236862531</v>
      </c>
      <c r="Q624" t="n">
        <v>0.05398061530001885</v>
      </c>
      <c r="R624" t="n">
        <v>0.01323027026128614</v>
      </c>
      <c r="S624" t="n">
        <v>0.05398061530001885</v>
      </c>
      <c r="T624" t="n">
        <v>0.04800205236862531</v>
      </c>
    </row>
    <row r="625">
      <c r="A625" s="123" t="n">
        <v>36373</v>
      </c>
      <c r="B625" t="n">
        <v>57.5</v>
      </c>
      <c r="C625" t="n">
        <v>53.7</v>
      </c>
      <c r="D625" t="n">
        <v>52.5</v>
      </c>
      <c r="E625" t="n">
        <v>60.6</v>
      </c>
      <c r="F625" t="n">
        <v>58.3</v>
      </c>
      <c r="G625" t="n">
        <v>45.5</v>
      </c>
      <c r="H625" t="n">
        <v>46.2</v>
      </c>
      <c r="I625" t="n">
        <v>51.4</v>
      </c>
      <c r="J625" t="n">
        <v>53.1</v>
      </c>
      <c r="K625" t="n">
        <v>54.4</v>
      </c>
      <c r="L625" t="n">
        <v>54.8</v>
      </c>
      <c r="M625" t="n">
        <v>1320.410034179688</v>
      </c>
      <c r="O625" t="n">
        <v>0.01323027026128614</v>
      </c>
      <c r="P625" t="n">
        <v>0.04800205236862531</v>
      </c>
      <c r="Q625" t="n">
        <v>0.05398061530001885</v>
      </c>
    </row>
    <row r="626">
      <c r="A626" s="123" t="n">
        <v>36404</v>
      </c>
      <c r="B626" t="n">
        <v>63.5</v>
      </c>
      <c r="C626" t="n">
        <v>54.2</v>
      </c>
      <c r="D626" t="n">
        <v>54.5</v>
      </c>
      <c r="E626" t="n">
        <v>65.8</v>
      </c>
      <c r="F626" t="n">
        <v>59.9</v>
      </c>
      <c r="G626" t="n">
        <v>43.5</v>
      </c>
      <c r="H626" t="n">
        <v>43.8</v>
      </c>
      <c r="I626" t="n">
        <v>55.8</v>
      </c>
      <c r="J626" t="n">
        <v>51.3</v>
      </c>
      <c r="K626" t="n">
        <v>55.8</v>
      </c>
      <c r="L626" t="n">
        <v>57</v>
      </c>
      <c r="M626" t="n">
        <v>1282.7099609375</v>
      </c>
      <c r="O626" t="n">
        <v>0.01323027026128614</v>
      </c>
      <c r="P626" t="n">
        <v>0.04800205236862531</v>
      </c>
      <c r="Q626" t="n">
        <v>0.05398061530001885</v>
      </c>
    </row>
    <row r="627">
      <c r="A627" s="123"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0.01642779005040782</v>
      </c>
      <c r="P627" t="n">
        <v>0.04827626650330151</v>
      </c>
      <c r="Q627" t="n">
        <v>0.06734820036933864</v>
      </c>
      <c r="R627" t="n">
        <v>0.01642779005040782</v>
      </c>
      <c r="S627" t="n">
        <v>0.06734820036933864</v>
      </c>
      <c r="T627" t="n">
        <v>0.04827626650330151</v>
      </c>
    </row>
    <row r="628">
      <c r="A628" s="123" t="n">
        <v>36465</v>
      </c>
      <c r="B628" t="n">
        <v>63.1</v>
      </c>
      <c r="C628" t="n">
        <v>52.7</v>
      </c>
      <c r="D628" t="n">
        <v>58.5</v>
      </c>
      <c r="E628" t="n">
        <v>68.09999999999999</v>
      </c>
      <c r="F628" t="n">
        <v>60.2</v>
      </c>
      <c r="G628" t="n">
        <v>48.5</v>
      </c>
      <c r="H628" t="n">
        <v>49.7</v>
      </c>
      <c r="I628" t="n">
        <v>56.8</v>
      </c>
      <c r="J628" t="n">
        <v>53.1</v>
      </c>
      <c r="K628" t="n">
        <v>55.8</v>
      </c>
      <c r="L628" t="n">
        <v>58.1</v>
      </c>
      <c r="M628" t="n">
        <v>1388.910034179688</v>
      </c>
      <c r="O628" t="n">
        <v>0.01642779005040782</v>
      </c>
      <c r="P628" t="n">
        <v>0.04827626650330151</v>
      </c>
      <c r="Q628" t="n">
        <v>0.06734820036933864</v>
      </c>
    </row>
    <row r="629">
      <c r="A629" s="123" t="n">
        <v>36495</v>
      </c>
      <c r="B629" t="n">
        <v>60.3</v>
      </c>
      <c r="C629" t="n">
        <v>52</v>
      </c>
      <c r="D629" t="n">
        <v>50</v>
      </c>
      <c r="E629" t="n">
        <v>67.40000000000001</v>
      </c>
      <c r="F629" t="n">
        <v>60.6</v>
      </c>
      <c r="G629" t="n">
        <v>48.5</v>
      </c>
      <c r="H629" t="n">
        <v>49</v>
      </c>
      <c r="I629" t="n">
        <v>56.7</v>
      </c>
      <c r="J629" t="n">
        <v>55.7</v>
      </c>
      <c r="K629" t="n">
        <v>55</v>
      </c>
      <c r="L629" t="n">
        <v>57.8</v>
      </c>
      <c r="M629" t="n">
        <v>1469.25</v>
      </c>
      <c r="O629" t="n">
        <v>0.01642779005040782</v>
      </c>
      <c r="P629" t="n">
        <v>0.04827626650330151</v>
      </c>
      <c r="Q629" t="n">
        <v>0.06734820036933864</v>
      </c>
    </row>
    <row r="630">
      <c r="A630" s="123"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0.003644473611337272</v>
      </c>
      <c r="P630" t="n">
        <v>0.04225955858689924</v>
      </c>
      <c r="Q630" t="n">
        <v>0.0146577813755211</v>
      </c>
      <c r="R630" t="n">
        <v>0.003644473611337272</v>
      </c>
      <c r="S630" t="n">
        <v>0.0146577813755211</v>
      </c>
      <c r="T630" t="n">
        <v>0.04225955858689924</v>
      </c>
    </row>
    <row r="631">
      <c r="A631" s="123" t="n">
        <v>36557</v>
      </c>
      <c r="B631" t="n">
        <v>58.7</v>
      </c>
      <c r="C631" t="n">
        <v>53</v>
      </c>
      <c r="D631" t="n">
        <v>54</v>
      </c>
      <c r="E631" t="n">
        <v>71.59999999999999</v>
      </c>
      <c r="F631" t="n">
        <v>59.1</v>
      </c>
      <c r="G631" t="n">
        <v>48</v>
      </c>
      <c r="H631" t="n">
        <v>44.9</v>
      </c>
      <c r="I631" t="n">
        <v>54.4</v>
      </c>
      <c r="J631" t="n">
        <v>53.6</v>
      </c>
      <c r="K631" t="n">
        <v>54.2</v>
      </c>
      <c r="L631" t="n">
        <v>55.8</v>
      </c>
      <c r="M631" t="n">
        <v>1366.420043945312</v>
      </c>
      <c r="O631" t="n">
        <v>0.003644473611337272</v>
      </c>
      <c r="P631" t="n">
        <v>0.04225955858689924</v>
      </c>
      <c r="Q631" t="n">
        <v>0.0146577813755211</v>
      </c>
    </row>
    <row r="632">
      <c r="A632" s="123" t="n">
        <v>36586</v>
      </c>
      <c r="B632" t="n">
        <v>56.2</v>
      </c>
      <c r="C632" t="n">
        <v>53.5</v>
      </c>
      <c r="D632" t="n">
        <v>51</v>
      </c>
      <c r="E632" t="n">
        <v>78.7</v>
      </c>
      <c r="F632" t="n">
        <v>59.5</v>
      </c>
      <c r="G632" t="n">
        <v>48</v>
      </c>
      <c r="H632" t="n">
        <v>47.5</v>
      </c>
      <c r="I632" t="n">
        <v>54.3</v>
      </c>
      <c r="J632" t="n">
        <v>51.2</v>
      </c>
      <c r="K632" t="n">
        <v>54.8</v>
      </c>
      <c r="L632" t="n">
        <v>54.9</v>
      </c>
      <c r="M632" t="n">
        <v>1498.579956054688</v>
      </c>
      <c r="O632" t="n">
        <v>0.003644473611337272</v>
      </c>
      <c r="P632" t="n">
        <v>0.04225955858689924</v>
      </c>
      <c r="Q632" t="n">
        <v>0.0146577813755211</v>
      </c>
    </row>
    <row r="633">
      <c r="A633" s="123"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0.01820583008355766</v>
      </c>
      <c r="P633" t="n">
        <v>0.05244682768853312</v>
      </c>
      <c r="Q633" t="n">
        <v>0.07483628114231911</v>
      </c>
      <c r="R633" t="n">
        <v>0.01820583008355766</v>
      </c>
      <c r="S633" t="n">
        <v>0.07483628114231911</v>
      </c>
      <c r="T633" t="n">
        <v>0.05244682768853312</v>
      </c>
    </row>
    <row r="634">
      <c r="A634" s="123" t="n">
        <v>36647</v>
      </c>
      <c r="B634" t="n">
        <v>51.5</v>
      </c>
      <c r="C634" t="n">
        <v>54.2</v>
      </c>
      <c r="D634" t="n">
        <v>49</v>
      </c>
      <c r="E634" t="n">
        <v>65.7</v>
      </c>
      <c r="F634" t="n">
        <v>56.4</v>
      </c>
      <c r="G634" t="n">
        <v>50.5</v>
      </c>
      <c r="H634" t="n">
        <v>46.9</v>
      </c>
      <c r="I634" t="n">
        <v>55.4</v>
      </c>
      <c r="J634" t="n">
        <v>53</v>
      </c>
      <c r="K634" t="n">
        <v>56.4</v>
      </c>
      <c r="L634" t="n">
        <v>53.2</v>
      </c>
      <c r="M634" t="n">
        <v>1420.599975585938</v>
      </c>
      <c r="O634" t="n">
        <v>0.01820583008355766</v>
      </c>
      <c r="P634" t="n">
        <v>0.05244682768853312</v>
      </c>
      <c r="Q634" t="n">
        <v>0.07483628114231911</v>
      </c>
    </row>
    <row r="635">
      <c r="A635" s="123" t="n">
        <v>36678</v>
      </c>
      <c r="B635" t="n">
        <v>50</v>
      </c>
      <c r="C635" t="n">
        <v>55.7</v>
      </c>
      <c r="D635" t="n">
        <v>48.5</v>
      </c>
      <c r="E635" t="n">
        <v>62.9</v>
      </c>
      <c r="F635" t="n">
        <v>53.4</v>
      </c>
      <c r="G635" t="n">
        <v>47</v>
      </c>
      <c r="H635" t="n">
        <v>47</v>
      </c>
      <c r="I635" t="n">
        <v>54.5</v>
      </c>
      <c r="J635" t="n">
        <v>50.7</v>
      </c>
      <c r="K635" t="n">
        <v>52.8</v>
      </c>
      <c r="L635" t="n">
        <v>51.4</v>
      </c>
      <c r="M635" t="n">
        <v>1454.599975585938</v>
      </c>
      <c r="O635" t="n">
        <v>0.01820583008355766</v>
      </c>
      <c r="P635" t="n">
        <v>0.05244682768853312</v>
      </c>
      <c r="Q635" t="n">
        <v>0.07483628114231911</v>
      </c>
    </row>
    <row r="636">
      <c r="A636" s="123"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0.0009977412825952132</v>
      </c>
      <c r="P636" t="n">
        <v>0.03974084495579121</v>
      </c>
      <c r="Q636" t="n">
        <v>0.003996942030330519</v>
      </c>
      <c r="R636" t="n">
        <v>0.0009977412825952132</v>
      </c>
      <c r="S636" t="n">
        <v>0.003996942030330519</v>
      </c>
      <c r="T636" t="n">
        <v>0.03974084495579121</v>
      </c>
    </row>
    <row r="637">
      <c r="A637" s="123" t="n">
        <v>36739</v>
      </c>
      <c r="B637" t="n">
        <v>50</v>
      </c>
      <c r="C637" t="n">
        <v>52.2</v>
      </c>
      <c r="D637" t="n">
        <v>49</v>
      </c>
      <c r="E637" t="n">
        <v>58.1</v>
      </c>
      <c r="F637" t="n">
        <v>49.7</v>
      </c>
      <c r="G637" t="n">
        <v>50.5</v>
      </c>
      <c r="H637" t="n">
        <v>47.1</v>
      </c>
      <c r="I637" t="n">
        <v>53.5</v>
      </c>
      <c r="J637" t="n">
        <v>48.8</v>
      </c>
      <c r="K637" t="n">
        <v>50.8</v>
      </c>
      <c r="L637" t="n">
        <v>49.9</v>
      </c>
      <c r="M637" t="n">
        <v>1517.680053710938</v>
      </c>
      <c r="O637" t="n">
        <v>0.0009977412825952132</v>
      </c>
      <c r="P637" t="n">
        <v>0.03974084495579121</v>
      </c>
      <c r="Q637" t="n">
        <v>0.003996942030330519</v>
      </c>
    </row>
    <row r="638">
      <c r="A638" s="123" t="n">
        <v>36770</v>
      </c>
      <c r="B638" t="n">
        <v>48.9</v>
      </c>
      <c r="C638" t="n">
        <v>48.9</v>
      </c>
      <c r="D638" t="n">
        <v>47</v>
      </c>
      <c r="E638" t="n">
        <v>58.4</v>
      </c>
      <c r="F638" t="n">
        <v>51.5</v>
      </c>
      <c r="G638" t="n">
        <v>48.5</v>
      </c>
      <c r="H638" t="n">
        <v>45.9</v>
      </c>
      <c r="I638" t="n">
        <v>49.6</v>
      </c>
      <c r="J638" t="n">
        <v>50.6</v>
      </c>
      <c r="K638" t="n">
        <v>50.7</v>
      </c>
      <c r="L638" t="n">
        <v>49.7</v>
      </c>
      <c r="M638" t="n">
        <v>1436.510009765625</v>
      </c>
      <c r="O638" t="n">
        <v>0.0009977412825952132</v>
      </c>
      <c r="P638" t="n">
        <v>0.03974084495579121</v>
      </c>
      <c r="Q638" t="n">
        <v>0.003996942030330519</v>
      </c>
    </row>
    <row r="639">
      <c r="A639" s="123"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0.005943617551420755</v>
      </c>
      <c r="P639" t="n">
        <v>0.0290162047211726</v>
      </c>
      <c r="Q639" t="n">
        <v>0.02398727086218799</v>
      </c>
      <c r="R639" t="n">
        <v>0.005943617551420755</v>
      </c>
      <c r="S639" t="n">
        <v>0.02398727086218799</v>
      </c>
      <c r="T639" t="n">
        <v>0.0290162047211726</v>
      </c>
    </row>
    <row r="640">
      <c r="A640" s="123" t="n">
        <v>36831</v>
      </c>
      <c r="B640" t="n">
        <v>49.1</v>
      </c>
      <c r="C640" t="n">
        <v>53.2</v>
      </c>
      <c r="D640" t="n">
        <v>42</v>
      </c>
      <c r="E640" t="n">
        <v>58.1</v>
      </c>
      <c r="F640" t="n">
        <v>50.1</v>
      </c>
      <c r="G640" t="n">
        <v>51.5</v>
      </c>
      <c r="H640" t="n">
        <v>42.8</v>
      </c>
      <c r="I640" t="n">
        <v>50.3</v>
      </c>
      <c r="J640" t="n">
        <v>47.1</v>
      </c>
      <c r="K640" t="n">
        <v>48.6</v>
      </c>
      <c r="L640" t="n">
        <v>48.5</v>
      </c>
      <c r="M640" t="n">
        <v>1314.949951171875</v>
      </c>
      <c r="O640" t="n">
        <v>0.005943617551420755</v>
      </c>
      <c r="P640" t="n">
        <v>0.0290162047211726</v>
      </c>
      <c r="Q640" t="n">
        <v>0.02398727086218799</v>
      </c>
    </row>
    <row r="641">
      <c r="A641" s="123" t="n">
        <v>36861</v>
      </c>
      <c r="B641" t="n">
        <v>42.1</v>
      </c>
      <c r="C641" t="n">
        <v>51.2</v>
      </c>
      <c r="D641" t="n">
        <v>36</v>
      </c>
      <c r="E641" t="n">
        <v>59.8</v>
      </c>
      <c r="F641" t="n">
        <v>42.9</v>
      </c>
      <c r="G641" t="n">
        <v>51</v>
      </c>
      <c r="H641" t="n">
        <v>40.4</v>
      </c>
      <c r="I641" t="n">
        <v>52.8</v>
      </c>
      <c r="J641" t="n">
        <v>42.7</v>
      </c>
      <c r="K641" t="n">
        <v>49.5</v>
      </c>
      <c r="L641" t="n">
        <v>43.9</v>
      </c>
      <c r="M641" t="n">
        <v>1320.280029296875</v>
      </c>
      <c r="O641" t="n">
        <v>0.005943617551420755</v>
      </c>
      <c r="P641" t="n">
        <v>0.0290162047211726</v>
      </c>
      <c r="Q641" t="n">
        <v>0.02398727086218799</v>
      </c>
    </row>
    <row r="642">
      <c r="A642" s="123"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-0.003242210032234334</v>
      </c>
      <c r="P642" t="n">
        <v>0.02195542846787985</v>
      </c>
      <c r="Q642" t="n">
        <v>-0.01290590479056442</v>
      </c>
      <c r="R642" t="n">
        <v>-0.003242210032234334</v>
      </c>
      <c r="S642" t="n">
        <v>-0.01290590479056442</v>
      </c>
      <c r="T642" t="n">
        <v>0.02195542846787985</v>
      </c>
    </row>
    <row r="643">
      <c r="A643" s="123" t="n">
        <v>36923</v>
      </c>
      <c r="B643" t="n">
        <v>39.9</v>
      </c>
      <c r="C643" t="n">
        <v>47.5</v>
      </c>
      <c r="D643" t="n">
        <v>37</v>
      </c>
      <c r="E643" t="n">
        <v>55.6</v>
      </c>
      <c r="F643" t="n">
        <v>38.6</v>
      </c>
      <c r="G643" t="n">
        <v>52.5</v>
      </c>
      <c r="H643" t="n">
        <v>44.2</v>
      </c>
      <c r="I643" t="n">
        <v>50.2</v>
      </c>
      <c r="J643" t="n">
        <v>37.8</v>
      </c>
      <c r="K643" t="n">
        <v>46.8</v>
      </c>
      <c r="L643" t="n">
        <v>42.1</v>
      </c>
      <c r="M643" t="n">
        <v>1239.93994140625</v>
      </c>
      <c r="O643" t="n">
        <v>-0.003242210032234334</v>
      </c>
      <c r="P643" t="n">
        <v>0.02195542846787985</v>
      </c>
      <c r="Q643" t="n">
        <v>-0.01290590479056442</v>
      </c>
    </row>
    <row r="644">
      <c r="A644" s="123" t="n">
        <v>36951</v>
      </c>
      <c r="B644" t="n">
        <v>41.5</v>
      </c>
      <c r="C644" t="n">
        <v>48.8</v>
      </c>
      <c r="D644" t="n">
        <v>43.5</v>
      </c>
      <c r="E644" t="n">
        <v>49.9</v>
      </c>
      <c r="F644" t="n">
        <v>42.6</v>
      </c>
      <c r="G644" t="n">
        <v>52</v>
      </c>
      <c r="H644" t="n">
        <v>43.7</v>
      </c>
      <c r="I644" t="n">
        <v>47.7</v>
      </c>
      <c r="J644" t="n">
        <v>39.9</v>
      </c>
      <c r="K644" t="n">
        <v>50.3</v>
      </c>
      <c r="L644" t="n">
        <v>43.1</v>
      </c>
      <c r="M644" t="n">
        <v>1160.329956054688</v>
      </c>
      <c r="O644" t="n">
        <v>-0.003242210032234334</v>
      </c>
      <c r="P644" t="n">
        <v>0.02195542846787985</v>
      </c>
      <c r="Q644" t="n">
        <v>-0.01290590479056442</v>
      </c>
    </row>
    <row r="645">
      <c r="A645" s="123"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0.00621389214865502</v>
      </c>
      <c r="P645" t="n">
        <v>0.009919329568880284</v>
      </c>
      <c r="Q645" t="n">
        <v>0.02508820455389205</v>
      </c>
      <c r="R645" t="n">
        <v>0.00621389214865502</v>
      </c>
      <c r="S645" t="n">
        <v>0.02508820455389205</v>
      </c>
      <c r="T645" t="n">
        <v>0.009919329568880284</v>
      </c>
    </row>
    <row r="646">
      <c r="A646" s="123" t="n">
        <v>37012</v>
      </c>
      <c r="B646" t="n">
        <v>44.9</v>
      </c>
      <c r="C646" t="n">
        <v>46.9</v>
      </c>
      <c r="D646" t="n">
        <v>40</v>
      </c>
      <c r="E646" t="n">
        <v>45.1</v>
      </c>
      <c r="F646" t="n">
        <v>43.1</v>
      </c>
      <c r="G646" t="n">
        <v>51</v>
      </c>
      <c r="H646" t="n">
        <v>38.2</v>
      </c>
      <c r="I646" t="n">
        <v>45.4</v>
      </c>
      <c r="J646" t="n">
        <v>35.1</v>
      </c>
      <c r="K646" t="n">
        <v>45.3</v>
      </c>
      <c r="L646" t="n">
        <v>41.3</v>
      </c>
      <c r="M646" t="n">
        <v>1255.819946289062</v>
      </c>
      <c r="O646" t="n">
        <v>0.00621389214865502</v>
      </c>
      <c r="P646" t="n">
        <v>0.009919329568880284</v>
      </c>
      <c r="Q646" t="n">
        <v>0.02508820455389205</v>
      </c>
    </row>
    <row r="647">
      <c r="A647" s="123" t="n">
        <v>37043</v>
      </c>
      <c r="B647" t="n">
        <v>47.8</v>
      </c>
      <c r="C647" t="n">
        <v>47</v>
      </c>
      <c r="D647" t="n">
        <v>42</v>
      </c>
      <c r="E647" t="n">
        <v>42.8</v>
      </c>
      <c r="F647" t="n">
        <v>45.3</v>
      </c>
      <c r="G647" t="n">
        <v>48</v>
      </c>
      <c r="H647" t="n">
        <v>39.9</v>
      </c>
      <c r="I647" t="n">
        <v>47.1</v>
      </c>
      <c r="J647" t="n">
        <v>35.7</v>
      </c>
      <c r="K647" t="n">
        <v>45.2</v>
      </c>
      <c r="L647" t="n">
        <v>43.2</v>
      </c>
      <c r="M647" t="n">
        <v>1224.380004882812</v>
      </c>
      <c r="O647" t="n">
        <v>0.00621389214865502</v>
      </c>
      <c r="P647" t="n">
        <v>0.009919329568880284</v>
      </c>
      <c r="Q647" t="n">
        <v>0.02508820455389205</v>
      </c>
    </row>
    <row r="648">
      <c r="A648" s="123"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-0.004003490160505012</v>
      </c>
      <c r="P648" t="n">
        <v>0.004873523671693287</v>
      </c>
      <c r="Q648" t="n">
        <v>-0.01591804945502973</v>
      </c>
      <c r="R648" t="n">
        <v>-0.004003490160505012</v>
      </c>
      <c r="S648" t="n">
        <v>-0.01591804945502973</v>
      </c>
      <c r="T648" t="n">
        <v>0.004873523671693287</v>
      </c>
    </row>
    <row r="649">
      <c r="A649" s="123" t="n">
        <v>37104</v>
      </c>
      <c r="B649" t="n">
        <v>54.3</v>
      </c>
      <c r="C649" t="n">
        <v>50</v>
      </c>
      <c r="D649" t="n">
        <v>44.5</v>
      </c>
      <c r="E649" t="n">
        <v>35</v>
      </c>
      <c r="F649" t="n">
        <v>51.8</v>
      </c>
      <c r="G649" t="n">
        <v>48.5</v>
      </c>
      <c r="H649" t="n">
        <v>37.6</v>
      </c>
      <c r="I649" t="n">
        <v>46.7</v>
      </c>
      <c r="J649" t="n">
        <v>41.3</v>
      </c>
      <c r="K649" t="n">
        <v>52</v>
      </c>
      <c r="L649" t="n">
        <v>46.3</v>
      </c>
      <c r="M649" t="n">
        <v>1133.579956054688</v>
      </c>
      <c r="O649" t="n">
        <v>-0.004003490160505012</v>
      </c>
      <c r="P649" t="n">
        <v>0.004873523671693287</v>
      </c>
      <c r="Q649" t="n">
        <v>-0.01591804945502973</v>
      </c>
    </row>
    <row r="650">
      <c r="A650" s="123" t="n">
        <v>37135</v>
      </c>
      <c r="B650" t="n">
        <v>51.3</v>
      </c>
      <c r="C650" t="n">
        <v>49.7</v>
      </c>
      <c r="D650" t="n">
        <v>43</v>
      </c>
      <c r="E650" t="n">
        <v>36.6</v>
      </c>
      <c r="F650" t="n">
        <v>51.8</v>
      </c>
      <c r="G650" t="n">
        <v>48.5</v>
      </c>
      <c r="H650" t="n">
        <v>38.9</v>
      </c>
      <c r="I650" t="n">
        <v>47.5</v>
      </c>
      <c r="J650" t="n">
        <v>41.5</v>
      </c>
      <c r="K650" t="n">
        <v>46.9</v>
      </c>
      <c r="L650" t="n">
        <v>46.2</v>
      </c>
      <c r="M650" t="n">
        <v>1040.93994140625</v>
      </c>
      <c r="O650" t="n">
        <v>-0.004003490160505012</v>
      </c>
      <c r="P650" t="n">
        <v>0.004873523671693287</v>
      </c>
      <c r="Q650" t="n">
        <v>-0.01591804945502973</v>
      </c>
    </row>
    <row r="651">
      <c r="A651" s="123"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0.002773143584964562</v>
      </c>
      <c r="P651" t="n">
        <v>0.001706422364229252</v>
      </c>
      <c r="Q651" t="n">
        <v>0.01113880165656167</v>
      </c>
      <c r="R651" t="n">
        <v>0.002773143584964562</v>
      </c>
      <c r="S651" t="n">
        <v>0.01113880165656167</v>
      </c>
      <c r="T651" t="n">
        <v>0.001706422364229252</v>
      </c>
    </row>
    <row r="652">
      <c r="A652" s="123" t="n">
        <v>37196</v>
      </c>
      <c r="B652" t="n">
        <v>49.1</v>
      </c>
      <c r="C652" t="n">
        <v>49.5</v>
      </c>
      <c r="D652" t="n">
        <v>38.5</v>
      </c>
      <c r="E652" t="n">
        <v>32</v>
      </c>
      <c r="F652" t="n">
        <v>46.9</v>
      </c>
      <c r="G652" t="n">
        <v>44.5</v>
      </c>
      <c r="H652" t="n">
        <v>38.9</v>
      </c>
      <c r="I652" t="n">
        <v>49.1</v>
      </c>
      <c r="J652" t="n">
        <v>36.4</v>
      </c>
      <c r="K652" t="n">
        <v>50</v>
      </c>
      <c r="L652" t="n">
        <v>44.1</v>
      </c>
      <c r="M652" t="n">
        <v>1139.449951171875</v>
      </c>
      <c r="O652" t="n">
        <v>0.002773143584964562</v>
      </c>
      <c r="P652" t="n">
        <v>0.001706422364229252</v>
      </c>
      <c r="Q652" t="n">
        <v>0.01113880165656167</v>
      </c>
    </row>
    <row r="653">
      <c r="A653" s="123" t="n">
        <v>37226</v>
      </c>
      <c r="B653" t="n">
        <v>51.4</v>
      </c>
      <c r="C653" t="n">
        <v>50.2</v>
      </c>
      <c r="D653" t="n">
        <v>39.5</v>
      </c>
      <c r="E653" t="n">
        <v>33.2</v>
      </c>
      <c r="F653" t="n">
        <v>49.2</v>
      </c>
      <c r="G653" t="n">
        <v>44</v>
      </c>
      <c r="H653" t="n">
        <v>37.6</v>
      </c>
      <c r="I653" t="n">
        <v>49.3</v>
      </c>
      <c r="J653" t="n">
        <v>39.1</v>
      </c>
      <c r="K653" t="n">
        <v>47.6</v>
      </c>
      <c r="L653" t="n">
        <v>45.3</v>
      </c>
      <c r="M653" t="n">
        <v>1148.079956054688</v>
      </c>
      <c r="O653" t="n">
        <v>0.002773143584964562</v>
      </c>
      <c r="P653" t="n">
        <v>0.001706422364229252</v>
      </c>
      <c r="Q653" t="n">
        <v>0.01113880165656167</v>
      </c>
    </row>
    <row r="654">
      <c r="A654" s="123"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0.00828227215584396</v>
      </c>
      <c r="P654" t="n">
        <v>0.0132881204842846</v>
      </c>
      <c r="Q654" t="n">
        <v>0.03354294204519781</v>
      </c>
      <c r="R654" t="n">
        <v>0.00828227215584396</v>
      </c>
      <c r="S654" t="n">
        <v>0.03354294204519781</v>
      </c>
      <c r="T654" t="n">
        <v>0.0132881204842846</v>
      </c>
    </row>
    <row r="655">
      <c r="A655" s="123" t="n">
        <v>37288</v>
      </c>
      <c r="B655" t="n">
        <v>60.7</v>
      </c>
      <c r="C655" t="n">
        <v>52.4</v>
      </c>
      <c r="D655" t="n">
        <v>53</v>
      </c>
      <c r="E655" t="n">
        <v>41.5</v>
      </c>
      <c r="F655" t="n">
        <v>58.1</v>
      </c>
      <c r="G655" t="n">
        <v>41.5</v>
      </c>
      <c r="H655" t="n">
        <v>39.7</v>
      </c>
      <c r="I655" t="n">
        <v>51.4</v>
      </c>
      <c r="J655" t="n">
        <v>43.8</v>
      </c>
      <c r="K655" t="n">
        <v>50.7</v>
      </c>
      <c r="L655" t="n">
        <v>50.7</v>
      </c>
      <c r="M655" t="n">
        <v>1106.72998046875</v>
      </c>
      <c r="O655" t="n">
        <v>0.00828227215584396</v>
      </c>
      <c r="P655" t="n">
        <v>0.0132881204842846</v>
      </c>
      <c r="Q655" t="n">
        <v>0.03354294204519781</v>
      </c>
    </row>
    <row r="656">
      <c r="A656" s="123" t="n">
        <v>37316</v>
      </c>
      <c r="B656" t="n">
        <v>63.8</v>
      </c>
      <c r="C656" t="n">
        <v>53.9</v>
      </c>
      <c r="D656" t="n">
        <v>62.5</v>
      </c>
      <c r="E656" t="n">
        <v>51.9</v>
      </c>
      <c r="F656" t="n">
        <v>58.3</v>
      </c>
      <c r="G656" t="n">
        <v>40</v>
      </c>
      <c r="H656" t="n">
        <v>41.4</v>
      </c>
      <c r="I656" t="n">
        <v>51.9</v>
      </c>
      <c r="J656" t="n">
        <v>46.6</v>
      </c>
      <c r="K656" t="n">
        <v>50.6</v>
      </c>
      <c r="L656" t="n">
        <v>52.4</v>
      </c>
      <c r="M656" t="n">
        <v>1147.390014648438</v>
      </c>
      <c r="O656" t="n">
        <v>0.00828227215584396</v>
      </c>
      <c r="P656" t="n">
        <v>0.0132881204842846</v>
      </c>
      <c r="Q656" t="n">
        <v>0.03354294204519781</v>
      </c>
    </row>
    <row r="657">
      <c r="A657" s="123"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0.006155024557835768</v>
      </c>
      <c r="P657" t="n">
        <v>0.01322883902243626</v>
      </c>
      <c r="Q657" t="n">
        <v>0.02484833834627009</v>
      </c>
      <c r="R657" t="n">
        <v>0.006155024557835768</v>
      </c>
      <c r="S657" t="n">
        <v>0.02484833834627009</v>
      </c>
      <c r="T657" t="n">
        <v>0.01322883902243626</v>
      </c>
    </row>
    <row r="658">
      <c r="A658" s="123" t="n">
        <v>37377</v>
      </c>
      <c r="B658" t="n">
        <v>61.8</v>
      </c>
      <c r="C658" t="n">
        <v>53.9</v>
      </c>
      <c r="D658" t="n">
        <v>56.5</v>
      </c>
      <c r="E658" t="n">
        <v>63</v>
      </c>
      <c r="F658" t="n">
        <v>59.4</v>
      </c>
      <c r="G658" t="n">
        <v>39</v>
      </c>
      <c r="H658" t="n">
        <v>43.8</v>
      </c>
      <c r="I658" t="n">
        <v>53.4</v>
      </c>
      <c r="J658" t="n">
        <v>47.3</v>
      </c>
      <c r="K658" t="n">
        <v>53.3</v>
      </c>
      <c r="L658" t="n">
        <v>53.1</v>
      </c>
      <c r="M658" t="n">
        <v>1067.140014648438</v>
      </c>
      <c r="O658" t="n">
        <v>0.006155024557835768</v>
      </c>
      <c r="P658" t="n">
        <v>0.01322883902243626</v>
      </c>
      <c r="Q658" t="n">
        <v>0.02484833834627009</v>
      </c>
    </row>
    <row r="659">
      <c r="A659" s="123" t="n">
        <v>37408</v>
      </c>
      <c r="B659" t="n">
        <v>61.2</v>
      </c>
      <c r="C659" t="n">
        <v>53.8</v>
      </c>
      <c r="D659" t="n">
        <v>53.5</v>
      </c>
      <c r="E659" t="n">
        <v>65.5</v>
      </c>
      <c r="F659" t="n">
        <v>61.1</v>
      </c>
      <c r="G659" t="n">
        <v>44.5</v>
      </c>
      <c r="H659" t="n">
        <v>43.2</v>
      </c>
      <c r="I659" t="n">
        <v>54.4</v>
      </c>
      <c r="J659" t="n">
        <v>48.3</v>
      </c>
      <c r="K659" t="n">
        <v>54.1</v>
      </c>
      <c r="L659" t="n">
        <v>53.6</v>
      </c>
      <c r="M659" t="n">
        <v>989.8200073242188</v>
      </c>
      <c r="O659" t="n">
        <v>0.006155024557835768</v>
      </c>
      <c r="P659" t="n">
        <v>0.01322883902243626</v>
      </c>
      <c r="Q659" t="n">
        <v>0.02484833834627009</v>
      </c>
    </row>
    <row r="660">
      <c r="A660" s="123"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0.004035287039980262</v>
      </c>
      <c r="P660" t="n">
        <v>0.02140669989799325</v>
      </c>
      <c r="Q660" t="n">
        <v>0.01623911250910082</v>
      </c>
      <c r="R660" t="n">
        <v>0.004035287039980262</v>
      </c>
      <c r="S660" t="n">
        <v>0.01623911250910082</v>
      </c>
      <c r="T660" t="n">
        <v>0.02140669989799325</v>
      </c>
    </row>
    <row r="661">
      <c r="A661" s="123" t="n">
        <v>37469</v>
      </c>
      <c r="B661" t="n">
        <v>50.6</v>
      </c>
      <c r="C661" t="n">
        <v>52.6</v>
      </c>
      <c r="D661" t="n">
        <v>45</v>
      </c>
      <c r="E661" t="n">
        <v>61.5</v>
      </c>
      <c r="F661" t="n">
        <v>54.9</v>
      </c>
      <c r="G661" t="n">
        <v>42.5</v>
      </c>
      <c r="H661" t="n">
        <v>45.4</v>
      </c>
      <c r="I661" t="n">
        <v>53.6</v>
      </c>
      <c r="J661" t="n">
        <v>46.8</v>
      </c>
      <c r="K661" t="n">
        <v>53.4</v>
      </c>
      <c r="L661" t="n">
        <v>50.3</v>
      </c>
      <c r="M661" t="n">
        <v>916.0700073242188</v>
      </c>
      <c r="O661" t="n">
        <v>0.004035287039980262</v>
      </c>
      <c r="P661" t="n">
        <v>0.02140669989799325</v>
      </c>
      <c r="Q661" t="n">
        <v>0.01623911250910082</v>
      </c>
    </row>
    <row r="662">
      <c r="A662" s="123" t="n">
        <v>37500</v>
      </c>
      <c r="B662" t="n">
        <v>52.9</v>
      </c>
      <c r="C662" t="n">
        <v>54.7</v>
      </c>
      <c r="D662" t="n">
        <v>44.5</v>
      </c>
      <c r="E662" t="n">
        <v>62.5</v>
      </c>
      <c r="F662" t="n">
        <v>53.5</v>
      </c>
      <c r="G662" t="n">
        <v>40.5</v>
      </c>
      <c r="H662" t="n">
        <v>43.8</v>
      </c>
      <c r="I662" t="n">
        <v>56.7</v>
      </c>
      <c r="J662" t="n">
        <v>45.8</v>
      </c>
      <c r="K662" t="n">
        <v>53.8</v>
      </c>
      <c r="L662" t="n">
        <v>50.5</v>
      </c>
      <c r="M662" t="n">
        <v>815.280029296875</v>
      </c>
      <c r="O662" t="n">
        <v>0.004035287039980262</v>
      </c>
      <c r="P662" t="n">
        <v>0.02140669989799325</v>
      </c>
      <c r="Q662" t="n">
        <v>0.01623911250910082</v>
      </c>
    </row>
    <row r="663">
      <c r="A663" s="123"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0.001306557670590968</v>
      </c>
      <c r="P663" t="n">
        <v>0.01991286184648556</v>
      </c>
      <c r="Q663" t="n">
        <v>0.00523648216461936</v>
      </c>
      <c r="R663" t="n">
        <v>0.001306557670590968</v>
      </c>
      <c r="S663" t="n">
        <v>0.00523648216461936</v>
      </c>
      <c r="T663" t="n">
        <v>0.01991286184648556</v>
      </c>
    </row>
    <row r="664">
      <c r="A664" s="123" t="n">
        <v>37561</v>
      </c>
      <c r="B664" t="n">
        <v>49.9</v>
      </c>
      <c r="C664" t="n">
        <v>52.4</v>
      </c>
      <c r="D664" t="n">
        <v>42.5</v>
      </c>
      <c r="E664" t="n">
        <v>55.7</v>
      </c>
      <c r="F664" t="n">
        <v>52.7</v>
      </c>
      <c r="G664" t="n">
        <v>46.5</v>
      </c>
      <c r="H664" t="n">
        <v>43.1</v>
      </c>
      <c r="I664" t="n">
        <v>52.1</v>
      </c>
      <c r="J664" t="n">
        <v>44.8</v>
      </c>
      <c r="K664" t="n">
        <v>50</v>
      </c>
      <c r="L664" t="n">
        <v>48.5</v>
      </c>
      <c r="M664" t="n">
        <v>936.3099975585938</v>
      </c>
      <c r="O664" t="n">
        <v>0.001306557670590968</v>
      </c>
      <c r="P664" t="n">
        <v>0.01991286184648556</v>
      </c>
      <c r="Q664" t="n">
        <v>0.00523648216461936</v>
      </c>
    </row>
    <row r="665">
      <c r="A665" s="123" t="n">
        <v>37591</v>
      </c>
      <c r="B665" t="n">
        <v>58.7</v>
      </c>
      <c r="C665" t="n">
        <v>55.1</v>
      </c>
      <c r="D665" t="n">
        <v>46.5</v>
      </c>
      <c r="E665" t="n">
        <v>56.9</v>
      </c>
      <c r="F665" t="n">
        <v>53.9</v>
      </c>
      <c r="G665" t="n">
        <v>43</v>
      </c>
      <c r="H665" t="n">
        <v>45.2</v>
      </c>
      <c r="I665" t="n">
        <v>52.9</v>
      </c>
      <c r="J665" t="n">
        <v>47.5</v>
      </c>
      <c r="K665" t="n">
        <v>52</v>
      </c>
      <c r="L665" t="n">
        <v>51.6</v>
      </c>
      <c r="M665" t="n">
        <v>879.8200073242188</v>
      </c>
      <c r="O665" t="n">
        <v>0.001306557670590968</v>
      </c>
      <c r="P665" t="n">
        <v>0.01991286184648556</v>
      </c>
      <c r="Q665" t="n">
        <v>0.00523648216461936</v>
      </c>
    </row>
    <row r="666">
      <c r="A666" s="123"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0.005167231869169835</v>
      </c>
      <c r="P666" t="n">
        <v>0.01676188940425874</v>
      </c>
      <c r="Q666" t="n">
        <v>0.02082968176698108</v>
      </c>
      <c r="R666" t="n">
        <v>0.005167231869169835</v>
      </c>
      <c r="S666" t="n">
        <v>0.02082968176698108</v>
      </c>
      <c r="T666" t="n">
        <v>0.01676188940425874</v>
      </c>
    </row>
    <row r="667">
      <c r="A667" s="123" t="n">
        <v>37653</v>
      </c>
      <c r="B667" t="n">
        <v>51.9</v>
      </c>
      <c r="C667" t="n">
        <v>54.6</v>
      </c>
      <c r="D667" t="n">
        <v>49</v>
      </c>
      <c r="E667" t="n">
        <v>65.5</v>
      </c>
      <c r="F667" t="n">
        <v>53.6</v>
      </c>
      <c r="G667" t="n">
        <v>46</v>
      </c>
      <c r="H667" t="n">
        <v>43</v>
      </c>
      <c r="I667" t="n">
        <v>52.8</v>
      </c>
      <c r="J667" t="n">
        <v>42.6</v>
      </c>
      <c r="K667" t="n">
        <v>55.2</v>
      </c>
      <c r="L667" t="n">
        <v>48.8</v>
      </c>
      <c r="M667" t="n">
        <v>841.1500244140625</v>
      </c>
      <c r="O667" t="n">
        <v>0.005167231869169835</v>
      </c>
      <c r="P667" t="n">
        <v>0.01676188940425874</v>
      </c>
      <c r="Q667" t="n">
        <v>0.02082968176698108</v>
      </c>
    </row>
    <row r="668">
      <c r="A668" s="123" t="n">
        <v>37681</v>
      </c>
      <c r="B668" t="n">
        <v>47.2</v>
      </c>
      <c r="C668" t="n">
        <v>53.3</v>
      </c>
      <c r="D668" t="n">
        <v>41.5</v>
      </c>
      <c r="E668" t="n">
        <v>70</v>
      </c>
      <c r="F668" t="n">
        <v>47</v>
      </c>
      <c r="G668" t="n">
        <v>42</v>
      </c>
      <c r="H668" t="n">
        <v>42.3</v>
      </c>
      <c r="I668" t="n">
        <v>52.6</v>
      </c>
      <c r="J668" t="n">
        <v>42.2</v>
      </c>
      <c r="K668" t="n">
        <v>51.3</v>
      </c>
      <c r="L668" t="n">
        <v>46.3</v>
      </c>
      <c r="M668" t="n">
        <v>848.1799926757812</v>
      </c>
      <c r="O668" t="n">
        <v>0.005167231869169835</v>
      </c>
      <c r="P668" t="n">
        <v>0.01676188940425874</v>
      </c>
      <c r="Q668" t="n">
        <v>0.02082968176698108</v>
      </c>
    </row>
    <row r="669">
      <c r="A669" s="123"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0.008933778011626672</v>
      </c>
      <c r="P669" t="n">
        <v>0.01956993641779591</v>
      </c>
      <c r="Q669" t="n">
        <v>0.03621684485857446</v>
      </c>
      <c r="R669" t="n">
        <v>0.008933778011626672</v>
      </c>
      <c r="S669" t="n">
        <v>0.03621684485857446</v>
      </c>
      <c r="T669" t="n">
        <v>0.01956993641779591</v>
      </c>
    </row>
    <row r="670">
      <c r="A670" s="123" t="n">
        <v>37742</v>
      </c>
      <c r="B670" t="n">
        <v>53.4</v>
      </c>
      <c r="C670" t="n">
        <v>52.2</v>
      </c>
      <c r="D670" t="n">
        <v>51</v>
      </c>
      <c r="E670" t="n">
        <v>51.5</v>
      </c>
      <c r="F670" t="n">
        <v>52.9</v>
      </c>
      <c r="G670" t="n">
        <v>45</v>
      </c>
      <c r="H670" t="n">
        <v>45.7</v>
      </c>
      <c r="I670" t="n">
        <v>50.6</v>
      </c>
      <c r="J670" t="n">
        <v>42.4</v>
      </c>
      <c r="K670" t="n">
        <v>51.7</v>
      </c>
      <c r="L670" t="n">
        <v>49</v>
      </c>
      <c r="M670" t="n">
        <v>963.5900268554688</v>
      </c>
      <c r="O670" t="n">
        <v>0.008933778011626672</v>
      </c>
      <c r="P670" t="n">
        <v>0.01956993641779591</v>
      </c>
      <c r="Q670" t="n">
        <v>0.03621684485857446</v>
      </c>
    </row>
    <row r="671">
      <c r="A671" s="123" t="n">
        <v>37773</v>
      </c>
      <c r="B671" t="n">
        <v>53.6</v>
      </c>
      <c r="C671" t="n">
        <v>55.9</v>
      </c>
      <c r="D671" t="n">
        <v>50</v>
      </c>
      <c r="E671" t="n">
        <v>56.5</v>
      </c>
      <c r="F671" t="n">
        <v>54.1</v>
      </c>
      <c r="G671" t="n">
        <v>45.5</v>
      </c>
      <c r="H671" t="n">
        <v>42</v>
      </c>
      <c r="I671" t="n">
        <v>49.8</v>
      </c>
      <c r="J671" t="n">
        <v>45.6</v>
      </c>
      <c r="K671" t="n">
        <v>54.6</v>
      </c>
      <c r="L671" t="n">
        <v>49</v>
      </c>
      <c r="M671" t="n">
        <v>974.5</v>
      </c>
      <c r="O671" t="n">
        <v>0.008933778011626672</v>
      </c>
      <c r="P671" t="n">
        <v>0.01956993641779591</v>
      </c>
      <c r="Q671" t="n">
        <v>0.03621684485857446</v>
      </c>
    </row>
    <row r="672">
      <c r="A672" s="123"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0.01666896269711016</v>
      </c>
      <c r="P672" t="n">
        <v>0.03239908301526014</v>
      </c>
      <c r="Q672" t="n">
        <v>0.06836158006885595</v>
      </c>
      <c r="R672" t="n">
        <v>0.01666896269711016</v>
      </c>
      <c r="S672" t="n">
        <v>0.06836158006885595</v>
      </c>
      <c r="T672" t="n">
        <v>0.03239908301526014</v>
      </c>
    </row>
    <row r="673">
      <c r="A673" s="123" t="n">
        <v>37834</v>
      </c>
      <c r="B673" t="n">
        <v>61.1</v>
      </c>
      <c r="C673" t="n">
        <v>55.2</v>
      </c>
      <c r="D673" t="n">
        <v>51.5</v>
      </c>
      <c r="E673" t="n">
        <v>53</v>
      </c>
      <c r="F673" t="n">
        <v>61.8</v>
      </c>
      <c r="G673" t="n">
        <v>43</v>
      </c>
      <c r="H673" t="n">
        <v>43.1</v>
      </c>
      <c r="I673" t="n">
        <v>53</v>
      </c>
      <c r="J673" t="n">
        <v>47.1</v>
      </c>
      <c r="K673" t="n">
        <v>56.4</v>
      </c>
      <c r="L673" t="n">
        <v>53.2</v>
      </c>
      <c r="M673" t="n">
        <v>1008.010009765625</v>
      </c>
      <c r="O673" t="n">
        <v>0.01666896269711016</v>
      </c>
      <c r="P673" t="n">
        <v>0.03239908301526014</v>
      </c>
      <c r="Q673" t="n">
        <v>0.06836158006885595</v>
      </c>
    </row>
    <row r="674">
      <c r="A674" s="123" t="n">
        <v>37865</v>
      </c>
      <c r="B674" t="n">
        <v>60.8</v>
      </c>
      <c r="C674" t="n">
        <v>61.4</v>
      </c>
      <c r="D674" t="n">
        <v>52.5</v>
      </c>
      <c r="E674" t="n">
        <v>56</v>
      </c>
      <c r="F674" t="n">
        <v>57.8</v>
      </c>
      <c r="G674" t="n">
        <v>44.5</v>
      </c>
      <c r="H674" t="n">
        <v>43.4</v>
      </c>
      <c r="I674" t="n">
        <v>53.4</v>
      </c>
      <c r="J674" t="n">
        <v>46.5</v>
      </c>
      <c r="K674" t="n">
        <v>54.5</v>
      </c>
      <c r="L674" t="n">
        <v>52.4</v>
      </c>
      <c r="M674" t="n">
        <v>995.969970703125</v>
      </c>
      <c r="O674" t="n">
        <v>0.01666896269711016</v>
      </c>
      <c r="P674" t="n">
        <v>0.03239908301526014</v>
      </c>
      <c r="Q674" t="n">
        <v>0.06836158006885595</v>
      </c>
    </row>
    <row r="675">
      <c r="A675" s="123"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0.01154045727617818</v>
      </c>
      <c r="P675" t="n">
        <v>0.04295076520243932</v>
      </c>
      <c r="Q675" t="n">
        <v>0.0469670876988979</v>
      </c>
      <c r="R675" t="n">
        <v>0.01154045727617818</v>
      </c>
      <c r="S675" t="n">
        <v>0.0469670876988979</v>
      </c>
      <c r="T675" t="n">
        <v>0.04295076520243932</v>
      </c>
    </row>
    <row r="676">
      <c r="A676" s="123"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O676" t="n">
        <v>0.01154045727617818</v>
      </c>
      <c r="P676" t="n">
        <v>0.04295076520243932</v>
      </c>
      <c r="Q676" t="n">
        <v>0.0469670876988979</v>
      </c>
    </row>
    <row r="677">
      <c r="A677" s="123" t="n">
        <v>37956</v>
      </c>
      <c r="B677" t="n">
        <v>71.3</v>
      </c>
      <c r="C677" t="n">
        <v>57.8</v>
      </c>
      <c r="D677" t="n">
        <v>61</v>
      </c>
      <c r="E677" t="n">
        <v>66</v>
      </c>
      <c r="F677" t="n">
        <v>70</v>
      </c>
      <c r="G677" t="n">
        <v>39</v>
      </c>
      <c r="H677" t="n">
        <v>45.9</v>
      </c>
      <c r="I677" t="n">
        <v>59.3</v>
      </c>
      <c r="J677" t="n">
        <v>54.1</v>
      </c>
      <c r="K677" t="n">
        <v>59.3</v>
      </c>
      <c r="L677" t="n">
        <v>60.1</v>
      </c>
      <c r="M677" t="n">
        <v>1111.920043945312</v>
      </c>
      <c r="O677" t="n">
        <v>0.01154045727617818</v>
      </c>
      <c r="P677" t="n">
        <v>0.04295076520243932</v>
      </c>
      <c r="Q677" t="n">
        <v>0.0469670876988979</v>
      </c>
    </row>
    <row r="678">
      <c r="A678" s="123"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0.005729164860697553</v>
      </c>
      <c r="P678" t="n">
        <v>0.04353382086215924</v>
      </c>
      <c r="Q678" t="n">
        <v>0.02311435270124318</v>
      </c>
      <c r="R678" t="n">
        <v>0.005729164860697553</v>
      </c>
      <c r="S678" t="n">
        <v>0.02311435270124318</v>
      </c>
      <c r="T678" t="n">
        <v>0.04353382086215924</v>
      </c>
    </row>
    <row r="679">
      <c r="A679" s="123" t="n">
        <v>38018</v>
      </c>
      <c r="B679" t="n">
        <v>66.5</v>
      </c>
      <c r="C679" t="n">
        <v>59.9</v>
      </c>
      <c r="D679" t="n">
        <v>62</v>
      </c>
      <c r="E679" t="n">
        <v>81.5</v>
      </c>
      <c r="F679" t="n">
        <v>65.59999999999999</v>
      </c>
      <c r="G679" t="n">
        <v>38.5</v>
      </c>
      <c r="H679" t="n">
        <v>49</v>
      </c>
      <c r="I679" t="n">
        <v>62.9</v>
      </c>
      <c r="J679" t="n">
        <v>55.7</v>
      </c>
      <c r="K679" t="n">
        <v>55.1</v>
      </c>
      <c r="L679" t="n">
        <v>59.9</v>
      </c>
      <c r="M679" t="n">
        <v>1144.93994140625</v>
      </c>
      <c r="O679" t="n">
        <v>0.005729164860697553</v>
      </c>
      <c r="P679" t="n">
        <v>0.04353382086215924</v>
      </c>
      <c r="Q679" t="n">
        <v>0.02311435270124318</v>
      </c>
    </row>
    <row r="680">
      <c r="A680" s="123" t="n">
        <v>38047</v>
      </c>
      <c r="B680" t="n">
        <v>64.59999999999999</v>
      </c>
      <c r="C680" t="n">
        <v>57.1</v>
      </c>
      <c r="D680" t="n">
        <v>63.5</v>
      </c>
      <c r="E680" t="n">
        <v>86</v>
      </c>
      <c r="F680" t="n">
        <v>66.8</v>
      </c>
      <c r="G680" t="n">
        <v>39.5</v>
      </c>
      <c r="H680" t="n">
        <v>48</v>
      </c>
      <c r="I680" t="n">
        <v>66.7</v>
      </c>
      <c r="J680" t="n">
        <v>57</v>
      </c>
      <c r="K680" t="n">
        <v>60.2</v>
      </c>
      <c r="L680" t="n">
        <v>60.6</v>
      </c>
      <c r="M680" t="n">
        <v>1126.2099609375</v>
      </c>
      <c r="O680" t="n">
        <v>0.005729164860697553</v>
      </c>
      <c r="P680" t="n">
        <v>0.04353382086215924</v>
      </c>
      <c r="Q680" t="n">
        <v>0.02311435270124318</v>
      </c>
    </row>
    <row r="681">
      <c r="A681" s="123"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0.00778738758008883</v>
      </c>
      <c r="P681" t="n">
        <v>0.04234811649454442</v>
      </c>
      <c r="Q681" t="n">
        <v>0.03151530344471909</v>
      </c>
      <c r="R681" t="n">
        <v>0.00778738758008883</v>
      </c>
      <c r="S681" t="n">
        <v>0.03151530344471909</v>
      </c>
      <c r="T681" t="n">
        <v>0.04234811649454442</v>
      </c>
    </row>
    <row r="682">
      <c r="A682" s="123" t="n">
        <v>38108</v>
      </c>
      <c r="B682" t="n">
        <v>64.5</v>
      </c>
      <c r="C682" t="n">
        <v>58.8</v>
      </c>
      <c r="D682" t="n">
        <v>63</v>
      </c>
      <c r="E682" t="n">
        <v>86</v>
      </c>
      <c r="F682" t="n">
        <v>65.3</v>
      </c>
      <c r="G682" t="n">
        <v>37</v>
      </c>
      <c r="H682" t="n">
        <v>48.8</v>
      </c>
      <c r="I682" t="n">
        <v>68.3</v>
      </c>
      <c r="J682" t="n">
        <v>60.1</v>
      </c>
      <c r="K682" t="n">
        <v>60</v>
      </c>
      <c r="L682" t="n">
        <v>61.4</v>
      </c>
      <c r="M682" t="n">
        <v>1120.680053710938</v>
      </c>
      <c r="O682" t="n">
        <v>0.00778738758008883</v>
      </c>
      <c r="P682" t="n">
        <v>0.04234811649454442</v>
      </c>
      <c r="Q682" t="n">
        <v>0.03151530344471909</v>
      </c>
    </row>
    <row r="683">
      <c r="A683" s="123" t="n">
        <v>38139</v>
      </c>
      <c r="B683" t="n">
        <v>60.9</v>
      </c>
      <c r="C683" t="n">
        <v>57.5</v>
      </c>
      <c r="D683" t="n">
        <v>58.5</v>
      </c>
      <c r="E683" t="n">
        <v>81</v>
      </c>
      <c r="F683" t="n">
        <v>63.7</v>
      </c>
      <c r="G683" t="n">
        <v>39</v>
      </c>
      <c r="H683" t="n">
        <v>51.3</v>
      </c>
      <c r="I683" t="n">
        <v>67.09999999999999</v>
      </c>
      <c r="J683" t="n">
        <v>59.4</v>
      </c>
      <c r="K683" t="n">
        <v>57.3</v>
      </c>
      <c r="L683" t="n">
        <v>60.5</v>
      </c>
      <c r="M683" t="n">
        <v>1140.839965820312</v>
      </c>
      <c r="O683" t="n">
        <v>0.00778738758008883</v>
      </c>
      <c r="P683" t="n">
        <v>0.04234811649454442</v>
      </c>
      <c r="Q683" t="n">
        <v>0.03151530344471909</v>
      </c>
    </row>
    <row r="684">
      <c r="A684" s="123"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0.009412472246594451</v>
      </c>
      <c r="P684" t="n">
        <v>0.03490834068650776</v>
      </c>
      <c r="Q684" t="n">
        <v>0.03818480021627169</v>
      </c>
      <c r="R684" t="n">
        <v>0.009412472246594451</v>
      </c>
      <c r="S684" t="n">
        <v>0.03818480021627169</v>
      </c>
      <c r="T684" t="n">
        <v>0.03490834068650776</v>
      </c>
    </row>
    <row r="685">
      <c r="A685" s="123" t="n">
        <v>38200</v>
      </c>
      <c r="B685" t="n">
        <v>62.1</v>
      </c>
      <c r="C685" t="n">
        <v>58.3</v>
      </c>
      <c r="D685" t="n">
        <v>55</v>
      </c>
      <c r="E685" t="n">
        <v>81.5</v>
      </c>
      <c r="F685" t="n">
        <v>59.3</v>
      </c>
      <c r="G685" t="n">
        <v>45.5</v>
      </c>
      <c r="H685" t="n">
        <v>52.1</v>
      </c>
      <c r="I685" t="n">
        <v>62.8</v>
      </c>
      <c r="J685" t="n">
        <v>56.4</v>
      </c>
      <c r="K685" t="n">
        <v>55.8</v>
      </c>
      <c r="L685" t="n">
        <v>58.5</v>
      </c>
      <c r="M685" t="n">
        <v>1104.239990234375</v>
      </c>
      <c r="O685" t="n">
        <v>0.009412472246594451</v>
      </c>
      <c r="P685" t="n">
        <v>0.03490834068650776</v>
      </c>
      <c r="Q685" t="n">
        <v>0.03818480021627169</v>
      </c>
    </row>
    <row r="686">
      <c r="A686" s="123" t="n">
        <v>38231</v>
      </c>
      <c r="B686" t="n">
        <v>57.7</v>
      </c>
      <c r="C686" t="n">
        <v>58.2</v>
      </c>
      <c r="D686" t="n">
        <v>55</v>
      </c>
      <c r="E686" t="n">
        <v>76</v>
      </c>
      <c r="F686" t="n">
        <v>59.8</v>
      </c>
      <c r="G686" t="n">
        <v>41.5</v>
      </c>
      <c r="H686" t="n">
        <v>51.6</v>
      </c>
      <c r="I686" t="n">
        <v>59.8</v>
      </c>
      <c r="J686" t="n">
        <v>58</v>
      </c>
      <c r="K686" t="n">
        <v>53.5</v>
      </c>
      <c r="L686" t="n">
        <v>57.4</v>
      </c>
      <c r="M686" t="n">
        <v>1114.579956054688</v>
      </c>
      <c r="O686" t="n">
        <v>0.009412472246594451</v>
      </c>
      <c r="P686" t="n">
        <v>0.03490834068650776</v>
      </c>
      <c r="Q686" t="n">
        <v>0.03818480021627169</v>
      </c>
    </row>
    <row r="687">
      <c r="A687" s="123"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0.01022027368972049</v>
      </c>
      <c r="P687" t="n">
        <v>0.03355765916404892</v>
      </c>
      <c r="Q687" t="n">
        <v>0.04151209982891446</v>
      </c>
      <c r="R687" t="n">
        <v>0.01022027368972049</v>
      </c>
      <c r="S687" t="n">
        <v>0.04151209982891446</v>
      </c>
      <c r="T687" t="n">
        <v>0.03355765916404892</v>
      </c>
    </row>
    <row r="688">
      <c r="A688" s="123" t="n">
        <v>38292</v>
      </c>
      <c r="B688" t="n">
        <v>60.1</v>
      </c>
      <c r="C688" t="n">
        <v>58.8</v>
      </c>
      <c r="D688" t="n">
        <v>47.5</v>
      </c>
      <c r="E688" t="n">
        <v>74</v>
      </c>
      <c r="F688" t="n">
        <v>57.3</v>
      </c>
      <c r="G688" t="n">
        <v>43.5</v>
      </c>
      <c r="H688" t="n">
        <v>49.7</v>
      </c>
      <c r="I688" t="n">
        <v>56.8</v>
      </c>
      <c r="J688" t="n">
        <v>56.9</v>
      </c>
      <c r="K688" t="n">
        <v>54.5</v>
      </c>
      <c r="L688" t="n">
        <v>56.2</v>
      </c>
      <c r="M688" t="n">
        <v>1173.819946289062</v>
      </c>
      <c r="O688" t="n">
        <v>0.01022027368972049</v>
      </c>
      <c r="P688" t="n">
        <v>0.03355765916404892</v>
      </c>
      <c r="Q688" t="n">
        <v>0.04151209982891446</v>
      </c>
    </row>
    <row r="689">
      <c r="A689" s="123" t="n">
        <v>38322</v>
      </c>
      <c r="B689" t="n">
        <v>66.3</v>
      </c>
      <c r="C689" t="n">
        <v>60.8</v>
      </c>
      <c r="D689" t="n">
        <v>54</v>
      </c>
      <c r="E689" t="n">
        <v>72</v>
      </c>
      <c r="F689" t="n">
        <v>57.9</v>
      </c>
      <c r="G689" t="n">
        <v>44</v>
      </c>
      <c r="H689" t="n">
        <v>52.8</v>
      </c>
      <c r="I689" t="n">
        <v>55.3</v>
      </c>
      <c r="J689" t="n">
        <v>53.8</v>
      </c>
      <c r="K689" t="n">
        <v>59.1</v>
      </c>
      <c r="L689" t="n">
        <v>57.2</v>
      </c>
      <c r="M689" t="n">
        <v>1211.920043945312</v>
      </c>
      <c r="O689" t="n">
        <v>0.01022027368972049</v>
      </c>
      <c r="P689" t="n">
        <v>0.03355765916404892</v>
      </c>
      <c r="Q689" t="n">
        <v>0.04151209982891446</v>
      </c>
    </row>
    <row r="690">
      <c r="A690" s="123"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0.01110882507696538</v>
      </c>
      <c r="P690" t="n">
        <v>0.03908617440899946</v>
      </c>
      <c r="Q690" t="n">
        <v>0.04518123508687388</v>
      </c>
      <c r="R690" t="n">
        <v>0.01110882507696538</v>
      </c>
      <c r="S690" t="n">
        <v>0.04518123508687388</v>
      </c>
      <c r="T690" t="n">
        <v>0.03908617440899946</v>
      </c>
    </row>
    <row r="691">
      <c r="A691" s="123" t="n">
        <v>38384</v>
      </c>
      <c r="B691" t="n">
        <v>55.9</v>
      </c>
      <c r="C691" t="n">
        <v>60.7</v>
      </c>
      <c r="D691" t="n">
        <v>50.5</v>
      </c>
      <c r="E691" t="n">
        <v>65.5</v>
      </c>
      <c r="F691" t="n">
        <v>58.2</v>
      </c>
      <c r="G691" t="n">
        <v>42.5</v>
      </c>
      <c r="H691" t="n">
        <v>51</v>
      </c>
      <c r="I691" t="n">
        <v>56.5</v>
      </c>
      <c r="J691" t="n">
        <v>56</v>
      </c>
      <c r="K691" t="n">
        <v>56.5</v>
      </c>
      <c r="L691" t="n">
        <v>55.5</v>
      </c>
      <c r="M691" t="n">
        <v>1203.599975585938</v>
      </c>
      <c r="O691" t="n">
        <v>0.01110882507696538</v>
      </c>
      <c r="P691" t="n">
        <v>0.03908617440899946</v>
      </c>
      <c r="Q691" t="n">
        <v>0.04518123508687388</v>
      </c>
    </row>
    <row r="692">
      <c r="A692" s="123" t="n">
        <v>38412</v>
      </c>
      <c r="B692" t="n">
        <v>57.7</v>
      </c>
      <c r="C692" t="n">
        <v>58.9</v>
      </c>
      <c r="D692" t="n">
        <v>56</v>
      </c>
      <c r="E692" t="n">
        <v>73</v>
      </c>
      <c r="F692" t="n">
        <v>57.5</v>
      </c>
      <c r="G692" t="n">
        <v>46</v>
      </c>
      <c r="H692" t="n">
        <v>55</v>
      </c>
      <c r="I692" t="n">
        <v>53.5</v>
      </c>
      <c r="J692" t="n">
        <v>52.5</v>
      </c>
      <c r="K692" t="n">
        <v>55.1</v>
      </c>
      <c r="L692" t="n">
        <v>55.2</v>
      </c>
      <c r="M692" t="n">
        <v>1180.589965820312</v>
      </c>
      <c r="O692" t="n">
        <v>0.01110882507696538</v>
      </c>
      <c r="P692" t="n">
        <v>0.03908617440899946</v>
      </c>
      <c r="Q692" t="n">
        <v>0.04518123508687388</v>
      </c>
    </row>
    <row r="693">
      <c r="A693" s="123"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0.004866044784053191</v>
      </c>
      <c r="P693" t="n">
        <v>0.03607410366126079</v>
      </c>
      <c r="Q693" t="n">
        <v>0.01960671092838173</v>
      </c>
      <c r="R693" t="n">
        <v>0.004866044784053191</v>
      </c>
      <c r="S693" t="n">
        <v>0.01960671092838173</v>
      </c>
      <c r="T693" t="n">
        <v>0.03607410366126079</v>
      </c>
    </row>
    <row r="694">
      <c r="A694" s="123" t="n">
        <v>38473</v>
      </c>
      <c r="B694" t="n">
        <v>51.8</v>
      </c>
      <c r="C694" t="n">
        <v>53.9</v>
      </c>
      <c r="D694" t="n">
        <v>51</v>
      </c>
      <c r="E694" t="n">
        <v>58</v>
      </c>
      <c r="F694" t="n">
        <v>54.7</v>
      </c>
      <c r="G694" t="n">
        <v>47.5</v>
      </c>
      <c r="H694" t="n">
        <v>48.5</v>
      </c>
      <c r="I694" t="n">
        <v>49.8</v>
      </c>
      <c r="J694" t="n">
        <v>49.3</v>
      </c>
      <c r="K694" t="n">
        <v>55.3</v>
      </c>
      <c r="L694" t="n">
        <v>50.8</v>
      </c>
      <c r="M694" t="n">
        <v>1191.5</v>
      </c>
      <c r="O694" t="n">
        <v>0.004866044784053191</v>
      </c>
      <c r="P694" t="n">
        <v>0.03607410366126079</v>
      </c>
      <c r="Q694" t="n">
        <v>0.01960671092838173</v>
      </c>
    </row>
    <row r="695">
      <c r="A695" s="123" t="n">
        <v>38504</v>
      </c>
      <c r="B695" t="n">
        <v>55.7</v>
      </c>
      <c r="C695" t="n">
        <v>54.2</v>
      </c>
      <c r="D695" t="n">
        <v>51</v>
      </c>
      <c r="E695" t="n">
        <v>50.5</v>
      </c>
      <c r="F695" t="n">
        <v>55.1</v>
      </c>
      <c r="G695" t="n">
        <v>44</v>
      </c>
      <c r="H695" t="n">
        <v>48</v>
      </c>
      <c r="I695" t="n">
        <v>52</v>
      </c>
      <c r="J695" t="n">
        <v>51.1</v>
      </c>
      <c r="K695" t="n">
        <v>51.2</v>
      </c>
      <c r="L695" t="n">
        <v>52.4</v>
      </c>
      <c r="M695" t="n">
        <v>1191.329956054688</v>
      </c>
      <c r="O695" t="n">
        <v>0.004866044784053191</v>
      </c>
      <c r="P695" t="n">
        <v>0.03607410366126079</v>
      </c>
      <c r="Q695" t="n">
        <v>0.01960671092838173</v>
      </c>
    </row>
    <row r="696">
      <c r="A696" s="123"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0.007856219802722447</v>
      </c>
      <c r="P696" t="n">
        <v>0.03447674589108512</v>
      </c>
      <c r="Q696" t="n">
        <v>0.0317971437073068</v>
      </c>
      <c r="R696" t="n">
        <v>0.007856219802722447</v>
      </c>
      <c r="S696" t="n">
        <v>0.0317971437073068</v>
      </c>
      <c r="T696" t="n">
        <v>0.03447674589108512</v>
      </c>
    </row>
    <row r="697">
      <c r="A697" s="123" t="n">
        <v>38565</v>
      </c>
      <c r="B697" t="n">
        <v>57.8</v>
      </c>
      <c r="C697" t="n">
        <v>53.4</v>
      </c>
      <c r="D697" t="n">
        <v>50.5</v>
      </c>
      <c r="E697" t="n">
        <v>62.5</v>
      </c>
      <c r="F697" t="n">
        <v>55.6</v>
      </c>
      <c r="G697" t="n">
        <v>46.5</v>
      </c>
      <c r="H697" t="n">
        <v>47</v>
      </c>
      <c r="I697" t="n">
        <v>49.9</v>
      </c>
      <c r="J697" t="n">
        <v>51.8</v>
      </c>
      <c r="K697" t="n">
        <v>54.5</v>
      </c>
      <c r="L697" t="n">
        <v>52.4</v>
      </c>
      <c r="M697" t="n">
        <v>1220.329956054688</v>
      </c>
      <c r="O697" t="n">
        <v>0.007856219802722447</v>
      </c>
      <c r="P697" t="n">
        <v>0.03447674589108512</v>
      </c>
      <c r="Q697" t="n">
        <v>0.0317971437073068</v>
      </c>
    </row>
    <row r="698">
      <c r="A698" s="123" t="n">
        <v>38596</v>
      </c>
      <c r="B698" t="n">
        <v>60.9</v>
      </c>
      <c r="C698" t="n">
        <v>53.4</v>
      </c>
      <c r="D698" t="n">
        <v>55</v>
      </c>
      <c r="E698" t="n">
        <v>78</v>
      </c>
      <c r="F698" t="n">
        <v>62.4</v>
      </c>
      <c r="G698" t="n">
        <v>44.5</v>
      </c>
      <c r="H698" t="n">
        <v>49.5</v>
      </c>
      <c r="I698" t="n">
        <v>57.7</v>
      </c>
      <c r="J698" t="n">
        <v>53.4</v>
      </c>
      <c r="K698" t="n">
        <v>57.3</v>
      </c>
      <c r="L698" t="n">
        <v>56.8</v>
      </c>
      <c r="M698" t="n">
        <v>1228.81005859375</v>
      </c>
      <c r="O698" t="n">
        <v>0.007856219802722447</v>
      </c>
      <c r="P698" t="n">
        <v>0.03447674589108512</v>
      </c>
      <c r="Q698" t="n">
        <v>0.0317971437073068</v>
      </c>
    </row>
    <row r="699">
      <c r="A699" s="123"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0.005679282383580309</v>
      </c>
      <c r="P699" t="n">
        <v>0.02982672051361144</v>
      </c>
      <c r="Q699" t="n">
        <v>0.02291138878895116</v>
      </c>
      <c r="R699" t="n">
        <v>0.005679282383580309</v>
      </c>
      <c r="S699" t="n">
        <v>0.02291138878895116</v>
      </c>
      <c r="T699" t="n">
        <v>0.02982672051361144</v>
      </c>
    </row>
    <row r="700">
      <c r="A700" s="123" t="n">
        <v>38657</v>
      </c>
      <c r="B700" t="n">
        <v>61.2</v>
      </c>
      <c r="C700" t="n">
        <v>54.1</v>
      </c>
      <c r="D700" t="n">
        <v>53</v>
      </c>
      <c r="E700" t="n">
        <v>74</v>
      </c>
      <c r="F700" t="n">
        <v>62.4</v>
      </c>
      <c r="G700" t="n">
        <v>43.5</v>
      </c>
      <c r="H700" t="n">
        <v>47</v>
      </c>
      <c r="I700" t="n">
        <v>57</v>
      </c>
      <c r="J700" t="n">
        <v>56</v>
      </c>
      <c r="K700" t="n">
        <v>57.9</v>
      </c>
      <c r="L700" t="n">
        <v>56.7</v>
      </c>
      <c r="M700" t="n">
        <v>1249.47998046875</v>
      </c>
      <c r="O700" t="n">
        <v>0.005679282383580309</v>
      </c>
      <c r="P700" t="n">
        <v>0.02982672051361144</v>
      </c>
      <c r="Q700" t="n">
        <v>0.02291138878895116</v>
      </c>
    </row>
    <row r="701">
      <c r="A701" s="123" t="n">
        <v>38687</v>
      </c>
      <c r="B701" t="n">
        <v>60.1</v>
      </c>
      <c r="C701" t="n">
        <v>52.8</v>
      </c>
      <c r="D701" t="n">
        <v>49.5</v>
      </c>
      <c r="E701" t="n">
        <v>63</v>
      </c>
      <c r="F701" t="n">
        <v>60.3</v>
      </c>
      <c r="G701" t="n">
        <v>48</v>
      </c>
      <c r="H701" t="n">
        <v>46.5</v>
      </c>
      <c r="I701" t="n">
        <v>54.9</v>
      </c>
      <c r="J701" t="n">
        <v>53.7</v>
      </c>
      <c r="K701" t="n">
        <v>54.3</v>
      </c>
      <c r="L701" t="n">
        <v>55.1</v>
      </c>
      <c r="M701" t="n">
        <v>1248.2900390625</v>
      </c>
      <c r="O701" t="n">
        <v>0.005679282383580309</v>
      </c>
      <c r="P701" t="n">
        <v>0.02982672051361144</v>
      </c>
      <c r="Q701" t="n">
        <v>0.02291138878895116</v>
      </c>
    </row>
    <row r="702">
      <c r="A702" s="123"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0.01348666119902943</v>
      </c>
      <c r="P702" t="n">
        <v>0.03224857572323006</v>
      </c>
      <c r="Q702" t="n">
        <v>0.05504783041874162</v>
      </c>
      <c r="R702" t="n">
        <v>0.01348666119902943</v>
      </c>
      <c r="S702" t="n">
        <v>0.05504783041874162</v>
      </c>
      <c r="T702" t="n">
        <v>0.03224857572323006</v>
      </c>
    </row>
    <row r="703">
      <c r="A703" s="123" t="n">
        <v>38749</v>
      </c>
      <c r="B703" t="n">
        <v>61</v>
      </c>
      <c r="C703" t="n">
        <v>57.5</v>
      </c>
      <c r="D703" t="n">
        <v>54.5</v>
      </c>
      <c r="E703" t="n">
        <v>62.5</v>
      </c>
      <c r="F703" t="n">
        <v>57.9</v>
      </c>
      <c r="G703" t="n">
        <v>48.5</v>
      </c>
      <c r="H703" t="n">
        <v>52</v>
      </c>
      <c r="I703" t="n">
        <v>54.4</v>
      </c>
      <c r="J703" t="n">
        <v>53.5</v>
      </c>
      <c r="K703" t="n">
        <v>57</v>
      </c>
      <c r="L703" t="n">
        <v>55.8</v>
      </c>
      <c r="M703" t="n">
        <v>1280.660034179688</v>
      </c>
      <c r="O703" t="n">
        <v>0.01348666119902943</v>
      </c>
      <c r="P703" t="n">
        <v>0.03224857572323006</v>
      </c>
      <c r="Q703" t="n">
        <v>0.05504783041874162</v>
      </c>
    </row>
    <row r="704">
      <c r="A704" s="123" t="n">
        <v>38777</v>
      </c>
      <c r="B704" t="n">
        <v>57</v>
      </c>
      <c r="C704" t="n">
        <v>57</v>
      </c>
      <c r="D704" t="n">
        <v>59.5</v>
      </c>
      <c r="E704" t="n">
        <v>66.5</v>
      </c>
      <c r="F704" t="n">
        <v>57</v>
      </c>
      <c r="G704" t="n">
        <v>48</v>
      </c>
      <c r="H704" t="n">
        <v>50</v>
      </c>
      <c r="I704" t="n">
        <v>53.9</v>
      </c>
      <c r="J704" t="n">
        <v>53.8</v>
      </c>
      <c r="K704" t="n">
        <v>57.3</v>
      </c>
      <c r="L704" t="n">
        <v>54.3</v>
      </c>
      <c r="M704" t="n">
        <v>1294.869995117188</v>
      </c>
      <c r="O704" t="n">
        <v>0.01348666119902943</v>
      </c>
      <c r="P704" t="n">
        <v>0.03224857572323006</v>
      </c>
      <c r="Q704" t="n">
        <v>0.05504783041874162</v>
      </c>
    </row>
    <row r="705">
      <c r="A705" s="123"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0.00245583730558364</v>
      </c>
      <c r="P705" t="n">
        <v>0.02977269025594638</v>
      </c>
      <c r="Q705" t="n">
        <v>0.009859595325901749</v>
      </c>
      <c r="R705" t="n">
        <v>0.00245583730558364</v>
      </c>
      <c r="S705" t="n">
        <v>0.009859595325901749</v>
      </c>
      <c r="T705" t="n">
        <v>0.02977269025594638</v>
      </c>
    </row>
    <row r="706">
      <c r="A706" s="123" t="n">
        <v>38838</v>
      </c>
      <c r="B706" t="n">
        <v>54.9</v>
      </c>
      <c r="C706" t="n">
        <v>56.5</v>
      </c>
      <c r="D706" t="n">
        <v>53</v>
      </c>
      <c r="E706" t="n">
        <v>77</v>
      </c>
      <c r="F706" t="n">
        <v>56</v>
      </c>
      <c r="G706" t="n">
        <v>44</v>
      </c>
      <c r="H706" t="n">
        <v>48.5</v>
      </c>
      <c r="I706" t="n">
        <v>56.1</v>
      </c>
      <c r="J706" t="n">
        <v>53.2</v>
      </c>
      <c r="K706" t="n">
        <v>55.7</v>
      </c>
      <c r="L706" t="n">
        <v>53.7</v>
      </c>
      <c r="M706" t="n">
        <v>1270.089965820312</v>
      </c>
      <c r="O706" t="n">
        <v>0.00245583730558364</v>
      </c>
      <c r="P706" t="n">
        <v>0.02977269025594638</v>
      </c>
      <c r="Q706" t="n">
        <v>0.009859595325901749</v>
      </c>
    </row>
    <row r="707">
      <c r="A707" s="123" t="n">
        <v>38869</v>
      </c>
      <c r="B707" t="n">
        <v>55</v>
      </c>
      <c r="C707" t="n">
        <v>56.5</v>
      </c>
      <c r="D707" t="n">
        <v>54</v>
      </c>
      <c r="E707" t="n">
        <v>76.5</v>
      </c>
      <c r="F707" t="n">
        <v>53.4</v>
      </c>
      <c r="G707" t="n">
        <v>45.5</v>
      </c>
      <c r="H707" t="n">
        <v>47.5</v>
      </c>
      <c r="I707" t="n">
        <v>54</v>
      </c>
      <c r="J707" t="n">
        <v>49.9</v>
      </c>
      <c r="K707" t="n">
        <v>55.4</v>
      </c>
      <c r="L707" t="n">
        <v>52</v>
      </c>
      <c r="M707" t="n">
        <v>1270.199951171875</v>
      </c>
      <c r="O707" t="n">
        <v>0.00245583730558364</v>
      </c>
      <c r="P707" t="n">
        <v>0.02977269025594638</v>
      </c>
      <c r="Q707" t="n">
        <v>0.009859595325901749</v>
      </c>
    </row>
    <row r="708">
      <c r="A708" s="123"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0.001504561881094995</v>
      </c>
      <c r="P708" t="n">
        <v>0.02328291151863791</v>
      </c>
      <c r="Q708" t="n">
        <v>0.006031843391774094</v>
      </c>
      <c r="R708" t="n">
        <v>0.001504561881094995</v>
      </c>
      <c r="S708" t="n">
        <v>0.006031843391774094</v>
      </c>
      <c r="T708" t="n">
        <v>0.02328291151863791</v>
      </c>
    </row>
    <row r="709">
      <c r="A709" s="123" t="n">
        <v>38930</v>
      </c>
      <c r="B709" t="n">
        <v>55.3</v>
      </c>
      <c r="C709" t="n">
        <v>54</v>
      </c>
      <c r="D709" t="n">
        <v>51.5</v>
      </c>
      <c r="E709" t="n">
        <v>73</v>
      </c>
      <c r="F709" t="n">
        <v>55.2</v>
      </c>
      <c r="G709" t="n">
        <v>46</v>
      </c>
      <c r="H709" t="n">
        <v>51</v>
      </c>
      <c r="I709" t="n">
        <v>54.2</v>
      </c>
      <c r="J709" t="n">
        <v>52.6</v>
      </c>
      <c r="K709" t="n">
        <v>55.7</v>
      </c>
      <c r="L709" t="n">
        <v>53.7</v>
      </c>
      <c r="M709" t="n">
        <v>1303.819946289062</v>
      </c>
      <c r="O709" t="n">
        <v>0.001504561881094995</v>
      </c>
      <c r="P709" t="n">
        <v>0.02328291151863791</v>
      </c>
      <c r="Q709" t="n">
        <v>0.006031843391774094</v>
      </c>
    </row>
    <row r="710">
      <c r="A710" s="123" t="n">
        <v>38961</v>
      </c>
      <c r="B710" t="n">
        <v>54.8</v>
      </c>
      <c r="C710" t="n">
        <v>56</v>
      </c>
      <c r="D710" t="n">
        <v>46.5</v>
      </c>
      <c r="E710" t="n">
        <v>61</v>
      </c>
      <c r="F710" t="n">
        <v>56.2</v>
      </c>
      <c r="G710" t="n">
        <v>49</v>
      </c>
      <c r="H710" t="n">
        <v>47</v>
      </c>
      <c r="I710" t="n">
        <v>52.9</v>
      </c>
      <c r="J710" t="n">
        <v>49.9</v>
      </c>
      <c r="K710" t="n">
        <v>55.3</v>
      </c>
      <c r="L710" t="n">
        <v>52.2</v>
      </c>
      <c r="M710" t="n">
        <v>1335.849975585938</v>
      </c>
      <c r="O710" t="n">
        <v>0.001504561881094995</v>
      </c>
      <c r="P710" t="n">
        <v>0.02328291151863791</v>
      </c>
      <c r="Q710" t="n">
        <v>0.006031843391774094</v>
      </c>
    </row>
    <row r="711">
      <c r="A711" s="123"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0.008437116963573578</v>
      </c>
      <c r="P711" t="n">
        <v>0.02608901983560922</v>
      </c>
      <c r="Q711" t="n">
        <v>0.03417798496028124</v>
      </c>
      <c r="R711" t="n">
        <v>0.008437116963573578</v>
      </c>
      <c r="S711" t="n">
        <v>0.03417798496028124</v>
      </c>
      <c r="T711" t="n">
        <v>0.02608901983560922</v>
      </c>
    </row>
    <row r="712">
      <c r="A712" s="123" t="n">
        <v>39022</v>
      </c>
      <c r="B712" t="n">
        <v>50.8</v>
      </c>
      <c r="C712" t="n">
        <v>56.5</v>
      </c>
      <c r="D712" t="n">
        <v>46.5</v>
      </c>
      <c r="E712" t="n">
        <v>53.5</v>
      </c>
      <c r="F712" t="n">
        <v>50.7</v>
      </c>
      <c r="G712" t="n">
        <v>50.5</v>
      </c>
      <c r="H712" t="n">
        <v>47.5</v>
      </c>
      <c r="I712" t="n">
        <v>53.1</v>
      </c>
      <c r="J712" t="n">
        <v>49.2</v>
      </c>
      <c r="K712" t="n">
        <v>56.9</v>
      </c>
      <c r="L712" t="n">
        <v>50.3</v>
      </c>
      <c r="M712" t="n">
        <v>1400.630004882812</v>
      </c>
      <c r="O712" t="n">
        <v>0.008437116963573578</v>
      </c>
      <c r="P712" t="n">
        <v>0.02608901983560922</v>
      </c>
      <c r="Q712" t="n">
        <v>0.03417798496028124</v>
      </c>
    </row>
    <row r="713">
      <c r="A713" s="123" t="n">
        <v>39052</v>
      </c>
      <c r="B713" t="n">
        <v>51.4</v>
      </c>
      <c r="C713" t="n">
        <v>55.5</v>
      </c>
      <c r="D713" t="n">
        <v>45</v>
      </c>
      <c r="E713" t="n">
        <v>47.5</v>
      </c>
      <c r="F713" t="n">
        <v>52.7</v>
      </c>
      <c r="G713" t="n">
        <v>50.5</v>
      </c>
      <c r="H713" t="n">
        <v>47.5</v>
      </c>
      <c r="I713" t="n">
        <v>55.7</v>
      </c>
      <c r="J713" t="n">
        <v>49.8</v>
      </c>
      <c r="K713" t="n">
        <v>54.3</v>
      </c>
      <c r="L713" t="n">
        <v>51.4</v>
      </c>
      <c r="M713" t="n">
        <v>1418.300048828125</v>
      </c>
      <c r="O713" t="n">
        <v>0.008437116963573578</v>
      </c>
      <c r="P713" t="n">
        <v>0.02608901983560922</v>
      </c>
      <c r="Q713" t="n">
        <v>0.03417798496028124</v>
      </c>
    </row>
    <row r="714">
      <c r="A714" s="123"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0.002935988606189744</v>
      </c>
      <c r="P714" t="n">
        <v>0.01540715325180492</v>
      </c>
      <c r="Q714" t="n">
        <v>0.01179577590686653</v>
      </c>
      <c r="R714" t="n">
        <v>0.002935988606189744</v>
      </c>
      <c r="S714" t="n">
        <v>0.01179577590686653</v>
      </c>
      <c r="T714" t="n">
        <v>0.01540715325180492</v>
      </c>
    </row>
    <row r="715">
      <c r="A715" s="123" t="n">
        <v>39114</v>
      </c>
      <c r="B715" t="n">
        <v>59.1</v>
      </c>
      <c r="C715" t="n">
        <v>61.1</v>
      </c>
      <c r="D715" t="n">
        <v>56.5</v>
      </c>
      <c r="E715" t="n">
        <v>62.5</v>
      </c>
      <c r="F715" t="n">
        <v>54.1</v>
      </c>
      <c r="G715" t="n">
        <v>51.4</v>
      </c>
      <c r="H715" t="n">
        <v>47</v>
      </c>
      <c r="I715" t="n">
        <v>53.3</v>
      </c>
      <c r="J715" t="n">
        <v>54.7</v>
      </c>
      <c r="K715" t="n">
        <v>53.4</v>
      </c>
      <c r="L715" t="n">
        <v>54.1</v>
      </c>
      <c r="M715" t="n">
        <v>1406.819946289062</v>
      </c>
      <c r="O715" t="n">
        <v>0.002935988606189744</v>
      </c>
      <c r="P715" t="n">
        <v>0.01540715325180492</v>
      </c>
      <c r="Q715" t="n">
        <v>0.01179577590686653</v>
      </c>
    </row>
    <row r="716">
      <c r="A716" s="123" t="n">
        <v>39142</v>
      </c>
      <c r="B716" t="n">
        <v>56</v>
      </c>
      <c r="C716" t="n">
        <v>57.5</v>
      </c>
      <c r="D716" t="n">
        <v>49.6</v>
      </c>
      <c r="E716" t="n">
        <v>65.5</v>
      </c>
      <c r="F716" t="n">
        <v>54.3</v>
      </c>
      <c r="G716" t="n">
        <v>47.1</v>
      </c>
      <c r="H716" t="n">
        <v>49</v>
      </c>
      <c r="I716" t="n">
        <v>52.2</v>
      </c>
      <c r="J716" t="n">
        <v>52.8</v>
      </c>
      <c r="K716" t="n">
        <v>56.7</v>
      </c>
      <c r="L716" t="n">
        <v>52.8</v>
      </c>
      <c r="M716" t="n">
        <v>1420.859985351562</v>
      </c>
      <c r="O716" t="n">
        <v>0.002935988606189744</v>
      </c>
      <c r="P716" t="n">
        <v>0.01540715325180492</v>
      </c>
      <c r="Q716" t="n">
        <v>0.01179577590686653</v>
      </c>
    </row>
    <row r="717">
      <c r="A717" s="123"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0.00638434530080713</v>
      </c>
      <c r="P717" t="n">
        <v>0.01938641594997887</v>
      </c>
      <c r="Q717" t="n">
        <v>0.02578298295432346</v>
      </c>
      <c r="R717" t="n">
        <v>0.00638434530080713</v>
      </c>
      <c r="S717" t="n">
        <v>0.02578298295432346</v>
      </c>
      <c r="T717" t="n">
        <v>0.01938641594997887</v>
      </c>
    </row>
    <row r="718">
      <c r="A718" s="123" t="n">
        <v>39203</v>
      </c>
      <c r="B718" t="n">
        <v>57</v>
      </c>
      <c r="C718" t="n">
        <v>57.5</v>
      </c>
      <c r="D718" t="n">
        <v>53.7</v>
      </c>
      <c r="E718" t="n">
        <v>72.59999999999999</v>
      </c>
      <c r="F718" t="n">
        <v>59</v>
      </c>
      <c r="G718" t="n">
        <v>48.6</v>
      </c>
      <c r="H718" t="n">
        <v>46</v>
      </c>
      <c r="I718" t="n">
        <v>51</v>
      </c>
      <c r="J718" t="n">
        <v>51.1</v>
      </c>
      <c r="K718" t="n">
        <v>60.2</v>
      </c>
      <c r="L718" t="n">
        <v>53.1</v>
      </c>
      <c r="M718" t="n">
        <v>1530.619995117188</v>
      </c>
      <c r="O718" t="n">
        <v>0.00638434530080713</v>
      </c>
      <c r="P718" t="n">
        <v>0.01938641594997887</v>
      </c>
      <c r="Q718" t="n">
        <v>0.02578298295432346</v>
      </c>
    </row>
    <row r="719">
      <c r="A719" s="123" t="n">
        <v>39234</v>
      </c>
      <c r="B719" t="n">
        <v>58.4</v>
      </c>
      <c r="C719" t="n">
        <v>56</v>
      </c>
      <c r="D719" t="n">
        <v>53.5</v>
      </c>
      <c r="E719" t="n">
        <v>67.09999999999999</v>
      </c>
      <c r="F719" t="n">
        <v>59.3</v>
      </c>
      <c r="G719" t="n">
        <v>47.5</v>
      </c>
      <c r="H719" t="n">
        <v>45</v>
      </c>
      <c r="I719" t="n">
        <v>49.1</v>
      </c>
      <c r="J719" t="n">
        <v>55.7</v>
      </c>
      <c r="K719" t="n">
        <v>54.4</v>
      </c>
      <c r="L719" t="n">
        <v>54</v>
      </c>
      <c r="M719" t="n">
        <v>1503.349975585938</v>
      </c>
      <c r="O719" t="n">
        <v>0.00638434530080713</v>
      </c>
      <c r="P719" t="n">
        <v>0.01938641594997887</v>
      </c>
      <c r="Q719" t="n">
        <v>0.02578298295432346</v>
      </c>
    </row>
    <row r="720">
      <c r="A720" s="123"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0.006023066574509698</v>
      </c>
      <c r="P720" t="n">
        <v>0.02398559850010293</v>
      </c>
      <c r="Q720" t="n">
        <v>0.02431080560296794</v>
      </c>
      <c r="R720" t="n">
        <v>0.006023066574509698</v>
      </c>
      <c r="S720" t="n">
        <v>0.02431080560296794</v>
      </c>
      <c r="T720" t="n">
        <v>0.02398559850010293</v>
      </c>
    </row>
    <row r="721">
      <c r="A721" s="123" t="n">
        <v>39295</v>
      </c>
      <c r="B721" t="n">
        <v>56.1</v>
      </c>
      <c r="C721" t="n">
        <v>54</v>
      </c>
      <c r="D721" t="n">
        <v>51.5</v>
      </c>
      <c r="E721" t="n">
        <v>62.9</v>
      </c>
      <c r="F721" t="n">
        <v>55.2</v>
      </c>
      <c r="G721" t="n">
        <v>50.7</v>
      </c>
      <c r="H721" t="n">
        <v>46.5</v>
      </c>
      <c r="I721" t="n">
        <v>50.8</v>
      </c>
      <c r="J721" t="n">
        <v>50.7</v>
      </c>
      <c r="K721" t="n">
        <v>56.1</v>
      </c>
      <c r="L721" t="n">
        <v>52.2</v>
      </c>
      <c r="M721" t="n">
        <v>1473.989990234375</v>
      </c>
      <c r="O721" t="n">
        <v>0.006023066574509698</v>
      </c>
      <c r="P721" t="n">
        <v>0.02398559850010293</v>
      </c>
      <c r="Q721" t="n">
        <v>0.02431080560296794</v>
      </c>
    </row>
    <row r="722">
      <c r="A722" s="123" t="n">
        <v>39326</v>
      </c>
      <c r="B722" t="n">
        <v>59.4</v>
      </c>
      <c r="C722" t="n">
        <v>54.1</v>
      </c>
      <c r="D722" t="n">
        <v>50.2</v>
      </c>
      <c r="E722" t="n">
        <v>60.4</v>
      </c>
      <c r="F722" t="n">
        <v>60.8</v>
      </c>
      <c r="G722" t="n">
        <v>51.1</v>
      </c>
      <c r="H722" t="n">
        <v>41.5</v>
      </c>
      <c r="I722" t="n">
        <v>50.3</v>
      </c>
      <c r="J722" t="n">
        <v>53.9</v>
      </c>
      <c r="K722" t="n">
        <v>55.6</v>
      </c>
      <c r="L722" t="n">
        <v>53.8</v>
      </c>
      <c r="M722" t="n">
        <v>1526.75</v>
      </c>
      <c r="O722" t="n">
        <v>0.006023066574509698</v>
      </c>
      <c r="P722" t="n">
        <v>0.02398559850010293</v>
      </c>
      <c r="Q722" t="n">
        <v>0.02431080560296794</v>
      </c>
    </row>
    <row r="723">
      <c r="A723" s="123"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0.006096440026404512</v>
      </c>
      <c r="P723" t="n">
        <v>0.02160883208196539</v>
      </c>
      <c r="Q723" t="n">
        <v>0.0246096673082743</v>
      </c>
      <c r="R723" t="n">
        <v>0.006096440026404512</v>
      </c>
      <c r="S723" t="n">
        <v>0.0246096673082743</v>
      </c>
      <c r="T723" t="n">
        <v>0.02160883208196539</v>
      </c>
    </row>
    <row r="724">
      <c r="A724" s="123" t="n">
        <v>39387</v>
      </c>
      <c r="B724" t="n">
        <v>53.1</v>
      </c>
      <c r="C724" t="n">
        <v>44.9</v>
      </c>
      <c r="D724" t="n">
        <v>41.7</v>
      </c>
      <c r="E724" t="n">
        <v>72</v>
      </c>
      <c r="F724" t="n">
        <v>52.3</v>
      </c>
      <c r="G724" t="n">
        <v>49.5</v>
      </c>
      <c r="H724" t="n">
        <v>45.5</v>
      </c>
      <c r="I724" t="n">
        <v>52.8</v>
      </c>
      <c r="J724" t="n">
        <v>53.2</v>
      </c>
      <c r="K724" t="n">
        <v>59.6</v>
      </c>
      <c r="L724" t="n">
        <v>51.5</v>
      </c>
      <c r="M724" t="n">
        <v>1481.140014648438</v>
      </c>
      <c r="O724" t="n">
        <v>0.006096440026404512</v>
      </c>
      <c r="P724" t="n">
        <v>0.02160883208196539</v>
      </c>
      <c r="Q724" t="n">
        <v>0.0246096673082743</v>
      </c>
    </row>
    <row r="725">
      <c r="A725" s="123" t="n">
        <v>39417</v>
      </c>
      <c r="B725" t="n">
        <v>49.9</v>
      </c>
      <c r="C725" t="n">
        <v>48.6</v>
      </c>
      <c r="D725" t="n">
        <v>43.7</v>
      </c>
      <c r="E725" t="n">
        <v>65.7</v>
      </c>
      <c r="F725" t="n">
        <v>52</v>
      </c>
      <c r="G725" t="n">
        <v>49.8</v>
      </c>
      <c r="H725" t="n">
        <v>44.5</v>
      </c>
      <c r="I725" t="n">
        <v>53.6</v>
      </c>
      <c r="J725" t="n">
        <v>51.1</v>
      </c>
      <c r="K725" t="n">
        <v>53.9</v>
      </c>
      <c r="L725" t="n">
        <v>50.1</v>
      </c>
      <c r="M725" t="n">
        <v>1468.359985351562</v>
      </c>
      <c r="O725" t="n">
        <v>0.006096440026404512</v>
      </c>
      <c r="P725" t="n">
        <v>0.02160883208196539</v>
      </c>
      <c r="Q725" t="n">
        <v>0.0246096673082743</v>
      </c>
    </row>
    <row r="726">
      <c r="A726" s="123"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-0.004074294739200093</v>
      </c>
      <c r="P726" t="n">
        <v>0.01446803001442738</v>
      </c>
      <c r="Q726" t="n">
        <v>-0.01619784994668938</v>
      </c>
      <c r="R726" t="n">
        <v>-0.004074294739200093</v>
      </c>
      <c r="S726" t="n">
        <v>-0.01619784994668938</v>
      </c>
      <c r="T726" t="n">
        <v>0.01446803001442738</v>
      </c>
    </row>
    <row r="727">
      <c r="A727" s="123" t="n">
        <v>39479</v>
      </c>
      <c r="B727" t="n">
        <v>50.5</v>
      </c>
      <c r="C727" t="n">
        <v>47.9</v>
      </c>
      <c r="D727" t="n">
        <v>46.9</v>
      </c>
      <c r="E727" t="n">
        <v>75.7</v>
      </c>
      <c r="F727" t="n">
        <v>49.4</v>
      </c>
      <c r="G727" t="n">
        <v>50.3</v>
      </c>
      <c r="H727" t="n">
        <v>47</v>
      </c>
      <c r="I727" t="n">
        <v>50.7</v>
      </c>
      <c r="J727" t="n">
        <v>47.3</v>
      </c>
      <c r="K727" t="n">
        <v>57.1</v>
      </c>
      <c r="L727" t="n">
        <v>48.8</v>
      </c>
      <c r="M727" t="n">
        <v>1330.630004882812</v>
      </c>
      <c r="O727" t="n">
        <v>-0.004074294739200093</v>
      </c>
      <c r="P727" t="n">
        <v>0.01446803001442738</v>
      </c>
      <c r="Q727" t="n">
        <v>-0.01619784994668938</v>
      </c>
    </row>
    <row r="728">
      <c r="A728" s="123" t="n">
        <v>39508</v>
      </c>
      <c r="B728" t="n">
        <v>49.2</v>
      </c>
      <c r="C728" t="n">
        <v>45.7</v>
      </c>
      <c r="D728" t="n">
        <v>46.3</v>
      </c>
      <c r="E728" t="n">
        <v>83.09999999999999</v>
      </c>
      <c r="F728" t="n">
        <v>48.9</v>
      </c>
      <c r="G728" t="n">
        <v>50.7</v>
      </c>
      <c r="H728" t="n">
        <v>46.5</v>
      </c>
      <c r="I728" t="n">
        <v>52.6</v>
      </c>
      <c r="J728" t="n">
        <v>52.2</v>
      </c>
      <c r="K728" t="n">
        <v>57.2</v>
      </c>
      <c r="L728" t="n">
        <v>49.7</v>
      </c>
      <c r="M728" t="n">
        <v>1322.699951171875</v>
      </c>
      <c r="O728" t="n">
        <v>-0.004074294739200093</v>
      </c>
      <c r="P728" t="n">
        <v>0.01446803001442738</v>
      </c>
      <c r="Q728" t="n">
        <v>-0.01619784994668938</v>
      </c>
    </row>
    <row r="729">
      <c r="A729" s="123"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0.005722953445686955</v>
      </c>
      <c r="P729" t="n">
        <v>0.01380132559333386</v>
      </c>
      <c r="Q729" t="n">
        <v>0.02308907778947789</v>
      </c>
      <c r="R729" t="n">
        <v>0.005722953445686955</v>
      </c>
      <c r="S729" t="n">
        <v>0.02308907778947789</v>
      </c>
      <c r="T729" t="n">
        <v>0.01380132559333386</v>
      </c>
    </row>
    <row r="730">
      <c r="A730" s="123" t="n">
        <v>39569</v>
      </c>
      <c r="B730" t="n">
        <v>47.9</v>
      </c>
      <c r="C730" t="n">
        <v>48.2</v>
      </c>
      <c r="D730" t="n">
        <v>45.6</v>
      </c>
      <c r="E730" t="n">
        <v>88.09999999999999</v>
      </c>
      <c r="F730" t="n">
        <v>50.6</v>
      </c>
      <c r="G730" t="n">
        <v>47.2</v>
      </c>
      <c r="H730" t="n">
        <v>48</v>
      </c>
      <c r="I730" t="n">
        <v>54.3</v>
      </c>
      <c r="J730" t="n">
        <v>45</v>
      </c>
      <c r="K730" t="n">
        <v>60.6</v>
      </c>
      <c r="L730" t="n">
        <v>48.9</v>
      </c>
      <c r="M730" t="n">
        <v>1400.380004882812</v>
      </c>
      <c r="O730" t="n">
        <v>0.005722953445686955</v>
      </c>
      <c r="P730" t="n">
        <v>0.01380132559333386</v>
      </c>
      <c r="Q730" t="n">
        <v>0.02308907778947789</v>
      </c>
    </row>
    <row r="731">
      <c r="A731" s="123" t="n">
        <v>39600</v>
      </c>
      <c r="B731" t="n">
        <v>49.5</v>
      </c>
      <c r="C731" t="n">
        <v>46</v>
      </c>
      <c r="D731" t="n">
        <v>47.9</v>
      </c>
      <c r="E731" t="n">
        <v>91.40000000000001</v>
      </c>
      <c r="F731" t="n">
        <v>50</v>
      </c>
      <c r="G731" t="n">
        <v>55.7</v>
      </c>
      <c r="H731" t="n">
        <v>50</v>
      </c>
      <c r="I731" t="n">
        <v>55.8</v>
      </c>
      <c r="J731" t="n">
        <v>45</v>
      </c>
      <c r="K731" t="n">
        <v>60.2</v>
      </c>
      <c r="L731" t="n">
        <v>49.9</v>
      </c>
      <c r="M731" t="n">
        <v>1280</v>
      </c>
      <c r="O731" t="n">
        <v>0.005722953445686955</v>
      </c>
      <c r="P731" t="n">
        <v>0.01380132559333386</v>
      </c>
      <c r="Q731" t="n">
        <v>0.02308907778947789</v>
      </c>
    </row>
    <row r="732">
      <c r="A732" s="123"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-0.005268929022154585</v>
      </c>
      <c r="P732" t="n">
        <v>0.002422023781227279</v>
      </c>
      <c r="Q732" t="n">
        <v>-0.02090973073554281</v>
      </c>
      <c r="R732" t="n">
        <v>-0.005268929022154585</v>
      </c>
      <c r="S732" t="n">
        <v>-0.02090973073554281</v>
      </c>
      <c r="T732" t="n">
        <v>0.002422023781227279</v>
      </c>
    </row>
    <row r="733">
      <c r="A733" s="123" t="n">
        <v>39661</v>
      </c>
      <c r="B733" t="n">
        <v>48.6</v>
      </c>
      <c r="C733" t="n">
        <v>51.1</v>
      </c>
      <c r="D733" t="n">
        <v>48.2</v>
      </c>
      <c r="E733" t="n">
        <v>76.5</v>
      </c>
      <c r="F733" t="n">
        <v>52.7</v>
      </c>
      <c r="G733" t="n">
        <v>52.5</v>
      </c>
      <c r="H733" t="n">
        <v>50.5</v>
      </c>
      <c r="I733" t="n">
        <v>50.1</v>
      </c>
      <c r="J733" t="n">
        <v>50.2</v>
      </c>
      <c r="K733" t="n">
        <v>56.8</v>
      </c>
      <c r="L733" t="n">
        <v>50.1</v>
      </c>
      <c r="M733" t="n">
        <v>1282.829956054688</v>
      </c>
      <c r="O733" t="n">
        <v>-0.005268929022154585</v>
      </c>
      <c r="P733" t="n">
        <v>0.002422023781227279</v>
      </c>
      <c r="Q733" t="n">
        <v>-0.02090973073554281</v>
      </c>
    </row>
    <row r="734">
      <c r="A734" s="123" t="n">
        <v>39692</v>
      </c>
      <c r="B734" t="n">
        <v>45.1</v>
      </c>
      <c r="C734" t="n">
        <v>45.2</v>
      </c>
      <c r="D734" t="n">
        <v>38.7</v>
      </c>
      <c r="E734" t="n">
        <v>55.1</v>
      </c>
      <c r="F734" t="n">
        <v>49</v>
      </c>
      <c r="G734" t="n">
        <v>52.4</v>
      </c>
      <c r="H734" t="n">
        <v>43</v>
      </c>
      <c r="I734" t="n">
        <v>52</v>
      </c>
      <c r="J734" t="n">
        <v>45.4</v>
      </c>
      <c r="K734" t="n">
        <v>53.6</v>
      </c>
      <c r="L734" t="n">
        <v>47.2</v>
      </c>
      <c r="M734" t="n">
        <v>1166.359985351562</v>
      </c>
      <c r="O734" t="n">
        <v>-0.005268929022154585</v>
      </c>
      <c r="P734" t="n">
        <v>0.002422023781227279</v>
      </c>
      <c r="Q734" t="n">
        <v>-0.02090973073554281</v>
      </c>
    </row>
    <row r="735">
      <c r="A735" s="123"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-0.02183097148093626</v>
      </c>
      <c r="P735" t="n">
        <v>-0.02540339259876205</v>
      </c>
      <c r="Q735" t="n">
        <v>-0.08450572869534734</v>
      </c>
      <c r="R735" t="n">
        <v>-0.02183097148093626</v>
      </c>
      <c r="S735" t="n">
        <v>-0.08450572869534734</v>
      </c>
      <c r="T735" t="n">
        <v>-0.02540339259876205</v>
      </c>
    </row>
    <row r="736">
      <c r="A736" s="123" t="n">
        <v>39753</v>
      </c>
      <c r="B736" t="n">
        <v>34.5</v>
      </c>
      <c r="C736" t="n">
        <v>36.4</v>
      </c>
      <c r="D736" t="n">
        <v>27.7</v>
      </c>
      <c r="E736" t="n">
        <v>28.4</v>
      </c>
      <c r="F736" t="n">
        <v>35.2</v>
      </c>
      <c r="G736" t="n">
        <v>54.3</v>
      </c>
      <c r="H736" t="n">
        <v>38.5</v>
      </c>
      <c r="I736" t="n">
        <v>49.4</v>
      </c>
      <c r="J736" t="n">
        <v>36.8</v>
      </c>
      <c r="K736" t="n">
        <v>40.4</v>
      </c>
      <c r="L736" t="n">
        <v>39</v>
      </c>
      <c r="M736" t="n">
        <v>896.239990234375</v>
      </c>
      <c r="O736" t="n">
        <v>-0.02183097148093626</v>
      </c>
      <c r="P736" t="n">
        <v>-0.02540339259876205</v>
      </c>
      <c r="Q736" t="n">
        <v>-0.08450572869534734</v>
      </c>
    </row>
    <row r="737">
      <c r="A737" s="123" t="n">
        <v>39783</v>
      </c>
      <c r="B737" t="n">
        <v>25.9</v>
      </c>
      <c r="C737" t="n">
        <v>38</v>
      </c>
      <c r="D737" t="n">
        <v>23.4</v>
      </c>
      <c r="E737" t="n">
        <v>17.1</v>
      </c>
      <c r="F737" t="n">
        <v>28.1</v>
      </c>
      <c r="G737" t="n">
        <v>54</v>
      </c>
      <c r="H737" t="n">
        <v>38</v>
      </c>
      <c r="I737" t="n">
        <v>46.9</v>
      </c>
      <c r="J737" t="n">
        <v>32.5</v>
      </c>
      <c r="K737" t="n">
        <v>34.7</v>
      </c>
      <c r="L737" t="n">
        <v>34.5</v>
      </c>
      <c r="M737" t="n">
        <v>903.25</v>
      </c>
      <c r="O737" t="n">
        <v>-0.02183097148093626</v>
      </c>
      <c r="P737" t="n">
        <v>-0.02540339259876205</v>
      </c>
      <c r="Q737" t="n">
        <v>-0.08450572869534734</v>
      </c>
    </row>
    <row r="738">
      <c r="A738" s="123"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-0.01165722530679672</v>
      </c>
      <c r="P738" t="n">
        <v>-0.03282392443793528</v>
      </c>
      <c r="Q738" t="n">
        <v>-0.04581987379316921</v>
      </c>
      <c r="R738" t="n">
        <v>-0.01165722530679672</v>
      </c>
      <c r="S738" t="n">
        <v>-0.04581987379316921</v>
      </c>
      <c r="T738" t="n">
        <v>-0.03282392443793528</v>
      </c>
    </row>
    <row r="739">
      <c r="A739" s="123" t="n">
        <v>39845</v>
      </c>
      <c r="B739" t="n">
        <v>32.7</v>
      </c>
      <c r="C739" t="n">
        <v>35.3</v>
      </c>
      <c r="D739" t="n">
        <v>33.6</v>
      </c>
      <c r="E739" t="n">
        <v>29.9</v>
      </c>
      <c r="F739" t="n">
        <v>38.4</v>
      </c>
      <c r="G739" t="n">
        <v>50.9</v>
      </c>
      <c r="H739" t="n">
        <v>38</v>
      </c>
      <c r="I739" t="n">
        <v>46.3</v>
      </c>
      <c r="J739" t="n">
        <v>28</v>
      </c>
      <c r="K739" t="n">
        <v>38.8</v>
      </c>
      <c r="L739" t="n">
        <v>36.6</v>
      </c>
      <c r="M739" t="n">
        <v>735.0900268554688</v>
      </c>
      <c r="O739" t="n">
        <v>-0.01165722530679672</v>
      </c>
      <c r="P739" t="n">
        <v>-0.03282392443793528</v>
      </c>
      <c r="Q739" t="n">
        <v>-0.04581987379316921</v>
      </c>
    </row>
    <row r="740">
      <c r="A740" s="123" t="n">
        <v>39873</v>
      </c>
      <c r="B740" t="n">
        <v>41.3</v>
      </c>
      <c r="C740" t="n">
        <v>32.1</v>
      </c>
      <c r="D740" t="n">
        <v>37.6</v>
      </c>
      <c r="E740" t="n">
        <v>31.6</v>
      </c>
      <c r="F740" t="n">
        <v>36.5</v>
      </c>
      <c r="G740" t="n">
        <v>50.9</v>
      </c>
      <c r="H740" t="n">
        <v>33</v>
      </c>
      <c r="I740" t="n">
        <v>43.2</v>
      </c>
      <c r="J740" t="n">
        <v>30.5</v>
      </c>
      <c r="K740" t="n">
        <v>39.4</v>
      </c>
      <c r="L740" t="n">
        <v>37.2</v>
      </c>
      <c r="M740" t="n">
        <v>797.8699951171875</v>
      </c>
      <c r="O740" t="n">
        <v>-0.01165722530679672</v>
      </c>
      <c r="P740" t="n">
        <v>-0.03282392443793528</v>
      </c>
      <c r="Q740" t="n">
        <v>-0.04581987379316921</v>
      </c>
    </row>
    <row r="741">
      <c r="A741" s="123"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-0.001692381386635996</v>
      </c>
      <c r="P741" t="n">
        <v>-0.03995504779306322</v>
      </c>
      <c r="Q741" t="n">
        <v>-0.006752359998762336</v>
      </c>
      <c r="R741" t="n">
        <v>-0.001692381386635996</v>
      </c>
      <c r="S741" t="n">
        <v>-0.006752359998762336</v>
      </c>
      <c r="T741" t="n">
        <v>-0.03995504779306322</v>
      </c>
    </row>
    <row r="742">
      <c r="A742" s="123" t="n">
        <v>39934</v>
      </c>
      <c r="B742" t="n">
        <v>51</v>
      </c>
      <c r="C742" t="n">
        <v>38.5</v>
      </c>
      <c r="D742" t="n">
        <v>46.1</v>
      </c>
      <c r="E742" t="n">
        <v>45</v>
      </c>
      <c r="F742" t="n">
        <v>48.3</v>
      </c>
      <c r="G742" t="n">
        <v>43.6</v>
      </c>
      <c r="H742" t="n">
        <v>33</v>
      </c>
      <c r="I742" t="n">
        <v>51.3</v>
      </c>
      <c r="J742" t="n">
        <v>35.3</v>
      </c>
      <c r="K742" t="n">
        <v>46.4</v>
      </c>
      <c r="L742" t="n">
        <v>44.1</v>
      </c>
      <c r="M742" t="n">
        <v>919.1400146484375</v>
      </c>
      <c r="O742" t="n">
        <v>-0.001692381386635996</v>
      </c>
      <c r="P742" t="n">
        <v>-0.03995504779306322</v>
      </c>
      <c r="Q742" t="n">
        <v>-0.006752359998762336</v>
      </c>
    </row>
    <row r="743">
      <c r="A743" s="123" t="n">
        <v>39965</v>
      </c>
      <c r="B743" t="n">
        <v>49</v>
      </c>
      <c r="C743" t="n">
        <v>46.5</v>
      </c>
      <c r="D743" t="n">
        <v>48.6</v>
      </c>
      <c r="E743" t="n">
        <v>47.9</v>
      </c>
      <c r="F743" t="n">
        <v>54.6</v>
      </c>
      <c r="G743" t="n">
        <v>44.8</v>
      </c>
      <c r="H743" t="n">
        <v>31</v>
      </c>
      <c r="I743" t="n">
        <v>49.5</v>
      </c>
      <c r="J743" t="n">
        <v>45</v>
      </c>
      <c r="K743" t="n">
        <v>49.1</v>
      </c>
      <c r="L743" t="n">
        <v>46.3</v>
      </c>
      <c r="M743" t="n">
        <v>919.3200073242188</v>
      </c>
      <c r="O743" t="n">
        <v>-0.001692381386635996</v>
      </c>
      <c r="P743" t="n">
        <v>-0.03995504779306322</v>
      </c>
      <c r="Q743" t="n">
        <v>-0.006752359998762336</v>
      </c>
    </row>
    <row r="744">
      <c r="A744" s="123"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0.00361929990768889</v>
      </c>
      <c r="P744" t="n">
        <v>-0.03137675003287801</v>
      </c>
      <c r="Q744" t="n">
        <v>0.01455598543492087</v>
      </c>
      <c r="R744" t="n">
        <v>0.00361929990768889</v>
      </c>
      <c r="S744" t="n">
        <v>0.01455598543492087</v>
      </c>
      <c r="T744" t="n">
        <v>-0.03137675003287801</v>
      </c>
    </row>
    <row r="745">
      <c r="A745" s="123" t="n">
        <v>40026</v>
      </c>
      <c r="B745" t="n">
        <v>64.09999999999999</v>
      </c>
      <c r="C745" t="n">
        <v>48.2</v>
      </c>
      <c r="D745" t="n">
        <v>50.9</v>
      </c>
      <c r="E745" t="n">
        <v>62.3</v>
      </c>
      <c r="F745" t="n">
        <v>62.2</v>
      </c>
      <c r="G745" t="n">
        <v>38.8</v>
      </c>
      <c r="H745" t="n">
        <v>36</v>
      </c>
      <c r="I745" t="n">
        <v>54.6</v>
      </c>
      <c r="J745" t="n">
        <v>47.5</v>
      </c>
      <c r="K745" t="n">
        <v>55.1</v>
      </c>
      <c r="L745" t="n">
        <v>53.4</v>
      </c>
      <c r="M745" t="n">
        <v>1020.619995117188</v>
      </c>
      <c r="O745" t="n">
        <v>0.00361929990768889</v>
      </c>
      <c r="P745" t="n">
        <v>-0.03137675003287801</v>
      </c>
      <c r="Q745" t="n">
        <v>0.01455598543492087</v>
      </c>
    </row>
    <row r="746">
      <c r="A746" s="123" t="n">
        <v>40057</v>
      </c>
      <c r="B746" t="n">
        <v>64.7</v>
      </c>
      <c r="C746" t="n">
        <v>51.2</v>
      </c>
      <c r="D746" t="n">
        <v>52.6</v>
      </c>
      <c r="E746" t="n">
        <v>63.3</v>
      </c>
      <c r="F746" t="n">
        <v>62.1</v>
      </c>
      <c r="G746" t="n">
        <v>34.9</v>
      </c>
      <c r="H746" t="n">
        <v>41.5</v>
      </c>
      <c r="I746" t="n">
        <v>57.6</v>
      </c>
      <c r="J746" t="n">
        <v>48.6</v>
      </c>
      <c r="K746" t="n">
        <v>55.6</v>
      </c>
      <c r="L746" t="n">
        <v>54.9</v>
      </c>
      <c r="M746" t="n">
        <v>1057.079956054688</v>
      </c>
      <c r="O746" t="n">
        <v>0.00361929990768889</v>
      </c>
      <c r="P746" t="n">
        <v>-0.03137675003287801</v>
      </c>
      <c r="Q746" t="n">
        <v>0.01455598543492087</v>
      </c>
    </row>
    <row r="747">
      <c r="A747" s="123"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0.01067961949830339</v>
      </c>
      <c r="P747" t="n">
        <v>0.0008165758387652319</v>
      </c>
      <c r="Q747" t="n">
        <v>0.0434076888622974</v>
      </c>
      <c r="R747" t="n">
        <v>0.01067961949830339</v>
      </c>
      <c r="S747" t="n">
        <v>0.0434076888622974</v>
      </c>
      <c r="T747" t="n">
        <v>0.0008165758387652319</v>
      </c>
    </row>
    <row r="748">
      <c r="A748" s="123" t="n">
        <v>40118</v>
      </c>
      <c r="B748" t="n">
        <v>64.2</v>
      </c>
      <c r="C748" t="n">
        <v>50.3</v>
      </c>
      <c r="D748" t="n">
        <v>51.8</v>
      </c>
      <c r="E748" t="n">
        <v>55.4</v>
      </c>
      <c r="F748" t="n">
        <v>63.4</v>
      </c>
      <c r="G748" t="n">
        <v>39.3</v>
      </c>
      <c r="H748" t="n">
        <v>39.5</v>
      </c>
      <c r="I748" t="n">
        <v>57.1</v>
      </c>
      <c r="J748" t="n">
        <v>51.2</v>
      </c>
      <c r="K748" t="n">
        <v>53.9</v>
      </c>
      <c r="L748" t="n">
        <v>55.4</v>
      </c>
      <c r="M748" t="n">
        <v>1095.630004882812</v>
      </c>
      <c r="O748" t="n">
        <v>0.01067961949830339</v>
      </c>
      <c r="P748" t="n">
        <v>0.0008165758387652319</v>
      </c>
      <c r="Q748" t="n">
        <v>0.0434076888622974</v>
      </c>
    </row>
    <row r="749">
      <c r="A749" s="123" t="n">
        <v>40148</v>
      </c>
      <c r="B749" t="n">
        <v>63.8</v>
      </c>
      <c r="C749" t="n">
        <v>51</v>
      </c>
      <c r="D749" t="n">
        <v>50.1</v>
      </c>
      <c r="E749" t="n">
        <v>63.8</v>
      </c>
      <c r="F749" t="n">
        <v>60.1</v>
      </c>
      <c r="G749" t="n">
        <v>32.5</v>
      </c>
      <c r="H749" t="n">
        <v>41.5</v>
      </c>
      <c r="I749" t="n">
        <v>58.6</v>
      </c>
      <c r="J749" t="n">
        <v>52.6</v>
      </c>
      <c r="K749" t="n">
        <v>54.1</v>
      </c>
      <c r="L749" t="n">
        <v>55.8</v>
      </c>
      <c r="M749" t="n">
        <v>1115.099975585938</v>
      </c>
      <c r="O749" t="n">
        <v>0.01067961949830339</v>
      </c>
      <c r="P749" t="n">
        <v>0.0008165758387652319</v>
      </c>
      <c r="Q749" t="n">
        <v>0.0434076888622974</v>
      </c>
    </row>
    <row r="750">
      <c r="A750" s="123"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0.00500053481481906</v>
      </c>
      <c r="P750" t="n">
        <v>0.01768457232028358</v>
      </c>
      <c r="Q750" t="n">
        <v>0.02015267213561023</v>
      </c>
      <c r="R750" t="n">
        <v>0.00500053481481906</v>
      </c>
      <c r="S750" t="n">
        <v>0.02015267213561023</v>
      </c>
      <c r="T750" t="n">
        <v>0.01768457232028358</v>
      </c>
    </row>
    <row r="751">
      <c r="A751" s="123" t="n">
        <v>40210</v>
      </c>
      <c r="B751" t="n">
        <v>57.7</v>
      </c>
      <c r="C751" t="n">
        <v>55.5</v>
      </c>
      <c r="D751" t="n">
        <v>58.8</v>
      </c>
      <c r="E751" t="n">
        <v>65.09999999999999</v>
      </c>
      <c r="F751" t="n">
        <v>57</v>
      </c>
      <c r="G751" t="n">
        <v>35.2</v>
      </c>
      <c r="H751" t="n">
        <v>49</v>
      </c>
      <c r="I751" t="n">
        <v>56.8</v>
      </c>
      <c r="J751" t="n">
        <v>55.7</v>
      </c>
      <c r="K751" t="n">
        <v>56.3</v>
      </c>
      <c r="L751" t="n">
        <v>55.5</v>
      </c>
      <c r="M751" t="n">
        <v>1104.489990234375</v>
      </c>
      <c r="O751" t="n">
        <v>0.00500053481481906</v>
      </c>
      <c r="P751" t="n">
        <v>0.01768457232028358</v>
      </c>
      <c r="Q751" t="n">
        <v>0.02015267213561023</v>
      </c>
    </row>
    <row r="752">
      <c r="A752" s="123" t="n">
        <v>40238</v>
      </c>
      <c r="B752" t="n">
        <v>60.1</v>
      </c>
      <c r="C752" t="n">
        <v>55.9</v>
      </c>
      <c r="D752" t="n">
        <v>54.7</v>
      </c>
      <c r="E752" t="n">
        <v>75.2</v>
      </c>
      <c r="F752" t="n">
        <v>57.3</v>
      </c>
      <c r="G752" t="n">
        <v>39.5</v>
      </c>
      <c r="H752" t="n">
        <v>56.5</v>
      </c>
      <c r="I752" t="n">
        <v>64</v>
      </c>
      <c r="J752" t="n">
        <v>55.8</v>
      </c>
      <c r="K752" t="n">
        <v>59.8</v>
      </c>
      <c r="L752" t="n">
        <v>58.8</v>
      </c>
      <c r="M752" t="n">
        <v>1169.430053710938</v>
      </c>
      <c r="O752" t="n">
        <v>0.00500053481481906</v>
      </c>
      <c r="P752" t="n">
        <v>0.01768457232028358</v>
      </c>
      <c r="Q752" t="n">
        <v>0.02015267213561023</v>
      </c>
    </row>
    <row r="753">
      <c r="A753" s="123"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0.009677046393262431</v>
      </c>
      <c r="P753" t="n">
        <v>0.02927467844787534</v>
      </c>
      <c r="Q753" t="n">
        <v>0.03927369054068341</v>
      </c>
      <c r="R753" t="n">
        <v>0.009677046393262431</v>
      </c>
      <c r="S753" t="n">
        <v>0.03927369054068341</v>
      </c>
      <c r="T753" t="n">
        <v>0.02927467844787534</v>
      </c>
    </row>
    <row r="754">
      <c r="A754" s="123" t="n">
        <v>40299</v>
      </c>
      <c r="B754" t="n">
        <v>61.3</v>
      </c>
      <c r="C754" t="n">
        <v>55.6</v>
      </c>
      <c r="D754" t="n">
        <v>56.3</v>
      </c>
      <c r="E754" t="n">
        <v>77</v>
      </c>
      <c r="F754" t="n">
        <v>62.1</v>
      </c>
      <c r="G754" t="n">
        <v>33.2</v>
      </c>
      <c r="H754" t="n">
        <v>46</v>
      </c>
      <c r="I754" t="n">
        <v>58.1</v>
      </c>
      <c r="J754" t="n">
        <v>57.9</v>
      </c>
      <c r="K754" t="n">
        <v>58.5</v>
      </c>
      <c r="L754" t="n">
        <v>57.4</v>
      </c>
      <c r="M754" t="n">
        <v>1089.410034179688</v>
      </c>
      <c r="O754" t="n">
        <v>0.009677046393262431</v>
      </c>
      <c r="P754" t="n">
        <v>0.02927467844787534</v>
      </c>
      <c r="Q754" t="n">
        <v>0.03927369054068341</v>
      </c>
    </row>
    <row r="755">
      <c r="A755" s="123" t="n">
        <v>40330</v>
      </c>
      <c r="B755" t="n">
        <v>58.6</v>
      </c>
      <c r="C755" t="n">
        <v>58.2</v>
      </c>
      <c r="D755" t="n">
        <v>57.6</v>
      </c>
      <c r="E755" t="n">
        <v>54.9</v>
      </c>
      <c r="F755" t="n">
        <v>63</v>
      </c>
      <c r="G755" t="n">
        <v>35.8</v>
      </c>
      <c r="H755" t="n">
        <v>46</v>
      </c>
      <c r="I755" t="n">
        <v>56.6</v>
      </c>
      <c r="J755" t="n">
        <v>56.8</v>
      </c>
      <c r="K755" t="n">
        <v>58.2</v>
      </c>
      <c r="L755" t="n">
        <v>56.5</v>
      </c>
      <c r="M755" t="n">
        <v>1030.7099609375</v>
      </c>
      <c r="O755" t="n">
        <v>0.009677046393262431</v>
      </c>
      <c r="P755" t="n">
        <v>0.02927467844787534</v>
      </c>
      <c r="Q755" t="n">
        <v>0.03927369054068341</v>
      </c>
    </row>
    <row r="756">
      <c r="A756" s="123"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0.007731441503026897</v>
      </c>
      <c r="P756" t="n">
        <v>0.03349193813853987</v>
      </c>
      <c r="Q756" t="n">
        <v>0.03128626930493783</v>
      </c>
      <c r="R756" t="n">
        <v>0.007731441503026897</v>
      </c>
      <c r="S756" t="n">
        <v>0.03128626930493783</v>
      </c>
      <c r="T756" t="n">
        <v>0.03349193813853987</v>
      </c>
    </row>
    <row r="757">
      <c r="A757" s="123" t="n">
        <v>40391</v>
      </c>
      <c r="B757" t="n">
        <v>54</v>
      </c>
      <c r="C757" t="n">
        <v>55.2</v>
      </c>
      <c r="D757" t="n">
        <v>51.5</v>
      </c>
      <c r="E757" t="n">
        <v>61.8</v>
      </c>
      <c r="F757" t="n">
        <v>56.3</v>
      </c>
      <c r="G757" t="n">
        <v>43.9</v>
      </c>
      <c r="H757" t="n">
        <v>53</v>
      </c>
      <c r="I757" t="n">
        <v>57.4</v>
      </c>
      <c r="J757" t="n">
        <v>61.2</v>
      </c>
      <c r="K757" t="n">
        <v>56</v>
      </c>
      <c r="L757" t="n">
        <v>56.4</v>
      </c>
      <c r="M757" t="n">
        <v>1049.329956054688</v>
      </c>
      <c r="O757" t="n">
        <v>0.007731441503026897</v>
      </c>
      <c r="P757" t="n">
        <v>0.03349193813853987</v>
      </c>
      <c r="Q757" t="n">
        <v>0.03128626930493783</v>
      </c>
    </row>
    <row r="758">
      <c r="A758" s="123" t="n">
        <v>40422</v>
      </c>
      <c r="B758" t="n">
        <v>51.9</v>
      </c>
      <c r="C758" t="n">
        <v>53.8</v>
      </c>
      <c r="D758" t="n">
        <v>44.4</v>
      </c>
      <c r="E758" t="n">
        <v>69.8</v>
      </c>
      <c r="F758" t="n">
        <v>57.3</v>
      </c>
      <c r="G758" t="n">
        <v>43</v>
      </c>
      <c r="H758" t="n">
        <v>56</v>
      </c>
      <c r="I758" t="n">
        <v>52.9</v>
      </c>
      <c r="J758" t="n">
        <v>58</v>
      </c>
      <c r="K758" t="n">
        <v>54.2</v>
      </c>
      <c r="L758" t="n">
        <v>55.3</v>
      </c>
      <c r="M758" t="n">
        <v>1141.199951171875</v>
      </c>
      <c r="O758" t="n">
        <v>0.007731441503026897</v>
      </c>
      <c r="P758" t="n">
        <v>0.03349193813853987</v>
      </c>
      <c r="Q758" t="n">
        <v>0.03128626930493783</v>
      </c>
    </row>
    <row r="759">
      <c r="A759" s="123"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0.005195951592372664</v>
      </c>
      <c r="P759" t="n">
        <v>0.02788449690506404</v>
      </c>
      <c r="Q759" t="n">
        <v>0.02094635569547498</v>
      </c>
      <c r="R759" t="n">
        <v>0.005195951592372664</v>
      </c>
      <c r="S759" t="n">
        <v>0.02094635569547498</v>
      </c>
      <c r="T759" t="n">
        <v>0.02788449690506404</v>
      </c>
    </row>
    <row r="760">
      <c r="A760" s="123" t="n">
        <v>40483</v>
      </c>
      <c r="B760" t="n">
        <v>58.3</v>
      </c>
      <c r="C760" t="n">
        <v>50.6</v>
      </c>
      <c r="D760" t="n">
        <v>48.7</v>
      </c>
      <c r="E760" t="n">
        <v>69</v>
      </c>
      <c r="F760" t="n">
        <v>55.7</v>
      </c>
      <c r="G760" t="n">
        <v>44.8</v>
      </c>
      <c r="H760" t="n">
        <v>54</v>
      </c>
      <c r="I760" t="n">
        <v>58.8</v>
      </c>
      <c r="J760" t="n">
        <v>60.2</v>
      </c>
      <c r="K760" t="n">
        <v>55.7</v>
      </c>
      <c r="L760" t="n">
        <v>57.3</v>
      </c>
      <c r="M760" t="n">
        <v>1180.550048828125</v>
      </c>
      <c r="O760" t="n">
        <v>0.005195951592372664</v>
      </c>
      <c r="P760" t="n">
        <v>0.02788449690506404</v>
      </c>
      <c r="Q760" t="n">
        <v>0.02094635569547498</v>
      </c>
    </row>
    <row r="761">
      <c r="A761" s="123" t="n">
        <v>40513</v>
      </c>
      <c r="B761" t="n">
        <v>59.6</v>
      </c>
      <c r="C761" t="n">
        <v>48.4</v>
      </c>
      <c r="D761" t="n">
        <v>46.3</v>
      </c>
      <c r="E761" t="n">
        <v>73.3</v>
      </c>
      <c r="F761" t="n">
        <v>62.5</v>
      </c>
      <c r="G761" t="n">
        <v>39</v>
      </c>
      <c r="H761" t="n">
        <v>50</v>
      </c>
      <c r="I761" t="n">
        <v>54.5</v>
      </c>
      <c r="J761" t="n">
        <v>56.7</v>
      </c>
      <c r="K761" t="n">
        <v>51.8</v>
      </c>
      <c r="L761" t="n">
        <v>56.6</v>
      </c>
      <c r="M761" t="n">
        <v>1257.640014648438</v>
      </c>
      <c r="O761" t="n">
        <v>0.005195951592372664</v>
      </c>
      <c r="P761" t="n">
        <v>0.02788449690506404</v>
      </c>
      <c r="Q761" t="n">
        <v>0.02094635569547498</v>
      </c>
    </row>
    <row r="762">
      <c r="A762" s="123"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-0.002409160681035181</v>
      </c>
      <c r="P762" t="n">
        <v>0.02030608190613149</v>
      </c>
      <c r="Q762" t="n">
        <v>-0.009601874290937396</v>
      </c>
      <c r="R762" t="n">
        <v>-0.002409160681035181</v>
      </c>
      <c r="S762" t="n">
        <v>-0.009601874290937396</v>
      </c>
      <c r="T762" t="n">
        <v>0.02030608190613149</v>
      </c>
    </row>
    <row r="763">
      <c r="A763" s="123" t="n">
        <v>40575</v>
      </c>
      <c r="B763" t="n">
        <v>64.2</v>
      </c>
      <c r="C763" t="n">
        <v>54</v>
      </c>
      <c r="D763" t="n">
        <v>55.6</v>
      </c>
      <c r="E763" t="n">
        <v>80.2</v>
      </c>
      <c r="F763" t="n">
        <v>63.8</v>
      </c>
      <c r="G763" t="n">
        <v>41.5</v>
      </c>
      <c r="H763" t="n">
        <v>50.5</v>
      </c>
      <c r="I763" t="n">
        <v>58.4</v>
      </c>
      <c r="J763" t="n">
        <v>62.3</v>
      </c>
      <c r="K763" t="n">
        <v>63</v>
      </c>
      <c r="L763" t="n">
        <v>59.2</v>
      </c>
      <c r="M763" t="n">
        <v>1327.219970703125</v>
      </c>
      <c r="O763" t="n">
        <v>-0.002409160681035181</v>
      </c>
      <c r="P763" t="n">
        <v>0.02030608190613149</v>
      </c>
      <c r="Q763" t="n">
        <v>-0.009601874290937396</v>
      </c>
    </row>
    <row r="764">
      <c r="A764" s="123" t="n">
        <v>40603</v>
      </c>
      <c r="B764" t="n">
        <v>61.3</v>
      </c>
      <c r="C764" t="n">
        <v>50.4</v>
      </c>
      <c r="D764" t="n">
        <v>52.8</v>
      </c>
      <c r="E764" t="n">
        <v>82.3</v>
      </c>
      <c r="F764" t="n">
        <v>61.9</v>
      </c>
      <c r="G764" t="n">
        <v>41.2</v>
      </c>
      <c r="H764" t="n">
        <v>49</v>
      </c>
      <c r="I764" t="n">
        <v>59.9</v>
      </c>
      <c r="J764" t="n">
        <v>60.5</v>
      </c>
      <c r="K764" t="n">
        <v>56.4</v>
      </c>
      <c r="L764" t="n">
        <v>58.4</v>
      </c>
      <c r="M764" t="n">
        <v>1325.829956054688</v>
      </c>
      <c r="O764" t="n">
        <v>-0.002409160681035181</v>
      </c>
      <c r="P764" t="n">
        <v>0.02030608190613149</v>
      </c>
      <c r="Q764" t="n">
        <v>-0.009601874290937396</v>
      </c>
    </row>
    <row r="765">
      <c r="A765" s="123"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0.006780507512058875</v>
      </c>
      <c r="P765" t="n">
        <v>0.01737905068607296</v>
      </c>
      <c r="Q765" t="n">
        <v>0.02739913079767153</v>
      </c>
      <c r="R765" t="n">
        <v>0.006780507512058875</v>
      </c>
      <c r="S765" t="n">
        <v>0.02739913079767153</v>
      </c>
      <c r="T765" t="n">
        <v>0.01737905068607296</v>
      </c>
    </row>
    <row r="766">
      <c r="A766" s="123" t="n">
        <v>40664</v>
      </c>
      <c r="B766" t="n">
        <v>54.6</v>
      </c>
      <c r="C766" t="n">
        <v>55.1</v>
      </c>
      <c r="D766" t="n">
        <v>50.1</v>
      </c>
      <c r="E766" t="n">
        <v>77.90000000000001</v>
      </c>
      <c r="F766" t="n">
        <v>54.8</v>
      </c>
      <c r="G766" t="n">
        <v>39.8</v>
      </c>
      <c r="H766" t="n">
        <v>48.5</v>
      </c>
      <c r="I766" t="n">
        <v>56.6</v>
      </c>
      <c r="J766" t="n">
        <v>58.1</v>
      </c>
      <c r="K766" t="n">
        <v>56.4</v>
      </c>
      <c r="L766" t="n">
        <v>54.8</v>
      </c>
      <c r="M766" t="n">
        <v>1345.199951171875</v>
      </c>
      <c r="O766" t="n">
        <v>0.006780507512058875</v>
      </c>
      <c r="P766" t="n">
        <v>0.01737905068607296</v>
      </c>
      <c r="Q766" t="n">
        <v>0.02739913079767153</v>
      </c>
    </row>
    <row r="767">
      <c r="A767" s="123" t="n">
        <v>40695</v>
      </c>
      <c r="B767" t="n">
        <v>54.6</v>
      </c>
      <c r="C767" t="n">
        <v>50.9</v>
      </c>
      <c r="D767" t="n">
        <v>52.5</v>
      </c>
      <c r="E767" t="n">
        <v>70.3</v>
      </c>
      <c r="F767" t="n">
        <v>54.5</v>
      </c>
      <c r="G767" t="n">
        <v>44.2</v>
      </c>
      <c r="H767" t="n">
        <v>53.5</v>
      </c>
      <c r="I767" t="n">
        <v>56</v>
      </c>
      <c r="J767" t="n">
        <v>62.1</v>
      </c>
      <c r="K767" t="n">
        <v>53.8</v>
      </c>
      <c r="L767" t="n">
        <v>55.8</v>
      </c>
      <c r="M767" t="n">
        <v>1320.640014648438</v>
      </c>
      <c r="O767" t="n">
        <v>0.006780507512058875</v>
      </c>
      <c r="P767" t="n">
        <v>0.01737905068607296</v>
      </c>
      <c r="Q767" t="n">
        <v>0.02739913079767153</v>
      </c>
    </row>
    <row r="768">
      <c r="A768" s="123"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-0.0003876716265750793</v>
      </c>
      <c r="P768" t="n">
        <v>0.009182208483861604</v>
      </c>
      <c r="Q768" t="n">
        <v>-0.001549785003588822</v>
      </c>
      <c r="R768" t="n">
        <v>-0.0003876716265750793</v>
      </c>
      <c r="S768" t="n">
        <v>-0.001549785003588822</v>
      </c>
      <c r="T768" t="n">
        <v>0.009182208483861604</v>
      </c>
    </row>
    <row r="769">
      <c r="A769" s="123" t="n">
        <v>40756</v>
      </c>
      <c r="B769" t="n">
        <v>52.9</v>
      </c>
      <c r="C769" t="n">
        <v>55.1</v>
      </c>
      <c r="D769" t="n">
        <v>46.3</v>
      </c>
      <c r="E769" t="n">
        <v>57.5</v>
      </c>
      <c r="F769" t="n">
        <v>51.4</v>
      </c>
      <c r="G769" t="n">
        <v>46.9</v>
      </c>
      <c r="H769" t="n">
        <v>54.5</v>
      </c>
      <c r="I769" t="n">
        <v>53.2</v>
      </c>
      <c r="J769" t="n">
        <v>51.8</v>
      </c>
      <c r="K769" t="n">
        <v>52.4</v>
      </c>
      <c r="L769" t="n">
        <v>52.6</v>
      </c>
      <c r="M769" t="n">
        <v>1218.890014648438</v>
      </c>
      <c r="O769" t="n">
        <v>-0.0003876716265750793</v>
      </c>
      <c r="P769" t="n">
        <v>0.009182208483861604</v>
      </c>
      <c r="Q769" t="n">
        <v>-0.001549785003588822</v>
      </c>
    </row>
    <row r="770">
      <c r="A770" s="123" t="n">
        <v>40787</v>
      </c>
      <c r="B770" t="n">
        <v>51.8</v>
      </c>
      <c r="C770" t="n">
        <v>53.1</v>
      </c>
      <c r="D770" t="n">
        <v>43.7</v>
      </c>
      <c r="E770" t="n">
        <v>57</v>
      </c>
      <c r="F770" t="n">
        <v>54.7</v>
      </c>
      <c r="G770" t="n">
        <v>50.2</v>
      </c>
      <c r="H770" t="n">
        <v>52</v>
      </c>
      <c r="I770" t="n">
        <v>51.8</v>
      </c>
      <c r="J770" t="n">
        <v>56.6</v>
      </c>
      <c r="K770" t="n">
        <v>55</v>
      </c>
      <c r="L770" t="n">
        <v>53.7</v>
      </c>
      <c r="M770" t="n">
        <v>1131.420043945312</v>
      </c>
      <c r="O770" t="n">
        <v>-0.0003876716265750793</v>
      </c>
      <c r="P770" t="n">
        <v>0.009182208483861604</v>
      </c>
      <c r="Q770" t="n">
        <v>-0.001549785003588822</v>
      </c>
    </row>
    <row r="771">
      <c r="A771" s="123"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0.01121678183498582</v>
      </c>
      <c r="P771" t="n">
        <v>0.0152269152413066</v>
      </c>
      <c r="Q771" t="n">
        <v>0.04562768534929051</v>
      </c>
      <c r="R771" t="n">
        <v>0.01121678183498582</v>
      </c>
      <c r="S771" t="n">
        <v>0.04562768534929051</v>
      </c>
      <c r="T771" t="n">
        <v>0.0152269152413066</v>
      </c>
    </row>
    <row r="772">
      <c r="A772" s="123" t="n">
        <v>40848</v>
      </c>
      <c r="B772" t="n">
        <v>54.9</v>
      </c>
      <c r="C772" t="n">
        <v>49.5</v>
      </c>
      <c r="D772" t="n">
        <v>46.8</v>
      </c>
      <c r="E772" t="n">
        <v>48.1</v>
      </c>
      <c r="F772" t="n">
        <v>56.6</v>
      </c>
      <c r="G772" t="n">
        <v>47.1</v>
      </c>
      <c r="H772" t="n">
        <v>46.5</v>
      </c>
      <c r="I772" t="n">
        <v>51.4</v>
      </c>
      <c r="J772" t="n">
        <v>51.3</v>
      </c>
      <c r="K772" t="n">
        <v>51.6</v>
      </c>
      <c r="L772" t="n">
        <v>51.8</v>
      </c>
      <c r="M772" t="n">
        <v>1246.9599609375</v>
      </c>
      <c r="O772" t="n">
        <v>0.01121678183498582</v>
      </c>
      <c r="P772" t="n">
        <v>0.0152269152413066</v>
      </c>
      <c r="Q772" t="n">
        <v>0.04562768534929051</v>
      </c>
    </row>
    <row r="773">
      <c r="A773" s="123" t="n">
        <v>40878</v>
      </c>
      <c r="B773" t="n">
        <v>55.4</v>
      </c>
      <c r="C773" t="n">
        <v>53.8</v>
      </c>
      <c r="D773" t="n">
        <v>48.2</v>
      </c>
      <c r="E773" t="n">
        <v>45.4</v>
      </c>
      <c r="F773" t="n">
        <v>60.9</v>
      </c>
      <c r="G773" t="n">
        <v>42.7</v>
      </c>
      <c r="H773" t="n">
        <v>45.5</v>
      </c>
      <c r="I773" t="n">
        <v>48.5</v>
      </c>
      <c r="J773" t="n">
        <v>54.9</v>
      </c>
      <c r="K773" t="n">
        <v>51.8</v>
      </c>
      <c r="L773" t="n">
        <v>53</v>
      </c>
      <c r="M773" t="n">
        <v>1257.599975585938</v>
      </c>
      <c r="O773" t="n">
        <v>0.01121678183498582</v>
      </c>
      <c r="P773" t="n">
        <v>0.0152269152413066</v>
      </c>
      <c r="Q773" t="n">
        <v>0.04562768534929051</v>
      </c>
    </row>
    <row r="774">
      <c r="A774" s="123"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0.008179228450998806</v>
      </c>
      <c r="P774" t="n">
        <v>0.02600249297538843</v>
      </c>
      <c r="Q774" t="n">
        <v>0.03312050570216907</v>
      </c>
      <c r="R774" t="n">
        <v>0.008179228450998806</v>
      </c>
      <c r="S774" t="n">
        <v>0.03312050570216907</v>
      </c>
      <c r="T774" t="n">
        <v>0.02600249297538843</v>
      </c>
    </row>
    <row r="775">
      <c r="A775" s="123" t="n">
        <v>40940</v>
      </c>
      <c r="B775" t="n">
        <v>57.4</v>
      </c>
      <c r="C775" t="n">
        <v>53.6</v>
      </c>
      <c r="D775" t="n">
        <v>50.4</v>
      </c>
      <c r="E775" t="n">
        <v>60.1</v>
      </c>
      <c r="F775" t="n">
        <v>57.4</v>
      </c>
      <c r="G775" t="n">
        <v>44.3</v>
      </c>
      <c r="H775" t="n">
        <v>49.5</v>
      </c>
      <c r="I775" t="n">
        <v>47.7</v>
      </c>
      <c r="J775" t="n">
        <v>52.1</v>
      </c>
      <c r="K775" t="n">
        <v>58</v>
      </c>
      <c r="L775" t="n">
        <v>53.1</v>
      </c>
      <c r="M775" t="n">
        <v>1365.680053710938</v>
      </c>
      <c r="O775" t="n">
        <v>0.008179228450998806</v>
      </c>
      <c r="P775" t="n">
        <v>0.02600249297538843</v>
      </c>
      <c r="Q775" t="n">
        <v>0.03312050570216907</v>
      </c>
    </row>
    <row r="776">
      <c r="A776" s="123" t="n">
        <v>40969</v>
      </c>
      <c r="B776" t="n">
        <v>56.5</v>
      </c>
      <c r="C776" t="n">
        <v>53.8</v>
      </c>
      <c r="D776" t="n">
        <v>52</v>
      </c>
      <c r="E776" t="n">
        <v>62.3</v>
      </c>
      <c r="F776" t="n">
        <v>56.8</v>
      </c>
      <c r="G776" t="n">
        <v>42.4</v>
      </c>
      <c r="H776" t="n">
        <v>50</v>
      </c>
      <c r="I776" t="n">
        <v>48.9</v>
      </c>
      <c r="J776" t="n">
        <v>55.3</v>
      </c>
      <c r="K776" t="n">
        <v>53.6</v>
      </c>
      <c r="L776" t="n">
        <v>53.5</v>
      </c>
      <c r="M776" t="n">
        <v>1408.469970703125</v>
      </c>
      <c r="O776" t="n">
        <v>0.008179228450998806</v>
      </c>
      <c r="P776" t="n">
        <v>0.02600249297538843</v>
      </c>
      <c r="Q776" t="n">
        <v>0.03312050570216907</v>
      </c>
    </row>
    <row r="777">
      <c r="A777" s="123"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0.004558599868677108</v>
      </c>
      <c r="P777" t="n">
        <v>0.02373816349715461</v>
      </c>
      <c r="Q777" t="n">
        <v>0.01835946382913334</v>
      </c>
      <c r="R777" t="n">
        <v>0.004558599868677108</v>
      </c>
      <c r="S777" t="n">
        <v>0.01835946382913334</v>
      </c>
      <c r="T777" t="n">
        <v>0.02373816349715461</v>
      </c>
    </row>
    <row r="778">
      <c r="A778" s="123" t="n">
        <v>41030</v>
      </c>
      <c r="B778" t="n">
        <v>57.2</v>
      </c>
      <c r="C778" t="n">
        <v>53.7</v>
      </c>
      <c r="D778" t="n">
        <v>44.2</v>
      </c>
      <c r="E778" t="n">
        <v>47.2</v>
      </c>
      <c r="F778" t="n">
        <v>55.5</v>
      </c>
      <c r="G778" t="n">
        <v>44.3</v>
      </c>
      <c r="H778" t="n">
        <v>46</v>
      </c>
      <c r="I778" t="n">
        <v>50.3</v>
      </c>
      <c r="J778" t="n">
        <v>53.6</v>
      </c>
      <c r="K778" t="n">
        <v>52.5</v>
      </c>
      <c r="L778" t="n">
        <v>52.6</v>
      </c>
      <c r="M778" t="n">
        <v>1310.329956054688</v>
      </c>
      <c r="O778" t="n">
        <v>0.004558599868677108</v>
      </c>
      <c r="P778" t="n">
        <v>0.02373816349715461</v>
      </c>
      <c r="Q778" t="n">
        <v>0.01835946382913334</v>
      </c>
    </row>
    <row r="779">
      <c r="A779" s="123" t="n">
        <v>41061</v>
      </c>
      <c r="B779" t="n">
        <v>47.2</v>
      </c>
      <c r="C779" t="n">
        <v>50</v>
      </c>
      <c r="D779" t="n">
        <v>41.2</v>
      </c>
      <c r="E779" t="n">
        <v>35.7</v>
      </c>
      <c r="F779" t="n">
        <v>52.7</v>
      </c>
      <c r="G779" t="n">
        <v>47.7</v>
      </c>
      <c r="H779" t="n">
        <v>44</v>
      </c>
      <c r="I779" t="n">
        <v>50.2</v>
      </c>
      <c r="J779" t="n">
        <v>54.8</v>
      </c>
      <c r="K779" t="n">
        <v>47.7</v>
      </c>
      <c r="L779" t="n">
        <v>49.7</v>
      </c>
      <c r="M779" t="n">
        <v>1362.160034179688</v>
      </c>
      <c r="O779" t="n">
        <v>0.004558599868677108</v>
      </c>
      <c r="P779" t="n">
        <v>0.02373816349715461</v>
      </c>
      <c r="Q779" t="n">
        <v>0.01835946382913334</v>
      </c>
    </row>
    <row r="780">
      <c r="A780" s="123"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0.001748829776015621</v>
      </c>
      <c r="P780" t="n">
        <v>0.02592622977056317</v>
      </c>
      <c r="Q780" t="n">
        <v>0.007013690941451989</v>
      </c>
      <c r="R780" t="n">
        <v>0.001748829776015621</v>
      </c>
      <c r="S780" t="n">
        <v>0.007013690941451989</v>
      </c>
      <c r="T780" t="n">
        <v>0.02592622977056317</v>
      </c>
    </row>
    <row r="781">
      <c r="A781" s="123" t="n">
        <v>41122</v>
      </c>
      <c r="B781" t="n">
        <v>48.5</v>
      </c>
      <c r="C781" t="n">
        <v>49</v>
      </c>
      <c r="D781" t="n">
        <v>41.9</v>
      </c>
      <c r="E781" t="n">
        <v>54.4</v>
      </c>
      <c r="F781" t="n">
        <v>49.8</v>
      </c>
      <c r="G781" t="n">
        <v>48.3</v>
      </c>
      <c r="H781" t="n">
        <v>53</v>
      </c>
      <c r="I781" t="n">
        <v>48.7</v>
      </c>
      <c r="J781" t="n">
        <v>51.2</v>
      </c>
      <c r="K781" t="n">
        <v>46.3</v>
      </c>
      <c r="L781" t="n">
        <v>50.2</v>
      </c>
      <c r="M781" t="n">
        <v>1406.579956054688</v>
      </c>
      <c r="O781" t="n">
        <v>0.001748829776015621</v>
      </c>
      <c r="P781" t="n">
        <v>0.02592622977056317</v>
      </c>
      <c r="Q781" t="n">
        <v>0.007013690941451989</v>
      </c>
    </row>
    <row r="782">
      <c r="A782" s="123" t="n">
        <v>41153</v>
      </c>
      <c r="B782" t="n">
        <v>53.5</v>
      </c>
      <c r="C782" t="n">
        <v>50.8</v>
      </c>
      <c r="D782" t="n">
        <v>46.4</v>
      </c>
      <c r="E782" t="n">
        <v>60</v>
      </c>
      <c r="F782" t="n">
        <v>51.8</v>
      </c>
      <c r="G782" t="n">
        <v>49.1</v>
      </c>
      <c r="H782" t="n">
        <v>50.5</v>
      </c>
      <c r="I782" t="n">
        <v>50.4</v>
      </c>
      <c r="J782" t="n">
        <v>53</v>
      </c>
      <c r="K782" t="n">
        <v>49.5</v>
      </c>
      <c r="L782" t="n">
        <v>51.8</v>
      </c>
      <c r="M782" t="n">
        <v>1440.670043945312</v>
      </c>
      <c r="O782" t="n">
        <v>0.001748829776015621</v>
      </c>
      <c r="P782" t="n">
        <v>0.02592622977056317</v>
      </c>
      <c r="Q782" t="n">
        <v>0.007013690941451989</v>
      </c>
    </row>
    <row r="783">
      <c r="A783" s="123"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0.001098380674641822</v>
      </c>
      <c r="P783" t="n">
        <v>0.0156606434588916</v>
      </c>
      <c r="Q783" t="n">
        <v>0.004400766641183385</v>
      </c>
      <c r="R783" t="n">
        <v>0.001098380674641822</v>
      </c>
      <c r="S783" t="n">
        <v>0.004400766641183385</v>
      </c>
      <c r="T783" t="n">
        <v>0.0156606434588916</v>
      </c>
    </row>
    <row r="784">
      <c r="A784" s="123" t="n">
        <v>41214</v>
      </c>
      <c r="B784" t="n">
        <v>49.6</v>
      </c>
      <c r="C784" t="n">
        <v>48.8</v>
      </c>
      <c r="D784" t="n">
        <v>42.1</v>
      </c>
      <c r="E784" t="n">
        <v>52.1</v>
      </c>
      <c r="F784" t="n">
        <v>50.2</v>
      </c>
      <c r="G784" t="n">
        <v>42.6</v>
      </c>
      <c r="H784" t="n">
        <v>45</v>
      </c>
      <c r="I784" t="n">
        <v>49.1</v>
      </c>
      <c r="J784" t="n">
        <v>48.6</v>
      </c>
      <c r="K784" t="n">
        <v>49.4</v>
      </c>
      <c r="L784" t="n">
        <v>48.9</v>
      </c>
      <c r="M784" t="n">
        <v>1416.180053710938</v>
      </c>
      <c r="O784" t="n">
        <v>0.001098380674641822</v>
      </c>
      <c r="P784" t="n">
        <v>0.0156606434588916</v>
      </c>
      <c r="Q784" t="n">
        <v>0.004400766641183385</v>
      </c>
    </row>
    <row r="785">
      <c r="A785" s="123" t="n">
        <v>41244</v>
      </c>
      <c r="B785" t="n">
        <v>48.9</v>
      </c>
      <c r="C785" t="n">
        <v>51.2</v>
      </c>
      <c r="D785" t="n">
        <v>47.3</v>
      </c>
      <c r="E785" t="n">
        <v>54</v>
      </c>
      <c r="F785" t="n">
        <v>51</v>
      </c>
      <c r="G785" t="n">
        <v>47.4</v>
      </c>
      <c r="H785" t="n">
        <v>43</v>
      </c>
      <c r="I785" t="n">
        <v>52.2</v>
      </c>
      <c r="J785" t="n">
        <v>52.6</v>
      </c>
      <c r="K785" t="n">
        <v>52.8</v>
      </c>
      <c r="L785" t="n">
        <v>49.8</v>
      </c>
      <c r="M785" t="n">
        <v>1426.18994140625</v>
      </c>
      <c r="O785" t="n">
        <v>0.001098380674641822</v>
      </c>
      <c r="P785" t="n">
        <v>0.0156606434588916</v>
      </c>
      <c r="Q785" t="n">
        <v>0.004400766641183385</v>
      </c>
    </row>
    <row r="786">
      <c r="A786" s="123"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0.008677895476911597</v>
      </c>
      <c r="P786" t="n">
        <v>0.01616301095280286</v>
      </c>
      <c r="Q786" t="n">
        <v>0.03516603678394103</v>
      </c>
      <c r="R786" t="n">
        <v>0.008677895476911597</v>
      </c>
      <c r="S786" t="n">
        <v>0.03516603678394103</v>
      </c>
      <c r="T786" t="n">
        <v>0.01616301095280286</v>
      </c>
    </row>
    <row r="787">
      <c r="A787" s="123" t="n">
        <v>41306</v>
      </c>
      <c r="B787" t="n">
        <v>56.9</v>
      </c>
      <c r="C787" t="n">
        <v>53.8</v>
      </c>
      <c r="D787" t="n">
        <v>53.1</v>
      </c>
      <c r="E787" t="n">
        <v>62.2</v>
      </c>
      <c r="F787" t="n">
        <v>56.9</v>
      </c>
      <c r="G787" t="n">
        <v>45.7</v>
      </c>
      <c r="H787" t="n">
        <v>51.5</v>
      </c>
      <c r="I787" t="n">
        <v>50.5</v>
      </c>
      <c r="J787" t="n">
        <v>52.2</v>
      </c>
      <c r="K787" t="n">
        <v>52.5</v>
      </c>
      <c r="L787" t="n">
        <v>53.6</v>
      </c>
      <c r="M787" t="n">
        <v>1514.680053710938</v>
      </c>
      <c r="O787" t="n">
        <v>0.008677895476911597</v>
      </c>
      <c r="P787" t="n">
        <v>0.01616301095280286</v>
      </c>
      <c r="Q787" t="n">
        <v>0.03516603678394103</v>
      </c>
    </row>
    <row r="788">
      <c r="A788" s="123" t="n">
        <v>41334</v>
      </c>
      <c r="B788" t="n">
        <v>52.6</v>
      </c>
      <c r="C788" t="n">
        <v>54.5</v>
      </c>
      <c r="D788" t="n">
        <v>49.7</v>
      </c>
      <c r="E788" t="n">
        <v>53.7</v>
      </c>
      <c r="F788" t="n">
        <v>54.4</v>
      </c>
      <c r="G788" t="n">
        <v>47.6</v>
      </c>
      <c r="H788" t="n">
        <v>49.5</v>
      </c>
      <c r="I788" t="n">
        <v>50.1</v>
      </c>
      <c r="J788" t="n">
        <v>52.9</v>
      </c>
      <c r="K788" t="n">
        <v>55.6</v>
      </c>
      <c r="L788" t="n">
        <v>52</v>
      </c>
      <c r="M788" t="n">
        <v>1569.18994140625</v>
      </c>
      <c r="O788" t="n">
        <v>0.008677895476911597</v>
      </c>
      <c r="P788" t="n">
        <v>0.01616301095280286</v>
      </c>
      <c r="Q788" t="n">
        <v>0.03516603678394103</v>
      </c>
    </row>
    <row r="789">
      <c r="A789" s="123"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0.001393852197657185</v>
      </c>
      <c r="P789" t="n">
        <v>0.01296170490384775</v>
      </c>
      <c r="Q789" t="n">
        <v>0.00558707657013402</v>
      </c>
      <c r="R789" t="n">
        <v>0.001393852197657185</v>
      </c>
      <c r="S789" t="n">
        <v>0.00558707657013402</v>
      </c>
      <c r="T789" t="n">
        <v>0.01296170490384775</v>
      </c>
    </row>
    <row r="790">
      <c r="A790" s="123" t="n">
        <v>41395</v>
      </c>
      <c r="B790" t="n">
        <v>51.9</v>
      </c>
      <c r="C790" t="n">
        <v>53.3</v>
      </c>
      <c r="D790" t="n">
        <v>48.1</v>
      </c>
      <c r="E790" t="n">
        <v>49.9</v>
      </c>
      <c r="F790" t="n">
        <v>53</v>
      </c>
      <c r="G790" t="n">
        <v>46.3</v>
      </c>
      <c r="H790" t="n">
        <v>49</v>
      </c>
      <c r="I790" t="n">
        <v>49.9</v>
      </c>
      <c r="J790" t="n">
        <v>49.7</v>
      </c>
      <c r="K790" t="n">
        <v>50.7</v>
      </c>
      <c r="L790" t="n">
        <v>50.5</v>
      </c>
      <c r="M790" t="n">
        <v>1630.739990234375</v>
      </c>
      <c r="O790" t="n">
        <v>0.001393852197657185</v>
      </c>
      <c r="P790" t="n">
        <v>0.01296170490384775</v>
      </c>
      <c r="Q790" t="n">
        <v>0.00558707657013402</v>
      </c>
    </row>
    <row r="791">
      <c r="A791" s="123" t="n">
        <v>41426</v>
      </c>
      <c r="B791" t="n">
        <v>52.5</v>
      </c>
      <c r="C791" t="n">
        <v>55.9</v>
      </c>
      <c r="D791" t="n">
        <v>45.1</v>
      </c>
      <c r="E791" t="n">
        <v>50.7</v>
      </c>
      <c r="F791" t="n">
        <v>54.7</v>
      </c>
      <c r="G791" t="n">
        <v>45.9</v>
      </c>
      <c r="H791" t="n">
        <v>50.5</v>
      </c>
      <c r="I791" t="n">
        <v>51.3</v>
      </c>
      <c r="J791" t="n">
        <v>49.3</v>
      </c>
      <c r="K791" t="n">
        <v>52.9</v>
      </c>
      <c r="L791" t="n">
        <v>51.5</v>
      </c>
      <c r="M791" t="n">
        <v>1606.280029296875</v>
      </c>
      <c r="O791" t="n">
        <v>0.001393852197657185</v>
      </c>
      <c r="P791" t="n">
        <v>0.01296170490384775</v>
      </c>
      <c r="Q791" t="n">
        <v>0.00558707657013402</v>
      </c>
    </row>
    <row r="792">
      <c r="A792" s="123"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0.007916534107950009</v>
      </c>
      <c r="P792" t="n">
        <v>0.01919844620038217</v>
      </c>
      <c r="Q792" t="n">
        <v>0.03204415399787042</v>
      </c>
      <c r="R792" t="n">
        <v>0.007916534107950009</v>
      </c>
      <c r="S792" t="n">
        <v>0.03204415399787042</v>
      </c>
      <c r="T792" t="n">
        <v>0.01919844620038217</v>
      </c>
    </row>
    <row r="793">
      <c r="A793" s="123" t="n">
        <v>41487</v>
      </c>
      <c r="B793" t="n">
        <v>62.7</v>
      </c>
      <c r="C793" t="n">
        <v>57.6</v>
      </c>
      <c r="D793" t="n">
        <v>46.4</v>
      </c>
      <c r="E793" t="n">
        <v>52.8</v>
      </c>
      <c r="F793" t="n">
        <v>61.7</v>
      </c>
      <c r="G793" t="n">
        <v>42.4</v>
      </c>
      <c r="H793" t="n">
        <v>47.5</v>
      </c>
      <c r="I793" t="n">
        <v>52</v>
      </c>
      <c r="J793" t="n">
        <v>54.2</v>
      </c>
      <c r="K793" t="n">
        <v>55.3</v>
      </c>
      <c r="L793" t="n">
        <v>55.9</v>
      </c>
      <c r="M793" t="n">
        <v>1632.969970703125</v>
      </c>
      <c r="O793" t="n">
        <v>0.007916534107950009</v>
      </c>
      <c r="P793" t="n">
        <v>0.01919844620038217</v>
      </c>
      <c r="Q793" t="n">
        <v>0.03204415399787042</v>
      </c>
    </row>
    <row r="794">
      <c r="A794" s="123" t="n">
        <v>41518</v>
      </c>
      <c r="B794" t="n">
        <v>60.2</v>
      </c>
      <c r="C794" t="n">
        <v>53.2</v>
      </c>
      <c r="D794" t="n">
        <v>50.1</v>
      </c>
      <c r="E794" t="n">
        <v>57.4</v>
      </c>
      <c r="F794" t="n">
        <v>57.9</v>
      </c>
      <c r="G794" t="n">
        <v>44</v>
      </c>
      <c r="H794" t="n">
        <v>50</v>
      </c>
      <c r="I794" t="n">
        <v>52.7</v>
      </c>
      <c r="J794" t="n">
        <v>53.1</v>
      </c>
      <c r="K794" t="n">
        <v>51.9</v>
      </c>
      <c r="L794" t="n">
        <v>54.8</v>
      </c>
      <c r="M794" t="n">
        <v>1681.550048828125</v>
      </c>
      <c r="O794" t="n">
        <v>0.007916534107950009</v>
      </c>
      <c r="P794" t="n">
        <v>0.01919844620038217</v>
      </c>
      <c r="Q794" t="n">
        <v>0.03204415399787042</v>
      </c>
    </row>
    <row r="795">
      <c r="A795" s="123"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0.007111710015635665</v>
      </c>
      <c r="P795" t="n">
        <v>0.02532049777807217</v>
      </c>
      <c r="Q795" t="n">
        <v>0.02875173987590807</v>
      </c>
      <c r="R795" t="n">
        <v>0.007111710015635665</v>
      </c>
      <c r="S795" t="n">
        <v>0.02875173987590807</v>
      </c>
      <c r="T795" t="n">
        <v>0.02532049777807217</v>
      </c>
    </row>
    <row r="796">
      <c r="A796" s="123" t="n">
        <v>41579</v>
      </c>
      <c r="B796" t="n">
        <v>60.6</v>
      </c>
      <c r="C796" t="n">
        <v>54.5</v>
      </c>
      <c r="D796" t="n">
        <v>54.1</v>
      </c>
      <c r="E796" t="n">
        <v>51.7</v>
      </c>
      <c r="F796" t="n">
        <v>60.2</v>
      </c>
      <c r="G796" t="n">
        <v>46.4</v>
      </c>
      <c r="H796" t="n">
        <v>50.5</v>
      </c>
      <c r="I796" t="n">
        <v>52.4</v>
      </c>
      <c r="J796" t="n">
        <v>55.5</v>
      </c>
      <c r="K796" t="n">
        <v>58.4</v>
      </c>
      <c r="L796" t="n">
        <v>56.3</v>
      </c>
      <c r="M796" t="n">
        <v>1805.81005859375</v>
      </c>
      <c r="O796" t="n">
        <v>0.007111710015635665</v>
      </c>
      <c r="P796" t="n">
        <v>0.02532049777807217</v>
      </c>
      <c r="Q796" t="n">
        <v>0.02875173987590807</v>
      </c>
    </row>
    <row r="797">
      <c r="A797" s="123" t="n">
        <v>41609</v>
      </c>
      <c r="B797" t="n">
        <v>65</v>
      </c>
      <c r="C797" t="n">
        <v>56</v>
      </c>
      <c r="D797" t="n">
        <v>51</v>
      </c>
      <c r="E797" t="n">
        <v>51.7</v>
      </c>
      <c r="F797" t="n">
        <v>60.1</v>
      </c>
      <c r="G797" t="n">
        <v>46.4</v>
      </c>
      <c r="H797" t="n">
        <v>47</v>
      </c>
      <c r="I797" t="n">
        <v>53</v>
      </c>
      <c r="J797" t="n">
        <v>52.9</v>
      </c>
      <c r="K797" t="n">
        <v>55.2</v>
      </c>
      <c r="L797" t="n">
        <v>55.9</v>
      </c>
      <c r="M797" t="n">
        <v>1848.359985351562</v>
      </c>
      <c r="O797" t="n">
        <v>0.007111710015635665</v>
      </c>
      <c r="P797" t="n">
        <v>0.02532049777807217</v>
      </c>
      <c r="Q797" t="n">
        <v>0.02875173987590807</v>
      </c>
    </row>
    <row r="798">
      <c r="A798" s="123"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-0.003501097365126946</v>
      </c>
      <c r="P798" t="n">
        <v>0.01294055859309538</v>
      </c>
      <c r="Q798" t="n">
        <v>-0.01393101487505966</v>
      </c>
      <c r="R798" t="n">
        <v>-0.003501097365126946</v>
      </c>
      <c r="S798" t="n">
        <v>-0.01393101487505966</v>
      </c>
      <c r="T798" t="n">
        <v>0.01294055859309538</v>
      </c>
    </row>
    <row r="799">
      <c r="A799" s="123" t="n">
        <v>41671</v>
      </c>
      <c r="B799" t="n">
        <v>57</v>
      </c>
      <c r="C799" t="n">
        <v>53.1</v>
      </c>
      <c r="D799" t="n">
        <v>50.5</v>
      </c>
      <c r="E799" t="n">
        <v>59.8</v>
      </c>
      <c r="F799" t="n">
        <v>52.3</v>
      </c>
      <c r="G799" t="n">
        <v>47</v>
      </c>
      <c r="H799" t="n">
        <v>52.5</v>
      </c>
      <c r="I799" t="n">
        <v>57.1</v>
      </c>
      <c r="J799" t="n">
        <v>54.1</v>
      </c>
      <c r="K799" t="n">
        <v>52.7</v>
      </c>
      <c r="L799" t="n">
        <v>54.6</v>
      </c>
      <c r="M799" t="n">
        <v>1859.449951171875</v>
      </c>
      <c r="O799" t="n">
        <v>-0.003501097365126946</v>
      </c>
      <c r="P799" t="n">
        <v>0.01294055859309538</v>
      </c>
      <c r="Q799" t="n">
        <v>-0.01393101487505966</v>
      </c>
    </row>
    <row r="800">
      <c r="A800" s="123" t="n">
        <v>41699</v>
      </c>
      <c r="B800" t="n">
        <v>57</v>
      </c>
      <c r="C800" t="n">
        <v>55.2</v>
      </c>
      <c r="D800" t="n">
        <v>57</v>
      </c>
      <c r="E800" t="n">
        <v>59</v>
      </c>
      <c r="F800" t="n">
        <v>57.5</v>
      </c>
      <c r="G800" t="n">
        <v>42.3</v>
      </c>
      <c r="H800" t="n">
        <v>52.5</v>
      </c>
      <c r="I800" t="n">
        <v>54.9</v>
      </c>
      <c r="J800" t="n">
        <v>53.7</v>
      </c>
      <c r="K800" t="n">
        <v>55.1</v>
      </c>
      <c r="L800" t="n">
        <v>55.3</v>
      </c>
      <c r="M800" t="n">
        <v>1872.339965820312</v>
      </c>
      <c r="O800" t="n">
        <v>-0.003501097365126946</v>
      </c>
      <c r="P800" t="n">
        <v>0.01294055859309538</v>
      </c>
      <c r="Q800" t="n">
        <v>-0.01393101487505966</v>
      </c>
    </row>
    <row r="801">
      <c r="A801" s="123"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0.01284128907179058</v>
      </c>
      <c r="P801" t="n">
        <v>0.0245199916765882</v>
      </c>
      <c r="Q801" t="n">
        <v>0.05236304575665218</v>
      </c>
      <c r="R801" t="n">
        <v>0.01284128907179058</v>
      </c>
      <c r="S801" t="n">
        <v>0.05236304575665218</v>
      </c>
      <c r="T801" t="n">
        <v>0.0245199916765882</v>
      </c>
    </row>
    <row r="802">
      <c r="A802" s="123" t="n">
        <v>41760</v>
      </c>
      <c r="B802" t="n">
        <v>57.9</v>
      </c>
      <c r="C802" t="n">
        <v>53.3</v>
      </c>
      <c r="D802" t="n">
        <v>51.5</v>
      </c>
      <c r="E802" t="n">
        <v>58.7</v>
      </c>
      <c r="F802" t="n">
        <v>61.1</v>
      </c>
      <c r="G802" t="n">
        <v>46.3</v>
      </c>
      <c r="H802" t="n">
        <v>53</v>
      </c>
      <c r="I802" t="n">
        <v>52.7</v>
      </c>
      <c r="J802" t="n">
        <v>54.7</v>
      </c>
      <c r="K802" t="n">
        <v>57.3</v>
      </c>
      <c r="L802" t="n">
        <v>55.8</v>
      </c>
      <c r="M802" t="n">
        <v>1923.569946289062</v>
      </c>
      <c r="O802" t="n">
        <v>0.01284128907179058</v>
      </c>
      <c r="P802" t="n">
        <v>0.0245199916765882</v>
      </c>
      <c r="Q802" t="n">
        <v>0.05236304575665218</v>
      </c>
    </row>
    <row r="803">
      <c r="A803" s="123" t="n">
        <v>41791</v>
      </c>
      <c r="B803" t="n">
        <v>56.4</v>
      </c>
      <c r="C803" t="n">
        <v>56.3</v>
      </c>
      <c r="D803" t="n">
        <v>46</v>
      </c>
      <c r="E803" t="n">
        <v>57</v>
      </c>
      <c r="F803" t="n">
        <v>59</v>
      </c>
      <c r="G803" t="n">
        <v>47.8</v>
      </c>
      <c r="H803" t="n">
        <v>53</v>
      </c>
      <c r="I803" t="n">
        <v>53</v>
      </c>
      <c r="J803" t="n">
        <v>52.9</v>
      </c>
      <c r="K803" t="n">
        <v>54.5</v>
      </c>
      <c r="L803" t="n">
        <v>54.9</v>
      </c>
      <c r="M803" t="n">
        <v>1960.22998046875</v>
      </c>
      <c r="O803" t="n">
        <v>0.01284128907179058</v>
      </c>
      <c r="P803" t="n">
        <v>0.0245199916765882</v>
      </c>
      <c r="Q803" t="n">
        <v>0.05236304575665218</v>
      </c>
    </row>
    <row r="804">
      <c r="A804" s="123"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0.01164961644485469</v>
      </c>
      <c r="P804" t="n">
        <v>0.02831456925846958</v>
      </c>
      <c r="Q804" t="n">
        <v>0.04741908962129937</v>
      </c>
      <c r="R804" t="n">
        <v>0.01164961644485469</v>
      </c>
      <c r="S804" t="n">
        <v>0.04741908962129937</v>
      </c>
      <c r="T804" t="n">
        <v>0.02831456925846958</v>
      </c>
    </row>
    <row r="805">
      <c r="A805" s="123" t="n">
        <v>41852</v>
      </c>
      <c r="B805" t="n">
        <v>65.09999999999999</v>
      </c>
      <c r="C805" t="n">
        <v>56.5</v>
      </c>
      <c r="D805" t="n">
        <v>53.6</v>
      </c>
      <c r="E805" t="n">
        <v>56.9</v>
      </c>
      <c r="F805" t="n">
        <v>62.2</v>
      </c>
      <c r="G805" t="n">
        <v>50</v>
      </c>
      <c r="H805" t="n">
        <v>52</v>
      </c>
      <c r="I805" t="n">
        <v>54</v>
      </c>
      <c r="J805" t="n">
        <v>57.6</v>
      </c>
      <c r="K805" t="n">
        <v>56.3</v>
      </c>
      <c r="L805" t="n">
        <v>58.2</v>
      </c>
      <c r="M805" t="n">
        <v>2003.369995117188</v>
      </c>
      <c r="O805" t="n">
        <v>0.01164961644485469</v>
      </c>
      <c r="P805" t="n">
        <v>0.02831456925846958</v>
      </c>
      <c r="Q805" t="n">
        <v>0.04741908962129937</v>
      </c>
    </row>
    <row r="806">
      <c r="A806" s="123" t="n">
        <v>41883</v>
      </c>
      <c r="B806" t="n">
        <v>58</v>
      </c>
      <c r="C806" t="n">
        <v>53.4</v>
      </c>
      <c r="D806" t="n">
        <v>46.8</v>
      </c>
      <c r="E806" t="n">
        <v>58.7</v>
      </c>
      <c r="F806" t="n">
        <v>61.2</v>
      </c>
      <c r="G806" t="n">
        <v>44.3</v>
      </c>
      <c r="H806" t="n">
        <v>51.5</v>
      </c>
      <c r="I806" t="n">
        <v>52.2</v>
      </c>
      <c r="J806" t="n">
        <v>54.4</v>
      </c>
      <c r="K806" t="n">
        <v>53.5</v>
      </c>
      <c r="L806" t="n">
        <v>55.5</v>
      </c>
      <c r="M806" t="n">
        <v>1972.2900390625</v>
      </c>
      <c r="O806" t="n">
        <v>0.01164961644485469</v>
      </c>
      <c r="P806" t="n">
        <v>0.02831456925846958</v>
      </c>
      <c r="Q806" t="n">
        <v>0.04741908962129937</v>
      </c>
    </row>
    <row r="807">
      <c r="A807" s="123"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0.004489934024885105</v>
      </c>
      <c r="P807" t="n">
        <v>0.02563759666266986</v>
      </c>
      <c r="Q807" t="n">
        <v>0.01808105561066875</v>
      </c>
      <c r="R807" t="n">
        <v>0.004489934024885105</v>
      </c>
      <c r="S807" t="n">
        <v>0.01808105561066875</v>
      </c>
      <c r="T807" t="n">
        <v>0.02563759666266986</v>
      </c>
    </row>
    <row r="808">
      <c r="A808" s="123" t="n">
        <v>41944</v>
      </c>
      <c r="B808" t="n">
        <v>62.6</v>
      </c>
      <c r="C808" t="n">
        <v>57.1</v>
      </c>
      <c r="D808" t="n">
        <v>53.7</v>
      </c>
      <c r="E808" t="n">
        <v>44.4</v>
      </c>
      <c r="F808" t="n">
        <v>61.5</v>
      </c>
      <c r="G808" t="n">
        <v>50.9</v>
      </c>
      <c r="H808" t="n">
        <v>51.5</v>
      </c>
      <c r="I808" t="n">
        <v>55.4</v>
      </c>
      <c r="J808" t="n">
        <v>54.5</v>
      </c>
      <c r="K808" t="n">
        <v>54.5</v>
      </c>
      <c r="L808" t="n">
        <v>57</v>
      </c>
      <c r="M808" t="n">
        <v>2067.56005859375</v>
      </c>
      <c r="O808" t="n">
        <v>0.004489934024885105</v>
      </c>
      <c r="P808" t="n">
        <v>0.02563759666266986</v>
      </c>
      <c r="Q808" t="n">
        <v>0.01808105561066875</v>
      </c>
    </row>
    <row r="809">
      <c r="A809" s="123" t="n">
        <v>41974</v>
      </c>
      <c r="B809" t="n">
        <v>57</v>
      </c>
      <c r="C809" t="n">
        <v>55.3</v>
      </c>
      <c r="D809" t="n">
        <v>52</v>
      </c>
      <c r="E809" t="n">
        <v>37.8</v>
      </c>
      <c r="F809" t="n">
        <v>57</v>
      </c>
      <c r="G809" t="n">
        <v>45.8</v>
      </c>
      <c r="H809" t="n">
        <v>45.5</v>
      </c>
      <c r="I809" t="n">
        <v>56.9</v>
      </c>
      <c r="J809" t="n">
        <v>57.1</v>
      </c>
      <c r="K809" t="n">
        <v>51.9</v>
      </c>
      <c r="L809" t="n">
        <v>54.7</v>
      </c>
      <c r="M809" t="n">
        <v>2058.89990234375</v>
      </c>
      <c r="O809" t="n">
        <v>0.004489934024885105</v>
      </c>
      <c r="P809" t="n">
        <v>0.02563759666266986</v>
      </c>
      <c r="Q809" t="n">
        <v>0.01808105561066875</v>
      </c>
    </row>
    <row r="810">
      <c r="A810" s="123"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0.008133136264685727</v>
      </c>
      <c r="P810" t="n">
        <v>0.03761202773082455</v>
      </c>
      <c r="Q810" t="n">
        <v>0.03293158882700409</v>
      </c>
      <c r="R810" t="n">
        <v>0.008133136264685727</v>
      </c>
      <c r="S810" t="n">
        <v>0.03293158882700409</v>
      </c>
      <c r="T810" t="n">
        <v>0.03761202773082455</v>
      </c>
    </row>
    <row r="811">
      <c r="A811" s="123" t="n">
        <v>42036</v>
      </c>
      <c r="B811" t="n">
        <v>53.5</v>
      </c>
      <c r="C811" t="n">
        <v>53.1</v>
      </c>
      <c r="D811" t="n">
        <v>50.1</v>
      </c>
      <c r="E811" t="n">
        <v>35.2</v>
      </c>
      <c r="F811" t="n">
        <v>54</v>
      </c>
      <c r="G811" t="n">
        <v>47.1</v>
      </c>
      <c r="H811" t="n">
        <v>52.5</v>
      </c>
      <c r="I811" t="n">
        <v>54.4</v>
      </c>
      <c r="J811" t="n">
        <v>51.7</v>
      </c>
      <c r="K811" t="n">
        <v>48.9</v>
      </c>
      <c r="L811" t="n">
        <v>53</v>
      </c>
      <c r="M811" t="n">
        <v>2104.5</v>
      </c>
      <c r="O811" t="n">
        <v>0.008133136264685727</v>
      </c>
      <c r="P811" t="n">
        <v>0.03761202773082455</v>
      </c>
      <c r="Q811" t="n">
        <v>0.03293158882700409</v>
      </c>
    </row>
    <row r="812">
      <c r="A812" s="123" t="n">
        <v>42064</v>
      </c>
      <c r="B812" t="n">
        <v>52.2</v>
      </c>
      <c r="C812" t="n">
        <v>51.4</v>
      </c>
      <c r="D812" t="n">
        <v>47.4</v>
      </c>
      <c r="E812" t="n">
        <v>40.1</v>
      </c>
      <c r="F812" t="n">
        <v>53.6</v>
      </c>
      <c r="G812" t="n">
        <v>46.5</v>
      </c>
      <c r="H812" t="n">
        <v>51.5</v>
      </c>
      <c r="I812" t="n">
        <v>51</v>
      </c>
      <c r="J812" t="n">
        <v>51</v>
      </c>
      <c r="K812" t="n">
        <v>47.3</v>
      </c>
      <c r="L812" t="n">
        <v>51.8</v>
      </c>
      <c r="M812" t="n">
        <v>2067.889892578125</v>
      </c>
      <c r="O812" t="n">
        <v>0.008133136264685727</v>
      </c>
      <c r="P812" t="n">
        <v>0.03761202773082455</v>
      </c>
      <c r="Q812" t="n">
        <v>0.03293158882700409</v>
      </c>
    </row>
    <row r="813">
      <c r="A813" s="123"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0.005800014316593537</v>
      </c>
      <c r="P813" t="n">
        <v>0.03039854674877899</v>
      </c>
      <c r="Q813" t="n">
        <v>0.02340267984825029</v>
      </c>
      <c r="R813" t="n">
        <v>0.005800014316593537</v>
      </c>
      <c r="S813" t="n">
        <v>0.02340267984825029</v>
      </c>
      <c r="T813" t="n">
        <v>0.03039854674877899</v>
      </c>
    </row>
    <row r="814">
      <c r="A814" s="123" t="n">
        <v>42125</v>
      </c>
      <c r="B814" t="n">
        <v>53.9</v>
      </c>
      <c r="C814" t="n">
        <v>54.5</v>
      </c>
      <c r="D814" t="n">
        <v>52.9</v>
      </c>
      <c r="E814" t="n">
        <v>49</v>
      </c>
      <c r="F814" t="n">
        <v>55.2</v>
      </c>
      <c r="G814" t="n">
        <v>44.1</v>
      </c>
      <c r="H814" t="n">
        <v>51.5</v>
      </c>
      <c r="I814" t="n">
        <v>51.5</v>
      </c>
      <c r="J814" t="n">
        <v>52.6</v>
      </c>
      <c r="K814" t="n">
        <v>50.1</v>
      </c>
      <c r="L814" t="n">
        <v>52.9</v>
      </c>
      <c r="M814" t="n">
        <v>2107.389892578125</v>
      </c>
      <c r="O814" t="n">
        <v>0.005800014316593537</v>
      </c>
      <c r="P814" t="n">
        <v>0.03039854674877899</v>
      </c>
      <c r="Q814" t="n">
        <v>0.02340267984825029</v>
      </c>
    </row>
    <row r="815">
      <c r="A815" s="123" t="n">
        <v>42156</v>
      </c>
      <c r="B815" t="n">
        <v>52.8</v>
      </c>
      <c r="C815" t="n">
        <v>53.5</v>
      </c>
      <c r="D815" t="n">
        <v>45.2</v>
      </c>
      <c r="E815" t="n">
        <v>49.7</v>
      </c>
      <c r="F815" t="n">
        <v>52.5</v>
      </c>
      <c r="G815" t="n">
        <v>49.7</v>
      </c>
      <c r="H815" t="n">
        <v>53</v>
      </c>
      <c r="I815" t="n">
        <v>49.2</v>
      </c>
      <c r="J815" t="n">
        <v>54.2</v>
      </c>
      <c r="K815" t="n">
        <v>48.8</v>
      </c>
      <c r="L815" t="n">
        <v>52.3</v>
      </c>
      <c r="M815" t="n">
        <v>2063.110107421875</v>
      </c>
      <c r="O815" t="n">
        <v>0.005800014316593537</v>
      </c>
      <c r="P815" t="n">
        <v>0.03039854674877899</v>
      </c>
      <c r="Q815" t="n">
        <v>0.02340267984825029</v>
      </c>
    </row>
    <row r="816">
      <c r="A816" s="123"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0.003233726725495796</v>
      </c>
      <c r="P816" t="n">
        <v>0.02182668511263306</v>
      </c>
      <c r="Q816" t="n">
        <v>0.01299778420271624</v>
      </c>
      <c r="R816" t="n">
        <v>0.003233726725495796</v>
      </c>
      <c r="S816" t="n">
        <v>0.01299778420271624</v>
      </c>
      <c r="T816" t="n">
        <v>0.02182668511263306</v>
      </c>
    </row>
    <row r="817">
      <c r="A817" s="123" t="n">
        <v>42217</v>
      </c>
      <c r="B817" t="n">
        <v>52.5</v>
      </c>
      <c r="C817" t="n">
        <v>52.2</v>
      </c>
      <c r="D817" t="n">
        <v>46.6</v>
      </c>
      <c r="E817" t="n">
        <v>38.8</v>
      </c>
      <c r="F817" t="n">
        <v>53.5</v>
      </c>
      <c r="G817" t="n">
        <v>53.5</v>
      </c>
      <c r="H817" t="n">
        <v>48.5</v>
      </c>
      <c r="I817" t="n">
        <v>50.3</v>
      </c>
      <c r="J817" t="n">
        <v>49</v>
      </c>
      <c r="K817" t="n">
        <v>47.2</v>
      </c>
      <c r="L817" t="n">
        <v>50.8</v>
      </c>
      <c r="M817" t="n">
        <v>1972.180053710938</v>
      </c>
      <c r="O817" t="n">
        <v>0.003233726725495796</v>
      </c>
      <c r="P817" t="n">
        <v>0.02182668511263306</v>
      </c>
      <c r="Q817" t="n">
        <v>0.01299778420271624</v>
      </c>
    </row>
    <row r="818">
      <c r="A818" s="123" t="n">
        <v>42248</v>
      </c>
      <c r="B818" t="n">
        <v>49.9</v>
      </c>
      <c r="C818" t="n">
        <v>50.2</v>
      </c>
      <c r="D818" t="n">
        <v>40.7</v>
      </c>
      <c r="E818" t="n">
        <v>37.6</v>
      </c>
      <c r="F818" t="n">
        <v>51.5</v>
      </c>
      <c r="G818" t="n">
        <v>54.1</v>
      </c>
      <c r="H818" t="n">
        <v>48.5</v>
      </c>
      <c r="I818" t="n">
        <v>49.7</v>
      </c>
      <c r="J818" t="n">
        <v>50</v>
      </c>
      <c r="K818" t="n">
        <v>45.7</v>
      </c>
      <c r="L818" t="n">
        <v>50.1</v>
      </c>
      <c r="M818" t="n">
        <v>1920.030029296875</v>
      </c>
      <c r="O818" t="n">
        <v>0.003233726725495796</v>
      </c>
      <c r="P818" t="n">
        <v>0.02182668511263306</v>
      </c>
      <c r="Q818" t="n">
        <v>0.01299778420271624</v>
      </c>
    </row>
    <row r="819">
      <c r="A819" s="123"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0.001462343465763751</v>
      </c>
      <c r="P819" t="n">
        <v>0.01874684058645722</v>
      </c>
      <c r="Q819" t="n">
        <v>0.005862217066683106</v>
      </c>
      <c r="R819" t="n">
        <v>0.001462343465763751</v>
      </c>
      <c r="S819" t="n">
        <v>0.005862217066683106</v>
      </c>
      <c r="T819" t="n">
        <v>0.01874684058645722</v>
      </c>
    </row>
    <row r="820">
      <c r="A820" s="123" t="n">
        <v>42309</v>
      </c>
      <c r="B820" t="n">
        <v>50.4</v>
      </c>
      <c r="C820" t="n">
        <v>49.4</v>
      </c>
      <c r="D820" t="n">
        <v>43.3</v>
      </c>
      <c r="E820" t="n">
        <v>35.7</v>
      </c>
      <c r="F820" t="n">
        <v>49.5</v>
      </c>
      <c r="G820" t="n">
        <v>50.8</v>
      </c>
      <c r="H820" t="n">
        <v>43</v>
      </c>
      <c r="I820" t="n">
        <v>49.8</v>
      </c>
      <c r="J820" t="n">
        <v>51.5</v>
      </c>
      <c r="K820" t="n">
        <v>46.9</v>
      </c>
      <c r="L820" t="n">
        <v>49.1</v>
      </c>
      <c r="M820" t="n">
        <v>2080.409912109375</v>
      </c>
      <c r="O820" t="n">
        <v>0.001462343465763751</v>
      </c>
      <c r="P820" t="n">
        <v>0.01874684058645722</v>
      </c>
      <c r="Q820" t="n">
        <v>0.005862217066683106</v>
      </c>
    </row>
    <row r="821">
      <c r="A821" s="123" t="n">
        <v>42339</v>
      </c>
      <c r="B821" t="n">
        <v>49.7</v>
      </c>
      <c r="C821" t="n">
        <v>46</v>
      </c>
      <c r="D821" t="n">
        <v>41.7</v>
      </c>
      <c r="E821" t="n">
        <v>33.9</v>
      </c>
      <c r="F821" t="n">
        <v>49.7</v>
      </c>
      <c r="G821" t="n">
        <v>49.4</v>
      </c>
      <c r="H821" t="n">
        <v>43.5</v>
      </c>
      <c r="I821" t="n">
        <v>49.8</v>
      </c>
      <c r="J821" t="n">
        <v>46.8</v>
      </c>
      <c r="K821" t="n">
        <v>51.2</v>
      </c>
      <c r="L821" t="n">
        <v>48.4</v>
      </c>
      <c r="M821" t="n">
        <v>2043.93994140625</v>
      </c>
      <c r="O821" t="n">
        <v>0.001462343465763751</v>
      </c>
      <c r="P821" t="n">
        <v>0.01874684058645722</v>
      </c>
      <c r="Q821" t="n">
        <v>0.005862217066683106</v>
      </c>
    </row>
    <row r="822">
      <c r="A822" s="123"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0.005891798685635071</v>
      </c>
      <c r="P822" t="n">
        <v>0.01648190603048597</v>
      </c>
      <c r="Q822" t="n">
        <v>0.02377629379297197</v>
      </c>
      <c r="R822" t="n">
        <v>0.005891798685635071</v>
      </c>
      <c r="S822" t="n">
        <v>0.02377629379297197</v>
      </c>
      <c r="T822" t="n">
        <v>0.01648190603048597</v>
      </c>
    </row>
    <row r="823">
      <c r="A823" s="123" t="n">
        <v>42401</v>
      </c>
      <c r="B823" t="n">
        <v>52.2</v>
      </c>
      <c r="C823" t="n">
        <v>48.6</v>
      </c>
      <c r="D823" t="n">
        <v>48.3</v>
      </c>
      <c r="E823" t="n">
        <v>38.3</v>
      </c>
      <c r="F823" t="n">
        <v>51.9</v>
      </c>
      <c r="G823" t="n">
        <v>46.9</v>
      </c>
      <c r="H823" t="n">
        <v>45</v>
      </c>
      <c r="I823" t="n">
        <v>49.2</v>
      </c>
      <c r="J823" t="n">
        <v>47.4</v>
      </c>
      <c r="K823" t="n">
        <v>46.4</v>
      </c>
      <c r="L823" t="n">
        <v>49.4</v>
      </c>
      <c r="M823" t="n">
        <v>1932.22998046875</v>
      </c>
      <c r="O823" t="n">
        <v>0.005891798685635071</v>
      </c>
      <c r="P823" t="n">
        <v>0.01648190603048597</v>
      </c>
      <c r="Q823" t="n">
        <v>0.02377629379297197</v>
      </c>
    </row>
    <row r="824">
      <c r="A824" s="123" t="n">
        <v>42430</v>
      </c>
      <c r="B824" t="n">
        <v>54.8</v>
      </c>
      <c r="C824" t="n">
        <v>48.8</v>
      </c>
      <c r="D824" t="n">
        <v>50.6</v>
      </c>
      <c r="E824" t="n">
        <v>52.1</v>
      </c>
      <c r="F824" t="n">
        <v>54.8</v>
      </c>
      <c r="G824" t="n">
        <v>50.3</v>
      </c>
      <c r="H824" t="n">
        <v>47</v>
      </c>
      <c r="I824" t="n">
        <v>50.9</v>
      </c>
      <c r="J824" t="n">
        <v>47.6</v>
      </c>
      <c r="K824" t="n">
        <v>51.8</v>
      </c>
      <c r="L824" t="n">
        <v>51.2</v>
      </c>
      <c r="M824" t="n">
        <v>2059.739990234375</v>
      </c>
      <c r="O824" t="n">
        <v>0.005891798685635071</v>
      </c>
      <c r="P824" t="n">
        <v>0.01648190603048597</v>
      </c>
      <c r="Q824" t="n">
        <v>0.02377629379297197</v>
      </c>
    </row>
    <row r="825">
      <c r="A825" s="123"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0.003023888066726282</v>
      </c>
      <c r="P825" t="n">
        <v>0.01367629650405968</v>
      </c>
      <c r="Q825" t="n">
        <v>0.0121505263452657</v>
      </c>
      <c r="R825" t="n">
        <v>0.003023888066726282</v>
      </c>
      <c r="S825" t="n">
        <v>0.0121505263452657</v>
      </c>
      <c r="T825" t="n">
        <v>0.01367629650405968</v>
      </c>
    </row>
    <row r="826">
      <c r="A826" s="123" t="n">
        <v>42491</v>
      </c>
      <c r="B826" t="n">
        <v>55</v>
      </c>
      <c r="C826" t="n">
        <v>49</v>
      </c>
      <c r="D826" t="n">
        <v>46.3</v>
      </c>
      <c r="E826" t="n">
        <v>61.4</v>
      </c>
      <c r="F826" t="n">
        <v>52.7</v>
      </c>
      <c r="G826" t="n">
        <v>49.1</v>
      </c>
      <c r="H826" t="n">
        <v>45</v>
      </c>
      <c r="I826" t="n">
        <v>53.3</v>
      </c>
      <c r="J826" t="n">
        <v>48.8</v>
      </c>
      <c r="K826" t="n">
        <v>52.2</v>
      </c>
      <c r="L826" t="n">
        <v>50.9</v>
      </c>
      <c r="M826" t="n">
        <v>2096.949951171875</v>
      </c>
      <c r="O826" t="n">
        <v>0.003023888066726282</v>
      </c>
      <c r="P826" t="n">
        <v>0.01367629650405968</v>
      </c>
      <c r="Q826" t="n">
        <v>0.0121505263452657</v>
      </c>
    </row>
    <row r="827">
      <c r="A827" s="123" t="n">
        <v>42522</v>
      </c>
      <c r="B827" t="n">
        <v>56.4</v>
      </c>
      <c r="C827" t="n">
        <v>51.1</v>
      </c>
      <c r="D827" t="n">
        <v>52.7</v>
      </c>
      <c r="E827" t="n">
        <v>59.8</v>
      </c>
      <c r="F827" t="n">
        <v>54.7</v>
      </c>
      <c r="G827" t="n">
        <v>51.2</v>
      </c>
      <c r="H827" t="n">
        <v>48.5</v>
      </c>
      <c r="I827" t="n">
        <v>54</v>
      </c>
      <c r="J827" t="n">
        <v>49.2</v>
      </c>
      <c r="K827" t="n">
        <v>54.4</v>
      </c>
      <c r="L827" t="n">
        <v>52.5</v>
      </c>
      <c r="M827" t="n">
        <v>2098.860107421875</v>
      </c>
      <c r="O827" t="n">
        <v>0.003023888066726282</v>
      </c>
      <c r="P827" t="n">
        <v>0.01367629650405968</v>
      </c>
      <c r="Q827" t="n">
        <v>0.0121505263452657</v>
      </c>
    </row>
    <row r="828">
      <c r="A828" s="123"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0.006011153792692107</v>
      </c>
      <c r="P828" t="n">
        <v>0.01648263356020616</v>
      </c>
      <c r="Q828" t="n">
        <v>0.02426228912334993</v>
      </c>
      <c r="R828" t="n">
        <v>0.006011153792692107</v>
      </c>
      <c r="S828" t="n">
        <v>0.02426228912334993</v>
      </c>
      <c r="T828" t="n">
        <v>0.01648263356020616</v>
      </c>
    </row>
    <row r="829">
      <c r="A829" s="123" t="n">
        <v>42583</v>
      </c>
      <c r="B829" t="n">
        <v>50.5</v>
      </c>
      <c r="C829" t="n">
        <v>46.8</v>
      </c>
      <c r="D829" t="n">
        <v>47.4</v>
      </c>
      <c r="E829" t="n">
        <v>53.6</v>
      </c>
      <c r="F829" t="n">
        <v>50</v>
      </c>
      <c r="G829" t="n">
        <v>49.1</v>
      </c>
      <c r="H829" t="n">
        <v>49</v>
      </c>
      <c r="I829" t="n">
        <v>51.6</v>
      </c>
      <c r="J829" t="n">
        <v>47.9</v>
      </c>
      <c r="K829" t="n">
        <v>51.9</v>
      </c>
      <c r="L829" t="n">
        <v>49.9</v>
      </c>
      <c r="M829" t="n">
        <v>2170.949951171875</v>
      </c>
      <c r="O829" t="n">
        <v>0.006011153792692107</v>
      </c>
      <c r="P829" t="n">
        <v>0.01648263356020616</v>
      </c>
      <c r="Q829" t="n">
        <v>0.02426228912334993</v>
      </c>
    </row>
    <row r="830">
      <c r="A830" s="123" t="n">
        <v>42614</v>
      </c>
      <c r="B830" t="n">
        <v>54.5</v>
      </c>
      <c r="C830" t="n">
        <v>49.4</v>
      </c>
      <c r="D830" t="n">
        <v>48.6</v>
      </c>
      <c r="E830" t="n">
        <v>53.1</v>
      </c>
      <c r="F830" t="n">
        <v>53.8</v>
      </c>
      <c r="G830" t="n">
        <v>52.5</v>
      </c>
      <c r="H830" t="n">
        <v>49.5</v>
      </c>
      <c r="I830" t="n">
        <v>49.8</v>
      </c>
      <c r="J830" t="n">
        <v>49.2</v>
      </c>
      <c r="K830" t="n">
        <v>52.1</v>
      </c>
      <c r="L830" t="n">
        <v>51.4</v>
      </c>
      <c r="M830" t="n">
        <v>2168.27001953125</v>
      </c>
      <c r="O830" t="n">
        <v>0.006011153792692107</v>
      </c>
      <c r="P830" t="n">
        <v>0.01648263356020616</v>
      </c>
      <c r="Q830" t="n">
        <v>0.02426228912334993</v>
      </c>
    </row>
    <row r="831">
      <c r="A831" s="123"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0.004968887960606363</v>
      </c>
      <c r="P831" t="n">
        <v>0.0200417704624271</v>
      </c>
      <c r="Q831" t="n">
        <v>0.02002418226174996</v>
      </c>
      <c r="R831" t="n">
        <v>0.004968887960606363</v>
      </c>
      <c r="S831" t="n">
        <v>0.02002418226174996</v>
      </c>
      <c r="T831" t="n">
        <v>0.0200417704624271</v>
      </c>
    </row>
    <row r="832">
      <c r="A832" s="123" t="n">
        <v>42675</v>
      </c>
      <c r="B832" t="n">
        <v>55.4</v>
      </c>
      <c r="C832" t="n">
        <v>50.5</v>
      </c>
      <c r="D832" t="n">
        <v>48.7</v>
      </c>
      <c r="E832" t="n">
        <v>53.5</v>
      </c>
      <c r="F832" t="n">
        <v>55.4</v>
      </c>
      <c r="G832" t="n">
        <v>49.4</v>
      </c>
      <c r="H832" t="n">
        <v>49</v>
      </c>
      <c r="I832" t="n">
        <v>55.4</v>
      </c>
      <c r="J832" t="n">
        <v>52</v>
      </c>
      <c r="K832" t="n">
        <v>51.8</v>
      </c>
      <c r="L832" t="n">
        <v>53.4</v>
      </c>
      <c r="M832" t="n">
        <v>2198.81005859375</v>
      </c>
      <c r="O832" t="n">
        <v>0.004968887960606363</v>
      </c>
      <c r="P832" t="n">
        <v>0.0200417704624271</v>
      </c>
      <c r="Q832" t="n">
        <v>0.02002418226174996</v>
      </c>
    </row>
    <row r="833">
      <c r="A833" s="123" t="n">
        <v>42705</v>
      </c>
      <c r="B833" t="n">
        <v>59.7</v>
      </c>
      <c r="C833" t="n">
        <v>49.8</v>
      </c>
      <c r="D833" t="n">
        <v>48.6</v>
      </c>
      <c r="E833" t="n">
        <v>64.2</v>
      </c>
      <c r="F833" t="n">
        <v>59.2</v>
      </c>
      <c r="G833" t="n">
        <v>49.6</v>
      </c>
      <c r="H833" t="n">
        <v>47</v>
      </c>
      <c r="I833" t="n">
        <v>53.2</v>
      </c>
      <c r="J833" t="n">
        <v>53.3</v>
      </c>
      <c r="K833" t="n">
        <v>56.2</v>
      </c>
      <c r="L833" t="n">
        <v>54.3</v>
      </c>
      <c r="M833" t="n">
        <v>2238.830078125</v>
      </c>
      <c r="O833" t="n">
        <v>0.004968887960606363</v>
      </c>
      <c r="P833" t="n">
        <v>0.0200417704624271</v>
      </c>
      <c r="Q833" t="n">
        <v>0.02002418226174996</v>
      </c>
    </row>
    <row r="834">
      <c r="A834" s="123"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17889.094</v>
      </c>
      <c r="O834" t="n">
        <v>0.004719310419164807</v>
      </c>
      <c r="P834" t="n">
        <v>0.01885278869645634</v>
      </c>
      <c r="Q834" t="n">
        <v>0.01901129394955658</v>
      </c>
      <c r="R834" t="n">
        <v>0.004296631141172277</v>
      </c>
      <c r="S834" t="n">
        <v>0.0172976084215819</v>
      </c>
      <c r="T834" t="n">
        <v>0.01842416355046683</v>
      </c>
    </row>
    <row r="835">
      <c r="A835" s="123" t="n">
        <v>42767</v>
      </c>
      <c r="B835" t="n">
        <v>63.8</v>
      </c>
      <c r="C835" t="n">
        <v>55.1</v>
      </c>
      <c r="D835" t="n">
        <v>57.1</v>
      </c>
      <c r="E835" t="n">
        <v>66.90000000000001</v>
      </c>
      <c r="F835" t="n">
        <v>61.7</v>
      </c>
      <c r="G835" t="n">
        <v>48.4</v>
      </c>
      <c r="H835" t="n">
        <v>51.5</v>
      </c>
      <c r="I835" t="n">
        <v>55.5</v>
      </c>
      <c r="J835" t="n">
        <v>54.5</v>
      </c>
      <c r="K835" t="n">
        <v>55</v>
      </c>
      <c r="L835" t="n">
        <v>57.6</v>
      </c>
      <c r="M835" t="n">
        <v>2363.639892578125</v>
      </c>
      <c r="O835" t="n">
        <v>0.004719310419164807</v>
      </c>
      <c r="P835" t="n">
        <v>0.01885278869645634</v>
      </c>
      <c r="Q835" t="n">
        <v>0.01901129394955658</v>
      </c>
    </row>
    <row r="836">
      <c r="A836" s="123" t="n">
        <v>42795</v>
      </c>
      <c r="B836" t="n">
        <v>62</v>
      </c>
      <c r="C836" t="n">
        <v>53.5</v>
      </c>
      <c r="D836" t="n">
        <v>57.5</v>
      </c>
      <c r="E836" t="n">
        <v>68.8</v>
      </c>
      <c r="F836" t="n">
        <v>57.3</v>
      </c>
      <c r="G836" t="n">
        <v>48.6</v>
      </c>
      <c r="H836" t="n">
        <v>49</v>
      </c>
      <c r="I836" t="n">
        <v>55.6</v>
      </c>
      <c r="J836" t="n">
        <v>58.7</v>
      </c>
      <c r="K836" t="n">
        <v>59.4</v>
      </c>
      <c r="L836" t="n">
        <v>56.6</v>
      </c>
      <c r="M836" t="n">
        <v>2362.719970703125</v>
      </c>
      <c r="O836" t="n">
        <v>0.004719310419164807</v>
      </c>
      <c r="P836" t="n">
        <v>0.01885278869645634</v>
      </c>
      <c r="Q836" t="n">
        <v>0.01901129394955658</v>
      </c>
    </row>
    <row r="837">
      <c r="A837" s="123" t="n">
        <v>42826</v>
      </c>
      <c r="B837" t="n">
        <v>57.1</v>
      </c>
      <c r="C837" t="n">
        <v>54.9</v>
      </c>
      <c r="D837" t="n">
        <v>56.9</v>
      </c>
      <c r="E837" t="n">
        <v>68.3</v>
      </c>
      <c r="F837" t="n">
        <v>58.9</v>
      </c>
      <c r="G837" t="n">
        <v>46.6</v>
      </c>
      <c r="H837" t="n">
        <v>51</v>
      </c>
      <c r="I837" t="n">
        <v>55.9</v>
      </c>
      <c r="J837" t="n">
        <v>53</v>
      </c>
      <c r="K837" t="n">
        <v>58.9</v>
      </c>
      <c r="L837" t="n">
        <v>55.5</v>
      </c>
      <c r="M837" t="n">
        <v>2384.199951171875</v>
      </c>
      <c r="N837" t="n">
        <v>17979.218</v>
      </c>
      <c r="O837" t="n">
        <v>0.005597648226707356</v>
      </c>
      <c r="P837" t="n">
        <v>0.02146716582907564</v>
      </c>
      <c r="Q837" t="n">
        <v>0.02257929746199983</v>
      </c>
      <c r="R837" t="n">
        <v>0.005037929813550076</v>
      </c>
      <c r="S837" t="n">
        <v>0.02030451578470238</v>
      </c>
      <c r="T837" t="n">
        <v>0.02046912858646235</v>
      </c>
    </row>
    <row r="838">
      <c r="A838" s="123" t="n">
        <v>42856</v>
      </c>
      <c r="B838" t="n">
        <v>60</v>
      </c>
      <c r="C838" t="n">
        <v>52.3</v>
      </c>
      <c r="D838" t="n">
        <v>54</v>
      </c>
      <c r="E838" t="n">
        <v>59.5</v>
      </c>
      <c r="F838" t="n">
        <v>57.5</v>
      </c>
      <c r="G838" t="n">
        <v>49.1</v>
      </c>
      <c r="H838" t="n">
        <v>51.5</v>
      </c>
      <c r="I838" t="n">
        <v>54.4</v>
      </c>
      <c r="J838" t="n">
        <v>53.3</v>
      </c>
      <c r="K838" t="n">
        <v>57.8</v>
      </c>
      <c r="L838" t="n">
        <v>56.7</v>
      </c>
      <c r="M838" t="n">
        <v>2411.800048828125</v>
      </c>
      <c r="O838" t="n">
        <v>0.005597648226707356</v>
      </c>
      <c r="P838" t="n">
        <v>0.02146716582907564</v>
      </c>
      <c r="Q838" t="n">
        <v>0.02257929746199983</v>
      </c>
    </row>
    <row r="839">
      <c r="A839" s="123" t="n">
        <v>42887</v>
      </c>
      <c r="B839" t="n">
        <v>61.3</v>
      </c>
      <c r="C839" t="n">
        <v>53.5</v>
      </c>
      <c r="D839" t="n">
        <v>56.5</v>
      </c>
      <c r="E839" t="n">
        <v>53</v>
      </c>
      <c r="F839" t="n">
        <v>60.9</v>
      </c>
      <c r="G839" t="n">
        <v>49.9</v>
      </c>
      <c r="H839" t="n">
        <v>49</v>
      </c>
      <c r="I839" t="n">
        <v>55.7</v>
      </c>
      <c r="J839" t="n">
        <v>56.3</v>
      </c>
      <c r="K839" t="n">
        <v>58.2</v>
      </c>
      <c r="L839" t="n">
        <v>56.5</v>
      </c>
      <c r="M839" t="n">
        <v>2423.409912109375</v>
      </c>
      <c r="O839" t="n">
        <v>0.005597648226707356</v>
      </c>
      <c r="P839" t="n">
        <v>0.02146716582907564</v>
      </c>
      <c r="Q839" t="n">
        <v>0.02257929746199983</v>
      </c>
    </row>
    <row r="840">
      <c r="A840" s="123" t="n">
        <v>42917</v>
      </c>
      <c r="B840" t="n">
        <v>61</v>
      </c>
      <c r="C840" t="n">
        <v>56.4</v>
      </c>
      <c r="D840" t="n">
        <v>54.3</v>
      </c>
      <c r="E840" t="n">
        <v>61.7</v>
      </c>
      <c r="F840" t="n">
        <v>60.4</v>
      </c>
      <c r="G840" t="n">
        <v>48</v>
      </c>
      <c r="H840" t="n">
        <v>50</v>
      </c>
      <c r="I840" t="n">
        <v>56</v>
      </c>
      <c r="J840" t="n">
        <v>55.8</v>
      </c>
      <c r="K840" t="n">
        <v>57.2</v>
      </c>
      <c r="L840" t="n">
        <v>59.3</v>
      </c>
      <c r="M840" t="n">
        <v>2470.300048828125</v>
      </c>
      <c r="N840" t="n">
        <v>18127.994</v>
      </c>
      <c r="O840" t="n">
        <v>0.007191499912039876</v>
      </c>
      <c r="P840" t="n">
        <v>0.02266564638337372</v>
      </c>
      <c r="Q840" t="n">
        <v>0.02907779605929184</v>
      </c>
      <c r="R840" t="n">
        <v>0.008274887150264155</v>
      </c>
      <c r="S840" t="n">
        <v>0.03351266228426941</v>
      </c>
      <c r="T840" t="n">
        <v>0.02276539538036879</v>
      </c>
    </row>
    <row r="841">
      <c r="A841" s="123" t="n">
        <v>42948</v>
      </c>
      <c r="B841" t="n">
        <v>61.8</v>
      </c>
      <c r="C841" t="n">
        <v>54.3</v>
      </c>
      <c r="D841" t="n">
        <v>56.5</v>
      </c>
      <c r="E841" t="n">
        <v>61.7</v>
      </c>
      <c r="F841" t="n">
        <v>62</v>
      </c>
      <c r="G841" t="n">
        <v>42.3</v>
      </c>
      <c r="H841" t="n">
        <v>55.5</v>
      </c>
      <c r="I841" t="n">
        <v>57.4</v>
      </c>
      <c r="J841" t="n">
        <v>59.8</v>
      </c>
      <c r="K841" t="n">
        <v>56.1</v>
      </c>
      <c r="L841" t="n">
        <v>60.2</v>
      </c>
      <c r="M841" t="n">
        <v>2471.64990234375</v>
      </c>
      <c r="O841" t="n">
        <v>0.007191499912039876</v>
      </c>
      <c r="P841" t="n">
        <v>0.02266564638337372</v>
      </c>
      <c r="Q841" t="n">
        <v>0.02907779605929184</v>
      </c>
    </row>
    <row r="842">
      <c r="A842" s="123" t="n">
        <v>42979</v>
      </c>
      <c r="B842" t="n">
        <v>64.40000000000001</v>
      </c>
      <c r="C842" t="n">
        <v>53.8</v>
      </c>
      <c r="D842" t="n">
        <v>56.9</v>
      </c>
      <c r="E842" t="n">
        <v>71.5</v>
      </c>
      <c r="F842" t="n">
        <v>61.9</v>
      </c>
      <c r="G842" t="n">
        <v>43</v>
      </c>
      <c r="H842" t="n">
        <v>52.5</v>
      </c>
      <c r="I842" t="n">
        <v>63.4</v>
      </c>
      <c r="J842" t="n">
        <v>58.7</v>
      </c>
      <c r="K842" t="n">
        <v>56.2</v>
      </c>
      <c r="L842" t="n">
        <v>58.5</v>
      </c>
      <c r="M842" t="n">
        <v>2519.360107421875</v>
      </c>
      <c r="O842" t="n">
        <v>0.007191499912039876</v>
      </c>
      <c r="P842" t="n">
        <v>0.02266564638337372</v>
      </c>
      <c r="Q842" t="n">
        <v>0.02907779605929184</v>
      </c>
    </row>
    <row r="843">
      <c r="A843" s="123"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18310.3</v>
      </c>
      <c r="O843" t="n">
        <v>0.009403998383337081</v>
      </c>
      <c r="P843" t="n">
        <v>0.02717885581859093</v>
      </c>
      <c r="Q843" t="n">
        <v>0.03814993904506303</v>
      </c>
      <c r="R843" t="n">
        <v>0.01005660085721567</v>
      </c>
      <c r="S843" t="n">
        <v>0.04083729328819619</v>
      </c>
      <c r="T843" t="n">
        <v>0.02794320412113688</v>
      </c>
    </row>
    <row r="844">
      <c r="A844" s="123" t="n">
        <v>43040</v>
      </c>
      <c r="B844" t="n">
        <v>63.9</v>
      </c>
      <c r="C844" t="n">
        <v>54.3</v>
      </c>
      <c r="D844" t="n">
        <v>54.3</v>
      </c>
      <c r="E844" t="n">
        <v>64.8</v>
      </c>
      <c r="F844" t="n">
        <v>64.3</v>
      </c>
      <c r="G844" t="n">
        <v>45.1</v>
      </c>
      <c r="H844" t="n">
        <v>47</v>
      </c>
      <c r="I844" t="n">
        <v>56.6</v>
      </c>
      <c r="J844" t="n">
        <v>59.2</v>
      </c>
      <c r="K844" t="n">
        <v>56.3</v>
      </c>
      <c r="L844" t="n">
        <v>59.3</v>
      </c>
      <c r="M844" t="n">
        <v>2647.580078125</v>
      </c>
      <c r="O844" t="n">
        <v>0.009403998383337081</v>
      </c>
      <c r="P844" t="n">
        <v>0.02717885581859093</v>
      </c>
      <c r="Q844" t="n">
        <v>0.03814993904506303</v>
      </c>
    </row>
    <row r="845">
      <c r="A845" s="123" t="n">
        <v>43070</v>
      </c>
      <c r="B845" t="n">
        <v>67.40000000000001</v>
      </c>
      <c r="C845" t="n">
        <v>56.5</v>
      </c>
      <c r="D845" t="n">
        <v>54.9</v>
      </c>
      <c r="E845" t="n">
        <v>68.3</v>
      </c>
      <c r="F845" t="n">
        <v>65.2</v>
      </c>
      <c r="G845" t="n">
        <v>42.9</v>
      </c>
      <c r="H845" t="n">
        <v>48.5</v>
      </c>
      <c r="I845" t="n">
        <v>57.2</v>
      </c>
      <c r="J845" t="n">
        <v>58.1</v>
      </c>
      <c r="K845" t="n">
        <v>57.6</v>
      </c>
      <c r="L845" t="n">
        <v>59.1</v>
      </c>
      <c r="M845" t="n">
        <v>2673.610107421875</v>
      </c>
      <c r="O845" t="n">
        <v>0.009403998383337081</v>
      </c>
      <c r="P845" t="n">
        <v>0.02717885581859093</v>
      </c>
      <c r="Q845" t="n">
        <v>0.03814993904506303</v>
      </c>
    </row>
    <row r="846">
      <c r="A846" s="123"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18437.127</v>
      </c>
      <c r="O846" t="n">
        <v>0.007628540361272956</v>
      </c>
      <c r="P846" t="n">
        <v>0.03015311883141301</v>
      </c>
      <c r="Q846" t="n">
        <v>0.03086510836024359</v>
      </c>
      <c r="R846" t="n">
        <v>0.006926538614878027</v>
      </c>
      <c r="S846" t="n">
        <v>0.027995347640831</v>
      </c>
      <c r="T846" t="n">
        <v>0.03063503383681697</v>
      </c>
    </row>
    <row r="847">
      <c r="A847" s="123" t="n">
        <v>43132</v>
      </c>
      <c r="B847" t="n">
        <v>64.2</v>
      </c>
      <c r="C847" t="n">
        <v>60.5</v>
      </c>
      <c r="D847" t="n">
        <v>59.8</v>
      </c>
      <c r="E847" t="n">
        <v>74.2</v>
      </c>
      <c r="F847" t="n">
        <v>62</v>
      </c>
      <c r="G847" t="n">
        <v>43.7</v>
      </c>
      <c r="H847" t="n">
        <v>56.7</v>
      </c>
      <c r="I847" t="n">
        <v>61.1</v>
      </c>
      <c r="J847" t="n">
        <v>59.7</v>
      </c>
      <c r="K847" t="n">
        <v>62.8</v>
      </c>
      <c r="L847" t="n">
        <v>59.3</v>
      </c>
      <c r="M847" t="n">
        <v>2713.830078125</v>
      </c>
      <c r="O847" t="n">
        <v>0.007628540361272956</v>
      </c>
      <c r="P847" t="n">
        <v>0.03015311883141301</v>
      </c>
      <c r="Q847" t="n">
        <v>0.03086510836024359</v>
      </c>
    </row>
    <row r="848">
      <c r="A848" s="123" t="n">
        <v>43160</v>
      </c>
      <c r="B848" t="n">
        <v>61.9</v>
      </c>
      <c r="C848" t="n">
        <v>59.7</v>
      </c>
      <c r="D848" t="n">
        <v>59.8</v>
      </c>
      <c r="E848" t="n">
        <v>78.09999999999999</v>
      </c>
      <c r="F848" t="n">
        <v>61</v>
      </c>
      <c r="G848" t="n">
        <v>42</v>
      </c>
      <c r="H848" t="n">
        <v>55.5</v>
      </c>
      <c r="I848" t="n">
        <v>60.6</v>
      </c>
      <c r="J848" t="n">
        <v>57.3</v>
      </c>
      <c r="K848" t="n">
        <v>58.7</v>
      </c>
      <c r="L848" t="n">
        <v>57.3</v>
      </c>
      <c r="M848" t="n">
        <v>2640.8701171875</v>
      </c>
      <c r="O848" t="n">
        <v>0.007628540361272956</v>
      </c>
      <c r="P848" t="n">
        <v>0.03015311883141301</v>
      </c>
      <c r="Q848" t="n">
        <v>0.03086510836024359</v>
      </c>
    </row>
    <row r="849">
      <c r="A849" s="123" t="n">
        <v>43191</v>
      </c>
      <c r="B849" t="n">
        <v>61.2</v>
      </c>
      <c r="C849" t="n">
        <v>57.8</v>
      </c>
      <c r="D849" t="n">
        <v>62</v>
      </c>
      <c r="E849" t="n">
        <v>79.3</v>
      </c>
      <c r="F849" t="n">
        <v>57.2</v>
      </c>
      <c r="G849" t="n">
        <v>44.3</v>
      </c>
      <c r="H849" t="n">
        <v>52.9</v>
      </c>
      <c r="I849" t="n">
        <v>61.1</v>
      </c>
      <c r="J849" t="n">
        <v>54.2</v>
      </c>
      <c r="K849" t="n">
        <v>57.7</v>
      </c>
      <c r="L849" t="n">
        <v>57.3</v>
      </c>
      <c r="M849" t="n">
        <v>2648.050048828125</v>
      </c>
      <c r="N849" t="n">
        <v>18565.697</v>
      </c>
      <c r="O849" t="n">
        <v>0.008339109088382559</v>
      </c>
      <c r="P849" t="n">
        <v>0.03296152283055629</v>
      </c>
      <c r="Q849" t="n">
        <v>0.03377600526305358</v>
      </c>
      <c r="R849" t="n">
        <v>0.006973429211611966</v>
      </c>
      <c r="S849" t="n">
        <v>0.02818684793662185</v>
      </c>
      <c r="T849" t="n">
        <v>0.03261982807038656</v>
      </c>
    </row>
    <row r="850">
      <c r="A850" s="123" t="n">
        <v>43221</v>
      </c>
      <c r="B850" t="n">
        <v>63.7</v>
      </c>
      <c r="C850" t="n">
        <v>54.1</v>
      </c>
      <c r="D850" t="n">
        <v>63.5</v>
      </c>
      <c r="E850" t="n">
        <v>79.5</v>
      </c>
      <c r="F850" t="n">
        <v>61.5</v>
      </c>
      <c r="G850" t="n">
        <v>39.6</v>
      </c>
      <c r="H850" t="n">
        <v>50.2</v>
      </c>
      <c r="I850" t="n">
        <v>62</v>
      </c>
      <c r="J850" t="n">
        <v>56.3</v>
      </c>
      <c r="K850" t="n">
        <v>55.6</v>
      </c>
      <c r="L850" t="n">
        <v>58.7</v>
      </c>
      <c r="M850" t="n">
        <v>2705.27001953125</v>
      </c>
      <c r="O850" t="n">
        <v>0.008339109088382559</v>
      </c>
      <c r="P850" t="n">
        <v>0.03296152283055629</v>
      </c>
      <c r="Q850" t="n">
        <v>0.03377600526305358</v>
      </c>
    </row>
    <row r="851">
      <c r="A851" s="123" t="n">
        <v>43252</v>
      </c>
      <c r="B851" t="n">
        <v>63.5</v>
      </c>
      <c r="C851" t="n">
        <v>59</v>
      </c>
      <c r="D851" t="n">
        <v>60.1</v>
      </c>
      <c r="E851" t="n">
        <v>76.8</v>
      </c>
      <c r="F851" t="n">
        <v>62.3</v>
      </c>
      <c r="G851" t="n">
        <v>39.7</v>
      </c>
      <c r="H851" t="n">
        <v>50.8</v>
      </c>
      <c r="I851" t="n">
        <v>68.2</v>
      </c>
      <c r="J851" t="n">
        <v>56</v>
      </c>
      <c r="K851" t="n">
        <v>56.3</v>
      </c>
      <c r="L851" t="n">
        <v>60.2</v>
      </c>
      <c r="M851" t="n">
        <v>2718.3701171875</v>
      </c>
      <c r="O851" t="n">
        <v>0.008339109088382559</v>
      </c>
      <c r="P851" t="n">
        <v>0.03296152283055629</v>
      </c>
      <c r="Q851" t="n">
        <v>0.03377600526305358</v>
      </c>
    </row>
    <row r="852">
      <c r="A852" s="123" t="n">
        <v>43282</v>
      </c>
      <c r="B852" t="n">
        <v>60.2</v>
      </c>
      <c r="C852" t="n">
        <v>54.7</v>
      </c>
      <c r="D852" t="n">
        <v>54.7</v>
      </c>
      <c r="E852" t="n">
        <v>73.2</v>
      </c>
      <c r="F852" t="n">
        <v>58.5</v>
      </c>
      <c r="G852" t="n">
        <v>39.4</v>
      </c>
      <c r="H852" t="n">
        <v>53.3</v>
      </c>
      <c r="I852" t="n">
        <v>62.1</v>
      </c>
      <c r="J852" t="n">
        <v>56.5</v>
      </c>
      <c r="K852" t="n">
        <v>55.3</v>
      </c>
      <c r="L852" t="n">
        <v>58.1</v>
      </c>
      <c r="M852" t="n">
        <v>2816.2900390625</v>
      </c>
      <c r="N852" t="n">
        <v>18699.748</v>
      </c>
      <c r="O852" t="n">
        <v>0.004819525590204151</v>
      </c>
      <c r="P852" t="n">
        <v>0.03052885912379111</v>
      </c>
      <c r="Q852" t="n">
        <v>0.01941791765026113</v>
      </c>
      <c r="R852" t="n">
        <v>0.007220359138684612</v>
      </c>
      <c r="S852" t="n">
        <v>0.02919574648205758</v>
      </c>
      <c r="T852" t="n">
        <v>0.03153983832960232</v>
      </c>
    </row>
    <row r="853">
      <c r="A853" s="123"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O853" t="n">
        <v>0.004819525590204151</v>
      </c>
      <c r="P853" t="n">
        <v>0.03052885912379111</v>
      </c>
      <c r="Q853" t="n">
        <v>0.01941791765026113</v>
      </c>
    </row>
    <row r="854">
      <c r="A854" s="123" t="n">
        <v>43344</v>
      </c>
      <c r="B854" t="n">
        <v>61.8</v>
      </c>
      <c r="C854" t="n">
        <v>54.5</v>
      </c>
      <c r="D854" t="n">
        <v>55.7</v>
      </c>
      <c r="E854" t="n">
        <v>66.90000000000001</v>
      </c>
      <c r="F854" t="n">
        <v>63.9</v>
      </c>
      <c r="G854" t="n">
        <v>40.5</v>
      </c>
      <c r="H854" t="n">
        <v>53.3</v>
      </c>
      <c r="I854" t="n">
        <v>61.1</v>
      </c>
      <c r="J854" t="n">
        <v>58.8</v>
      </c>
      <c r="K854" t="n">
        <v>56</v>
      </c>
      <c r="L854" t="n">
        <v>59.8</v>
      </c>
      <c r="M854" t="n">
        <v>2913.97998046875</v>
      </c>
      <c r="O854" t="n">
        <v>0.004819525590204151</v>
      </c>
      <c r="P854" t="n">
        <v>0.03052885912379111</v>
      </c>
      <c r="Q854" t="n">
        <v>0.01941791765026113</v>
      </c>
    </row>
    <row r="855">
      <c r="A855" s="123"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18733.741</v>
      </c>
      <c r="O855" t="n">
        <v>0.002231418351111322</v>
      </c>
      <c r="P855" t="n">
        <v>0.02320617095391857</v>
      </c>
      <c r="Q855" t="n">
        <v>0.008955593239346138</v>
      </c>
      <c r="R855" t="n">
        <v>0.001817831983618293</v>
      </c>
      <c r="S855" t="n">
        <v>0.007291179052316021</v>
      </c>
      <c r="T855" t="n">
        <v>0.02312583627794206</v>
      </c>
    </row>
    <row r="856">
      <c r="A856" s="123" t="n">
        <v>43405</v>
      </c>
      <c r="B856" t="n">
        <v>62.1</v>
      </c>
      <c r="C856" t="n">
        <v>53.6</v>
      </c>
      <c r="D856" t="n">
        <v>56.4</v>
      </c>
      <c r="E856" t="n">
        <v>60.7</v>
      </c>
      <c r="F856" t="n">
        <v>60.6</v>
      </c>
      <c r="G856" t="n">
        <v>41.5</v>
      </c>
      <c r="H856" t="n">
        <v>52.9</v>
      </c>
      <c r="I856" t="n">
        <v>62.5</v>
      </c>
      <c r="J856" t="n">
        <v>58.4</v>
      </c>
      <c r="K856" t="n">
        <v>52.2</v>
      </c>
      <c r="L856" t="n">
        <v>59.3</v>
      </c>
      <c r="M856" t="n">
        <v>2760.169921875</v>
      </c>
      <c r="O856" t="n">
        <v>0.002231418351111322</v>
      </c>
      <c r="P856" t="n">
        <v>0.02320617095391857</v>
      </c>
      <c r="Q856" t="n">
        <v>0.008955593239346138</v>
      </c>
    </row>
    <row r="857">
      <c r="A857" s="123" t="n">
        <v>43435</v>
      </c>
      <c r="B857" t="n">
        <v>51.1</v>
      </c>
      <c r="C857" t="n">
        <v>52.7</v>
      </c>
      <c r="D857" t="n">
        <v>50</v>
      </c>
      <c r="E857" t="n">
        <v>54.9</v>
      </c>
      <c r="F857" t="n">
        <v>54.3</v>
      </c>
      <c r="G857" t="n">
        <v>41.7</v>
      </c>
      <c r="H857" t="n">
        <v>51.2</v>
      </c>
      <c r="I857" t="n">
        <v>59</v>
      </c>
      <c r="J857" t="n">
        <v>56</v>
      </c>
      <c r="K857" t="n">
        <v>52.8</v>
      </c>
      <c r="L857" t="n">
        <v>54.3</v>
      </c>
      <c r="M857" t="n">
        <v>2506.85009765625</v>
      </c>
      <c r="O857" t="n">
        <v>0.002231418351111322</v>
      </c>
      <c r="P857" t="n">
        <v>0.02320617095391857</v>
      </c>
      <c r="Q857" t="n">
        <v>0.008955593239346138</v>
      </c>
    </row>
    <row r="858">
      <c r="A858" s="123" t="n">
        <v>43466</v>
      </c>
      <c r="B858" t="n">
        <v>58.2</v>
      </c>
      <c r="C858" t="n">
        <v>53.8</v>
      </c>
      <c r="D858" t="n">
        <v>50.3</v>
      </c>
      <c r="E858" t="n">
        <v>49.6</v>
      </c>
      <c r="F858" t="n">
        <v>60.5</v>
      </c>
      <c r="G858" t="n">
        <v>42.8</v>
      </c>
      <c r="H858" t="n">
        <v>52.8</v>
      </c>
      <c r="I858" t="n">
        <v>56.2</v>
      </c>
      <c r="J858" t="n">
        <v>55.5</v>
      </c>
      <c r="K858" t="n">
        <v>51.8</v>
      </c>
      <c r="L858" t="n">
        <v>56.6</v>
      </c>
      <c r="M858" t="n">
        <v>2704.10009765625</v>
      </c>
      <c r="N858" t="n">
        <v>18835.411</v>
      </c>
      <c r="O858" t="n">
        <v>0.005977902900982079</v>
      </c>
      <c r="P858" t="n">
        <v>0.0215300151408133</v>
      </c>
      <c r="Q858" t="n">
        <v>0.02412687930866952</v>
      </c>
      <c r="R858" t="n">
        <v>0.005427106096961533</v>
      </c>
      <c r="S858" t="n">
        <v>0.02188578552753584</v>
      </c>
      <c r="T858" t="n">
        <v>0.02160228109292731</v>
      </c>
    </row>
    <row r="859">
      <c r="A859" s="123" t="n">
        <v>43497</v>
      </c>
      <c r="B859" t="n">
        <v>55.5</v>
      </c>
      <c r="C859" t="n">
        <v>55.3</v>
      </c>
      <c r="D859" t="n">
        <v>52.3</v>
      </c>
      <c r="E859" t="n">
        <v>49.4</v>
      </c>
      <c r="F859" t="n">
        <v>54.8</v>
      </c>
      <c r="G859" t="n">
        <v>39</v>
      </c>
      <c r="H859" t="n">
        <v>53.4</v>
      </c>
      <c r="I859" t="n">
        <v>54.9</v>
      </c>
      <c r="J859" t="n">
        <v>52.3</v>
      </c>
      <c r="K859" t="n">
        <v>52.8</v>
      </c>
      <c r="L859" t="n">
        <v>54.2</v>
      </c>
      <c r="M859" t="n">
        <v>2784.489990234375</v>
      </c>
      <c r="O859" t="n">
        <v>0.005977902900982079</v>
      </c>
      <c r="P859" t="n">
        <v>0.0215300151408133</v>
      </c>
      <c r="Q859" t="n">
        <v>0.02412687930866952</v>
      </c>
    </row>
    <row r="860">
      <c r="A860" s="123" t="n">
        <v>43525</v>
      </c>
      <c r="B860" t="n">
        <v>57.4</v>
      </c>
      <c r="C860" t="n">
        <v>51.1</v>
      </c>
      <c r="D860" t="n">
        <v>50.4</v>
      </c>
      <c r="E860" t="n">
        <v>54.3</v>
      </c>
      <c r="F860" t="n">
        <v>55.8</v>
      </c>
      <c r="G860" t="n">
        <v>42.7</v>
      </c>
      <c r="H860" t="n">
        <v>51.8</v>
      </c>
      <c r="I860" t="n">
        <v>54.2</v>
      </c>
      <c r="J860" t="n">
        <v>57.5</v>
      </c>
      <c r="K860" t="n">
        <v>51.7</v>
      </c>
      <c r="L860" t="n">
        <v>55.3</v>
      </c>
      <c r="M860" t="n">
        <v>2834.39990234375</v>
      </c>
      <c r="O860" t="n">
        <v>0.005977902900982079</v>
      </c>
      <c r="P860" t="n">
        <v>0.0215300151408133</v>
      </c>
      <c r="Q860" t="n">
        <v>0.02412687930866952</v>
      </c>
    </row>
    <row r="861">
      <c r="A861" s="123" t="n">
        <v>43556</v>
      </c>
      <c r="B861" t="n">
        <v>51.7</v>
      </c>
      <c r="C861" t="n">
        <v>49.8</v>
      </c>
      <c r="D861" t="n">
        <v>53.9</v>
      </c>
      <c r="E861" t="n">
        <v>50</v>
      </c>
      <c r="F861" t="n">
        <v>52.3</v>
      </c>
      <c r="G861" t="n">
        <v>42.6</v>
      </c>
      <c r="H861" t="n">
        <v>52.9</v>
      </c>
      <c r="I861" t="n">
        <v>54.6</v>
      </c>
      <c r="J861" t="n">
        <v>52.4</v>
      </c>
      <c r="K861" t="n">
        <v>49.5</v>
      </c>
      <c r="L861" t="n">
        <v>52.8</v>
      </c>
      <c r="M861" t="n">
        <v>2945.830078125</v>
      </c>
      <c r="N861" t="n">
        <v>18962.175</v>
      </c>
      <c r="O861" t="n">
        <v>0.007929244082058234</v>
      </c>
      <c r="P861" t="n">
        <v>0.02111478835615084</v>
      </c>
      <c r="Q861" t="n">
        <v>0.03209621189016532</v>
      </c>
      <c r="R861" t="n">
        <v>0.006730089404473266</v>
      </c>
      <c r="S861" t="n">
        <v>0.02719334362326342</v>
      </c>
      <c r="T861" t="n">
        <v>0.02135540615577208</v>
      </c>
    </row>
    <row r="862">
      <c r="A862" s="123" t="n">
        <v>43586</v>
      </c>
      <c r="B862" t="n">
        <v>52.7</v>
      </c>
      <c r="C862" t="n">
        <v>49.4</v>
      </c>
      <c r="D862" t="n">
        <v>47.2</v>
      </c>
      <c r="E862" t="n">
        <v>53.2</v>
      </c>
      <c r="F862" t="n">
        <v>51.3</v>
      </c>
      <c r="G862" t="n">
        <v>43.7</v>
      </c>
      <c r="H862" t="n">
        <v>50.9</v>
      </c>
      <c r="I862" t="n">
        <v>52</v>
      </c>
      <c r="J862" t="n">
        <v>53.7</v>
      </c>
      <c r="K862" t="n">
        <v>51</v>
      </c>
      <c r="L862" t="n">
        <v>52.1</v>
      </c>
      <c r="M862" t="n">
        <v>2752.06005859375</v>
      </c>
      <c r="O862" t="n">
        <v>0.007929244082058234</v>
      </c>
      <c r="P862" t="n">
        <v>0.02111478835615084</v>
      </c>
      <c r="Q862" t="n">
        <v>0.03209621189016532</v>
      </c>
    </row>
    <row r="863">
      <c r="A863" s="123" t="n">
        <v>43617</v>
      </c>
      <c r="B863" t="n">
        <v>50</v>
      </c>
      <c r="C863" t="n">
        <v>50</v>
      </c>
      <c r="D863" t="n">
        <v>47.4</v>
      </c>
      <c r="E863" t="n">
        <v>47.9</v>
      </c>
      <c r="F863" t="n">
        <v>54.1</v>
      </c>
      <c r="G863" t="n">
        <v>44.6</v>
      </c>
      <c r="H863" t="n">
        <v>49.1</v>
      </c>
      <c r="I863" t="n">
        <v>50.7</v>
      </c>
      <c r="J863" t="n">
        <v>54.5</v>
      </c>
      <c r="K863" t="n">
        <v>50.5</v>
      </c>
      <c r="L863" t="n">
        <v>51.7</v>
      </c>
      <c r="M863" t="n">
        <v>2941.760009765625</v>
      </c>
      <c r="O863" t="n">
        <v>0.007929244082058234</v>
      </c>
      <c r="P863" t="n">
        <v>0.02111478835615084</v>
      </c>
      <c r="Q863" t="n">
        <v>0.03209621189016532</v>
      </c>
    </row>
    <row r="864">
      <c r="A864" s="123" t="n">
        <v>43647</v>
      </c>
      <c r="B864" t="n">
        <v>50.8</v>
      </c>
      <c r="C864" t="n">
        <v>47</v>
      </c>
      <c r="D864" t="n">
        <v>43.1</v>
      </c>
      <c r="E864" t="n">
        <v>45.1</v>
      </c>
      <c r="F864" t="n">
        <v>50.8</v>
      </c>
      <c r="G864" t="n">
        <v>45.7</v>
      </c>
      <c r="H864" t="n">
        <v>49.5</v>
      </c>
      <c r="I864" t="n">
        <v>53.3</v>
      </c>
      <c r="J864" t="n">
        <v>51.7</v>
      </c>
      <c r="K864" t="n">
        <v>48.1</v>
      </c>
      <c r="L864" t="n">
        <v>51.2</v>
      </c>
      <c r="M864" t="n">
        <v>2980.3798828125</v>
      </c>
      <c r="N864" t="n">
        <v>19130.932</v>
      </c>
      <c r="O864" t="n">
        <v>0.006854987913095664</v>
      </c>
      <c r="P864" t="n">
        <v>0.02318325998325768</v>
      </c>
      <c r="Q864" t="n">
        <v>0.02770318750334555</v>
      </c>
      <c r="R864" t="n">
        <v>0.008899664727279514</v>
      </c>
      <c r="S864" t="n">
        <v>0.03607670893327297</v>
      </c>
      <c r="T864" t="n">
        <v>0.02305827864632192</v>
      </c>
    </row>
    <row r="865">
      <c r="A865" s="123" t="n">
        <v>43678</v>
      </c>
      <c r="B865" t="n">
        <v>47.2</v>
      </c>
      <c r="C865" t="n">
        <v>46</v>
      </c>
      <c r="D865" t="n">
        <v>46.3</v>
      </c>
      <c r="E865" t="n">
        <v>46</v>
      </c>
      <c r="F865" t="n">
        <v>49.5</v>
      </c>
      <c r="G865" t="n">
        <v>44.9</v>
      </c>
      <c r="H865" t="n">
        <v>49.9</v>
      </c>
      <c r="I865" t="n">
        <v>51.4</v>
      </c>
      <c r="J865" t="n">
        <v>47.4</v>
      </c>
      <c r="K865" t="n">
        <v>43.3</v>
      </c>
      <c r="L865" t="n">
        <v>49.1</v>
      </c>
      <c r="M865" t="n">
        <v>2926.4599609375</v>
      </c>
      <c r="O865" t="n">
        <v>0.006854987913095664</v>
      </c>
      <c r="P865" t="n">
        <v>0.02318325998325768</v>
      </c>
      <c r="Q865" t="n">
        <v>0.02770318750334555</v>
      </c>
    </row>
    <row r="866">
      <c r="A866" s="123" t="n">
        <v>43709</v>
      </c>
      <c r="B866" t="n">
        <v>47.3</v>
      </c>
      <c r="C866" t="n">
        <v>48.1</v>
      </c>
      <c r="D866" t="n">
        <v>45.1</v>
      </c>
      <c r="E866" t="n">
        <v>49.7</v>
      </c>
      <c r="F866" t="n">
        <v>47.3</v>
      </c>
      <c r="G866" t="n">
        <v>45.5</v>
      </c>
      <c r="H866" t="n">
        <v>46.9</v>
      </c>
      <c r="I866" t="n">
        <v>51.1</v>
      </c>
      <c r="J866" t="n">
        <v>46.3</v>
      </c>
      <c r="K866" t="n">
        <v>41</v>
      </c>
      <c r="L866" t="n">
        <v>47.8</v>
      </c>
      <c r="M866" t="n">
        <v>2976.739990234375</v>
      </c>
      <c r="O866" t="n">
        <v>0.006854987913095664</v>
      </c>
      <c r="P866" t="n">
        <v>0.02318325998325768</v>
      </c>
      <c r="Q866" t="n">
        <v>0.02770318750334555</v>
      </c>
    </row>
    <row r="867">
      <c r="A867" s="123" t="n">
        <v>43739</v>
      </c>
      <c r="B867" t="n">
        <v>49.1</v>
      </c>
      <c r="C867" t="n">
        <v>45.3</v>
      </c>
      <c r="D867" t="n">
        <v>44.1</v>
      </c>
      <c r="E867" t="n">
        <v>45.5</v>
      </c>
      <c r="F867" t="n">
        <v>46.2</v>
      </c>
      <c r="G867" t="n">
        <v>47.8</v>
      </c>
      <c r="H867" t="n">
        <v>48.9</v>
      </c>
      <c r="I867" t="n">
        <v>49.5</v>
      </c>
      <c r="J867" t="n">
        <v>47.7</v>
      </c>
      <c r="K867" t="n">
        <v>50.4</v>
      </c>
      <c r="L867" t="n">
        <v>48.3</v>
      </c>
      <c r="M867" t="n">
        <v>3037.56005859375</v>
      </c>
      <c r="N867" t="n">
        <v>19215.691</v>
      </c>
      <c r="O867" t="n">
        <v>0.004690976182113644</v>
      </c>
      <c r="P867" t="n">
        <v>0.02569423534639549</v>
      </c>
      <c r="Q867" t="n">
        <v>0.01889634966248899</v>
      </c>
      <c r="R867" t="n">
        <v>0.004430468938993573</v>
      </c>
      <c r="S867" t="n">
        <v>0.01783999833506456</v>
      </c>
      <c r="T867" t="n">
        <v>0.02572630848264621</v>
      </c>
    </row>
    <row r="868">
      <c r="A868" s="123" t="n">
        <v>43770</v>
      </c>
      <c r="B868" t="n">
        <v>47.2</v>
      </c>
      <c r="C868" t="n">
        <v>48.3</v>
      </c>
      <c r="D868" t="n">
        <v>43</v>
      </c>
      <c r="E868" t="n">
        <v>46.7</v>
      </c>
      <c r="F868" t="n">
        <v>49.1</v>
      </c>
      <c r="G868" t="n">
        <v>45</v>
      </c>
      <c r="H868" t="n">
        <v>45.5</v>
      </c>
      <c r="I868" t="n">
        <v>52</v>
      </c>
      <c r="J868" t="n">
        <v>46.6</v>
      </c>
      <c r="K868" t="n">
        <v>47.9</v>
      </c>
      <c r="L868" t="n">
        <v>48.1</v>
      </c>
      <c r="M868" t="n">
        <v>3140.97998046875</v>
      </c>
      <c r="O868" t="n">
        <v>0.004690976182113644</v>
      </c>
      <c r="P868" t="n">
        <v>0.02569423534639549</v>
      </c>
      <c r="Q868" t="n">
        <v>0.01889634966248899</v>
      </c>
    </row>
    <row r="869">
      <c r="A869" s="123" t="n">
        <v>43800</v>
      </c>
      <c r="B869" t="n">
        <v>47.6</v>
      </c>
      <c r="C869" t="n">
        <v>48.8</v>
      </c>
      <c r="D869" t="n">
        <v>43.3</v>
      </c>
      <c r="E869" t="n">
        <v>51.7</v>
      </c>
      <c r="F869" t="n">
        <v>44.8</v>
      </c>
      <c r="G869" t="n">
        <v>41.1</v>
      </c>
      <c r="H869" t="n">
        <v>49.2</v>
      </c>
      <c r="I869" t="n">
        <v>54.6</v>
      </c>
      <c r="J869" t="n">
        <v>45.2</v>
      </c>
      <c r="K869" t="n">
        <v>47.3</v>
      </c>
      <c r="L869" t="n">
        <v>47.8</v>
      </c>
      <c r="M869" t="n">
        <v>3230.780029296875</v>
      </c>
      <c r="O869" t="n">
        <v>0.004690976182113644</v>
      </c>
      <c r="P869" t="n">
        <v>0.02569423534639549</v>
      </c>
      <c r="Q869" t="n">
        <v>0.01889634966248899</v>
      </c>
    </row>
    <row r="870">
      <c r="A870" s="123" t="n">
        <v>43831</v>
      </c>
      <c r="B870" t="n">
        <v>52</v>
      </c>
      <c r="C870" t="n">
        <v>51.3</v>
      </c>
      <c r="D870" t="n">
        <v>45.7</v>
      </c>
      <c r="E870" t="n">
        <v>53.3</v>
      </c>
      <c r="F870" t="n">
        <v>54.3</v>
      </c>
      <c r="G870" t="n">
        <v>43.8</v>
      </c>
      <c r="H870" t="n">
        <v>48.8</v>
      </c>
      <c r="I870" t="n">
        <v>52.9</v>
      </c>
      <c r="J870" t="n">
        <v>46.6</v>
      </c>
      <c r="K870" t="n">
        <v>53.3</v>
      </c>
      <c r="L870" t="n">
        <v>50.9</v>
      </c>
      <c r="M870" t="n">
        <v>3225.52001953125</v>
      </c>
      <c r="N870" t="n">
        <v>18989.877</v>
      </c>
      <c r="O870" t="n">
        <v>-0.01303582746034216</v>
      </c>
      <c r="P870" t="n">
        <v>0.006307851641742077</v>
      </c>
      <c r="Q870" t="n">
        <v>-0.05113254503727427</v>
      </c>
      <c r="R870" t="n">
        <v>-0.01175154200803908</v>
      </c>
      <c r="S870" t="n">
        <v>-0.04618404801605125</v>
      </c>
      <c r="T870" t="n">
        <v>0.008200829809341583</v>
      </c>
    </row>
    <row r="871">
      <c r="A871" s="123" t="n">
        <v>43862</v>
      </c>
      <c r="B871" t="n">
        <v>49.8</v>
      </c>
      <c r="C871" t="n">
        <v>42.6</v>
      </c>
      <c r="D871" t="n">
        <v>50.3</v>
      </c>
      <c r="E871" t="n">
        <v>45.9</v>
      </c>
      <c r="F871" t="n">
        <v>50.3</v>
      </c>
      <c r="G871" t="n">
        <v>41.8</v>
      </c>
      <c r="H871" t="n">
        <v>46.5</v>
      </c>
      <c r="I871" t="n">
        <v>57.3</v>
      </c>
      <c r="J871" t="n">
        <v>46.9</v>
      </c>
      <c r="K871" t="n">
        <v>51.2</v>
      </c>
      <c r="L871" t="n">
        <v>50.1</v>
      </c>
      <c r="M871" t="n">
        <v>2954.219970703125</v>
      </c>
      <c r="O871" t="n">
        <v>-0.01303582746034216</v>
      </c>
      <c r="P871" t="n">
        <v>0.006307851641742077</v>
      </c>
      <c r="Q871" t="n">
        <v>-0.05113254503727427</v>
      </c>
    </row>
    <row r="872">
      <c r="A872" s="123" t="n">
        <v>43891</v>
      </c>
      <c r="B872" t="n">
        <v>42.2</v>
      </c>
      <c r="C872" t="n">
        <v>42.1</v>
      </c>
      <c r="D872" t="n">
        <v>45.9</v>
      </c>
      <c r="E872" t="n">
        <v>37.4</v>
      </c>
      <c r="F872" t="n">
        <v>47.7</v>
      </c>
      <c r="G872" t="n">
        <v>43.4</v>
      </c>
      <c r="H872" t="n">
        <v>46.9</v>
      </c>
      <c r="I872" t="n">
        <v>65</v>
      </c>
      <c r="J872" t="n">
        <v>43.8</v>
      </c>
      <c r="K872" t="n">
        <v>46.6</v>
      </c>
      <c r="L872" t="n">
        <v>49.1</v>
      </c>
      <c r="M872" t="n">
        <v>2584.590087890625</v>
      </c>
      <c r="O872" t="n">
        <v>-0.01303582746034216</v>
      </c>
      <c r="P872" t="n">
        <v>0.006307851641742077</v>
      </c>
      <c r="Q872" t="n">
        <v>-0.05113254503727427</v>
      </c>
    </row>
    <row r="873">
      <c r="A873" s="123" t="n">
        <v>43922</v>
      </c>
      <c r="B873" t="n">
        <v>27.1</v>
      </c>
      <c r="C873" t="n">
        <v>42.7</v>
      </c>
      <c r="D873" t="n">
        <v>37.8</v>
      </c>
      <c r="E873" t="n">
        <v>35.3</v>
      </c>
      <c r="F873" t="n">
        <v>27.5</v>
      </c>
      <c r="G873" t="n">
        <v>48.8</v>
      </c>
      <c r="H873" t="n">
        <v>49.7</v>
      </c>
      <c r="I873" t="n">
        <v>76</v>
      </c>
      <c r="J873" t="n">
        <v>27.5</v>
      </c>
      <c r="K873" t="n">
        <v>35.3</v>
      </c>
      <c r="L873" t="n">
        <v>41.5</v>
      </c>
      <c r="M873" t="n">
        <v>2912.429931640625</v>
      </c>
      <c r="N873" t="n">
        <v>17378.712</v>
      </c>
      <c r="O873" t="n">
        <v>-0.08937250501161022</v>
      </c>
      <c r="P873" t="n">
        <v>-0.09083737424225038</v>
      </c>
      <c r="Q873" t="n">
        <v>-0.3123569846108508</v>
      </c>
      <c r="R873" t="n">
        <v>-0.08484336154467988</v>
      </c>
      <c r="S873" t="n">
        <v>-0.2985741977414337</v>
      </c>
      <c r="T873" t="n">
        <v>-0.08350640155994762</v>
      </c>
    </row>
    <row r="874">
      <c r="A874" s="123" t="n">
        <v>43952</v>
      </c>
      <c r="B874" t="n">
        <v>31.8</v>
      </c>
      <c r="C874" t="n">
        <v>41.3</v>
      </c>
      <c r="D874" t="n">
        <v>38.2</v>
      </c>
      <c r="E874" t="n">
        <v>40.8</v>
      </c>
      <c r="F874" t="n">
        <v>33.2</v>
      </c>
      <c r="G874" t="n">
        <v>46.2</v>
      </c>
      <c r="H874" t="n">
        <v>50.4</v>
      </c>
      <c r="I874" t="n">
        <v>68</v>
      </c>
      <c r="J874" t="n">
        <v>32.1</v>
      </c>
      <c r="K874" t="n">
        <v>39.5</v>
      </c>
      <c r="L874" t="n">
        <v>43.1</v>
      </c>
      <c r="M874" t="n">
        <v>3044.31005859375</v>
      </c>
      <c r="O874" t="n">
        <v>-0.08937250501161022</v>
      </c>
      <c r="P874" t="n">
        <v>-0.09083737424225038</v>
      </c>
      <c r="Q874" t="n">
        <v>-0.3123569846108508</v>
      </c>
    </row>
    <row r="875">
      <c r="A875" s="123" t="n">
        <v>43983</v>
      </c>
      <c r="B875" t="n">
        <v>56.4</v>
      </c>
      <c r="C875" t="n">
        <v>48.8</v>
      </c>
      <c r="D875" t="n">
        <v>45.3</v>
      </c>
      <c r="E875" t="n">
        <v>51.3</v>
      </c>
      <c r="F875" t="n">
        <v>57.3</v>
      </c>
      <c r="G875" t="n">
        <v>44.6</v>
      </c>
      <c r="H875" t="n">
        <v>50.5</v>
      </c>
      <c r="I875" t="n">
        <v>56.9</v>
      </c>
      <c r="J875" t="n">
        <v>42.1</v>
      </c>
      <c r="K875" t="n">
        <v>47.6</v>
      </c>
      <c r="L875" t="n">
        <v>52.6</v>
      </c>
      <c r="M875" t="n">
        <v>3100.2900390625</v>
      </c>
      <c r="O875" t="n">
        <v>-0.08937250501161022</v>
      </c>
      <c r="P875" t="n">
        <v>-0.09083737424225038</v>
      </c>
      <c r="Q875" t="n">
        <v>-0.3123569846108508</v>
      </c>
    </row>
    <row r="876">
      <c r="A876" s="123" t="n">
        <v>44013</v>
      </c>
      <c r="B876" t="n">
        <v>61.5</v>
      </c>
      <c r="C876" t="n">
        <v>53.1</v>
      </c>
      <c r="D876" t="n">
        <v>51.8</v>
      </c>
      <c r="E876" t="n">
        <v>53.2</v>
      </c>
      <c r="F876" t="n">
        <v>62.1</v>
      </c>
      <c r="G876" t="n">
        <v>41.6</v>
      </c>
      <c r="H876" t="n">
        <v>47</v>
      </c>
      <c r="I876" t="n">
        <v>55.8</v>
      </c>
      <c r="J876" t="n">
        <v>44.3</v>
      </c>
      <c r="K876" t="n">
        <v>50.4</v>
      </c>
      <c r="L876" t="n">
        <v>54.2</v>
      </c>
      <c r="M876" t="n">
        <v>3271.1201171875</v>
      </c>
      <c r="N876" t="n">
        <v>18743.72</v>
      </c>
      <c r="O876" t="n">
        <v>0.07547534636423657</v>
      </c>
      <c r="P876" t="n">
        <v>-0.02887505988833666</v>
      </c>
      <c r="Q876" t="n">
        <v>0.3378327930079323</v>
      </c>
      <c r="R876" t="n">
        <v>0.07854483117045738</v>
      </c>
      <c r="S876" t="n">
        <v>0.3531713913729064</v>
      </c>
      <c r="T876" t="n">
        <v>-0.0202401012140966</v>
      </c>
    </row>
    <row r="877">
      <c r="A877" s="123" t="n">
        <v>44044</v>
      </c>
      <c r="B877" t="n">
        <v>67.59999999999999</v>
      </c>
      <c r="C877" t="n">
        <v>55.6</v>
      </c>
      <c r="D877" t="n">
        <v>54.6</v>
      </c>
      <c r="E877" t="n">
        <v>59.5</v>
      </c>
      <c r="F877" t="n">
        <v>63.3</v>
      </c>
      <c r="G877" t="n">
        <v>38.1</v>
      </c>
      <c r="H877" t="n">
        <v>44.4</v>
      </c>
      <c r="I877" t="n">
        <v>58.2</v>
      </c>
      <c r="J877" t="n">
        <v>46.4</v>
      </c>
      <c r="K877" t="n">
        <v>53.3</v>
      </c>
      <c r="L877" t="n">
        <v>56</v>
      </c>
      <c r="M877" t="n">
        <v>3500.31005859375</v>
      </c>
      <c r="O877" t="n">
        <v>0.07547534636423657</v>
      </c>
      <c r="P877" t="n">
        <v>-0.02887505988833666</v>
      </c>
      <c r="Q877" t="n">
        <v>0.3378327930079323</v>
      </c>
    </row>
    <row r="878">
      <c r="A878" s="123" t="n">
        <v>44075</v>
      </c>
      <c r="B878" t="n">
        <v>60.2</v>
      </c>
      <c r="C878" t="n">
        <v>54</v>
      </c>
      <c r="D878" t="n">
        <v>55.2</v>
      </c>
      <c r="E878" t="n">
        <v>62.8</v>
      </c>
      <c r="F878" t="n">
        <v>61</v>
      </c>
      <c r="G878" t="n">
        <v>37.9</v>
      </c>
      <c r="H878" t="n">
        <v>47.1</v>
      </c>
      <c r="I878" t="n">
        <v>59</v>
      </c>
      <c r="J878" t="n">
        <v>49.6</v>
      </c>
      <c r="K878" t="n">
        <v>54.3</v>
      </c>
      <c r="L878" t="n">
        <v>55.4</v>
      </c>
      <c r="M878" t="n">
        <v>3363</v>
      </c>
      <c r="O878" t="n">
        <v>0.07547534636423657</v>
      </c>
      <c r="P878" t="n">
        <v>-0.02887505988833666</v>
      </c>
      <c r="Q878" t="n">
        <v>0.3378327930079323</v>
      </c>
    </row>
    <row r="879">
      <c r="A879" s="123" t="n">
        <v>44105</v>
      </c>
      <c r="B879" t="n">
        <v>67.90000000000001</v>
      </c>
      <c r="C879" t="n">
        <v>58.1</v>
      </c>
      <c r="D879" t="n">
        <v>55.7</v>
      </c>
      <c r="E879" t="n">
        <v>65.5</v>
      </c>
      <c r="F879" t="n">
        <v>63</v>
      </c>
      <c r="G879" t="n">
        <v>36.7</v>
      </c>
      <c r="H879" t="n">
        <v>51.9</v>
      </c>
      <c r="I879" t="n">
        <v>60.5</v>
      </c>
      <c r="J879" t="n">
        <v>53.2</v>
      </c>
      <c r="K879" t="n">
        <v>55.7</v>
      </c>
      <c r="L879" t="n">
        <v>59.3</v>
      </c>
      <c r="M879" t="n">
        <v>3269.9599609375</v>
      </c>
      <c r="N879" t="n">
        <v>18924.262</v>
      </c>
      <c r="O879" t="n">
        <v>0.01115276765936578</v>
      </c>
      <c r="P879" t="n">
        <v>-0.0226291524300984</v>
      </c>
      <c r="Q879" t="n">
        <v>0.04536294038119415</v>
      </c>
      <c r="R879" t="n">
        <v>0.009632132789008672</v>
      </c>
      <c r="S879" t="n">
        <v>0.03908878225555212</v>
      </c>
      <c r="T879" t="n">
        <v>-0.01516619933157752</v>
      </c>
    </row>
    <row r="880">
      <c r="A880" s="123"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O880" t="n">
        <v>0.01115276765936578</v>
      </c>
      <c r="P880" t="n">
        <v>-0.0226291524300984</v>
      </c>
      <c r="Q880" t="n">
        <v>0.04536294038119415</v>
      </c>
    </row>
    <row r="881">
      <c r="A881" s="123"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O881" t="n">
        <v>0.01115276765936578</v>
      </c>
      <c r="P881" t="n">
        <v>-0.0226291524300984</v>
      </c>
      <c r="Q881" t="n">
        <v>0.04536294038119415</v>
      </c>
    </row>
    <row r="882">
      <c r="A882" s="123"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19216.224</v>
      </c>
      <c r="O882" t="n">
        <v>0.01533889627211066</v>
      </c>
      <c r="P882" t="n">
        <v>0.005469768032827393</v>
      </c>
      <c r="Q882" t="n">
        <v>0.06278176672776592</v>
      </c>
      <c r="R882" t="n">
        <v>0.01542791998969363</v>
      </c>
      <c r="S882" t="n">
        <v>0.06315454956208622</v>
      </c>
      <c r="T882" t="n">
        <v>0.01191935050448183</v>
      </c>
    </row>
    <row r="883">
      <c r="A883" s="123" t="n">
        <v>44228</v>
      </c>
      <c r="B883" t="n">
        <v>64.8</v>
      </c>
      <c r="C883" t="n">
        <v>56.1</v>
      </c>
      <c r="D883" t="n">
        <v>64</v>
      </c>
      <c r="E883" t="n">
        <v>86</v>
      </c>
      <c r="F883" t="n">
        <v>63.2</v>
      </c>
      <c r="G883" t="n">
        <v>32.5</v>
      </c>
      <c r="H883" t="n">
        <v>49.7</v>
      </c>
      <c r="I883" t="n">
        <v>72</v>
      </c>
      <c r="J883" t="n">
        <v>54.4</v>
      </c>
      <c r="K883" t="n">
        <v>57.2</v>
      </c>
      <c r="L883" t="n">
        <v>60.8</v>
      </c>
      <c r="M883" t="n">
        <v>3811.14990234375</v>
      </c>
      <c r="O883" t="n">
        <v>0.01533889627211066</v>
      </c>
      <c r="P883" t="n">
        <v>0.005469768032827393</v>
      </c>
      <c r="Q883" t="n">
        <v>0.06278176672776592</v>
      </c>
    </row>
    <row r="884">
      <c r="A884" s="123"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O884" t="n">
        <v>0.01533889627211066</v>
      </c>
      <c r="P884" t="n">
        <v>0.005469768032827393</v>
      </c>
      <c r="Q884" t="n">
        <v>0.06278176672776592</v>
      </c>
    </row>
    <row r="885">
      <c r="A885" s="123" t="n">
        <v>44287</v>
      </c>
      <c r="B885" t="n">
        <v>64.3</v>
      </c>
      <c r="C885" t="n">
        <v>52.2</v>
      </c>
      <c r="D885" t="n">
        <v>68.2</v>
      </c>
      <c r="E885" t="n">
        <v>89.59999999999999</v>
      </c>
      <c r="F885" t="n">
        <v>62.5</v>
      </c>
      <c r="G885" t="n">
        <v>28.4</v>
      </c>
      <c r="H885" t="n">
        <v>46.5</v>
      </c>
      <c r="I885" t="n">
        <v>75</v>
      </c>
      <c r="J885" t="n">
        <v>55.1</v>
      </c>
      <c r="K885" t="n">
        <v>54.9</v>
      </c>
      <c r="L885" t="n">
        <v>60.7</v>
      </c>
      <c r="M885" t="n">
        <v>4181.169921875</v>
      </c>
      <c r="N885" t="n">
        <v>19544.248</v>
      </c>
      <c r="O885" t="n">
        <v>0.01640746539544311</v>
      </c>
      <c r="P885" t="n">
        <v>0.12226677108077</v>
      </c>
      <c r="Q885" t="n">
        <v>0.06726283145896073</v>
      </c>
      <c r="R885" t="n">
        <v>0.01707015904893705</v>
      </c>
      <c r="S885" t="n">
        <v>0.07004895940091926</v>
      </c>
      <c r="T885" t="n">
        <v>0.1246085440624138</v>
      </c>
    </row>
    <row r="886">
      <c r="A886" s="123" t="n">
        <v>44317</v>
      </c>
      <c r="B886" t="n">
        <v>67</v>
      </c>
      <c r="C886" t="n">
        <v>54</v>
      </c>
      <c r="D886" t="n">
        <v>70.59999999999999</v>
      </c>
      <c r="E886" t="n">
        <v>88</v>
      </c>
      <c r="F886" t="n">
        <v>58.5</v>
      </c>
      <c r="G886" t="n">
        <v>28</v>
      </c>
      <c r="H886" t="n">
        <v>50.8</v>
      </c>
      <c r="I886" t="n">
        <v>78.8</v>
      </c>
      <c r="J886" t="n">
        <v>50.9</v>
      </c>
      <c r="K886" t="n">
        <v>55.4</v>
      </c>
      <c r="L886" t="n">
        <v>61.2</v>
      </c>
      <c r="M886" t="n">
        <v>4204.10986328125</v>
      </c>
      <c r="O886" t="n">
        <v>0.01640746539544311</v>
      </c>
      <c r="P886" t="n">
        <v>0.12226677108077</v>
      </c>
      <c r="Q886" t="n">
        <v>0.06726283145896073</v>
      </c>
    </row>
    <row r="887">
      <c r="A887" s="123" t="n">
        <v>44348</v>
      </c>
      <c r="B887" t="n">
        <v>66</v>
      </c>
      <c r="C887" t="n">
        <v>61</v>
      </c>
      <c r="D887" t="n">
        <v>64.5</v>
      </c>
      <c r="E887" t="n">
        <v>92.09999999999999</v>
      </c>
      <c r="F887" t="n">
        <v>60.8</v>
      </c>
      <c r="G887" t="n">
        <v>30.8</v>
      </c>
      <c r="H887" t="n">
        <v>51.1</v>
      </c>
      <c r="I887" t="n">
        <v>75.09999999999999</v>
      </c>
      <c r="J887" t="n">
        <v>49.9</v>
      </c>
      <c r="K887" t="n">
        <v>56.2</v>
      </c>
      <c r="L887" t="n">
        <v>60.6</v>
      </c>
      <c r="M887" t="n">
        <v>4297.5</v>
      </c>
      <c r="O887" t="n">
        <v>0.01640746539544311</v>
      </c>
      <c r="P887" t="n">
        <v>0.12226677108077</v>
      </c>
      <c r="Q887" t="n">
        <v>0.06726283145896073</v>
      </c>
    </row>
    <row r="888">
      <c r="A888" s="123" t="n">
        <v>44378</v>
      </c>
      <c r="B888" t="n">
        <v>64.90000000000001</v>
      </c>
      <c r="C888" t="n">
        <v>53.7</v>
      </c>
      <c r="D888" t="n">
        <v>65</v>
      </c>
      <c r="E888" t="n">
        <v>85.7</v>
      </c>
      <c r="F888" t="n">
        <v>58.4</v>
      </c>
      <c r="G888" t="n">
        <v>25</v>
      </c>
      <c r="H888" t="n">
        <v>48.9</v>
      </c>
      <c r="I888" t="n">
        <v>72.5</v>
      </c>
      <c r="J888" t="n">
        <v>52.9</v>
      </c>
      <c r="K888" t="n">
        <v>55.7</v>
      </c>
      <c r="L888" t="n">
        <v>59.5</v>
      </c>
      <c r="M888" t="n">
        <v>4395.259765625</v>
      </c>
      <c r="N888" t="n">
        <v>19672.594</v>
      </c>
      <c r="O888" t="n">
        <v>0.005709481105992145</v>
      </c>
      <c r="P888" t="n">
        <v>0.04946555569288213</v>
      </c>
      <c r="Q888" t="n">
        <v>0.02303425900825307</v>
      </c>
      <c r="R888" t="n">
        <v>0.006566944913920524</v>
      </c>
      <c r="S888" t="n">
        <v>0.02652766290028019</v>
      </c>
      <c r="T888" t="n">
        <v>0.04955654480540681</v>
      </c>
    </row>
    <row r="889">
      <c r="A889" s="123" t="n">
        <v>44409</v>
      </c>
      <c r="B889" t="n">
        <v>66.7</v>
      </c>
      <c r="C889" t="n">
        <v>54.3</v>
      </c>
      <c r="D889" t="n">
        <v>68.2</v>
      </c>
      <c r="E889" t="n">
        <v>79.40000000000001</v>
      </c>
      <c r="F889" t="n">
        <v>60</v>
      </c>
      <c r="G889" t="n">
        <v>30.2</v>
      </c>
      <c r="H889" t="n">
        <v>54.2</v>
      </c>
      <c r="I889" t="n">
        <v>69.5</v>
      </c>
      <c r="J889" t="n">
        <v>49</v>
      </c>
      <c r="K889" t="n">
        <v>56.6</v>
      </c>
      <c r="L889" t="n">
        <v>59.9</v>
      </c>
      <c r="M889" t="n">
        <v>4522.68017578125</v>
      </c>
      <c r="O889" t="n">
        <v>0.005709481105992145</v>
      </c>
      <c r="P889" t="n">
        <v>0.04946555569288213</v>
      </c>
      <c r="Q889" t="n">
        <v>0.02303425900825307</v>
      </c>
    </row>
    <row r="890">
      <c r="A890" s="123" t="n">
        <v>44440</v>
      </c>
      <c r="B890" t="n">
        <v>66.7</v>
      </c>
      <c r="C890" t="n">
        <v>54.9</v>
      </c>
      <c r="D890" t="n">
        <v>64.8</v>
      </c>
      <c r="E890" t="n">
        <v>81.2</v>
      </c>
      <c r="F890" t="n">
        <v>59.4</v>
      </c>
      <c r="G890" t="n">
        <v>31.7</v>
      </c>
      <c r="H890" t="n">
        <v>55.6</v>
      </c>
      <c r="I890" t="n">
        <v>73.40000000000001</v>
      </c>
      <c r="J890" t="n">
        <v>50.2</v>
      </c>
      <c r="K890" t="n">
        <v>53.4</v>
      </c>
      <c r="L890" t="n">
        <v>61.1</v>
      </c>
      <c r="M890" t="n">
        <v>4307.5400390625</v>
      </c>
      <c r="O890" t="n">
        <v>0.005709481105992145</v>
      </c>
      <c r="P890" t="n">
        <v>0.04946555569288213</v>
      </c>
      <c r="Q890" t="n">
        <v>0.02303425900825307</v>
      </c>
    </row>
    <row r="891">
      <c r="A891" s="123" t="n">
        <v>44470</v>
      </c>
      <c r="B891" t="n">
        <v>59.8</v>
      </c>
      <c r="C891" t="n">
        <v>49.1</v>
      </c>
      <c r="D891" t="n">
        <v>63.6</v>
      </c>
      <c r="E891" t="n">
        <v>85.7</v>
      </c>
      <c r="F891" t="n">
        <v>59.3</v>
      </c>
      <c r="G891" t="n">
        <v>31.7</v>
      </c>
      <c r="H891" t="n">
        <v>57</v>
      </c>
      <c r="I891" t="n">
        <v>75.59999999999999</v>
      </c>
      <c r="J891" t="n">
        <v>52</v>
      </c>
      <c r="K891" t="n">
        <v>54.6</v>
      </c>
      <c r="L891" t="n">
        <v>60.8</v>
      </c>
      <c r="M891" t="n">
        <v>4605.3798828125</v>
      </c>
      <c r="N891" t="n">
        <v>20006.181</v>
      </c>
      <c r="O891" t="n">
        <v>0.005709481105992145</v>
      </c>
      <c r="P891" t="n">
        <v>0.04946555569288213</v>
      </c>
      <c r="Q891" t="n">
        <v>0.02303425900825307</v>
      </c>
      <c r="R891" t="n">
        <v>0.01695694019812535</v>
      </c>
      <c r="S891" t="n">
        <v>0.06957257344233025</v>
      </c>
      <c r="T891" t="n">
        <v>0.05717100090878058</v>
      </c>
    </row>
    <row r="892">
      <c r="A892" s="123" t="n">
        <v>44501</v>
      </c>
      <c r="B892" t="n">
        <v>61.5</v>
      </c>
      <c r="C892" t="n">
        <v>52.6</v>
      </c>
      <c r="D892" t="n">
        <v>61.9</v>
      </c>
      <c r="E892" t="n">
        <v>82.40000000000001</v>
      </c>
      <c r="F892" t="n">
        <v>61.5</v>
      </c>
      <c r="G892" t="n">
        <v>25.1</v>
      </c>
      <c r="H892" t="n">
        <v>56.8</v>
      </c>
      <c r="I892" t="n">
        <v>72.2</v>
      </c>
      <c r="J892" t="n">
        <v>53.3</v>
      </c>
      <c r="K892" t="n">
        <v>54</v>
      </c>
      <c r="L892" t="n">
        <v>61.1</v>
      </c>
      <c r="M892" t="n">
        <v>4567</v>
      </c>
      <c r="O892" t="n">
        <v>0.005709481105992145</v>
      </c>
      <c r="P892" t="n">
        <v>0.04946555569288213</v>
      </c>
      <c r="Q892" t="n">
        <v>0.02303425900825307</v>
      </c>
    </row>
    <row r="893">
      <c r="A893" s="123" t="n">
        <v>44531</v>
      </c>
      <c r="B893" t="n">
        <v>60.4</v>
      </c>
      <c r="C893" t="n">
        <v>53.8</v>
      </c>
      <c r="D893" t="n">
        <v>62.8</v>
      </c>
      <c r="E893" t="n">
        <v>68.2</v>
      </c>
      <c r="F893" t="n">
        <v>59.2</v>
      </c>
      <c r="G893" t="n">
        <v>31.7</v>
      </c>
      <c r="H893" t="n">
        <v>54.7</v>
      </c>
      <c r="I893" t="n">
        <v>64.90000000000001</v>
      </c>
      <c r="J893" t="n">
        <v>54.2</v>
      </c>
      <c r="K893" t="n">
        <v>53.6</v>
      </c>
      <c r="L893" t="n">
        <v>58.7</v>
      </c>
      <c r="M893" t="n">
        <v>4766.18017578125</v>
      </c>
      <c r="O893" t="n">
        <v>0.005709481105992145</v>
      </c>
      <c r="P893" t="n">
        <v>0.04946555569288213</v>
      </c>
      <c r="Q893" t="n">
        <v>0.02303425900825307</v>
      </c>
    </row>
    <row r="894">
      <c r="A894" s="123" t="n">
        <v>44562</v>
      </c>
      <c r="B894" t="n">
        <v>57.9</v>
      </c>
      <c r="C894" t="n">
        <v>55.1</v>
      </c>
      <c r="D894" t="n">
        <v>56.4</v>
      </c>
      <c r="E894" t="n">
        <v>76.09999999999999</v>
      </c>
      <c r="F894" t="n">
        <v>57.8</v>
      </c>
      <c r="G894" t="n">
        <v>33</v>
      </c>
      <c r="H894" t="n">
        <v>53.2</v>
      </c>
      <c r="I894" t="n">
        <v>64.59999999999999</v>
      </c>
      <c r="J894" t="n">
        <v>54.5</v>
      </c>
      <c r="K894" t="n">
        <v>53.7</v>
      </c>
      <c r="L894" t="n">
        <v>57.6</v>
      </c>
      <c r="M894" t="n">
        <v>4515.5498046875</v>
      </c>
      <c r="N894" t="n">
        <v>19924.088</v>
      </c>
      <c r="O894" t="n">
        <v>0.005709481105992145</v>
      </c>
      <c r="P894" t="n">
        <v>0.04946555569288213</v>
      </c>
      <c r="Q894" t="n">
        <v>0.02303425900825307</v>
      </c>
      <c r="R894" t="n">
        <v>-0.004103381849839345</v>
      </c>
      <c r="S894" t="n">
        <v>-0.01631277702696399</v>
      </c>
      <c r="T894" t="n">
        <v>0.03683678957947209</v>
      </c>
    </row>
    <row r="895">
      <c r="A895" s="123" t="n">
        <v>44593</v>
      </c>
      <c r="B895" t="n">
        <v>61.7</v>
      </c>
      <c r="C895" t="n">
        <v>55.4</v>
      </c>
      <c r="D895" t="n">
        <v>65</v>
      </c>
      <c r="E895" t="n">
        <v>75.59999999999999</v>
      </c>
      <c r="F895" t="n">
        <v>58.5</v>
      </c>
      <c r="G895" t="n">
        <v>31.8</v>
      </c>
      <c r="H895" t="n">
        <v>53.6</v>
      </c>
      <c r="I895" t="n">
        <v>66.09999999999999</v>
      </c>
      <c r="J895" t="n">
        <v>52.9</v>
      </c>
      <c r="K895" t="n">
        <v>57.1</v>
      </c>
      <c r="L895" t="n">
        <v>58.6</v>
      </c>
      <c r="M895" t="n">
        <v>4373.93994140625</v>
      </c>
      <c r="O895" t="n">
        <v>0.005709481105992145</v>
      </c>
      <c r="P895" t="n">
        <v>0.04946555569288213</v>
      </c>
      <c r="Q895" t="n">
        <v>0.02303425900825307</v>
      </c>
    </row>
    <row r="896">
      <c r="A896" s="123" t="n">
        <v>44621</v>
      </c>
      <c r="B896" t="n">
        <v>53.8</v>
      </c>
      <c r="C896" t="n">
        <v>51.8</v>
      </c>
      <c r="D896" t="n">
        <v>60</v>
      </c>
      <c r="E896" t="n">
        <v>87.09999999999999</v>
      </c>
      <c r="F896" t="n">
        <v>54.5</v>
      </c>
      <c r="G896" t="n">
        <v>34.1</v>
      </c>
      <c r="H896" t="n">
        <v>55.5</v>
      </c>
      <c r="I896" t="n">
        <v>65.40000000000001</v>
      </c>
      <c r="J896" t="n">
        <v>56.3</v>
      </c>
      <c r="K896" t="n">
        <v>53.2</v>
      </c>
      <c r="L896" t="n">
        <v>57.1</v>
      </c>
      <c r="M896" t="n">
        <v>4530.41015625</v>
      </c>
      <c r="O896" t="n">
        <v>0.005709481105992145</v>
      </c>
      <c r="P896" t="n">
        <v>0.04946555569288213</v>
      </c>
      <c r="Q896" t="n">
        <v>0.02303425900825307</v>
      </c>
    </row>
    <row r="897">
      <c r="A897" s="123" t="n">
        <v>44652</v>
      </c>
      <c r="B897" t="n">
        <v>53.5</v>
      </c>
      <c r="C897" t="n">
        <v>51.4</v>
      </c>
      <c r="D897" t="n">
        <v>56</v>
      </c>
      <c r="E897" t="n">
        <v>84.59999999999999</v>
      </c>
      <c r="F897" t="n">
        <v>53.6</v>
      </c>
      <c r="G897" t="n">
        <v>37.1</v>
      </c>
      <c r="H897" t="n">
        <v>51.6</v>
      </c>
      <c r="I897" t="n">
        <v>67.2</v>
      </c>
      <c r="J897" t="n">
        <v>50.9</v>
      </c>
      <c r="K897" t="n">
        <v>52.7</v>
      </c>
      <c r="L897" t="n">
        <v>55.4</v>
      </c>
      <c r="M897" t="n">
        <v>4131.93017578125</v>
      </c>
      <c r="N897" t="n">
        <v>19895.271</v>
      </c>
      <c r="O897" t="n">
        <v>0.005709481105992145</v>
      </c>
      <c r="P897" t="n">
        <v>0.04946555569288213</v>
      </c>
      <c r="Q897" t="n">
        <v>0.02303425900825307</v>
      </c>
      <c r="R897" t="n">
        <v>-0.001446339727068014</v>
      </c>
      <c r="S897" t="n">
        <v>-0.005772819614643598</v>
      </c>
      <c r="T897" t="n">
        <v>0.0179604249802807</v>
      </c>
    </row>
    <row r="898">
      <c r="A898" s="123" t="n">
        <v>44682</v>
      </c>
      <c r="B898" t="n">
        <v>55.1</v>
      </c>
      <c r="C898" t="n">
        <v>48.7</v>
      </c>
      <c r="D898" t="n">
        <v>58.7</v>
      </c>
      <c r="E898" t="n">
        <v>82.2</v>
      </c>
      <c r="F898" t="n">
        <v>54.2</v>
      </c>
      <c r="G898" t="n">
        <v>32.7</v>
      </c>
      <c r="H898" t="n">
        <v>55.9</v>
      </c>
      <c r="I898" t="n">
        <v>65.7</v>
      </c>
      <c r="J898" t="n">
        <v>49.6</v>
      </c>
      <c r="K898" t="n">
        <v>52.9</v>
      </c>
      <c r="L898" t="n">
        <v>56.1</v>
      </c>
      <c r="M898" t="n">
        <v>4132.14990234375</v>
      </c>
      <c r="O898" t="n">
        <v>0.005709481105992145</v>
      </c>
      <c r="P898" t="n">
        <v>0.04946555569288213</v>
      </c>
      <c r="Q898" t="n">
        <v>0.02303425900825307</v>
      </c>
    </row>
    <row r="899">
      <c r="A899" s="123" t="n">
        <v>44713</v>
      </c>
      <c r="B899" t="n">
        <v>49.2</v>
      </c>
      <c r="C899" t="n">
        <v>50.7</v>
      </c>
      <c r="D899" t="n">
        <v>53.2</v>
      </c>
      <c r="E899" t="n">
        <v>78.5</v>
      </c>
      <c r="F899" t="n">
        <v>54.9</v>
      </c>
      <c r="G899" t="n">
        <v>35.2</v>
      </c>
      <c r="H899" t="n">
        <v>56</v>
      </c>
      <c r="I899" t="n">
        <v>57.3</v>
      </c>
      <c r="J899" t="n">
        <v>47.3</v>
      </c>
      <c r="K899" t="n">
        <v>50.7</v>
      </c>
      <c r="L899" t="n">
        <v>53</v>
      </c>
      <c r="M899" t="n">
        <v>3785.3798828125</v>
      </c>
      <c r="O899" t="n">
        <v>0.005709481105992145</v>
      </c>
      <c r="P899" t="n">
        <v>0.04946555569288213</v>
      </c>
      <c r="Q899" t="n">
        <v>0.02303425900825307</v>
      </c>
    </row>
    <row r="900">
      <c r="A900" s="123" t="n">
        <v>44743</v>
      </c>
      <c r="B900" t="n">
        <v>48</v>
      </c>
      <c r="C900" t="n">
        <v>54.4</v>
      </c>
      <c r="D900" t="n">
        <v>51.3</v>
      </c>
      <c r="E900" t="n">
        <v>60</v>
      </c>
      <c r="F900" t="n">
        <v>53.5</v>
      </c>
      <c r="G900" t="n">
        <v>39.5</v>
      </c>
      <c r="H900" t="n">
        <v>57.3</v>
      </c>
      <c r="I900" t="n">
        <v>55.2</v>
      </c>
      <c r="J900" t="n">
        <v>49.9</v>
      </c>
      <c r="K900" t="n">
        <v>52.6</v>
      </c>
      <c r="L900" t="n">
        <v>52.8</v>
      </c>
      <c r="M900" t="n">
        <v>4130.2900390625</v>
      </c>
      <c r="N900" t="n">
        <v>20054.663</v>
      </c>
      <c r="O900" t="n">
        <v>0.005709481105992145</v>
      </c>
      <c r="P900" t="n">
        <v>0.04946555569288213</v>
      </c>
      <c r="Q900" t="n">
        <v>0.02303425900825307</v>
      </c>
      <c r="R900" t="n">
        <v>0.008011552091951892</v>
      </c>
      <c r="S900" t="n">
        <v>0.03243337917387401</v>
      </c>
      <c r="T900" t="n">
        <v>0.01942138388053957</v>
      </c>
    </row>
    <row r="901">
      <c r="A901" s="123" t="n">
        <v>44774</v>
      </c>
      <c r="B901" t="n">
        <v>51.3</v>
      </c>
      <c r="C901" t="n">
        <v>52.5</v>
      </c>
      <c r="D901" t="n">
        <v>53</v>
      </c>
      <c r="E901" t="n">
        <v>52.5</v>
      </c>
      <c r="F901" t="n">
        <v>50.4</v>
      </c>
      <c r="G901" t="n">
        <v>38.9</v>
      </c>
      <c r="H901" t="n">
        <v>53.1</v>
      </c>
      <c r="I901" t="n">
        <v>55.1</v>
      </c>
      <c r="J901" t="n">
        <v>54.2</v>
      </c>
      <c r="K901" t="n">
        <v>49.4</v>
      </c>
      <c r="L901" t="n">
        <v>52.8</v>
      </c>
      <c r="M901" t="n">
        <v>3955</v>
      </c>
      <c r="O901" t="n">
        <v>0.005709481105992145</v>
      </c>
      <c r="P901" t="n">
        <v>0.04946555569288213</v>
      </c>
      <c r="Q901" t="n">
        <v>0.02303425900825307</v>
      </c>
    </row>
    <row r="902">
      <c r="A902" s="123" t="n">
        <v>44805</v>
      </c>
      <c r="B902" t="n">
        <v>47.1</v>
      </c>
      <c r="C902" t="n">
        <v>52.6</v>
      </c>
      <c r="D902" t="n">
        <v>50.9</v>
      </c>
      <c r="E902" t="n">
        <v>51.7</v>
      </c>
      <c r="F902" t="n">
        <v>50.6</v>
      </c>
      <c r="G902" t="n">
        <v>41.6</v>
      </c>
      <c r="H902" t="n">
        <v>55.5</v>
      </c>
      <c r="I902" t="n">
        <v>52.4</v>
      </c>
      <c r="J902" t="n">
        <v>48.7</v>
      </c>
      <c r="K902" t="n">
        <v>47.8</v>
      </c>
      <c r="L902" t="n">
        <v>50.9</v>
      </c>
      <c r="M902" t="n">
        <v>3585.6201171875</v>
      </c>
      <c r="O902" t="n">
        <v>0.005709481105992145</v>
      </c>
      <c r="P902" t="n">
        <v>0.04946555569288213</v>
      </c>
      <c r="Q902" t="n">
        <v>0.02303425900825307</v>
      </c>
    </row>
    <row r="903">
      <c r="A903" s="123" t="n">
        <v>44834</v>
      </c>
      <c r="M903" t="n">
        <v>3585.6201171875</v>
      </c>
      <c r="O903" t="n">
        <v>0.005709481105992145</v>
      </c>
      <c r="P903" t="n">
        <v>0.04946555569288213</v>
      </c>
      <c r="Q903" t="n">
        <v>0.02303425900825307</v>
      </c>
    </row>
    <row r="904">
      <c r="A904" s="123" t="n">
        <v>44835</v>
      </c>
      <c r="B904" t="n">
        <v>49.2</v>
      </c>
      <c r="C904" t="n">
        <v>50.8</v>
      </c>
      <c r="D904" t="n">
        <v>45.3</v>
      </c>
      <c r="E904" t="n">
        <v>46.6</v>
      </c>
      <c r="F904" t="n">
        <v>52.3</v>
      </c>
      <c r="G904" t="n">
        <v>41.6</v>
      </c>
      <c r="H904" t="n">
        <v>52.5</v>
      </c>
      <c r="I904" t="n">
        <v>46.8</v>
      </c>
      <c r="J904" t="n">
        <v>50</v>
      </c>
      <c r="K904" t="n">
        <v>46.5</v>
      </c>
      <c r="L904" t="n">
        <v>50.2</v>
      </c>
      <c r="M904" t="n">
        <v>3871.97998046875</v>
      </c>
      <c r="N904" t="n">
        <v>20198.091</v>
      </c>
      <c r="O904" t="n">
        <v>0.005709481105992145</v>
      </c>
      <c r="P904" t="n">
        <v>0.04946555569288213</v>
      </c>
      <c r="Q904" t="n">
        <v>0.02303425900825307</v>
      </c>
      <c r="R904" t="n">
        <v>0.007151852913210253</v>
      </c>
      <c r="S904" t="n">
        <v>0.02891577151011537</v>
      </c>
      <c r="T904" t="n">
        <v>0.009592535426926301</v>
      </c>
    </row>
    <row r="905">
      <c r="A905" s="123" t="n">
        <v>44866</v>
      </c>
      <c r="B905" t="n">
        <v>47.2</v>
      </c>
      <c r="C905" t="n">
        <v>46.6</v>
      </c>
      <c r="D905" t="n">
        <v>40</v>
      </c>
      <c r="E905" t="n">
        <v>43</v>
      </c>
      <c r="F905" t="n">
        <v>51.5</v>
      </c>
      <c r="G905" t="n">
        <v>48.7</v>
      </c>
      <c r="H905" t="n">
        <v>50.9</v>
      </c>
      <c r="I905" t="n">
        <v>47.2</v>
      </c>
      <c r="J905" t="n">
        <v>48.4</v>
      </c>
      <c r="K905" t="n">
        <v>48.4</v>
      </c>
      <c r="L905" t="n">
        <v>49</v>
      </c>
      <c r="M905" t="n">
        <v>4080.110107421875</v>
      </c>
      <c r="O905" t="n">
        <v>0.005709481105992145</v>
      </c>
      <c r="P905" t="n">
        <v>0.04946555569288213</v>
      </c>
      <c r="Q905" t="n">
        <v>0.02303425900825307</v>
      </c>
    </row>
    <row r="906">
      <c r="A906" s="123" t="n">
        <v>44896</v>
      </c>
      <c r="B906" t="n">
        <v>45.2</v>
      </c>
      <c r="C906" t="n">
        <v>45.1</v>
      </c>
      <c r="D906" t="n">
        <v>41.4</v>
      </c>
      <c r="E906" t="n">
        <v>39.4</v>
      </c>
      <c r="F906" t="n">
        <v>48.5</v>
      </c>
      <c r="G906" t="n">
        <v>48.2</v>
      </c>
      <c r="H906" t="n">
        <v>51.8</v>
      </c>
      <c r="I906" t="n">
        <v>45.1</v>
      </c>
      <c r="J906" t="n">
        <v>51.4</v>
      </c>
      <c r="K906" t="n">
        <v>46.2</v>
      </c>
      <c r="L906" t="n">
        <v>48.4</v>
      </c>
      <c r="M906" t="n">
        <v>3839.5</v>
      </c>
      <c r="O906" t="n">
        <v>0.005709481105992145</v>
      </c>
      <c r="P906" t="n">
        <v>0.04946555569288213</v>
      </c>
      <c r="Q906" t="n">
        <v>0.02303425900825307</v>
      </c>
    </row>
    <row r="907">
      <c r="A907" s="123" t="n">
        <v>44927</v>
      </c>
      <c r="B907" t="n">
        <v>42.5</v>
      </c>
      <c r="C907" t="n">
        <v>47.8</v>
      </c>
      <c r="D907" t="n">
        <v>43.4</v>
      </c>
      <c r="E907" t="n">
        <v>44.5</v>
      </c>
      <c r="F907" t="n">
        <v>48</v>
      </c>
      <c r="G907" t="n">
        <v>47.4</v>
      </c>
      <c r="H907" t="n">
        <v>50.2</v>
      </c>
      <c r="I907" t="n">
        <v>45.6</v>
      </c>
      <c r="J907" t="n">
        <v>50.6</v>
      </c>
      <c r="K907" t="n">
        <v>49.4</v>
      </c>
      <c r="L907" t="n">
        <v>47.4</v>
      </c>
      <c r="M907" t="n">
        <v>4076.60009765625</v>
      </c>
      <c r="O907" t="n">
        <v>0.005709481105992145</v>
      </c>
      <c r="P907" t="n">
        <v>0.04946555569288213</v>
      </c>
      <c r="Q907" t="n">
        <v>0.02303425900825307</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90" zoomScaleNormal="90" workbookViewId="0">
      <selection activeCell="AJ46" sqref="AJ46"/>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61"/>
    <col width="9.1796875" customWidth="1" style="97" min="62" max="16384"/>
  </cols>
  <sheetData>
    <row r="1">
      <c r="J1" s="97" t="inlineStr">
        <is>
          <t>Last Month</t>
        </is>
      </c>
      <c r="L1" s="32" t="n">
        <v>44927</v>
      </c>
      <c r="O1" s="6" t="n"/>
    </row>
    <row r="2">
      <c r="D2" s="97">
        <f>VLOOKUP(A6,$U:$V,2,)</f>
        <v/>
      </c>
      <c r="L2" s="33" t="n">
        <v>49</v>
      </c>
      <c r="Y2" s="62" t="n"/>
    </row>
    <row r="4" ht="16" customHeight="1" thickBot="1">
      <c r="U4" s="62">
        <f>DATE(YEAR(U5),MONTH(U5)-1,DAY(U5))</f>
        <v/>
      </c>
      <c r="V4" s="1">
        <f>V5-1</f>
        <v/>
      </c>
    </row>
    <row r="5" ht="74.2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
        <f>V6-1</f>
        <v/>
      </c>
    </row>
    <row r="6">
      <c r="A6" s="64">
        <f>DATE(YEAR(A7),MONTH(A7)-1,DAY(A7))</f>
        <v/>
      </c>
      <c r="B6" s="65">
        <f>VLOOKUP($B$5,'Sectors Trend'!$B$6:$BB$23,VLOOKUP(A6,$U:$V,2,),)</f>
        <v/>
      </c>
      <c r="C6" s="65">
        <f>VLOOKUP($C$5,'Sectors Trend'!$B$6:$BB$23,VLOOKUP(A6,$U:$V,2,),)</f>
        <v/>
      </c>
      <c r="D6" s="65">
        <f>VLOOKUP($D$5,'Sectors Trend'!$B$6:$BB$23,VLOOKUP(A6,$U:$V,2,),)</f>
        <v/>
      </c>
      <c r="E6" s="65">
        <f>VLOOKUP($E$5,'Sectors Trend'!$B$6:$BB$23,VLOOKUP(A6,$U:$V,2,),)</f>
        <v/>
      </c>
      <c r="F6" s="65">
        <f>VLOOKUP($F$5,'Sectors Trend'!$B$6:$BB$23,VLOOKUP(A6,$U:$V,2,),)</f>
        <v/>
      </c>
      <c r="G6" s="65">
        <f>VLOOKUP($G$5,'Sectors Trend'!$B$6:$BB$23,VLOOKUP(A6,$U:$V,2,),)</f>
        <v/>
      </c>
      <c r="H6" s="65">
        <f>VLOOKUP($H$5,'Sectors Trend'!$B$6:$BB$23,VLOOKUP(A6,$U:$V,2,),)</f>
        <v/>
      </c>
      <c r="I6" s="65">
        <f>VLOOKUP($I$5,'Sectors Trend'!$B$6:$BB$23,VLOOKUP(A6,$U:$V,2,),)</f>
        <v/>
      </c>
      <c r="J6" s="65">
        <f>VLOOKUP($J$5,'Sectors Trend'!$B$6:$BB$23,VLOOKUP(A6,$U:$V,2,),)</f>
        <v/>
      </c>
      <c r="K6" s="65">
        <f>VLOOKUP($K$5,'Sectors Trend'!$B$6:$BB$23,VLOOKUP(A6,$U:$V,2,),)</f>
        <v/>
      </c>
      <c r="L6" s="65">
        <f>VLOOKUP($L$5,'Sectors Trend'!$B$6:$BB$23,VLOOKUP(A6,$U:$V,2,),)</f>
        <v/>
      </c>
      <c r="M6" s="65">
        <f>VLOOKUP($M$5,'Sectors Trend'!$B$6:$BB$23,VLOOKUP(A6,$U:$V,2,),)</f>
        <v/>
      </c>
      <c r="N6" s="65">
        <f>VLOOKUP($N$5,'Sectors Trend'!$B$6:$BB$23,VLOOKUP(A6,$U:$V,2,),)</f>
        <v/>
      </c>
      <c r="O6" s="65">
        <f>VLOOKUP($O$5,'Sectors Trend'!$B$6:$BB$23,VLOOKUP(A6,$U:$V,2,),)</f>
        <v/>
      </c>
      <c r="P6" s="65">
        <f>VLOOKUP($P$5,'Sectors Trend'!$B$6:$BB$23,VLOOKUP(A6,$U:$V,2,),)</f>
        <v/>
      </c>
      <c r="Q6" s="65">
        <f>VLOOKUP($Q$5,'Sectors Trend'!$B$6:$BB$23,VLOOKUP(A6,$U:$V,2,),)</f>
        <v/>
      </c>
      <c r="R6" s="65">
        <f>VLOOKUP($R$5,'Sectors Trend'!$B$6:$BB$23,VLOOKUP(A6,$U:$V,2,),)</f>
        <v/>
      </c>
      <c r="S6" s="66">
        <f>VLOOKUP($S$5,'Sectors Trend'!$B$6:$BB$23,VLOOKUP(A6,$U:$V,2,),)</f>
        <v/>
      </c>
      <c r="U6" s="62">
        <f>DATE(YEAR(U7),MONTH(U7)-1,DAY(U7))</f>
        <v/>
      </c>
      <c r="V6" s="1">
        <f>V7-1</f>
        <v/>
      </c>
    </row>
    <row r="7">
      <c r="A7" s="67">
        <f>DATE(YEAR(A8),MONTH(A8)-1,DAY(A8))</f>
        <v/>
      </c>
      <c r="B7" s="5">
        <f>VLOOKUP($B$5,'Sectors Trend'!$B$6:$BB$23,VLOOKUP(A7,$U:$V,2,),)</f>
        <v/>
      </c>
      <c r="C7" s="5">
        <f>VLOOKUP($C$5,'Sectors Trend'!$B$6:$BB$23,VLOOKUP(A7,$U:$V,2,),)</f>
        <v/>
      </c>
      <c r="D7" s="5">
        <f>VLOOKUP($D$5,'Sectors Trend'!$B$6:$BB$23,VLOOKUP(A7,$U:$V,2,),)</f>
        <v/>
      </c>
      <c r="E7" s="5">
        <f>VLOOKUP($E$5,'Sectors Trend'!$B$6:$BB$23,VLOOKUP(A7,$U:$V,2,),)</f>
        <v/>
      </c>
      <c r="F7" s="5">
        <f>VLOOKUP($F$5,'Sectors Trend'!$B$6:$BB$23,VLOOKUP(A7,$U:$V,2,),)</f>
        <v/>
      </c>
      <c r="G7" s="5">
        <f>VLOOKUP($G$5,'Sectors Trend'!$B$6:$BB$23,VLOOKUP(A7,$U:$V,2,),)</f>
        <v/>
      </c>
      <c r="H7" s="5">
        <f>VLOOKUP($H$5,'Sectors Trend'!$B$6:$BB$23,VLOOKUP(A7,$U:$V,2,),)</f>
        <v/>
      </c>
      <c r="I7" s="5">
        <f>VLOOKUP($I$5,'Sectors Trend'!$B$6:$BB$23,VLOOKUP(A7,$U:$V,2,),)</f>
        <v/>
      </c>
      <c r="J7" s="5">
        <f>VLOOKUP($J$5,'Sectors Trend'!$B$6:$BB$23,VLOOKUP(A7,$U:$V,2,),)</f>
        <v/>
      </c>
      <c r="K7" s="5">
        <f>VLOOKUP($K$5,'Sectors Trend'!$B$6:$BB$23,VLOOKUP(A7,$U:$V,2,),)</f>
        <v/>
      </c>
      <c r="L7" s="5">
        <f>VLOOKUP($L$5,'Sectors Trend'!$B$6:$BB$23,VLOOKUP(A7,$U:$V,2,),)</f>
        <v/>
      </c>
      <c r="M7" s="5">
        <f>VLOOKUP($M$5,'Sectors Trend'!$B$6:$BB$23,VLOOKUP(A7,$U:$V,2,),)</f>
        <v/>
      </c>
      <c r="N7" s="5">
        <f>VLOOKUP($N$5,'Sectors Trend'!$B$6:$BB$23,VLOOKUP(A7,$U:$V,2,),)</f>
        <v/>
      </c>
      <c r="O7" s="5">
        <f>VLOOKUP($O$5,'Sectors Trend'!$B$6:$BB$23,VLOOKUP(A7,$U:$V,2,),)</f>
        <v/>
      </c>
      <c r="P7" s="5">
        <f>VLOOKUP($P$5,'Sectors Trend'!$B$6:$BB$23,VLOOKUP(A7,$U:$V,2,),)</f>
        <v/>
      </c>
      <c r="Q7" s="5">
        <f>VLOOKUP($Q$5,'Sectors Trend'!$B$6:$BB$23,VLOOKUP(A7,$U:$V,2,),)</f>
        <v/>
      </c>
      <c r="R7" s="5">
        <f>VLOOKUP($R$5,'Sectors Trend'!$B$6:$BB$23,VLOOKUP(A7,$U:$V,2,),)</f>
        <v/>
      </c>
      <c r="S7" s="68">
        <f>VLOOKUP($S$5,'Sectors Trend'!$B$6:$BB$23,VLOOKUP(A7,$U:$V,2,),)</f>
        <v/>
      </c>
      <c r="U7" s="62">
        <f>DATE(YEAR(U8),MONTH(U8)-1,DAY(U8))</f>
        <v/>
      </c>
      <c r="V7" s="1">
        <f>V8-1</f>
        <v/>
      </c>
    </row>
    <row r="8">
      <c r="A8" s="67">
        <f>DATE(YEAR(A9),MONTH(A9)-1,DAY(A9))</f>
        <v/>
      </c>
      <c r="B8" s="5">
        <f>VLOOKUP($B$5,'Sectors Trend'!$B$6:$BB$23,VLOOKUP(A8,$U:$V,2,),)</f>
        <v/>
      </c>
      <c r="C8" s="5">
        <f>VLOOKUP($C$5,'Sectors Trend'!$B$6:$BB$23,VLOOKUP(A8,$U:$V,2,),)</f>
        <v/>
      </c>
      <c r="D8" s="5">
        <f>VLOOKUP($D$5,'Sectors Trend'!$B$6:$BB$23,VLOOKUP(A8,$U:$V,2,),)</f>
        <v/>
      </c>
      <c r="E8" s="5">
        <f>VLOOKUP($E$5,'Sectors Trend'!$B$6:$BB$23,VLOOKUP(A8,$U:$V,2,),)</f>
        <v/>
      </c>
      <c r="F8" s="5">
        <f>VLOOKUP($F$5,'Sectors Trend'!$B$6:$BB$23,VLOOKUP(A8,$U:$V,2,),)</f>
        <v/>
      </c>
      <c r="G8" s="5">
        <f>VLOOKUP($G$5,'Sectors Trend'!$B$6:$BB$23,VLOOKUP(A8,$U:$V,2,),)</f>
        <v/>
      </c>
      <c r="H8" s="5">
        <f>VLOOKUP($H$5,'Sectors Trend'!$B$6:$BB$23,VLOOKUP(A8,$U:$V,2,),)</f>
        <v/>
      </c>
      <c r="I8" s="5">
        <f>VLOOKUP($I$5,'Sectors Trend'!$B$6:$BB$23,VLOOKUP(A8,$U:$V,2,),)</f>
        <v/>
      </c>
      <c r="J8" s="5">
        <f>VLOOKUP($J$5,'Sectors Trend'!$B$6:$BB$23,VLOOKUP(A8,$U:$V,2,),)</f>
        <v/>
      </c>
      <c r="K8" s="5">
        <f>VLOOKUP($K$5,'Sectors Trend'!$B$6:$BB$23,VLOOKUP(A8,$U:$V,2,),)</f>
        <v/>
      </c>
      <c r="L8" s="5">
        <f>VLOOKUP($L$5,'Sectors Trend'!$B$6:$BB$23,VLOOKUP(A8,$U:$V,2,),)</f>
        <v/>
      </c>
      <c r="M8" s="5">
        <f>VLOOKUP($M$5,'Sectors Trend'!$B$6:$BB$23,VLOOKUP(A8,$U:$V,2,),)</f>
        <v/>
      </c>
      <c r="N8" s="5">
        <f>VLOOKUP($N$5,'Sectors Trend'!$B$6:$BB$23,VLOOKUP(A8,$U:$V,2,),)</f>
        <v/>
      </c>
      <c r="O8" s="5">
        <f>VLOOKUP($O$5,'Sectors Trend'!$B$6:$BB$23,VLOOKUP(A8,$U:$V,2,),)</f>
        <v/>
      </c>
      <c r="P8" s="5">
        <f>VLOOKUP($P$5,'Sectors Trend'!$B$6:$BB$23,VLOOKUP(A8,$U:$V,2,),)</f>
        <v/>
      </c>
      <c r="Q8" s="5">
        <f>VLOOKUP($Q$5,'Sectors Trend'!$B$6:$BB$23,VLOOKUP(A8,$U:$V,2,),)</f>
        <v/>
      </c>
      <c r="R8" s="5">
        <f>VLOOKUP($R$5,'Sectors Trend'!$B$6:$BB$23,VLOOKUP(A8,$U:$V,2,),)</f>
        <v/>
      </c>
      <c r="S8" s="68">
        <f>VLOOKUP($S$5,'Sectors Trend'!$B$6:$BB$23,VLOOKUP(A8,$U:$V,2,),)</f>
        <v/>
      </c>
      <c r="U8" s="62">
        <f>DATE(YEAR(U9),MONTH(U9)-1,DAY(U9))</f>
        <v/>
      </c>
      <c r="V8" s="1">
        <f>V9-1</f>
        <v/>
      </c>
    </row>
    <row r="9">
      <c r="A9" s="67">
        <f>DATE(YEAR(A10),MONTH(A10)-1,DAY(A10))</f>
        <v/>
      </c>
      <c r="B9" s="5">
        <f>VLOOKUP($B$5,'Sectors Trend'!$B$6:$BB$23,VLOOKUP(A9,$U:$V,2,),)</f>
        <v/>
      </c>
      <c r="C9" s="5">
        <f>VLOOKUP($C$5,'Sectors Trend'!$B$6:$BB$23,VLOOKUP(A9,$U:$V,2,),)</f>
        <v/>
      </c>
      <c r="D9" s="5">
        <f>VLOOKUP($D$5,'Sectors Trend'!$B$6:$BB$23,VLOOKUP(A9,$U:$V,2,),)</f>
        <v/>
      </c>
      <c r="E9" s="5">
        <f>VLOOKUP($E$5,'Sectors Trend'!$B$6:$BB$23,VLOOKUP(A9,$U:$V,2,),)</f>
        <v/>
      </c>
      <c r="F9" s="5">
        <f>VLOOKUP($F$5,'Sectors Trend'!$B$6:$BB$23,VLOOKUP(A9,$U:$V,2,),)</f>
        <v/>
      </c>
      <c r="G9" s="5">
        <f>VLOOKUP($G$5,'Sectors Trend'!$B$6:$BB$23,VLOOKUP(A9,$U:$V,2,),)</f>
        <v/>
      </c>
      <c r="H9" s="5">
        <f>VLOOKUP($H$5,'Sectors Trend'!$B$6:$BB$23,VLOOKUP(A9,$U:$V,2,),)</f>
        <v/>
      </c>
      <c r="I9" s="5">
        <f>VLOOKUP($I$5,'Sectors Trend'!$B$6:$BB$23,VLOOKUP(A9,$U:$V,2,),)</f>
        <v/>
      </c>
      <c r="J9" s="5">
        <f>VLOOKUP($J$5,'Sectors Trend'!$B$6:$BB$23,VLOOKUP(A9,$U:$V,2,),)</f>
        <v/>
      </c>
      <c r="K9" s="5">
        <f>VLOOKUP($K$5,'Sectors Trend'!$B$6:$BB$23,VLOOKUP(A9,$U:$V,2,),)</f>
        <v/>
      </c>
      <c r="L9" s="5">
        <f>VLOOKUP($L$5,'Sectors Trend'!$B$6:$BB$23,VLOOKUP(A9,$U:$V,2,),)</f>
        <v/>
      </c>
      <c r="M9" s="5">
        <f>VLOOKUP($M$5,'Sectors Trend'!$B$6:$BB$23,VLOOKUP(A9,$U:$V,2,),)</f>
        <v/>
      </c>
      <c r="N9" s="5">
        <f>VLOOKUP($N$5,'Sectors Trend'!$B$6:$BB$23,VLOOKUP(A9,$U:$V,2,),)</f>
        <v/>
      </c>
      <c r="O9" s="5">
        <f>VLOOKUP($O$5,'Sectors Trend'!$B$6:$BB$23,VLOOKUP(A9,$U:$V,2,),)</f>
        <v/>
      </c>
      <c r="P9" s="5">
        <f>VLOOKUP($P$5,'Sectors Trend'!$B$6:$BB$23,VLOOKUP(A9,$U:$V,2,),)</f>
        <v/>
      </c>
      <c r="Q9" s="5">
        <f>VLOOKUP($Q$5,'Sectors Trend'!$B$6:$BB$23,VLOOKUP(A9,$U:$V,2,),)</f>
        <v/>
      </c>
      <c r="R9" s="5">
        <f>VLOOKUP($R$5,'Sectors Trend'!$B$6:$BB$23,VLOOKUP(A9,$U:$V,2,),)</f>
        <v/>
      </c>
      <c r="S9" s="68">
        <f>VLOOKUP($S$5,'Sectors Trend'!$B$6:$BB$23,VLOOKUP(A9,$U:$V,2,),)</f>
        <v/>
      </c>
      <c r="U9" s="62">
        <f>DATE(YEAR(U10),MONTH(U10)-1,DAY(U10))</f>
        <v/>
      </c>
      <c r="V9" s="1">
        <f>V10-1</f>
        <v/>
      </c>
    </row>
    <row r="10">
      <c r="A10" s="67">
        <f>DATE(YEAR(A11),MONTH(A11)-1,DAY(A11))</f>
        <v/>
      </c>
      <c r="B10" s="5">
        <f>VLOOKUP($B$5,'Sectors Trend'!$B$6:$BB$23,VLOOKUP(A10,$U:$V,2,),)</f>
        <v/>
      </c>
      <c r="C10" s="5">
        <f>VLOOKUP($C$5,'Sectors Trend'!$B$6:$BB$23,VLOOKUP(A10,$U:$V,2,),)</f>
        <v/>
      </c>
      <c r="D10" s="5">
        <f>VLOOKUP($D$5,'Sectors Trend'!$B$6:$BB$23,VLOOKUP(A10,$U:$V,2,),)</f>
        <v/>
      </c>
      <c r="E10" s="5">
        <f>VLOOKUP($E$5,'Sectors Trend'!$B$6:$BB$23,VLOOKUP(A10,$U:$V,2,),)</f>
        <v/>
      </c>
      <c r="F10" s="5">
        <f>VLOOKUP($F$5,'Sectors Trend'!$B$6:$BB$23,VLOOKUP(A10,$U:$V,2,),)</f>
        <v/>
      </c>
      <c r="G10" s="5">
        <f>VLOOKUP($G$5,'Sectors Trend'!$B$6:$BB$23,VLOOKUP(A10,$U:$V,2,),)</f>
        <v/>
      </c>
      <c r="H10" s="5">
        <f>VLOOKUP($H$5,'Sectors Trend'!$B$6:$BB$23,VLOOKUP(A10,$U:$V,2,),)</f>
        <v/>
      </c>
      <c r="I10" s="5">
        <f>VLOOKUP($I$5,'Sectors Trend'!$B$6:$BB$23,VLOOKUP(A10,$U:$V,2,),)</f>
        <v/>
      </c>
      <c r="J10" s="5">
        <f>VLOOKUP($J$5,'Sectors Trend'!$B$6:$BB$23,VLOOKUP(A10,$U:$V,2,),)</f>
        <v/>
      </c>
      <c r="K10" s="5">
        <f>VLOOKUP($K$5,'Sectors Trend'!$B$6:$BB$23,VLOOKUP(A10,$U:$V,2,),)</f>
        <v/>
      </c>
      <c r="L10" s="5">
        <f>VLOOKUP($L$5,'Sectors Trend'!$B$6:$BB$23,VLOOKUP(A10,$U:$V,2,),)</f>
        <v/>
      </c>
      <c r="M10" s="5">
        <f>VLOOKUP($M$5,'Sectors Trend'!$B$6:$BB$23,VLOOKUP(A10,$U:$V,2,),)</f>
        <v/>
      </c>
      <c r="N10" s="5">
        <f>VLOOKUP($N$5,'Sectors Trend'!$B$6:$BB$23,VLOOKUP(A10,$U:$V,2,),)</f>
        <v/>
      </c>
      <c r="O10" s="5">
        <f>VLOOKUP($O$5,'Sectors Trend'!$B$6:$BB$23,VLOOKUP(A10,$U:$V,2,),)</f>
        <v/>
      </c>
      <c r="P10" s="5">
        <f>VLOOKUP($P$5,'Sectors Trend'!$B$6:$BB$23,VLOOKUP(A10,$U:$V,2,),)</f>
        <v/>
      </c>
      <c r="Q10" s="5">
        <f>VLOOKUP($Q$5,'Sectors Trend'!$B$6:$BB$23,VLOOKUP(A10,$U:$V,2,),)</f>
        <v/>
      </c>
      <c r="R10" s="5">
        <f>VLOOKUP($R$5,'Sectors Trend'!$B$6:$BB$23,VLOOKUP(A10,$U:$V,2,),)</f>
        <v/>
      </c>
      <c r="S10" s="68">
        <f>VLOOKUP($S$5,'Sectors Trend'!$B$6:$BB$23,VLOOKUP(A10,$U:$V,2,),)</f>
        <v/>
      </c>
      <c r="U10" s="62">
        <f>DATE(YEAR(U11),MONTH(U11)-1,DAY(U11))</f>
        <v/>
      </c>
      <c r="V10" s="1">
        <f>V11-1</f>
        <v/>
      </c>
    </row>
    <row r="11" ht="16" customHeight="1" thickBot="1">
      <c r="A11" s="69">
        <f>L1</f>
        <v/>
      </c>
      <c r="B11" s="70">
        <f>VLOOKUP($B$5,'Sectors Trend'!$B$6:$BB$23,VLOOKUP(A11,$U:$V,2,),)</f>
        <v/>
      </c>
      <c r="C11" s="70">
        <f>VLOOKUP($C$5,'Sectors Trend'!$B$6:$BB$23,VLOOKUP(A11,$U:$V,2,),)</f>
        <v/>
      </c>
      <c r="D11" s="70">
        <f>VLOOKUP($D$5,'Sectors Trend'!$B$6:$BB$23,VLOOKUP(A11,$U:$V,2,),)</f>
        <v/>
      </c>
      <c r="E11" s="70">
        <f>VLOOKUP($E$5,'Sectors Trend'!$B$6:$BB$23,VLOOKUP(A11,$U:$V,2,),)</f>
        <v/>
      </c>
      <c r="F11" s="70">
        <f>VLOOKUP($F$5,'Sectors Trend'!$B$6:$BB$23,VLOOKUP(A11,$U:$V,2,),)</f>
        <v/>
      </c>
      <c r="G11" s="70">
        <f>VLOOKUP($G$5,'Sectors Trend'!$B$6:$BB$23,VLOOKUP(A11,$U:$V,2,),)</f>
        <v/>
      </c>
      <c r="H11" s="70">
        <f>VLOOKUP($H$5,'Sectors Trend'!$B$6:$BB$23,VLOOKUP(A11,$U:$V,2,),)</f>
        <v/>
      </c>
      <c r="I11" s="70">
        <f>VLOOKUP($I$5,'Sectors Trend'!$B$6:$BB$23,VLOOKUP(A11,$U:$V,2,),)</f>
        <v/>
      </c>
      <c r="J11" s="70">
        <f>VLOOKUP($J$5,'Sectors Trend'!$B$6:$BB$23,VLOOKUP(A11,$U:$V,2,),)</f>
        <v/>
      </c>
      <c r="K11" s="70">
        <f>VLOOKUP($K$5,'Sectors Trend'!$B$6:$BB$23,VLOOKUP(A11,$U:$V,2,),)</f>
        <v/>
      </c>
      <c r="L11" s="70">
        <f>VLOOKUP($L$5,'Sectors Trend'!$B$6:$BB$23,VLOOKUP(A11,$U:$V,2,),)</f>
        <v/>
      </c>
      <c r="M11" s="70">
        <f>VLOOKUP($M$5,'Sectors Trend'!$B$6:$BB$23,VLOOKUP(A11,$U:$V,2,),)</f>
        <v/>
      </c>
      <c r="N11" s="70">
        <f>VLOOKUP($N$5,'Sectors Trend'!$B$6:$BB$23,VLOOKUP(A11,$U:$V,2,),)</f>
        <v/>
      </c>
      <c r="O11" s="70">
        <f>VLOOKUP($O$5,'Sectors Trend'!$B$6:$BB$23,VLOOKUP(A11,$U:$V,2,),)</f>
        <v/>
      </c>
      <c r="P11" s="70">
        <f>VLOOKUP($P$5,'Sectors Trend'!$B$6:$BB$23,VLOOKUP(A11,$U:$V,2,),)</f>
        <v/>
      </c>
      <c r="Q11" s="70">
        <f>VLOOKUP($Q$5,'Sectors Trend'!$B$6:$BB$23,VLOOKUP(A11,$U:$V,2,),)</f>
        <v/>
      </c>
      <c r="R11" s="70">
        <f>VLOOKUP($R$5,'Sectors Trend'!$B$6:$BB$23,VLOOKUP(A11,$U:$V,2,),)</f>
        <v/>
      </c>
      <c r="S11" s="71">
        <f>VLOOKUP($S$5,'Sectors Trend'!$B$6:$BB$23,VLOOKUP(A11,$U:$V,2,),)</f>
        <v/>
      </c>
      <c r="U11" s="62">
        <f>L1</f>
        <v/>
      </c>
      <c r="V11" s="1">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90" zoomScaleNormal="90" workbookViewId="0">
      <selection activeCell="E68" sqref="E68"/>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61"/>
    <col width="9.1796875" customWidth="1" style="97" min="62" max="16384"/>
  </cols>
  <sheetData>
    <row r="1">
      <c r="J1" s="97" t="inlineStr">
        <is>
          <t>Last Month</t>
        </is>
      </c>
      <c r="L1" s="62">
        <f>Sectors!L1</f>
        <v/>
      </c>
      <c r="O1" s="6" t="n"/>
    </row>
    <row r="2">
      <c r="L2" s="97">
        <f>Sectors!L2</f>
        <v/>
      </c>
      <c r="Y2" s="62" t="n"/>
    </row>
    <row r="4" ht="16" customHeight="1" thickBot="1">
      <c r="U4" s="62">
        <f>DATE(YEAR(U5),MONTH(U5)-1,DAY(U5))</f>
        <v/>
      </c>
      <c r="V4" s="13">
        <f>V5-1</f>
        <v/>
      </c>
    </row>
    <row r="5" ht="61.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Trend'!$B$28:$BB$45,VLOOKUP(A6,$U:$V,2,),)</f>
        <v/>
      </c>
      <c r="C6" s="65">
        <f>VLOOKUP($C$5,'Sectors Trend'!$B$28:$BB$45,VLOOKUP(A6,$U:$V,2,),)</f>
        <v/>
      </c>
      <c r="D6" s="65">
        <f>VLOOKUP($D$5,'Sectors Trend'!$B$28:$BB$45,VLOOKUP(A6,$U:$V,2,),)</f>
        <v/>
      </c>
      <c r="E6" s="65">
        <f>VLOOKUP($E$5,'Sectors Trend'!$B$28:$BB$45,VLOOKUP(A6,$U:$V,2,),)</f>
        <v/>
      </c>
      <c r="F6" s="65">
        <f>VLOOKUP($F$5,'Sectors Trend'!$B$28:$BB$45,VLOOKUP(A6,$U:$V,2,),)</f>
        <v/>
      </c>
      <c r="G6" s="65">
        <f>VLOOKUP($G$5,'Sectors Trend'!$B$28:$BB$45,VLOOKUP(A6,$U:$V,2,),)</f>
        <v/>
      </c>
      <c r="H6" s="65">
        <f>VLOOKUP($H$5,'Sectors Trend'!$B$28:$BB$45,VLOOKUP(A6,$U:$V,2,),)</f>
        <v/>
      </c>
      <c r="I6" s="65">
        <f>VLOOKUP($I$5,'Sectors Trend'!$B$28:$BB$45,VLOOKUP(A6,$U:$V,2,),)</f>
        <v/>
      </c>
      <c r="J6" s="65">
        <f>VLOOKUP($J$5,'Sectors Trend'!$B$28:$BB$45,VLOOKUP(A6,$U:$V,2,),)</f>
        <v/>
      </c>
      <c r="K6" s="65">
        <f>VLOOKUP($K$5,'Sectors Trend'!$B$28:$BB$45,VLOOKUP(A6,$U:$V,2,),)</f>
        <v/>
      </c>
      <c r="L6" s="65">
        <f>VLOOKUP($L$5,'Sectors Trend'!$B$28:$BB$45,VLOOKUP(A6,$U:$V,2,),)</f>
        <v/>
      </c>
      <c r="M6" s="65">
        <f>VLOOKUP($M$5,'Sectors Trend'!$B$28:$BB$45,VLOOKUP(A6,$U:$V,2,),)</f>
        <v/>
      </c>
      <c r="N6" s="65">
        <f>VLOOKUP($N$5,'Sectors Trend'!$B$28:$BB$45,VLOOKUP(A6,$U:$V,2,),)</f>
        <v/>
      </c>
      <c r="O6" s="65">
        <f>VLOOKUP($O$5,'Sectors Trend'!$B$28:$BB$45,VLOOKUP(A6,$U:$V,2,),)</f>
        <v/>
      </c>
      <c r="P6" s="65">
        <f>VLOOKUP($P$5,'Sectors Trend'!$B$28:$BB$45,VLOOKUP(A6,$U:$V,2,),)</f>
        <v/>
      </c>
      <c r="Q6" s="65">
        <f>VLOOKUP($Q$5,'Sectors Trend'!$B$28:$BB$45,VLOOKUP(A6,$U:$V,2,),)</f>
        <v/>
      </c>
      <c r="R6" s="65">
        <f>VLOOKUP($R$5,'Sectors Trend'!$B$28:$BB$45,VLOOKUP(A6,$U:$V,2,),)</f>
        <v/>
      </c>
      <c r="S6" s="66">
        <f>VLOOKUP($S$5,'Sectors Trend'!$B$28:$BB$45,VLOOKUP(A6,$U:$V,2,),)</f>
        <v/>
      </c>
      <c r="U6" s="62">
        <f>DATE(YEAR(U7),MONTH(U7)-1,DAY(U7))</f>
        <v/>
      </c>
      <c r="V6" s="13">
        <f>V7-1</f>
        <v/>
      </c>
    </row>
    <row r="7">
      <c r="A7" s="67">
        <f>DATE(YEAR(A8),MONTH(A8)-1,DAY(A8))</f>
        <v/>
      </c>
      <c r="B7" s="5">
        <f>VLOOKUP($B$5,'Sectors Trend'!$B$28:$BB$45,VLOOKUP(A7,$U:$V,2,),)</f>
        <v/>
      </c>
      <c r="C7" s="5">
        <f>VLOOKUP($C$5,'Sectors Trend'!$B$28:$BB$45,VLOOKUP(A7,$U:$V,2,),)</f>
        <v/>
      </c>
      <c r="D7" s="5">
        <f>VLOOKUP($D$5,'Sectors Trend'!$B$28:$BB$45,VLOOKUP(A7,$U:$V,2,),)</f>
        <v/>
      </c>
      <c r="E7" s="5">
        <f>VLOOKUP($E$5,'Sectors Trend'!$B$28:$BB$45,VLOOKUP(A7,$U:$V,2,),)</f>
        <v/>
      </c>
      <c r="F7" s="5">
        <f>VLOOKUP($F$5,'Sectors Trend'!$B$28:$BB$45,VLOOKUP(A7,$U:$V,2,),)</f>
        <v/>
      </c>
      <c r="G7" s="5">
        <f>VLOOKUP($G$5,'Sectors Trend'!$B$28:$BB$45,VLOOKUP(A7,$U:$V,2,),)</f>
        <v/>
      </c>
      <c r="H7" s="5">
        <f>VLOOKUP($H$5,'Sectors Trend'!$B$28:$BB$45,VLOOKUP(A7,$U:$V,2,),)</f>
        <v/>
      </c>
      <c r="I7" s="5">
        <f>VLOOKUP($I$5,'Sectors Trend'!$B$28:$BB$45,VLOOKUP(A7,$U:$V,2,),)</f>
        <v/>
      </c>
      <c r="J7" s="5">
        <f>VLOOKUP($J$5,'Sectors Trend'!$B$28:$BB$45,VLOOKUP(A7,$U:$V,2,),)</f>
        <v/>
      </c>
      <c r="K7" s="5">
        <f>VLOOKUP($K$5,'Sectors Trend'!$B$28:$BB$45,VLOOKUP(A7,$U:$V,2,),)</f>
        <v/>
      </c>
      <c r="L7" s="5">
        <f>VLOOKUP($L$5,'Sectors Trend'!$B$28:$BB$45,VLOOKUP(A7,$U:$V,2,),)</f>
        <v/>
      </c>
      <c r="M7" s="5">
        <f>VLOOKUP($M$5,'Sectors Trend'!$B$28:$BB$45,VLOOKUP(A7,$U:$V,2,),)</f>
        <v/>
      </c>
      <c r="N7" s="5">
        <f>VLOOKUP($N$5,'Sectors Trend'!$B$28:$BB$45,VLOOKUP(A7,$U:$V,2,),)</f>
        <v/>
      </c>
      <c r="O7" s="5">
        <f>VLOOKUP($O$5,'Sectors Trend'!$B$28:$BB$45,VLOOKUP(A7,$U:$V,2,),)</f>
        <v/>
      </c>
      <c r="P7" s="5">
        <f>VLOOKUP($P$5,'Sectors Trend'!$B$28:$BB$45,VLOOKUP(A7,$U:$V,2,),)</f>
        <v/>
      </c>
      <c r="Q7" s="5">
        <f>VLOOKUP($Q$5,'Sectors Trend'!$B$28:$BB$45,VLOOKUP(A7,$U:$V,2,),)</f>
        <v/>
      </c>
      <c r="R7" s="5">
        <f>VLOOKUP($R$5,'Sectors Trend'!$B$28:$BB$45,VLOOKUP(A7,$U:$V,2,),)</f>
        <v/>
      </c>
      <c r="S7" s="68">
        <f>VLOOKUP($S$5,'Sectors Trend'!$B$28:$BB$45,VLOOKUP(A7,$U:$V,2,),)</f>
        <v/>
      </c>
      <c r="U7" s="62">
        <f>DATE(YEAR(U8),MONTH(U8)-1,DAY(U8))</f>
        <v/>
      </c>
      <c r="V7" s="13">
        <f>V8-1</f>
        <v/>
      </c>
    </row>
    <row r="8">
      <c r="A8" s="67">
        <f>DATE(YEAR(A9),MONTH(A9)-1,DAY(A9))</f>
        <v/>
      </c>
      <c r="B8" s="5">
        <f>VLOOKUP($B$5,'Sectors Trend'!$B$28:$BB$45,VLOOKUP(A8,$U:$V,2,),)</f>
        <v/>
      </c>
      <c r="C8" s="5">
        <f>VLOOKUP($C$5,'Sectors Trend'!$B$28:$BB$45,VLOOKUP(A8,$U:$V,2,),)</f>
        <v/>
      </c>
      <c r="D8" s="5">
        <f>VLOOKUP($D$5,'Sectors Trend'!$B$28:$BB$45,VLOOKUP(A8,$U:$V,2,),)</f>
        <v/>
      </c>
      <c r="E8" s="5">
        <f>VLOOKUP($E$5,'Sectors Trend'!$B$28:$BB$45,VLOOKUP(A8,$U:$V,2,),)</f>
        <v/>
      </c>
      <c r="F8" s="5">
        <f>VLOOKUP($F$5,'Sectors Trend'!$B$28:$BB$45,VLOOKUP(A8,$U:$V,2,),)</f>
        <v/>
      </c>
      <c r="G8" s="5">
        <f>VLOOKUP($G$5,'Sectors Trend'!$B$28:$BB$45,VLOOKUP(A8,$U:$V,2,),)</f>
        <v/>
      </c>
      <c r="H8" s="5">
        <f>VLOOKUP($H$5,'Sectors Trend'!$B$28:$BB$45,VLOOKUP(A8,$U:$V,2,),)</f>
        <v/>
      </c>
      <c r="I8" s="5">
        <f>VLOOKUP($I$5,'Sectors Trend'!$B$28:$BB$45,VLOOKUP(A8,$U:$V,2,),)</f>
        <v/>
      </c>
      <c r="J8" s="5">
        <f>VLOOKUP($J$5,'Sectors Trend'!$B$28:$BB$45,VLOOKUP(A8,$U:$V,2,),)</f>
        <v/>
      </c>
      <c r="K8" s="5">
        <f>VLOOKUP($K$5,'Sectors Trend'!$B$28:$BB$45,VLOOKUP(A8,$U:$V,2,),)</f>
        <v/>
      </c>
      <c r="L8" s="5">
        <f>VLOOKUP($L$5,'Sectors Trend'!$B$28:$BB$45,VLOOKUP(A8,$U:$V,2,),)</f>
        <v/>
      </c>
      <c r="M8" s="5">
        <f>VLOOKUP($M$5,'Sectors Trend'!$B$28:$BB$45,VLOOKUP(A8,$U:$V,2,),)</f>
        <v/>
      </c>
      <c r="N8" s="5">
        <f>VLOOKUP($N$5,'Sectors Trend'!$B$28:$BB$45,VLOOKUP(A8,$U:$V,2,),)</f>
        <v/>
      </c>
      <c r="O8" s="5">
        <f>VLOOKUP($O$5,'Sectors Trend'!$B$28:$BB$45,VLOOKUP(A8,$U:$V,2,),)</f>
        <v/>
      </c>
      <c r="P8" s="5">
        <f>VLOOKUP($P$5,'Sectors Trend'!$B$28:$BB$45,VLOOKUP(A8,$U:$V,2,),)</f>
        <v/>
      </c>
      <c r="Q8" s="5">
        <f>VLOOKUP($Q$5,'Sectors Trend'!$B$28:$BB$45,VLOOKUP(A8,$U:$V,2,),)</f>
        <v/>
      </c>
      <c r="R8" s="5">
        <f>VLOOKUP($R$5,'Sectors Trend'!$B$28:$BB$45,VLOOKUP(A8,$U:$V,2,),)</f>
        <v/>
      </c>
      <c r="S8" s="68">
        <f>VLOOKUP($S$5,'Sectors Trend'!$B$28:$BB$45,VLOOKUP(A8,$U:$V,2,),)</f>
        <v/>
      </c>
      <c r="U8" s="62">
        <f>DATE(YEAR(U9),MONTH(U9)-1,DAY(U9))</f>
        <v/>
      </c>
      <c r="V8" s="13">
        <f>V9-1</f>
        <v/>
      </c>
    </row>
    <row r="9">
      <c r="A9" s="67">
        <f>DATE(YEAR(A10),MONTH(A10)-1,DAY(A10))</f>
        <v/>
      </c>
      <c r="B9" s="5">
        <f>VLOOKUP($B$5,'Sectors Trend'!$B$28:$BB$45,VLOOKUP(A9,$U:$V,2,),)</f>
        <v/>
      </c>
      <c r="C9" s="5">
        <f>VLOOKUP($C$5,'Sectors Trend'!$B$28:$BB$45,VLOOKUP(A9,$U:$V,2,),)</f>
        <v/>
      </c>
      <c r="D9" s="5">
        <f>VLOOKUP($D$5,'Sectors Trend'!$B$28:$BB$45,VLOOKUP(A9,$U:$V,2,),)</f>
        <v/>
      </c>
      <c r="E9" s="5">
        <f>VLOOKUP($E$5,'Sectors Trend'!$B$28:$BB$45,VLOOKUP(A9,$U:$V,2,),)</f>
        <v/>
      </c>
      <c r="F9" s="5">
        <f>VLOOKUP($F$5,'Sectors Trend'!$B$28:$BB$45,VLOOKUP(A9,$U:$V,2,),)</f>
        <v/>
      </c>
      <c r="G9" s="5">
        <f>VLOOKUP($G$5,'Sectors Trend'!$B$28:$BB$45,VLOOKUP(A9,$U:$V,2,),)</f>
        <v/>
      </c>
      <c r="H9" s="5">
        <f>VLOOKUP($H$5,'Sectors Trend'!$B$28:$BB$45,VLOOKUP(A9,$U:$V,2,),)</f>
        <v/>
      </c>
      <c r="I9" s="5">
        <f>VLOOKUP($I$5,'Sectors Trend'!$B$28:$BB$45,VLOOKUP(A9,$U:$V,2,),)</f>
        <v/>
      </c>
      <c r="J9" s="5">
        <f>VLOOKUP($J$5,'Sectors Trend'!$B$28:$BB$45,VLOOKUP(A9,$U:$V,2,),)</f>
        <v/>
      </c>
      <c r="K9" s="5">
        <f>VLOOKUP($K$5,'Sectors Trend'!$B$28:$BB$45,VLOOKUP(A9,$U:$V,2,),)</f>
        <v/>
      </c>
      <c r="L9" s="5">
        <f>VLOOKUP($L$5,'Sectors Trend'!$B$28:$BB$45,VLOOKUP(A9,$U:$V,2,),)</f>
        <v/>
      </c>
      <c r="M9" s="5">
        <f>VLOOKUP($M$5,'Sectors Trend'!$B$28:$BB$45,VLOOKUP(A9,$U:$V,2,),)</f>
        <v/>
      </c>
      <c r="N9" s="5">
        <f>VLOOKUP($N$5,'Sectors Trend'!$B$28:$BB$45,VLOOKUP(A9,$U:$V,2,),)</f>
        <v/>
      </c>
      <c r="O9" s="5">
        <f>VLOOKUP($O$5,'Sectors Trend'!$B$28:$BB$45,VLOOKUP(A9,$U:$V,2,),)</f>
        <v/>
      </c>
      <c r="P9" s="5">
        <f>VLOOKUP($P$5,'Sectors Trend'!$B$28:$BB$45,VLOOKUP(A9,$U:$V,2,),)</f>
        <v/>
      </c>
      <c r="Q9" s="5">
        <f>VLOOKUP($Q$5,'Sectors Trend'!$B$28:$BB$45,VLOOKUP(A9,$U:$V,2,),)</f>
        <v/>
      </c>
      <c r="R9" s="5">
        <f>VLOOKUP($R$5,'Sectors Trend'!$B$28:$BB$45,VLOOKUP(A9,$U:$V,2,),)</f>
        <v/>
      </c>
      <c r="S9" s="68">
        <f>VLOOKUP($S$5,'Sectors Trend'!$B$28:$BB$45,VLOOKUP(A9,$U:$V,2,),)</f>
        <v/>
      </c>
      <c r="U9" s="62">
        <f>DATE(YEAR(U10),MONTH(U10)-1,DAY(U10))</f>
        <v/>
      </c>
      <c r="V9" s="13">
        <f>V10-1</f>
        <v/>
      </c>
    </row>
    <row r="10">
      <c r="A10" s="67">
        <f>DATE(YEAR(A11),MONTH(A11)-1,DAY(A11))</f>
        <v/>
      </c>
      <c r="B10" s="5">
        <f>VLOOKUP($B$5,'Sectors Trend'!$B$28:$BB$45,VLOOKUP(A10,$U:$V,2,),)</f>
        <v/>
      </c>
      <c r="C10" s="5">
        <f>VLOOKUP($C$5,'Sectors Trend'!$B$28:$BB$45,VLOOKUP(A10,$U:$V,2,),)</f>
        <v/>
      </c>
      <c r="D10" s="5">
        <f>VLOOKUP($D$5,'Sectors Trend'!$B$28:$BB$45,VLOOKUP(A10,$U:$V,2,),)</f>
        <v/>
      </c>
      <c r="E10" s="5">
        <f>VLOOKUP($E$5,'Sectors Trend'!$B$28:$BB$45,VLOOKUP(A10,$U:$V,2,),)</f>
        <v/>
      </c>
      <c r="F10" s="5">
        <f>VLOOKUP($F$5,'Sectors Trend'!$B$28:$BB$45,VLOOKUP(A10,$U:$V,2,),)</f>
        <v/>
      </c>
      <c r="G10" s="5">
        <f>VLOOKUP($G$5,'Sectors Trend'!$B$28:$BB$45,VLOOKUP(A10,$U:$V,2,),)</f>
        <v/>
      </c>
      <c r="H10" s="5">
        <f>VLOOKUP($H$5,'Sectors Trend'!$B$28:$BB$45,VLOOKUP(A10,$U:$V,2,),)</f>
        <v/>
      </c>
      <c r="I10" s="5">
        <f>VLOOKUP($I$5,'Sectors Trend'!$B$28:$BB$45,VLOOKUP(A10,$U:$V,2,),)</f>
        <v/>
      </c>
      <c r="J10" s="5">
        <f>VLOOKUP($J$5,'Sectors Trend'!$B$28:$BB$45,VLOOKUP(A10,$U:$V,2,),)</f>
        <v/>
      </c>
      <c r="K10" s="5">
        <f>VLOOKUP($K$5,'Sectors Trend'!$B$28:$BB$45,VLOOKUP(A10,$U:$V,2,),)</f>
        <v/>
      </c>
      <c r="L10" s="5">
        <f>VLOOKUP($L$5,'Sectors Trend'!$B$28:$BB$45,VLOOKUP(A10,$U:$V,2,),)</f>
        <v/>
      </c>
      <c r="M10" s="5">
        <f>VLOOKUP($M$5,'Sectors Trend'!$B$28:$BB$45,VLOOKUP(A10,$U:$V,2,),)</f>
        <v/>
      </c>
      <c r="N10" s="5">
        <f>VLOOKUP($N$5,'Sectors Trend'!$B$28:$BB$45,VLOOKUP(A10,$U:$V,2,),)</f>
        <v/>
      </c>
      <c r="O10" s="5">
        <f>VLOOKUP($O$5,'Sectors Trend'!$B$28:$BB$45,VLOOKUP(A10,$U:$V,2,),)</f>
        <v/>
      </c>
      <c r="P10" s="5">
        <f>VLOOKUP($P$5,'Sectors Trend'!$B$28:$BB$45,VLOOKUP(A10,$U:$V,2,),)</f>
        <v/>
      </c>
      <c r="Q10" s="5">
        <f>VLOOKUP($Q$5,'Sectors Trend'!$B$28:$BB$45,VLOOKUP(A10,$U:$V,2,),)</f>
        <v/>
      </c>
      <c r="R10" s="5">
        <f>VLOOKUP($R$5,'Sectors Trend'!$B$28:$BB$45,VLOOKUP(A10,$U:$V,2,),)</f>
        <v/>
      </c>
      <c r="S10" s="68">
        <f>VLOOKUP($S$5,'Sectors Trend'!$B$28:$BB$45,VLOOKUP(A10,$U:$V,2,),)</f>
        <v/>
      </c>
      <c r="U10" s="62">
        <f>DATE(YEAR(U11),MONTH(U11)-1,DAY(U11))</f>
        <v/>
      </c>
      <c r="V10" s="13">
        <f>V11-1</f>
        <v/>
      </c>
    </row>
    <row r="11" ht="16" customHeight="1" thickBot="1">
      <c r="A11" s="69">
        <f>L1</f>
        <v/>
      </c>
      <c r="B11" s="70">
        <f>VLOOKUP($B$5,'Sectors Trend'!$B$28:$BB$45,VLOOKUP(A11,$U:$V,2,),)</f>
        <v/>
      </c>
      <c r="C11" s="70">
        <f>VLOOKUP($C$5,'Sectors Trend'!$B$28:$BB$45,VLOOKUP(A11,$U:$V,2,),)</f>
        <v/>
      </c>
      <c r="D11" s="70">
        <f>VLOOKUP($D$5,'Sectors Trend'!$B$28:$BB$45,VLOOKUP(A11,$U:$V,2,),)</f>
        <v/>
      </c>
      <c r="E11" s="70">
        <f>VLOOKUP($E$5,'Sectors Trend'!$B$28:$BB$45,VLOOKUP(A11,$U:$V,2,),)</f>
        <v/>
      </c>
      <c r="F11" s="70">
        <f>VLOOKUP($F$5,'Sectors Trend'!$B$28:$BB$45,VLOOKUP(A11,$U:$V,2,),)</f>
        <v/>
      </c>
      <c r="G11" s="70">
        <f>VLOOKUP($G$5,'Sectors Trend'!$B$28:$BB$45,VLOOKUP(A11,$U:$V,2,),)</f>
        <v/>
      </c>
      <c r="H11" s="70">
        <f>VLOOKUP($H$5,'Sectors Trend'!$B$28:$BB$45,VLOOKUP(A11,$U:$V,2,),)</f>
        <v/>
      </c>
      <c r="I11" s="70">
        <f>VLOOKUP($I$5,'Sectors Trend'!$B$28:$BB$45,VLOOKUP(A11,$U:$V,2,),)</f>
        <v/>
      </c>
      <c r="J11" s="70">
        <f>VLOOKUP($J$5,'Sectors Trend'!$B$28:$BB$45,VLOOKUP(A11,$U:$V,2,),)</f>
        <v/>
      </c>
      <c r="K11" s="70">
        <f>VLOOKUP($K$5,'Sectors Trend'!$B$28:$BB$45,VLOOKUP(A11,$U:$V,2,),)</f>
        <v/>
      </c>
      <c r="L11" s="70">
        <f>VLOOKUP($L$5,'Sectors Trend'!$B$28:$BB$45,VLOOKUP(A11,$U:$V,2,),)</f>
        <v/>
      </c>
      <c r="M11" s="70">
        <f>VLOOKUP($M$5,'Sectors Trend'!$B$28:$BB$45,VLOOKUP(A11,$U:$V,2,),)</f>
        <v/>
      </c>
      <c r="N11" s="70">
        <f>VLOOKUP($N$5,'Sectors Trend'!$B$28:$BB$45,VLOOKUP(A11,$U:$V,2,),)</f>
        <v/>
      </c>
      <c r="O11" s="70">
        <f>VLOOKUP($O$5,'Sectors Trend'!$B$28:$BB$45,VLOOKUP(A11,$U:$V,2,),)</f>
        <v/>
      </c>
      <c r="P11" s="70">
        <f>VLOOKUP($P$5,'Sectors Trend'!$B$28:$BB$45,VLOOKUP(A11,$U:$V,2,),)</f>
        <v/>
      </c>
      <c r="Q11" s="70">
        <f>VLOOKUP($Q$5,'Sectors Trend'!$B$28:$BB$45,VLOOKUP(A11,$U:$V,2,),)</f>
        <v/>
      </c>
      <c r="R11" s="70">
        <f>VLOOKUP($R$5,'Sectors Trend'!$B$28:$BB$45,VLOOKUP(A11,$U:$V,2,),)</f>
        <v/>
      </c>
      <c r="S11" s="71">
        <f>VLOOKUP($S$5,'Sectors Trend'!$B$28:$BB$45,VLOOKUP(A11,$U:$V,2,),)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90" zoomScaleNormal="90" workbookViewId="0">
      <selection activeCell="C255" sqref="C255"/>
    </sheetView>
  </sheetViews>
  <sheetFormatPr baseColWidth="8" defaultColWidth="9.1796875" defaultRowHeight="14.5"/>
  <cols>
    <col width="9.6328125" customWidth="1" style="97" min="1" max="1"/>
    <col width="8.81640625" customWidth="1" style="97" min="2" max="18"/>
    <col width="11.36328125" customWidth="1" style="97" min="19" max="19"/>
    <col width="8.81640625" customWidth="1" style="97" min="20" max="20"/>
    <col width="9.1796875" customWidth="1" style="97" min="21" max="61"/>
    <col width="9.1796875" customWidth="1" style="97" min="62" max="16384"/>
  </cols>
  <sheetData>
    <row r="1">
      <c r="J1" s="97" t="inlineStr">
        <is>
          <t>Last Month</t>
        </is>
      </c>
      <c r="L1" s="62">
        <f>Sectors!L1</f>
        <v/>
      </c>
      <c r="O1" s="6" t="n"/>
    </row>
    <row r="2">
      <c r="L2" s="97">
        <f>Sectors!L2</f>
        <v/>
      </c>
      <c r="Y2" s="62" t="n"/>
    </row>
    <row r="4" ht="16" customHeight="1" thickBot="1">
      <c r="U4" s="62">
        <f>DATE(YEAR(U5),MONTH(U5)-1,DAY(U5))</f>
        <v/>
      </c>
      <c r="V4" s="13">
        <f>V5-1</f>
        <v/>
      </c>
    </row>
    <row r="5" ht="45" customHeight="1" thickBot="1">
      <c r="B5" s="82" t="inlineStr">
        <is>
          <t>Machinery</t>
        </is>
      </c>
      <c r="C5" s="83" t="inlineStr">
        <is>
          <t>Computer &amp; Electronic Products</t>
        </is>
      </c>
      <c r="D5" s="83" t="inlineStr">
        <is>
          <t>Paper Products</t>
        </is>
      </c>
      <c r="E5" s="83" t="inlineStr">
        <is>
          <t>Apparel, Leather &amp; Allied Products</t>
        </is>
      </c>
      <c r="F5" s="83" t="inlineStr">
        <is>
          <t>Printing &amp; Related Support Activities</t>
        </is>
      </c>
      <c r="G5" s="83" t="inlineStr">
        <is>
          <t>Primary Metals</t>
        </is>
      </c>
      <c r="H5" s="83" t="inlineStr">
        <is>
          <t>Nonmetallic Mineral Products</t>
        </is>
      </c>
      <c r="I5" s="83" t="inlineStr">
        <is>
          <t>Petroleum &amp; Coal Products</t>
        </is>
      </c>
      <c r="J5" s="83" t="inlineStr">
        <is>
          <t>Plastics &amp; Rubber Products</t>
        </is>
      </c>
      <c r="K5" s="83" t="inlineStr">
        <is>
          <t>Miscellaneous Manufacturing</t>
        </is>
      </c>
      <c r="L5" s="83" t="inlineStr">
        <is>
          <t>Food, Beverage &amp; Tobacco Products</t>
        </is>
      </c>
      <c r="M5" s="83" t="inlineStr">
        <is>
          <t>Furniture &amp; Related Products</t>
        </is>
      </c>
      <c r="N5" s="83" t="inlineStr">
        <is>
          <t>Transportation Equipment</t>
        </is>
      </c>
      <c r="O5" s="83" t="inlineStr">
        <is>
          <t>Chemical Products</t>
        </is>
      </c>
      <c r="P5" s="83" t="inlineStr">
        <is>
          <t>Fabricated Metal Products</t>
        </is>
      </c>
      <c r="Q5" s="83" t="inlineStr">
        <is>
          <t>Electrical Equipment, Appliances &amp; Components</t>
        </is>
      </c>
      <c r="R5" s="83" t="inlineStr">
        <is>
          <t>Textile Mills</t>
        </is>
      </c>
      <c r="S5" s="63" t="inlineStr">
        <is>
          <t>Wood Products</t>
        </is>
      </c>
      <c r="U5" s="62">
        <f>DATE(YEAR(U6),MONTH(U6)-1,DAY(U6))</f>
        <v/>
      </c>
      <c r="V5" s="13">
        <f>V6-1</f>
        <v/>
      </c>
    </row>
    <row r="6">
      <c r="A6" s="64">
        <f>DATE(YEAR(A7),MONTH(A7)-1,DAY(A7))</f>
        <v/>
      </c>
      <c r="B6" s="65">
        <f>VLOOKUP($B$5,'Sectors Trend'!$B$50:$BB$67,VLOOKUP(A6,$U:$V,2,),)</f>
        <v/>
      </c>
      <c r="C6" s="65">
        <f>VLOOKUP($C$5,'Sectors Trend'!$B$50:$BB$67,VLOOKUP(A6,$U:$V,2,),)</f>
        <v/>
      </c>
      <c r="D6" s="65">
        <f>VLOOKUP($D$5,'Sectors Trend'!$B$50:$BB$67,VLOOKUP(A6,$U:$V,2,),)</f>
        <v/>
      </c>
      <c r="E6" s="65">
        <f>VLOOKUP($E$5,'Sectors Trend'!$B$50:$BB$67,VLOOKUP(A6,$U:$V,2,),)</f>
        <v/>
      </c>
      <c r="F6" s="65">
        <f>VLOOKUP($F$5,'Sectors Trend'!$B$50:$BB$67,VLOOKUP(A6,$U:$V,2,),)</f>
        <v/>
      </c>
      <c r="G6" s="65">
        <f>VLOOKUP($G$5,'Sectors Trend'!$B$50:$BB$67,VLOOKUP(A6,$U:$V,2,),)</f>
        <v/>
      </c>
      <c r="H6" s="65">
        <f>VLOOKUP($H$5,'Sectors Trend'!$B$50:$BB$67,VLOOKUP(A6,$U:$V,2,),)</f>
        <v/>
      </c>
      <c r="I6" s="65">
        <f>VLOOKUP($I$5,'Sectors Trend'!$B$50:$BB$67,VLOOKUP(A6,$U:$V,2,),)</f>
        <v/>
      </c>
      <c r="J6" s="65">
        <f>VLOOKUP($J$5,'Sectors Trend'!$B$50:$BB$67,VLOOKUP(A6,$U:$V,2,),)</f>
        <v/>
      </c>
      <c r="K6" s="65">
        <f>VLOOKUP($K$5,'Sectors Trend'!$B$50:$BB$67,VLOOKUP(A6,$U:$V,2,),)</f>
        <v/>
      </c>
      <c r="L6" s="65">
        <f>VLOOKUP($L$5,'Sectors Trend'!$B$50:$BB$67,VLOOKUP(A6,$U:$V,2,),)</f>
        <v/>
      </c>
      <c r="M6" s="65">
        <f>VLOOKUP($M$5,'Sectors Trend'!$B$50:$BB$67,VLOOKUP(A6,$U:$V,2,),)</f>
        <v/>
      </c>
      <c r="N6" s="65">
        <f>VLOOKUP($N$5,'Sectors Trend'!$B$50:$BB$67,VLOOKUP(A6,$U:$V,2,),)</f>
        <v/>
      </c>
      <c r="O6" s="65">
        <f>VLOOKUP($O$5,'Sectors Trend'!$B$50:$BB$67,VLOOKUP(A6,$U:$V,2,),)</f>
        <v/>
      </c>
      <c r="P6" s="65">
        <f>VLOOKUP($P$5,'Sectors Trend'!$B$50:$BB$67,VLOOKUP(A6,$U:$V,2,),)</f>
        <v/>
      </c>
      <c r="Q6" s="65">
        <f>VLOOKUP($Q$5,'Sectors Trend'!$B$50:$BB$67,VLOOKUP(A6,$U:$V,2,),)</f>
        <v/>
      </c>
      <c r="R6" s="65">
        <f>VLOOKUP($R$5,'Sectors Trend'!$B$50:$BB$67,VLOOKUP(A6,$U:$V,2,),)</f>
        <v/>
      </c>
      <c r="S6" s="66">
        <f>VLOOKUP($S$5,'Sectors Trend'!$B$50:$BB$67,VLOOKUP(A6,$U:$V,2,),)</f>
        <v/>
      </c>
      <c r="U6" s="62">
        <f>DATE(YEAR(U7),MONTH(U7)-1,DAY(U7))</f>
        <v/>
      </c>
      <c r="V6" s="13">
        <f>V7-1</f>
        <v/>
      </c>
    </row>
    <row r="7">
      <c r="A7" s="67">
        <f>DATE(YEAR(A8),MONTH(A8)-1,DAY(A8))</f>
        <v/>
      </c>
      <c r="B7" s="5">
        <f>VLOOKUP($B$5,'Sectors Trend'!$B$50:$BB$67,VLOOKUP(A7,$U:$V,2,),)</f>
        <v/>
      </c>
      <c r="C7" s="5">
        <f>VLOOKUP($C$5,'Sectors Trend'!$B$50:$BB$67,VLOOKUP(A7,$U:$V,2,),)</f>
        <v/>
      </c>
      <c r="D7" s="5">
        <f>VLOOKUP($D$5,'Sectors Trend'!$B$50:$BB$67,VLOOKUP(A7,$U:$V,2,),)</f>
        <v/>
      </c>
      <c r="E7" s="5">
        <f>VLOOKUP($E$5,'Sectors Trend'!$B$50:$BB$67,VLOOKUP(A7,$U:$V,2,),)</f>
        <v/>
      </c>
      <c r="F7" s="5">
        <f>VLOOKUP($F$5,'Sectors Trend'!$B$50:$BB$67,VLOOKUP(A7,$U:$V,2,),)</f>
        <v/>
      </c>
      <c r="G7" s="5">
        <f>VLOOKUP($G$5,'Sectors Trend'!$B$50:$BB$67,VLOOKUP(A7,$U:$V,2,),)</f>
        <v/>
      </c>
      <c r="H7" s="5">
        <f>VLOOKUP($H$5,'Sectors Trend'!$B$50:$BB$67,VLOOKUP(A7,$U:$V,2,),)</f>
        <v/>
      </c>
      <c r="I7" s="5">
        <f>VLOOKUP($I$5,'Sectors Trend'!$B$50:$BB$67,VLOOKUP(A7,$U:$V,2,),)</f>
        <v/>
      </c>
      <c r="J7" s="5">
        <f>VLOOKUP($J$5,'Sectors Trend'!$B$50:$BB$67,VLOOKUP(A7,$U:$V,2,),)</f>
        <v/>
      </c>
      <c r="K7" s="5">
        <f>VLOOKUP($K$5,'Sectors Trend'!$B$50:$BB$67,VLOOKUP(A7,$U:$V,2,),)</f>
        <v/>
      </c>
      <c r="L7" s="5">
        <f>VLOOKUP($L$5,'Sectors Trend'!$B$50:$BB$67,VLOOKUP(A7,$U:$V,2,),)</f>
        <v/>
      </c>
      <c r="M7" s="5">
        <f>VLOOKUP($M$5,'Sectors Trend'!$B$50:$BB$67,VLOOKUP(A7,$U:$V,2,),)</f>
        <v/>
      </c>
      <c r="N7" s="5">
        <f>VLOOKUP($N$5,'Sectors Trend'!$B$50:$BB$67,VLOOKUP(A7,$U:$V,2,),)</f>
        <v/>
      </c>
      <c r="O7" s="5">
        <f>VLOOKUP($O$5,'Sectors Trend'!$B$50:$BB$67,VLOOKUP(A7,$U:$V,2,),)</f>
        <v/>
      </c>
      <c r="P7" s="5">
        <f>VLOOKUP($P$5,'Sectors Trend'!$B$50:$BB$67,VLOOKUP(A7,$U:$V,2,),)</f>
        <v/>
      </c>
      <c r="Q7" s="5">
        <f>VLOOKUP($Q$5,'Sectors Trend'!$B$50:$BB$67,VLOOKUP(A7,$U:$V,2,),)</f>
        <v/>
      </c>
      <c r="R7" s="5">
        <f>VLOOKUP($R$5,'Sectors Trend'!$B$50:$BB$67,VLOOKUP(A7,$U:$V,2,),)</f>
        <v/>
      </c>
      <c r="S7" s="68">
        <f>VLOOKUP($S$5,'Sectors Trend'!$B$50:$BB$67,VLOOKUP(A7,$U:$V,2,),)</f>
        <v/>
      </c>
      <c r="U7" s="62">
        <f>DATE(YEAR(U8),MONTH(U8)-1,DAY(U8))</f>
        <v/>
      </c>
      <c r="V7" s="13">
        <f>V8-1</f>
        <v/>
      </c>
    </row>
    <row r="8">
      <c r="A8" s="67">
        <f>DATE(YEAR(A9),MONTH(A9)-1,DAY(A9))</f>
        <v/>
      </c>
      <c r="B8" s="5">
        <f>VLOOKUP($B$5,'Sectors Trend'!$B$50:$BB$67,VLOOKUP(A8,$U:$V,2,),)</f>
        <v/>
      </c>
      <c r="C8" s="5">
        <f>VLOOKUP($C$5,'Sectors Trend'!$B$50:$BB$67,VLOOKUP(A8,$U:$V,2,),)</f>
        <v/>
      </c>
      <c r="D8" s="5">
        <f>VLOOKUP($D$5,'Sectors Trend'!$B$50:$BB$67,VLOOKUP(A8,$U:$V,2,),)</f>
        <v/>
      </c>
      <c r="E8" s="5">
        <f>VLOOKUP($E$5,'Sectors Trend'!$B$50:$BB$67,VLOOKUP(A8,$U:$V,2,),)</f>
        <v/>
      </c>
      <c r="F8" s="5">
        <f>VLOOKUP($F$5,'Sectors Trend'!$B$50:$BB$67,VLOOKUP(A8,$U:$V,2,),)</f>
        <v/>
      </c>
      <c r="G8" s="5">
        <f>VLOOKUP($G$5,'Sectors Trend'!$B$50:$BB$67,VLOOKUP(A8,$U:$V,2,),)</f>
        <v/>
      </c>
      <c r="H8" s="5">
        <f>VLOOKUP($H$5,'Sectors Trend'!$B$50:$BB$67,VLOOKUP(A8,$U:$V,2,),)</f>
        <v/>
      </c>
      <c r="I8" s="5">
        <f>VLOOKUP($I$5,'Sectors Trend'!$B$50:$BB$67,VLOOKUP(A8,$U:$V,2,),)</f>
        <v/>
      </c>
      <c r="J8" s="5">
        <f>VLOOKUP($J$5,'Sectors Trend'!$B$50:$BB$67,VLOOKUP(A8,$U:$V,2,),)</f>
        <v/>
      </c>
      <c r="K8" s="5">
        <f>VLOOKUP($K$5,'Sectors Trend'!$B$50:$BB$67,VLOOKUP(A8,$U:$V,2,),)</f>
        <v/>
      </c>
      <c r="L8" s="5">
        <f>VLOOKUP($L$5,'Sectors Trend'!$B$50:$BB$67,VLOOKUP(A8,$U:$V,2,),)</f>
        <v/>
      </c>
      <c r="M8" s="5">
        <f>VLOOKUP($M$5,'Sectors Trend'!$B$50:$BB$67,VLOOKUP(A8,$U:$V,2,),)</f>
        <v/>
      </c>
      <c r="N8" s="5">
        <f>VLOOKUP($N$5,'Sectors Trend'!$B$50:$BB$67,VLOOKUP(A8,$U:$V,2,),)</f>
        <v/>
      </c>
      <c r="O8" s="5">
        <f>VLOOKUP($O$5,'Sectors Trend'!$B$50:$BB$67,VLOOKUP(A8,$U:$V,2,),)</f>
        <v/>
      </c>
      <c r="P8" s="5">
        <f>VLOOKUP($P$5,'Sectors Trend'!$B$50:$BB$67,VLOOKUP(A8,$U:$V,2,),)</f>
        <v/>
      </c>
      <c r="Q8" s="5">
        <f>VLOOKUP($Q$5,'Sectors Trend'!$B$50:$BB$67,VLOOKUP(A8,$U:$V,2,),)</f>
        <v/>
      </c>
      <c r="R8" s="5">
        <f>VLOOKUP($R$5,'Sectors Trend'!$B$50:$BB$67,VLOOKUP(A8,$U:$V,2,),)</f>
        <v/>
      </c>
      <c r="S8" s="68">
        <f>VLOOKUP($S$5,'Sectors Trend'!$B$50:$BB$67,VLOOKUP(A8,$U:$V,2,),)</f>
        <v/>
      </c>
      <c r="U8" s="62">
        <f>DATE(YEAR(U9),MONTH(U9)-1,DAY(U9))</f>
        <v/>
      </c>
      <c r="V8" s="13">
        <f>V9-1</f>
        <v/>
      </c>
    </row>
    <row r="9">
      <c r="A9" s="67">
        <f>DATE(YEAR(A10),MONTH(A10)-1,DAY(A10))</f>
        <v/>
      </c>
      <c r="B9" s="5">
        <f>VLOOKUP($B$5,'Sectors Trend'!$B$50:$BB$67,VLOOKUP(A9,$U:$V,2,),)</f>
        <v/>
      </c>
      <c r="C9" s="5">
        <f>VLOOKUP($C$5,'Sectors Trend'!$B$50:$BB$67,VLOOKUP(A9,$U:$V,2,),)</f>
        <v/>
      </c>
      <c r="D9" s="5">
        <f>VLOOKUP($D$5,'Sectors Trend'!$B$50:$BB$67,VLOOKUP(A9,$U:$V,2,),)</f>
        <v/>
      </c>
      <c r="E9" s="5">
        <f>VLOOKUP($E$5,'Sectors Trend'!$B$50:$BB$67,VLOOKUP(A9,$U:$V,2,),)</f>
        <v/>
      </c>
      <c r="F9" s="5">
        <f>VLOOKUP($F$5,'Sectors Trend'!$B$50:$BB$67,VLOOKUP(A9,$U:$V,2,),)</f>
        <v/>
      </c>
      <c r="G9" s="5">
        <f>VLOOKUP($G$5,'Sectors Trend'!$B$50:$BB$67,VLOOKUP(A9,$U:$V,2,),)</f>
        <v/>
      </c>
      <c r="H9" s="5">
        <f>VLOOKUP($H$5,'Sectors Trend'!$B$50:$BB$67,VLOOKUP(A9,$U:$V,2,),)</f>
        <v/>
      </c>
      <c r="I9" s="5">
        <f>VLOOKUP($I$5,'Sectors Trend'!$B$50:$BB$67,VLOOKUP(A9,$U:$V,2,),)</f>
        <v/>
      </c>
      <c r="J9" s="5">
        <f>VLOOKUP($J$5,'Sectors Trend'!$B$50:$BB$67,VLOOKUP(A9,$U:$V,2,),)</f>
        <v/>
      </c>
      <c r="K9" s="5">
        <f>VLOOKUP($K$5,'Sectors Trend'!$B$50:$BB$67,VLOOKUP(A9,$U:$V,2,),)</f>
        <v/>
      </c>
      <c r="L9" s="5">
        <f>VLOOKUP($L$5,'Sectors Trend'!$B$50:$BB$67,VLOOKUP(A9,$U:$V,2,),)</f>
        <v/>
      </c>
      <c r="M9" s="5">
        <f>VLOOKUP($M$5,'Sectors Trend'!$B$50:$BB$67,VLOOKUP(A9,$U:$V,2,),)</f>
        <v/>
      </c>
      <c r="N9" s="5">
        <f>VLOOKUP($N$5,'Sectors Trend'!$B$50:$BB$67,VLOOKUP(A9,$U:$V,2,),)</f>
        <v/>
      </c>
      <c r="O9" s="5">
        <f>VLOOKUP($O$5,'Sectors Trend'!$B$50:$BB$67,VLOOKUP(A9,$U:$V,2,),)</f>
        <v/>
      </c>
      <c r="P9" s="5">
        <f>VLOOKUP($P$5,'Sectors Trend'!$B$50:$BB$67,VLOOKUP(A9,$U:$V,2,),)</f>
        <v/>
      </c>
      <c r="Q9" s="5">
        <f>VLOOKUP($Q$5,'Sectors Trend'!$B$50:$BB$67,VLOOKUP(A9,$U:$V,2,),)</f>
        <v/>
      </c>
      <c r="R9" s="5">
        <f>VLOOKUP($R$5,'Sectors Trend'!$B$50:$BB$67,VLOOKUP(A9,$U:$V,2,),)</f>
        <v/>
      </c>
      <c r="S9" s="68">
        <f>VLOOKUP($S$5,'Sectors Trend'!$B$50:$BB$67,VLOOKUP(A9,$U:$V,2,),)</f>
        <v/>
      </c>
      <c r="U9" s="62">
        <f>DATE(YEAR(U10),MONTH(U10)-1,DAY(U10))</f>
        <v/>
      </c>
      <c r="V9" s="13">
        <f>V10-1</f>
        <v/>
      </c>
    </row>
    <row r="10">
      <c r="A10" s="67">
        <f>DATE(YEAR(A11),MONTH(A11)-1,DAY(A11))</f>
        <v/>
      </c>
      <c r="B10" s="5">
        <f>VLOOKUP($B$5,'Sectors Trend'!$B$50:$BB$67,VLOOKUP(A10,$U:$V,2,),)</f>
        <v/>
      </c>
      <c r="C10" s="5">
        <f>VLOOKUP($C$5,'Sectors Trend'!$B$50:$BB$67,VLOOKUP(A10,$U:$V,2,),)</f>
        <v/>
      </c>
      <c r="D10" s="5">
        <f>VLOOKUP($D$5,'Sectors Trend'!$B$50:$BB$67,VLOOKUP(A10,$U:$V,2,),)</f>
        <v/>
      </c>
      <c r="E10" s="5">
        <f>VLOOKUP($E$5,'Sectors Trend'!$B$50:$BB$67,VLOOKUP(A10,$U:$V,2,),)</f>
        <v/>
      </c>
      <c r="F10" s="5">
        <f>VLOOKUP($F$5,'Sectors Trend'!$B$50:$BB$67,VLOOKUP(A10,$U:$V,2,),)</f>
        <v/>
      </c>
      <c r="G10" s="5">
        <f>VLOOKUP($G$5,'Sectors Trend'!$B$50:$BB$67,VLOOKUP(A10,$U:$V,2,),)</f>
        <v/>
      </c>
      <c r="H10" s="5">
        <f>VLOOKUP($H$5,'Sectors Trend'!$B$50:$BB$67,VLOOKUP(A10,$U:$V,2,),)</f>
        <v/>
      </c>
      <c r="I10" s="5">
        <f>VLOOKUP($I$5,'Sectors Trend'!$B$50:$BB$67,VLOOKUP(A10,$U:$V,2,),)</f>
        <v/>
      </c>
      <c r="J10" s="5">
        <f>VLOOKUP($J$5,'Sectors Trend'!$B$50:$BB$67,VLOOKUP(A10,$U:$V,2,),)</f>
        <v/>
      </c>
      <c r="K10" s="5">
        <f>VLOOKUP($K$5,'Sectors Trend'!$B$50:$BB$67,VLOOKUP(A10,$U:$V,2,),)</f>
        <v/>
      </c>
      <c r="L10" s="5">
        <f>VLOOKUP($L$5,'Sectors Trend'!$B$50:$BB$67,VLOOKUP(A10,$U:$V,2,),)</f>
        <v/>
      </c>
      <c r="M10" s="5">
        <f>VLOOKUP($M$5,'Sectors Trend'!$B$50:$BB$67,VLOOKUP(A10,$U:$V,2,),)</f>
        <v/>
      </c>
      <c r="N10" s="5">
        <f>VLOOKUP($N$5,'Sectors Trend'!$B$50:$BB$67,VLOOKUP(A10,$U:$V,2,),)</f>
        <v/>
      </c>
      <c r="O10" s="5">
        <f>VLOOKUP($O$5,'Sectors Trend'!$B$50:$BB$67,VLOOKUP(A10,$U:$V,2,),)</f>
        <v/>
      </c>
      <c r="P10" s="5">
        <f>VLOOKUP($P$5,'Sectors Trend'!$B$50:$BB$67,VLOOKUP(A10,$U:$V,2,),)</f>
        <v/>
      </c>
      <c r="Q10" s="5">
        <f>VLOOKUP($Q$5,'Sectors Trend'!$B$50:$BB$67,VLOOKUP(A10,$U:$V,2,),)</f>
        <v/>
      </c>
      <c r="R10" s="5">
        <f>VLOOKUP($R$5,'Sectors Trend'!$B$50:$BB$67,VLOOKUP(A10,$U:$V,2,),)</f>
        <v/>
      </c>
      <c r="S10" s="68">
        <f>VLOOKUP($S$5,'Sectors Trend'!$B$50:$BB$67,VLOOKUP(A10,$U:$V,2,),)</f>
        <v/>
      </c>
      <c r="U10" s="62">
        <f>DATE(YEAR(U11),MONTH(U11)-1,DAY(U11))</f>
        <v/>
      </c>
      <c r="V10" s="13">
        <f>V11-1</f>
        <v/>
      </c>
    </row>
    <row r="11" ht="16" customHeight="1" thickBot="1">
      <c r="A11" s="69">
        <f>L1</f>
        <v/>
      </c>
      <c r="B11" s="70">
        <f>VLOOKUP($B$5,'Sectors Trend'!$B$50:$BB$67,VLOOKUP(A11,$U:$V,2,),)</f>
        <v/>
      </c>
      <c r="C11" s="70">
        <f>VLOOKUP($C$5,'Sectors Trend'!$B$50:$BB$67,VLOOKUP(A11,$U:$V,2,),)</f>
        <v/>
      </c>
      <c r="D11" s="70">
        <f>VLOOKUP($D$5,'Sectors Trend'!$B$50:$BB$67,VLOOKUP(A11,$U:$V,2,),)</f>
        <v/>
      </c>
      <c r="E11" s="70">
        <f>VLOOKUP($E$5,'Sectors Trend'!$B$50:$BB$67,VLOOKUP(A11,$U:$V,2,),)</f>
        <v/>
      </c>
      <c r="F11" s="70">
        <f>VLOOKUP($F$5,'Sectors Trend'!$B$50:$BB$67,VLOOKUP(A11,$U:$V,2,),)</f>
        <v/>
      </c>
      <c r="G11" s="70">
        <f>VLOOKUP($G$5,'Sectors Trend'!$B$50:$BB$67,VLOOKUP(A11,$U:$V,2,),)</f>
        <v/>
      </c>
      <c r="H11" s="70">
        <f>VLOOKUP($H$5,'Sectors Trend'!$B$50:$BB$67,VLOOKUP(A11,$U:$V,2,),)</f>
        <v/>
      </c>
      <c r="I11" s="70">
        <f>VLOOKUP($I$5,'Sectors Trend'!$B$50:$BB$67,VLOOKUP(A11,$U:$V,2,),)</f>
        <v/>
      </c>
      <c r="J11" s="70">
        <f>VLOOKUP($J$5,'Sectors Trend'!$B$50:$BB$67,VLOOKUP(A11,$U:$V,2,),)</f>
        <v/>
      </c>
      <c r="K11" s="70">
        <f>VLOOKUP($K$5,'Sectors Trend'!$B$50:$BB$67,VLOOKUP(A11,$U:$V,2,),)</f>
        <v/>
      </c>
      <c r="L11" s="70">
        <f>VLOOKUP($L$5,'Sectors Trend'!$B$50:$BB$67,VLOOKUP(A11,$U:$V,2,),)</f>
        <v/>
      </c>
      <c r="M11" s="70">
        <f>VLOOKUP($M$5,'Sectors Trend'!$B$50:$BB$67,VLOOKUP(A11,$U:$V,2,),)</f>
        <v/>
      </c>
      <c r="N11" s="70">
        <f>VLOOKUP($N$5,'Sectors Trend'!$B$50:$BB$67,VLOOKUP(A11,$U:$V,2,),)</f>
        <v/>
      </c>
      <c r="O11" s="70">
        <f>VLOOKUP($O$5,'Sectors Trend'!$B$50:$BB$67,VLOOKUP(A11,$U:$V,2,),)</f>
        <v/>
      </c>
      <c r="P11" s="70">
        <f>VLOOKUP($P$5,'Sectors Trend'!$B$50:$BB$67,VLOOKUP(A11,$U:$V,2,),)</f>
        <v/>
      </c>
      <c r="Q11" s="70">
        <f>VLOOKUP($Q$5,'Sectors Trend'!$B$50:$BB$67,VLOOKUP(A11,$U:$V,2,),)</f>
        <v/>
      </c>
      <c r="R11" s="70">
        <f>VLOOKUP($R$5,'Sectors Trend'!$B$50:$BB$67,VLOOKUP(A11,$U:$V,2,),)</f>
        <v/>
      </c>
      <c r="S11" s="71">
        <f>VLOOKUP($S$5,'Sectors Trend'!$B$50:$BB$67,VLOOKUP(A11,$U:$V,2,),)</f>
        <v/>
      </c>
      <c r="U11" s="62">
        <f>L1</f>
        <v/>
      </c>
      <c r="V11" s="13">
        <f>L2</f>
        <v/>
      </c>
    </row>
    <row r="12">
      <c r="R12" s="62" t="n"/>
    </row>
    <row r="13">
      <c r="R13" s="62" t="n"/>
    </row>
    <row r="14">
      <c r="R14" s="62" t="n"/>
    </row>
    <row r="15">
      <c r="R15" s="62" t="n"/>
    </row>
    <row r="16">
      <c r="R16" s="62"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BE68"/>
  <sheetViews>
    <sheetView zoomScale="110" zoomScaleNormal="110" workbookViewId="0">
      <pane xSplit="2" ySplit="5" topLeftCell="AI6" activePane="bottomRight" state="frozen"/>
      <selection activeCell="C68" sqref="C68"/>
      <selection pane="topRight" activeCell="C68" sqref="C68"/>
      <selection pane="bottomLeft" activeCell="C68" sqref="C68"/>
      <selection pane="bottomRight" activeCell="BF60" sqref="BF60"/>
    </sheetView>
  </sheetViews>
  <sheetFormatPr baseColWidth="8" defaultColWidth="8.81640625" defaultRowHeight="14.5"/>
  <cols>
    <col width="9.1796875" customWidth="1" style="97" min="1" max="1"/>
    <col width="30.36328125" customWidth="1" style="97" min="2" max="2"/>
    <col width="10.6328125" customWidth="1" style="19" min="3" max="50"/>
    <col width="10.1796875" customWidth="1" style="97" min="51" max="54"/>
    <col width="9.1796875" customWidth="1" style="97" min="55" max="56"/>
    <col width="10.6328125" bestFit="1" customWidth="1" style="97" min="57" max="57"/>
    <col width="9.1796875" customWidth="1" style="97" min="58" max="257"/>
    <col width="28.6328125" customWidth="1" style="97" min="258" max="258"/>
    <col width="9" bestFit="1" customWidth="1" style="97" min="259" max="259"/>
    <col width="5.36328125" customWidth="1" style="97" min="260" max="260"/>
    <col width="9" bestFit="1" customWidth="1" style="97" min="261" max="261"/>
    <col width="5.36328125" customWidth="1" style="97" min="262" max="262"/>
    <col width="9" bestFit="1" customWidth="1" style="97" min="263" max="263"/>
    <col width="5" customWidth="1" style="97" min="264" max="264"/>
    <col width="9" bestFit="1" customWidth="1" style="97" min="265" max="265"/>
    <col width="5.1796875" customWidth="1" style="97" min="266" max="266"/>
    <col width="9.1796875" customWidth="1" style="97" min="267" max="267"/>
    <col width="6" customWidth="1" style="97" min="268" max="268"/>
    <col width="9.1796875" customWidth="1" style="97" min="269" max="269"/>
    <col width="6" customWidth="1" style="97" min="270" max="270"/>
    <col width="10.1796875" customWidth="1" style="97" min="271" max="272"/>
    <col width="10" customWidth="1" style="97" min="273" max="273"/>
    <col width="10.36328125" customWidth="1" style="97" min="274" max="274"/>
    <col width="9.1796875" customWidth="1" style="97" min="275" max="285"/>
    <col width="11.36328125" customWidth="1" style="97" min="286" max="286"/>
    <col hidden="1" width="13" customWidth="1" style="97" min="287" max="307"/>
    <col width="9.1796875" customWidth="1" style="97" min="308" max="513"/>
    <col width="28.6328125" customWidth="1" style="97" min="514" max="514"/>
    <col width="9" bestFit="1" customWidth="1" style="97" min="515" max="515"/>
    <col width="5.36328125" customWidth="1" style="97" min="516" max="516"/>
    <col width="9" bestFit="1" customWidth="1" style="97" min="517" max="517"/>
    <col width="5.36328125" customWidth="1" style="97" min="518" max="518"/>
    <col width="9" bestFit="1" customWidth="1" style="97" min="519" max="519"/>
    <col width="5" customWidth="1" style="97" min="520" max="520"/>
    <col width="9" bestFit="1" customWidth="1" style="97" min="521" max="521"/>
    <col width="5.1796875" customWidth="1" style="97" min="522" max="522"/>
    <col width="9.1796875" customWidth="1" style="97" min="523" max="523"/>
    <col width="6" customWidth="1" style="97" min="524" max="524"/>
    <col width="9.1796875" customWidth="1" style="97" min="525" max="525"/>
    <col width="6" customWidth="1" style="97" min="526" max="526"/>
    <col width="10.1796875" customWidth="1" style="97" min="527" max="528"/>
    <col width="10" customWidth="1" style="97" min="529" max="529"/>
    <col width="10.36328125" customWidth="1" style="97" min="530" max="530"/>
    <col width="9.1796875" customWidth="1" style="97" min="531" max="541"/>
    <col width="11.36328125" customWidth="1" style="97" min="542" max="542"/>
    <col hidden="1" width="13" customWidth="1" style="97" min="543" max="563"/>
    <col width="9.1796875" customWidth="1" style="97" min="564" max="769"/>
    <col width="28.6328125" customWidth="1" style="97" min="770" max="770"/>
    <col width="9" bestFit="1" customWidth="1" style="97" min="771" max="771"/>
    <col width="5.36328125" customWidth="1" style="97" min="772" max="772"/>
    <col width="9" bestFit="1" customWidth="1" style="97" min="773" max="773"/>
    <col width="5.36328125" customWidth="1" style="97" min="774" max="774"/>
    <col width="9" bestFit="1" customWidth="1" style="97" min="775" max="775"/>
    <col width="5" customWidth="1" style="97" min="776" max="776"/>
    <col width="9" bestFit="1" customWidth="1" style="97" min="777" max="777"/>
    <col width="5.1796875" customWidth="1" style="97" min="778" max="778"/>
    <col width="9.1796875" customWidth="1" style="97" min="779" max="779"/>
    <col width="6" customWidth="1" style="97" min="780" max="780"/>
    <col width="9.1796875" customWidth="1" style="97" min="781" max="781"/>
    <col width="6" customWidth="1" style="97" min="782" max="782"/>
    <col width="10.1796875" customWidth="1" style="97" min="783" max="784"/>
    <col width="10" customWidth="1" style="97" min="785" max="785"/>
    <col width="10.36328125" customWidth="1" style="97" min="786" max="786"/>
    <col width="9.1796875" customWidth="1" style="97" min="787" max="797"/>
    <col width="11.36328125" customWidth="1" style="97" min="798" max="798"/>
    <col hidden="1" width="13" customWidth="1" style="97" min="799" max="819"/>
    <col width="9.1796875" customWidth="1" style="97" min="820" max="1025"/>
    <col width="28.6328125" customWidth="1" style="97" min="1026" max="1026"/>
    <col width="9" bestFit="1" customWidth="1" style="97" min="1027" max="1027"/>
    <col width="5.36328125" customWidth="1" style="97" min="1028" max="1028"/>
    <col width="9" bestFit="1" customWidth="1" style="97" min="1029" max="1029"/>
    <col width="5.36328125" customWidth="1" style="97" min="1030" max="1030"/>
    <col width="9" bestFit="1" customWidth="1" style="97" min="1031" max="1031"/>
    <col width="5" customWidth="1" style="97" min="1032" max="1032"/>
    <col width="9" bestFit="1" customWidth="1" style="97" min="1033" max="1033"/>
    <col width="5.1796875" customWidth="1" style="97" min="1034" max="1034"/>
    <col width="9.1796875" customWidth="1" style="97" min="1035" max="1035"/>
    <col width="6" customWidth="1" style="97" min="1036" max="1036"/>
    <col width="9.1796875" customWidth="1" style="97" min="1037" max="1037"/>
    <col width="6" customWidth="1" style="97" min="1038" max="1038"/>
    <col width="10.1796875" customWidth="1" style="97" min="1039" max="1040"/>
    <col width="10" customWidth="1" style="97" min="1041" max="1041"/>
    <col width="10.36328125" customWidth="1" style="97" min="1042" max="1042"/>
    <col width="9.1796875" customWidth="1" style="97" min="1043" max="1053"/>
    <col width="11.36328125" customWidth="1" style="97" min="1054" max="1054"/>
    <col hidden="1" width="13" customWidth="1" style="97" min="1055" max="1075"/>
    <col width="9.1796875" customWidth="1" style="97" min="1076" max="1281"/>
    <col width="28.6328125" customWidth="1" style="97" min="1282" max="1282"/>
    <col width="9" bestFit="1" customWidth="1" style="97" min="1283" max="1283"/>
    <col width="5.36328125" customWidth="1" style="97" min="1284" max="1284"/>
    <col width="9" bestFit="1" customWidth="1" style="97" min="1285" max="1285"/>
    <col width="5.36328125" customWidth="1" style="97" min="1286" max="1286"/>
    <col width="9" bestFit="1" customWidth="1" style="97" min="1287" max="1287"/>
    <col width="5" customWidth="1" style="97" min="1288" max="1288"/>
    <col width="9" bestFit="1" customWidth="1" style="97" min="1289" max="1289"/>
    <col width="5.1796875" customWidth="1" style="97" min="1290" max="1290"/>
    <col width="9.1796875" customWidth="1" style="97" min="1291" max="1291"/>
    <col width="6" customWidth="1" style="97" min="1292" max="1292"/>
    <col width="9.1796875" customWidth="1" style="97" min="1293" max="1293"/>
    <col width="6" customWidth="1" style="97" min="1294" max="1294"/>
    <col width="10.1796875" customWidth="1" style="97" min="1295" max="1296"/>
    <col width="10" customWidth="1" style="97" min="1297" max="1297"/>
    <col width="10.36328125" customWidth="1" style="97" min="1298" max="1298"/>
    <col width="9.1796875" customWidth="1" style="97" min="1299" max="1309"/>
    <col width="11.36328125" customWidth="1" style="97" min="1310" max="1310"/>
    <col hidden="1" width="13" customWidth="1" style="97" min="1311" max="1331"/>
    <col width="9.1796875" customWidth="1" style="97" min="1332" max="1537"/>
    <col width="28.6328125" customWidth="1" style="97" min="1538" max="1538"/>
    <col width="9" bestFit="1" customWidth="1" style="97" min="1539" max="1539"/>
    <col width="5.36328125" customWidth="1" style="97" min="1540" max="1540"/>
    <col width="9" bestFit="1" customWidth="1" style="97" min="1541" max="1541"/>
    <col width="5.36328125" customWidth="1" style="97" min="1542" max="1542"/>
    <col width="9" bestFit="1" customWidth="1" style="97" min="1543" max="1543"/>
    <col width="5" customWidth="1" style="97" min="1544" max="1544"/>
    <col width="9" bestFit="1" customWidth="1" style="97" min="1545" max="1545"/>
    <col width="5.1796875" customWidth="1" style="97" min="1546" max="1546"/>
    <col width="9.1796875" customWidth="1" style="97" min="1547" max="1547"/>
    <col width="6" customWidth="1" style="97" min="1548" max="1548"/>
    <col width="9.1796875" customWidth="1" style="97" min="1549" max="1549"/>
    <col width="6" customWidth="1" style="97" min="1550" max="1550"/>
    <col width="10.1796875" customWidth="1" style="97" min="1551" max="1552"/>
    <col width="10" customWidth="1" style="97" min="1553" max="1553"/>
    <col width="10.36328125" customWidth="1" style="97" min="1554" max="1554"/>
    <col width="9.1796875" customWidth="1" style="97" min="1555" max="1565"/>
    <col width="11.36328125" customWidth="1" style="97" min="1566" max="1566"/>
    <col hidden="1" width="13" customWidth="1" style="97" min="1567" max="1587"/>
    <col width="9.1796875" customWidth="1" style="97" min="1588" max="1793"/>
    <col width="28.6328125" customWidth="1" style="97" min="1794" max="1794"/>
    <col width="9" bestFit="1" customWidth="1" style="97" min="1795" max="1795"/>
    <col width="5.36328125" customWidth="1" style="97" min="1796" max="1796"/>
    <col width="9" bestFit="1" customWidth="1" style="97" min="1797" max="1797"/>
    <col width="5.36328125" customWidth="1" style="97" min="1798" max="1798"/>
    <col width="9" bestFit="1" customWidth="1" style="97" min="1799" max="1799"/>
    <col width="5" customWidth="1" style="97" min="1800" max="1800"/>
    <col width="9" bestFit="1" customWidth="1" style="97" min="1801" max="1801"/>
    <col width="5.1796875" customWidth="1" style="97" min="1802" max="1802"/>
    <col width="9.1796875" customWidth="1" style="97" min="1803" max="1803"/>
    <col width="6" customWidth="1" style="97" min="1804" max="1804"/>
    <col width="9.1796875" customWidth="1" style="97" min="1805" max="1805"/>
    <col width="6" customWidth="1" style="97" min="1806" max="1806"/>
    <col width="10.1796875" customWidth="1" style="97" min="1807" max="1808"/>
    <col width="10" customWidth="1" style="97" min="1809" max="1809"/>
    <col width="10.36328125" customWidth="1" style="97" min="1810" max="1810"/>
    <col width="9.1796875" customWidth="1" style="97" min="1811" max="1821"/>
    <col width="11.36328125" customWidth="1" style="97" min="1822" max="1822"/>
    <col hidden="1" width="13" customWidth="1" style="97" min="1823" max="1843"/>
    <col width="9.1796875" customWidth="1" style="97" min="1844" max="2049"/>
    <col width="28.6328125" customWidth="1" style="97" min="2050" max="2050"/>
    <col width="9" bestFit="1" customWidth="1" style="97" min="2051" max="2051"/>
    <col width="5.36328125" customWidth="1" style="97" min="2052" max="2052"/>
    <col width="9" bestFit="1" customWidth="1" style="97" min="2053" max="2053"/>
    <col width="5.36328125" customWidth="1" style="97" min="2054" max="2054"/>
    <col width="9" bestFit="1" customWidth="1" style="97" min="2055" max="2055"/>
    <col width="5" customWidth="1" style="97" min="2056" max="2056"/>
    <col width="9" bestFit="1" customWidth="1" style="97" min="2057" max="2057"/>
    <col width="5.1796875" customWidth="1" style="97" min="2058" max="2058"/>
    <col width="9.1796875" customWidth="1" style="97" min="2059" max="2059"/>
    <col width="6" customWidth="1" style="97" min="2060" max="2060"/>
    <col width="9.1796875" customWidth="1" style="97" min="2061" max="2061"/>
    <col width="6" customWidth="1" style="97" min="2062" max="2062"/>
    <col width="10.1796875" customWidth="1" style="97" min="2063" max="2064"/>
    <col width="10" customWidth="1" style="97" min="2065" max="2065"/>
    <col width="10.36328125" customWidth="1" style="97" min="2066" max="2066"/>
    <col width="9.1796875" customWidth="1" style="97" min="2067" max="2077"/>
    <col width="11.36328125" customWidth="1" style="97" min="2078" max="2078"/>
    <col hidden="1" width="13" customWidth="1" style="97" min="2079" max="2099"/>
    <col width="9.1796875" customWidth="1" style="97" min="2100" max="2305"/>
    <col width="28.6328125" customWidth="1" style="97" min="2306" max="2306"/>
    <col width="9" bestFit="1" customWidth="1" style="97" min="2307" max="2307"/>
    <col width="5.36328125" customWidth="1" style="97" min="2308" max="2308"/>
    <col width="9" bestFit="1" customWidth="1" style="97" min="2309" max="2309"/>
    <col width="5.36328125" customWidth="1" style="97" min="2310" max="2310"/>
    <col width="9" bestFit="1" customWidth="1" style="97" min="2311" max="2311"/>
    <col width="5" customWidth="1" style="97" min="2312" max="2312"/>
    <col width="9" bestFit="1" customWidth="1" style="97" min="2313" max="2313"/>
    <col width="5.1796875" customWidth="1" style="97" min="2314" max="2314"/>
    <col width="9.1796875" customWidth="1" style="97" min="2315" max="2315"/>
    <col width="6" customWidth="1" style="97" min="2316" max="2316"/>
    <col width="9.1796875" customWidth="1" style="97" min="2317" max="2317"/>
    <col width="6" customWidth="1" style="97" min="2318" max="2318"/>
    <col width="10.1796875" customWidth="1" style="97" min="2319" max="2320"/>
    <col width="10" customWidth="1" style="97" min="2321" max="2321"/>
    <col width="10.36328125" customWidth="1" style="97" min="2322" max="2322"/>
    <col width="9.1796875" customWidth="1" style="97" min="2323" max="2333"/>
    <col width="11.36328125" customWidth="1" style="97" min="2334" max="2334"/>
    <col hidden="1" width="13" customWidth="1" style="97" min="2335" max="2355"/>
    <col width="9.1796875" customWidth="1" style="97" min="2356" max="2561"/>
    <col width="28.6328125" customWidth="1" style="97" min="2562" max="2562"/>
    <col width="9" bestFit="1" customWidth="1" style="97" min="2563" max="2563"/>
    <col width="5.36328125" customWidth="1" style="97" min="2564" max="2564"/>
    <col width="9" bestFit="1" customWidth="1" style="97" min="2565" max="2565"/>
    <col width="5.36328125" customWidth="1" style="97" min="2566" max="2566"/>
    <col width="9" bestFit="1" customWidth="1" style="97" min="2567" max="2567"/>
    <col width="5" customWidth="1" style="97" min="2568" max="2568"/>
    <col width="9" bestFit="1" customWidth="1" style="97" min="2569" max="2569"/>
    <col width="5.1796875" customWidth="1" style="97" min="2570" max="2570"/>
    <col width="9.1796875" customWidth="1" style="97" min="2571" max="2571"/>
    <col width="6" customWidth="1" style="97" min="2572" max="2572"/>
    <col width="9.1796875" customWidth="1" style="97" min="2573" max="2573"/>
    <col width="6" customWidth="1" style="97" min="2574" max="2574"/>
    <col width="10.1796875" customWidth="1" style="97" min="2575" max="2576"/>
    <col width="10" customWidth="1" style="97" min="2577" max="2577"/>
    <col width="10.36328125" customWidth="1" style="97" min="2578" max="2578"/>
    <col width="9.1796875" customWidth="1" style="97" min="2579" max="2589"/>
    <col width="11.36328125" customWidth="1" style="97" min="2590" max="2590"/>
    <col hidden="1" width="13" customWidth="1" style="97" min="2591" max="2611"/>
    <col width="9.1796875" customWidth="1" style="97" min="2612" max="2817"/>
    <col width="28.6328125" customWidth="1" style="97" min="2818" max="2818"/>
    <col width="9" bestFit="1" customWidth="1" style="97" min="2819" max="2819"/>
    <col width="5.36328125" customWidth="1" style="97" min="2820" max="2820"/>
    <col width="9" bestFit="1" customWidth="1" style="97" min="2821" max="2821"/>
    <col width="5.36328125" customWidth="1" style="97" min="2822" max="2822"/>
    <col width="9" bestFit="1" customWidth="1" style="97" min="2823" max="2823"/>
    <col width="5" customWidth="1" style="97" min="2824" max="2824"/>
    <col width="9" bestFit="1" customWidth="1" style="97" min="2825" max="2825"/>
    <col width="5.1796875" customWidth="1" style="97" min="2826" max="2826"/>
    <col width="9.1796875" customWidth="1" style="97" min="2827" max="2827"/>
    <col width="6" customWidth="1" style="97" min="2828" max="2828"/>
    <col width="9.1796875" customWidth="1" style="97" min="2829" max="2829"/>
    <col width="6" customWidth="1" style="97" min="2830" max="2830"/>
    <col width="10.1796875" customWidth="1" style="97" min="2831" max="2832"/>
    <col width="10" customWidth="1" style="97" min="2833" max="2833"/>
    <col width="10.36328125" customWidth="1" style="97" min="2834" max="2834"/>
    <col width="9.1796875" customWidth="1" style="97" min="2835" max="2845"/>
    <col width="11.36328125" customWidth="1" style="97" min="2846" max="2846"/>
    <col hidden="1" width="13" customWidth="1" style="97" min="2847" max="2867"/>
    <col width="9.1796875" customWidth="1" style="97" min="2868" max="3073"/>
    <col width="28.6328125" customWidth="1" style="97" min="3074" max="3074"/>
    <col width="9" bestFit="1" customWidth="1" style="97" min="3075" max="3075"/>
    <col width="5.36328125" customWidth="1" style="97" min="3076" max="3076"/>
    <col width="9" bestFit="1" customWidth="1" style="97" min="3077" max="3077"/>
    <col width="5.36328125" customWidth="1" style="97" min="3078" max="3078"/>
    <col width="9" bestFit="1" customWidth="1" style="97" min="3079" max="3079"/>
    <col width="5" customWidth="1" style="97" min="3080" max="3080"/>
    <col width="9" bestFit="1" customWidth="1" style="97" min="3081" max="3081"/>
    <col width="5.1796875" customWidth="1" style="97" min="3082" max="3082"/>
    <col width="9.1796875" customWidth="1" style="97" min="3083" max="3083"/>
    <col width="6" customWidth="1" style="97" min="3084" max="3084"/>
    <col width="9.1796875" customWidth="1" style="97" min="3085" max="3085"/>
    <col width="6" customWidth="1" style="97" min="3086" max="3086"/>
    <col width="10.1796875" customWidth="1" style="97" min="3087" max="3088"/>
    <col width="10" customWidth="1" style="97" min="3089" max="3089"/>
    <col width="10.36328125" customWidth="1" style="97" min="3090" max="3090"/>
    <col width="9.1796875" customWidth="1" style="97" min="3091" max="3101"/>
    <col width="11.36328125" customWidth="1" style="97" min="3102" max="3102"/>
    <col hidden="1" width="13" customWidth="1" style="97" min="3103" max="3123"/>
    <col width="9.1796875" customWidth="1" style="97" min="3124" max="3329"/>
    <col width="28.6328125" customWidth="1" style="97" min="3330" max="3330"/>
    <col width="9" bestFit="1" customWidth="1" style="97" min="3331" max="3331"/>
    <col width="5.36328125" customWidth="1" style="97" min="3332" max="3332"/>
    <col width="9" bestFit="1" customWidth="1" style="97" min="3333" max="3333"/>
    <col width="5.36328125" customWidth="1" style="97" min="3334" max="3334"/>
    <col width="9" bestFit="1" customWidth="1" style="97" min="3335" max="3335"/>
    <col width="5" customWidth="1" style="97" min="3336" max="3336"/>
    <col width="9" bestFit="1" customWidth="1" style="97" min="3337" max="3337"/>
    <col width="5.1796875" customWidth="1" style="97" min="3338" max="3338"/>
    <col width="9.1796875" customWidth="1" style="97" min="3339" max="3339"/>
    <col width="6" customWidth="1" style="97" min="3340" max="3340"/>
    <col width="9.1796875" customWidth="1" style="97" min="3341" max="3341"/>
    <col width="6" customWidth="1" style="97" min="3342" max="3342"/>
    <col width="10.1796875" customWidth="1" style="97" min="3343" max="3344"/>
    <col width="10" customWidth="1" style="97" min="3345" max="3345"/>
    <col width="10.36328125" customWidth="1" style="97" min="3346" max="3346"/>
    <col width="9.1796875" customWidth="1" style="97" min="3347" max="3357"/>
    <col width="11.36328125" customWidth="1" style="97" min="3358" max="3358"/>
    <col hidden="1" width="13" customWidth="1" style="97" min="3359" max="3379"/>
    <col width="9.1796875" customWidth="1" style="97" min="3380" max="3585"/>
    <col width="28.6328125" customWidth="1" style="97" min="3586" max="3586"/>
    <col width="9" bestFit="1" customWidth="1" style="97" min="3587" max="3587"/>
    <col width="5.36328125" customWidth="1" style="97" min="3588" max="3588"/>
    <col width="9" bestFit="1" customWidth="1" style="97" min="3589" max="3589"/>
    <col width="5.36328125" customWidth="1" style="97" min="3590" max="3590"/>
    <col width="9" bestFit="1" customWidth="1" style="97" min="3591" max="3591"/>
    <col width="5" customWidth="1" style="97" min="3592" max="3592"/>
    <col width="9" bestFit="1" customWidth="1" style="97" min="3593" max="3593"/>
    <col width="5.1796875" customWidth="1" style="97" min="3594" max="3594"/>
    <col width="9.1796875" customWidth="1" style="97" min="3595" max="3595"/>
    <col width="6" customWidth="1" style="97" min="3596" max="3596"/>
    <col width="9.1796875" customWidth="1" style="97" min="3597" max="3597"/>
    <col width="6" customWidth="1" style="97" min="3598" max="3598"/>
    <col width="10.1796875" customWidth="1" style="97" min="3599" max="3600"/>
    <col width="10" customWidth="1" style="97" min="3601" max="3601"/>
    <col width="10.36328125" customWidth="1" style="97" min="3602" max="3602"/>
    <col width="9.1796875" customWidth="1" style="97" min="3603" max="3613"/>
    <col width="11.36328125" customWidth="1" style="97" min="3614" max="3614"/>
    <col hidden="1" width="13" customWidth="1" style="97" min="3615" max="3635"/>
    <col width="9.1796875" customWidth="1" style="97" min="3636" max="3841"/>
    <col width="28.6328125" customWidth="1" style="97" min="3842" max="3842"/>
    <col width="9" bestFit="1" customWidth="1" style="97" min="3843" max="3843"/>
    <col width="5.36328125" customWidth="1" style="97" min="3844" max="3844"/>
    <col width="9" bestFit="1" customWidth="1" style="97" min="3845" max="3845"/>
    <col width="5.36328125" customWidth="1" style="97" min="3846" max="3846"/>
    <col width="9" bestFit="1" customWidth="1" style="97" min="3847" max="3847"/>
    <col width="5" customWidth="1" style="97" min="3848" max="3848"/>
    <col width="9" bestFit="1" customWidth="1" style="97" min="3849" max="3849"/>
    <col width="5.1796875" customWidth="1" style="97" min="3850" max="3850"/>
    <col width="9.1796875" customWidth="1" style="97" min="3851" max="3851"/>
    <col width="6" customWidth="1" style="97" min="3852" max="3852"/>
    <col width="9.1796875" customWidth="1" style="97" min="3853" max="3853"/>
    <col width="6" customWidth="1" style="97" min="3854" max="3854"/>
    <col width="10.1796875" customWidth="1" style="97" min="3855" max="3856"/>
    <col width="10" customWidth="1" style="97" min="3857" max="3857"/>
    <col width="10.36328125" customWidth="1" style="97" min="3858" max="3858"/>
    <col width="9.1796875" customWidth="1" style="97" min="3859" max="3869"/>
    <col width="11.36328125" customWidth="1" style="97" min="3870" max="3870"/>
    <col hidden="1" width="13" customWidth="1" style="97" min="3871" max="3891"/>
    <col width="9.1796875" customWidth="1" style="97" min="3892" max="4097"/>
    <col width="28.6328125" customWidth="1" style="97" min="4098" max="4098"/>
    <col width="9" bestFit="1" customWidth="1" style="97" min="4099" max="4099"/>
    <col width="5.36328125" customWidth="1" style="97" min="4100" max="4100"/>
    <col width="9" bestFit="1" customWidth="1" style="97" min="4101" max="4101"/>
    <col width="5.36328125" customWidth="1" style="97" min="4102" max="4102"/>
    <col width="9" bestFit="1" customWidth="1" style="97" min="4103" max="4103"/>
    <col width="5" customWidth="1" style="97" min="4104" max="4104"/>
    <col width="9" bestFit="1" customWidth="1" style="97" min="4105" max="4105"/>
    <col width="5.1796875" customWidth="1" style="97" min="4106" max="4106"/>
    <col width="9.1796875" customWidth="1" style="97" min="4107" max="4107"/>
    <col width="6" customWidth="1" style="97" min="4108" max="4108"/>
    <col width="9.1796875" customWidth="1" style="97" min="4109" max="4109"/>
    <col width="6" customWidth="1" style="97" min="4110" max="4110"/>
    <col width="10.1796875" customWidth="1" style="97" min="4111" max="4112"/>
    <col width="10" customWidth="1" style="97" min="4113" max="4113"/>
    <col width="10.36328125" customWidth="1" style="97" min="4114" max="4114"/>
    <col width="9.1796875" customWidth="1" style="97" min="4115" max="4125"/>
    <col width="11.36328125" customWidth="1" style="97" min="4126" max="4126"/>
    <col hidden="1" width="13" customWidth="1" style="97" min="4127" max="4147"/>
    <col width="9.1796875" customWidth="1" style="97" min="4148" max="4353"/>
    <col width="28.6328125" customWidth="1" style="97" min="4354" max="4354"/>
    <col width="9" bestFit="1" customWidth="1" style="97" min="4355" max="4355"/>
    <col width="5.36328125" customWidth="1" style="97" min="4356" max="4356"/>
    <col width="9" bestFit="1" customWidth="1" style="97" min="4357" max="4357"/>
    <col width="5.36328125" customWidth="1" style="97" min="4358" max="4358"/>
    <col width="9" bestFit="1" customWidth="1" style="97" min="4359" max="4359"/>
    <col width="5" customWidth="1" style="97" min="4360" max="4360"/>
    <col width="9" bestFit="1" customWidth="1" style="97" min="4361" max="4361"/>
    <col width="5.1796875" customWidth="1" style="97" min="4362" max="4362"/>
    <col width="9.1796875" customWidth="1" style="97" min="4363" max="4363"/>
    <col width="6" customWidth="1" style="97" min="4364" max="4364"/>
    <col width="9.1796875" customWidth="1" style="97" min="4365" max="4365"/>
    <col width="6" customWidth="1" style="97" min="4366" max="4366"/>
    <col width="10.1796875" customWidth="1" style="97" min="4367" max="4368"/>
    <col width="10" customWidth="1" style="97" min="4369" max="4369"/>
    <col width="10.36328125" customWidth="1" style="97" min="4370" max="4370"/>
    <col width="9.1796875" customWidth="1" style="97" min="4371" max="4381"/>
    <col width="11.36328125" customWidth="1" style="97" min="4382" max="4382"/>
    <col hidden="1" width="13" customWidth="1" style="97" min="4383" max="4403"/>
    <col width="9.1796875" customWidth="1" style="97" min="4404" max="4609"/>
    <col width="28.6328125" customWidth="1" style="97" min="4610" max="4610"/>
    <col width="9" bestFit="1" customWidth="1" style="97" min="4611" max="4611"/>
    <col width="5.36328125" customWidth="1" style="97" min="4612" max="4612"/>
    <col width="9" bestFit="1" customWidth="1" style="97" min="4613" max="4613"/>
    <col width="5.36328125" customWidth="1" style="97" min="4614" max="4614"/>
    <col width="9" bestFit="1" customWidth="1" style="97" min="4615" max="4615"/>
    <col width="5" customWidth="1" style="97" min="4616" max="4616"/>
    <col width="9" bestFit="1" customWidth="1" style="97" min="4617" max="4617"/>
    <col width="5.1796875" customWidth="1" style="97" min="4618" max="4618"/>
    <col width="9.1796875" customWidth="1" style="97" min="4619" max="4619"/>
    <col width="6" customWidth="1" style="97" min="4620" max="4620"/>
    <col width="9.1796875" customWidth="1" style="97" min="4621" max="4621"/>
    <col width="6" customWidth="1" style="97" min="4622" max="4622"/>
    <col width="10.1796875" customWidth="1" style="97" min="4623" max="4624"/>
    <col width="10" customWidth="1" style="97" min="4625" max="4625"/>
    <col width="10.36328125" customWidth="1" style="97" min="4626" max="4626"/>
    <col width="9.1796875" customWidth="1" style="97" min="4627" max="4637"/>
    <col width="11.36328125" customWidth="1" style="97" min="4638" max="4638"/>
    <col hidden="1" width="13" customWidth="1" style="97" min="4639" max="4659"/>
    <col width="9.1796875" customWidth="1" style="97" min="4660" max="4865"/>
    <col width="28.6328125" customWidth="1" style="97" min="4866" max="4866"/>
    <col width="9" bestFit="1" customWidth="1" style="97" min="4867" max="4867"/>
    <col width="5.36328125" customWidth="1" style="97" min="4868" max="4868"/>
    <col width="9" bestFit="1" customWidth="1" style="97" min="4869" max="4869"/>
    <col width="5.36328125" customWidth="1" style="97" min="4870" max="4870"/>
    <col width="9" bestFit="1" customWidth="1" style="97" min="4871" max="4871"/>
    <col width="5" customWidth="1" style="97" min="4872" max="4872"/>
    <col width="9" bestFit="1" customWidth="1" style="97" min="4873" max="4873"/>
    <col width="5.1796875" customWidth="1" style="97" min="4874" max="4874"/>
    <col width="9.1796875" customWidth="1" style="97" min="4875" max="4875"/>
    <col width="6" customWidth="1" style="97" min="4876" max="4876"/>
    <col width="9.1796875" customWidth="1" style="97" min="4877" max="4877"/>
    <col width="6" customWidth="1" style="97" min="4878" max="4878"/>
    <col width="10.1796875" customWidth="1" style="97" min="4879" max="4880"/>
    <col width="10" customWidth="1" style="97" min="4881" max="4881"/>
    <col width="10.36328125" customWidth="1" style="97" min="4882" max="4882"/>
    <col width="9.1796875" customWidth="1" style="97" min="4883" max="4893"/>
    <col width="11.36328125" customWidth="1" style="97" min="4894" max="4894"/>
    <col hidden="1" width="13" customWidth="1" style="97" min="4895" max="4915"/>
    <col width="9.1796875" customWidth="1" style="97" min="4916" max="5121"/>
    <col width="28.6328125" customWidth="1" style="97" min="5122" max="5122"/>
    <col width="9" bestFit="1" customWidth="1" style="97" min="5123" max="5123"/>
    <col width="5.36328125" customWidth="1" style="97" min="5124" max="5124"/>
    <col width="9" bestFit="1" customWidth="1" style="97" min="5125" max="5125"/>
    <col width="5.36328125" customWidth="1" style="97" min="5126" max="5126"/>
    <col width="9" bestFit="1" customWidth="1" style="97" min="5127" max="5127"/>
    <col width="5" customWidth="1" style="97" min="5128" max="5128"/>
    <col width="9" bestFit="1" customWidth="1" style="97" min="5129" max="5129"/>
    <col width="5.1796875" customWidth="1" style="97" min="5130" max="5130"/>
    <col width="9.1796875" customWidth="1" style="97" min="5131" max="5131"/>
    <col width="6" customWidth="1" style="97" min="5132" max="5132"/>
    <col width="9.1796875" customWidth="1" style="97" min="5133" max="5133"/>
    <col width="6" customWidth="1" style="97" min="5134" max="5134"/>
    <col width="10.1796875" customWidth="1" style="97" min="5135" max="5136"/>
    <col width="10" customWidth="1" style="97" min="5137" max="5137"/>
    <col width="10.36328125" customWidth="1" style="97" min="5138" max="5138"/>
    <col width="9.1796875" customWidth="1" style="97" min="5139" max="5149"/>
    <col width="11.36328125" customWidth="1" style="97" min="5150" max="5150"/>
    <col hidden="1" width="13" customWidth="1" style="97" min="5151" max="5171"/>
    <col width="9.1796875" customWidth="1" style="97" min="5172" max="5377"/>
    <col width="28.6328125" customWidth="1" style="97" min="5378" max="5378"/>
    <col width="9" bestFit="1" customWidth="1" style="97" min="5379" max="5379"/>
    <col width="5.36328125" customWidth="1" style="97" min="5380" max="5380"/>
    <col width="9" bestFit="1" customWidth="1" style="97" min="5381" max="5381"/>
    <col width="5.36328125" customWidth="1" style="97" min="5382" max="5382"/>
    <col width="9" bestFit="1" customWidth="1" style="97" min="5383" max="5383"/>
    <col width="5" customWidth="1" style="97" min="5384" max="5384"/>
    <col width="9" bestFit="1" customWidth="1" style="97" min="5385" max="5385"/>
    <col width="5.1796875" customWidth="1" style="97" min="5386" max="5386"/>
    <col width="9.1796875" customWidth="1" style="97" min="5387" max="5387"/>
    <col width="6" customWidth="1" style="97" min="5388" max="5388"/>
    <col width="9.1796875" customWidth="1" style="97" min="5389" max="5389"/>
    <col width="6" customWidth="1" style="97" min="5390" max="5390"/>
    <col width="10.1796875" customWidth="1" style="97" min="5391" max="5392"/>
    <col width="10" customWidth="1" style="97" min="5393" max="5393"/>
    <col width="10.36328125" customWidth="1" style="97" min="5394" max="5394"/>
    <col width="9.1796875" customWidth="1" style="97" min="5395" max="5405"/>
    <col width="11.36328125" customWidth="1" style="97" min="5406" max="5406"/>
    <col hidden="1" width="13" customWidth="1" style="97" min="5407" max="5427"/>
    <col width="9.1796875" customWidth="1" style="97" min="5428" max="5633"/>
    <col width="28.6328125" customWidth="1" style="97" min="5634" max="5634"/>
    <col width="9" bestFit="1" customWidth="1" style="97" min="5635" max="5635"/>
    <col width="5.36328125" customWidth="1" style="97" min="5636" max="5636"/>
    <col width="9" bestFit="1" customWidth="1" style="97" min="5637" max="5637"/>
    <col width="5.36328125" customWidth="1" style="97" min="5638" max="5638"/>
    <col width="9" bestFit="1" customWidth="1" style="97" min="5639" max="5639"/>
    <col width="5" customWidth="1" style="97" min="5640" max="5640"/>
    <col width="9" bestFit="1" customWidth="1" style="97" min="5641" max="5641"/>
    <col width="5.1796875" customWidth="1" style="97" min="5642" max="5642"/>
    <col width="9.1796875" customWidth="1" style="97" min="5643" max="5643"/>
    <col width="6" customWidth="1" style="97" min="5644" max="5644"/>
    <col width="9.1796875" customWidth="1" style="97" min="5645" max="5645"/>
    <col width="6" customWidth="1" style="97" min="5646" max="5646"/>
    <col width="10.1796875" customWidth="1" style="97" min="5647" max="5648"/>
    <col width="10" customWidth="1" style="97" min="5649" max="5649"/>
    <col width="10.36328125" customWidth="1" style="97" min="5650" max="5650"/>
    <col width="9.1796875" customWidth="1" style="97" min="5651" max="5661"/>
    <col width="11.36328125" customWidth="1" style="97" min="5662" max="5662"/>
    <col hidden="1" width="13" customWidth="1" style="97" min="5663" max="5683"/>
    <col width="9.1796875" customWidth="1" style="97" min="5684" max="5889"/>
    <col width="28.6328125" customWidth="1" style="97" min="5890" max="5890"/>
    <col width="9" bestFit="1" customWidth="1" style="97" min="5891" max="5891"/>
    <col width="5.36328125" customWidth="1" style="97" min="5892" max="5892"/>
    <col width="9" bestFit="1" customWidth="1" style="97" min="5893" max="5893"/>
    <col width="5.36328125" customWidth="1" style="97" min="5894" max="5894"/>
    <col width="9" bestFit="1" customWidth="1" style="97" min="5895" max="5895"/>
    <col width="5" customWidth="1" style="97" min="5896" max="5896"/>
    <col width="9" bestFit="1" customWidth="1" style="97" min="5897" max="5897"/>
    <col width="5.1796875" customWidth="1" style="97" min="5898" max="5898"/>
    <col width="9.1796875" customWidth="1" style="97" min="5899" max="5899"/>
    <col width="6" customWidth="1" style="97" min="5900" max="5900"/>
    <col width="9.1796875" customWidth="1" style="97" min="5901" max="5901"/>
    <col width="6" customWidth="1" style="97" min="5902" max="5902"/>
    <col width="10.1796875" customWidth="1" style="97" min="5903" max="5904"/>
    <col width="10" customWidth="1" style="97" min="5905" max="5905"/>
    <col width="10.36328125" customWidth="1" style="97" min="5906" max="5906"/>
    <col width="9.1796875" customWidth="1" style="97" min="5907" max="5917"/>
    <col width="11.36328125" customWidth="1" style="97" min="5918" max="5918"/>
    <col hidden="1" width="13" customWidth="1" style="97" min="5919" max="5939"/>
    <col width="9.1796875" customWidth="1" style="97" min="5940" max="6145"/>
    <col width="28.6328125" customWidth="1" style="97" min="6146" max="6146"/>
    <col width="9" bestFit="1" customWidth="1" style="97" min="6147" max="6147"/>
    <col width="5.36328125" customWidth="1" style="97" min="6148" max="6148"/>
    <col width="9" bestFit="1" customWidth="1" style="97" min="6149" max="6149"/>
    <col width="5.36328125" customWidth="1" style="97" min="6150" max="6150"/>
    <col width="9" bestFit="1" customWidth="1" style="97" min="6151" max="6151"/>
    <col width="5" customWidth="1" style="97" min="6152" max="6152"/>
    <col width="9" bestFit="1" customWidth="1" style="97" min="6153" max="6153"/>
    <col width="5.1796875" customWidth="1" style="97" min="6154" max="6154"/>
    <col width="9.1796875" customWidth="1" style="97" min="6155" max="6155"/>
    <col width="6" customWidth="1" style="97" min="6156" max="6156"/>
    <col width="9.1796875" customWidth="1" style="97" min="6157" max="6157"/>
    <col width="6" customWidth="1" style="97" min="6158" max="6158"/>
    <col width="10.1796875" customWidth="1" style="97" min="6159" max="6160"/>
    <col width="10" customWidth="1" style="97" min="6161" max="6161"/>
    <col width="10.36328125" customWidth="1" style="97" min="6162" max="6162"/>
    <col width="9.1796875" customWidth="1" style="97" min="6163" max="6173"/>
    <col width="11.36328125" customWidth="1" style="97" min="6174" max="6174"/>
    <col hidden="1" width="13" customWidth="1" style="97" min="6175" max="6195"/>
    <col width="9.1796875" customWidth="1" style="97" min="6196" max="6401"/>
    <col width="28.6328125" customWidth="1" style="97" min="6402" max="6402"/>
    <col width="9" bestFit="1" customWidth="1" style="97" min="6403" max="6403"/>
    <col width="5.36328125" customWidth="1" style="97" min="6404" max="6404"/>
    <col width="9" bestFit="1" customWidth="1" style="97" min="6405" max="6405"/>
    <col width="5.36328125" customWidth="1" style="97" min="6406" max="6406"/>
    <col width="9" bestFit="1" customWidth="1" style="97" min="6407" max="6407"/>
    <col width="5" customWidth="1" style="97" min="6408" max="6408"/>
    <col width="9" bestFit="1" customWidth="1" style="97" min="6409" max="6409"/>
    <col width="5.1796875" customWidth="1" style="97" min="6410" max="6410"/>
    <col width="9.1796875" customWidth="1" style="97" min="6411" max="6411"/>
    <col width="6" customWidth="1" style="97" min="6412" max="6412"/>
    <col width="9.1796875" customWidth="1" style="97" min="6413" max="6413"/>
    <col width="6" customWidth="1" style="97" min="6414" max="6414"/>
    <col width="10.1796875" customWidth="1" style="97" min="6415" max="6416"/>
    <col width="10" customWidth="1" style="97" min="6417" max="6417"/>
    <col width="10.36328125" customWidth="1" style="97" min="6418" max="6418"/>
    <col width="9.1796875" customWidth="1" style="97" min="6419" max="6429"/>
    <col width="11.36328125" customWidth="1" style="97" min="6430" max="6430"/>
    <col hidden="1" width="13" customWidth="1" style="97" min="6431" max="6451"/>
    <col width="9.1796875" customWidth="1" style="97" min="6452" max="6657"/>
    <col width="28.6328125" customWidth="1" style="97" min="6658" max="6658"/>
    <col width="9" bestFit="1" customWidth="1" style="97" min="6659" max="6659"/>
    <col width="5.36328125" customWidth="1" style="97" min="6660" max="6660"/>
    <col width="9" bestFit="1" customWidth="1" style="97" min="6661" max="6661"/>
    <col width="5.36328125" customWidth="1" style="97" min="6662" max="6662"/>
    <col width="9" bestFit="1" customWidth="1" style="97" min="6663" max="6663"/>
    <col width="5" customWidth="1" style="97" min="6664" max="6664"/>
    <col width="9" bestFit="1" customWidth="1" style="97" min="6665" max="6665"/>
    <col width="5.1796875" customWidth="1" style="97" min="6666" max="6666"/>
    <col width="9.1796875" customWidth="1" style="97" min="6667" max="6667"/>
    <col width="6" customWidth="1" style="97" min="6668" max="6668"/>
    <col width="9.1796875" customWidth="1" style="97" min="6669" max="6669"/>
    <col width="6" customWidth="1" style="97" min="6670" max="6670"/>
    <col width="10.1796875" customWidth="1" style="97" min="6671" max="6672"/>
    <col width="10" customWidth="1" style="97" min="6673" max="6673"/>
    <col width="10.36328125" customWidth="1" style="97" min="6674" max="6674"/>
    <col width="9.1796875" customWidth="1" style="97" min="6675" max="6685"/>
    <col width="11.36328125" customWidth="1" style="97" min="6686" max="6686"/>
    <col hidden="1" width="13" customWidth="1" style="97" min="6687" max="6707"/>
    <col width="9.1796875" customWidth="1" style="97" min="6708" max="6913"/>
    <col width="28.6328125" customWidth="1" style="97" min="6914" max="6914"/>
    <col width="9" bestFit="1" customWidth="1" style="97" min="6915" max="6915"/>
    <col width="5.36328125" customWidth="1" style="97" min="6916" max="6916"/>
    <col width="9" bestFit="1" customWidth="1" style="97" min="6917" max="6917"/>
    <col width="5.36328125" customWidth="1" style="97" min="6918" max="6918"/>
    <col width="9" bestFit="1" customWidth="1" style="97" min="6919" max="6919"/>
    <col width="5" customWidth="1" style="97" min="6920" max="6920"/>
    <col width="9" bestFit="1" customWidth="1" style="97" min="6921" max="6921"/>
    <col width="5.1796875" customWidth="1" style="97" min="6922" max="6922"/>
    <col width="9.1796875" customWidth="1" style="97" min="6923" max="6923"/>
    <col width="6" customWidth="1" style="97" min="6924" max="6924"/>
    <col width="9.1796875" customWidth="1" style="97" min="6925" max="6925"/>
    <col width="6" customWidth="1" style="97" min="6926" max="6926"/>
    <col width="10.1796875" customWidth="1" style="97" min="6927" max="6928"/>
    <col width="10" customWidth="1" style="97" min="6929" max="6929"/>
    <col width="10.36328125" customWidth="1" style="97" min="6930" max="6930"/>
    <col width="9.1796875" customWidth="1" style="97" min="6931" max="6941"/>
    <col width="11.36328125" customWidth="1" style="97" min="6942" max="6942"/>
    <col hidden="1" width="13" customWidth="1" style="97" min="6943" max="6963"/>
    <col width="9.1796875" customWidth="1" style="97" min="6964" max="7169"/>
    <col width="28.6328125" customWidth="1" style="97" min="7170" max="7170"/>
    <col width="9" bestFit="1" customWidth="1" style="97" min="7171" max="7171"/>
    <col width="5.36328125" customWidth="1" style="97" min="7172" max="7172"/>
    <col width="9" bestFit="1" customWidth="1" style="97" min="7173" max="7173"/>
    <col width="5.36328125" customWidth="1" style="97" min="7174" max="7174"/>
    <col width="9" bestFit="1" customWidth="1" style="97" min="7175" max="7175"/>
    <col width="5" customWidth="1" style="97" min="7176" max="7176"/>
    <col width="9" bestFit="1" customWidth="1" style="97" min="7177" max="7177"/>
    <col width="5.1796875" customWidth="1" style="97" min="7178" max="7178"/>
    <col width="9.1796875" customWidth="1" style="97" min="7179" max="7179"/>
    <col width="6" customWidth="1" style="97" min="7180" max="7180"/>
    <col width="9.1796875" customWidth="1" style="97" min="7181" max="7181"/>
    <col width="6" customWidth="1" style="97" min="7182" max="7182"/>
    <col width="10.1796875" customWidth="1" style="97" min="7183" max="7184"/>
    <col width="10" customWidth="1" style="97" min="7185" max="7185"/>
    <col width="10.36328125" customWidth="1" style="97" min="7186" max="7186"/>
    <col width="9.1796875" customWidth="1" style="97" min="7187" max="7197"/>
    <col width="11.36328125" customWidth="1" style="97" min="7198" max="7198"/>
    <col hidden="1" width="13" customWidth="1" style="97" min="7199" max="7219"/>
    <col width="9.1796875" customWidth="1" style="97" min="7220" max="7425"/>
    <col width="28.6328125" customWidth="1" style="97" min="7426" max="7426"/>
    <col width="9" bestFit="1" customWidth="1" style="97" min="7427" max="7427"/>
    <col width="5.36328125" customWidth="1" style="97" min="7428" max="7428"/>
    <col width="9" bestFit="1" customWidth="1" style="97" min="7429" max="7429"/>
    <col width="5.36328125" customWidth="1" style="97" min="7430" max="7430"/>
    <col width="9" bestFit="1" customWidth="1" style="97" min="7431" max="7431"/>
    <col width="5" customWidth="1" style="97" min="7432" max="7432"/>
    <col width="9" bestFit="1" customWidth="1" style="97" min="7433" max="7433"/>
    <col width="5.1796875" customWidth="1" style="97" min="7434" max="7434"/>
    <col width="9.1796875" customWidth="1" style="97" min="7435" max="7435"/>
    <col width="6" customWidth="1" style="97" min="7436" max="7436"/>
    <col width="9.1796875" customWidth="1" style="97" min="7437" max="7437"/>
    <col width="6" customWidth="1" style="97" min="7438" max="7438"/>
    <col width="10.1796875" customWidth="1" style="97" min="7439" max="7440"/>
    <col width="10" customWidth="1" style="97" min="7441" max="7441"/>
    <col width="10.36328125" customWidth="1" style="97" min="7442" max="7442"/>
    <col width="9.1796875" customWidth="1" style="97" min="7443" max="7453"/>
    <col width="11.36328125" customWidth="1" style="97" min="7454" max="7454"/>
    <col hidden="1" width="13" customWidth="1" style="97" min="7455" max="7475"/>
    <col width="9.1796875" customWidth="1" style="97" min="7476" max="7681"/>
    <col width="28.6328125" customWidth="1" style="97" min="7682" max="7682"/>
    <col width="9" bestFit="1" customWidth="1" style="97" min="7683" max="7683"/>
    <col width="5.36328125" customWidth="1" style="97" min="7684" max="7684"/>
    <col width="9" bestFit="1" customWidth="1" style="97" min="7685" max="7685"/>
    <col width="5.36328125" customWidth="1" style="97" min="7686" max="7686"/>
    <col width="9" bestFit="1" customWidth="1" style="97" min="7687" max="7687"/>
    <col width="5" customWidth="1" style="97" min="7688" max="7688"/>
    <col width="9" bestFit="1" customWidth="1" style="97" min="7689" max="7689"/>
    <col width="5.1796875" customWidth="1" style="97" min="7690" max="7690"/>
    <col width="9.1796875" customWidth="1" style="97" min="7691" max="7691"/>
    <col width="6" customWidth="1" style="97" min="7692" max="7692"/>
    <col width="9.1796875" customWidth="1" style="97" min="7693" max="7693"/>
    <col width="6" customWidth="1" style="97" min="7694" max="7694"/>
    <col width="10.1796875" customWidth="1" style="97" min="7695" max="7696"/>
    <col width="10" customWidth="1" style="97" min="7697" max="7697"/>
    <col width="10.36328125" customWidth="1" style="97" min="7698" max="7698"/>
    <col width="9.1796875" customWidth="1" style="97" min="7699" max="7709"/>
    <col width="11.36328125" customWidth="1" style="97" min="7710" max="7710"/>
    <col hidden="1" width="13" customWidth="1" style="97" min="7711" max="7731"/>
    <col width="9.1796875" customWidth="1" style="97" min="7732" max="7937"/>
    <col width="28.6328125" customWidth="1" style="97" min="7938" max="7938"/>
    <col width="9" bestFit="1" customWidth="1" style="97" min="7939" max="7939"/>
    <col width="5.36328125" customWidth="1" style="97" min="7940" max="7940"/>
    <col width="9" bestFit="1" customWidth="1" style="97" min="7941" max="7941"/>
    <col width="5.36328125" customWidth="1" style="97" min="7942" max="7942"/>
    <col width="9" bestFit="1" customWidth="1" style="97" min="7943" max="7943"/>
    <col width="5" customWidth="1" style="97" min="7944" max="7944"/>
    <col width="9" bestFit="1" customWidth="1" style="97" min="7945" max="7945"/>
    <col width="5.1796875" customWidth="1" style="97" min="7946" max="7946"/>
    <col width="9.1796875" customWidth="1" style="97" min="7947" max="7947"/>
    <col width="6" customWidth="1" style="97" min="7948" max="7948"/>
    <col width="9.1796875" customWidth="1" style="97" min="7949" max="7949"/>
    <col width="6" customWidth="1" style="97" min="7950" max="7950"/>
    <col width="10.1796875" customWidth="1" style="97" min="7951" max="7952"/>
    <col width="10" customWidth="1" style="97" min="7953" max="7953"/>
    <col width="10.36328125" customWidth="1" style="97" min="7954" max="7954"/>
    <col width="9.1796875" customWidth="1" style="97" min="7955" max="7965"/>
    <col width="11.36328125" customWidth="1" style="97" min="7966" max="7966"/>
    <col hidden="1" width="13" customWidth="1" style="97" min="7967" max="7987"/>
    <col width="9.1796875" customWidth="1" style="97" min="7988" max="8193"/>
    <col width="28.6328125" customWidth="1" style="97" min="8194" max="8194"/>
    <col width="9" bestFit="1" customWidth="1" style="97" min="8195" max="8195"/>
    <col width="5.36328125" customWidth="1" style="97" min="8196" max="8196"/>
    <col width="9" bestFit="1" customWidth="1" style="97" min="8197" max="8197"/>
    <col width="5.36328125" customWidth="1" style="97" min="8198" max="8198"/>
    <col width="9" bestFit="1" customWidth="1" style="97" min="8199" max="8199"/>
    <col width="5" customWidth="1" style="97" min="8200" max="8200"/>
    <col width="9" bestFit="1" customWidth="1" style="97" min="8201" max="8201"/>
    <col width="5.1796875" customWidth="1" style="97" min="8202" max="8202"/>
    <col width="9.1796875" customWidth="1" style="97" min="8203" max="8203"/>
    <col width="6" customWidth="1" style="97" min="8204" max="8204"/>
    <col width="9.1796875" customWidth="1" style="97" min="8205" max="8205"/>
    <col width="6" customWidth="1" style="97" min="8206" max="8206"/>
    <col width="10.1796875" customWidth="1" style="97" min="8207" max="8208"/>
    <col width="10" customWidth="1" style="97" min="8209" max="8209"/>
    <col width="10.36328125" customWidth="1" style="97" min="8210" max="8210"/>
    <col width="9.1796875" customWidth="1" style="97" min="8211" max="8221"/>
    <col width="11.36328125" customWidth="1" style="97" min="8222" max="8222"/>
    <col hidden="1" width="13" customWidth="1" style="97" min="8223" max="8243"/>
    <col width="9.1796875" customWidth="1" style="97" min="8244" max="8449"/>
    <col width="28.6328125" customWidth="1" style="97" min="8450" max="8450"/>
    <col width="9" bestFit="1" customWidth="1" style="97" min="8451" max="8451"/>
    <col width="5.36328125" customWidth="1" style="97" min="8452" max="8452"/>
    <col width="9" bestFit="1" customWidth="1" style="97" min="8453" max="8453"/>
    <col width="5.36328125" customWidth="1" style="97" min="8454" max="8454"/>
    <col width="9" bestFit="1" customWidth="1" style="97" min="8455" max="8455"/>
    <col width="5" customWidth="1" style="97" min="8456" max="8456"/>
    <col width="9" bestFit="1" customWidth="1" style="97" min="8457" max="8457"/>
    <col width="5.1796875" customWidth="1" style="97" min="8458" max="8458"/>
    <col width="9.1796875" customWidth="1" style="97" min="8459" max="8459"/>
    <col width="6" customWidth="1" style="97" min="8460" max="8460"/>
    <col width="9.1796875" customWidth="1" style="97" min="8461" max="8461"/>
    <col width="6" customWidth="1" style="97" min="8462" max="8462"/>
    <col width="10.1796875" customWidth="1" style="97" min="8463" max="8464"/>
    <col width="10" customWidth="1" style="97" min="8465" max="8465"/>
    <col width="10.36328125" customWidth="1" style="97" min="8466" max="8466"/>
    <col width="9.1796875" customWidth="1" style="97" min="8467" max="8477"/>
    <col width="11.36328125" customWidth="1" style="97" min="8478" max="8478"/>
    <col hidden="1" width="13" customWidth="1" style="97" min="8479" max="8499"/>
    <col width="9.1796875" customWidth="1" style="97" min="8500" max="8705"/>
    <col width="28.6328125" customWidth="1" style="97" min="8706" max="8706"/>
    <col width="9" bestFit="1" customWidth="1" style="97" min="8707" max="8707"/>
    <col width="5.36328125" customWidth="1" style="97" min="8708" max="8708"/>
    <col width="9" bestFit="1" customWidth="1" style="97" min="8709" max="8709"/>
    <col width="5.36328125" customWidth="1" style="97" min="8710" max="8710"/>
    <col width="9" bestFit="1" customWidth="1" style="97" min="8711" max="8711"/>
    <col width="5" customWidth="1" style="97" min="8712" max="8712"/>
    <col width="9" bestFit="1" customWidth="1" style="97" min="8713" max="8713"/>
    <col width="5.1796875" customWidth="1" style="97" min="8714" max="8714"/>
    <col width="9.1796875" customWidth="1" style="97" min="8715" max="8715"/>
    <col width="6" customWidth="1" style="97" min="8716" max="8716"/>
    <col width="9.1796875" customWidth="1" style="97" min="8717" max="8717"/>
    <col width="6" customWidth="1" style="97" min="8718" max="8718"/>
    <col width="10.1796875" customWidth="1" style="97" min="8719" max="8720"/>
    <col width="10" customWidth="1" style="97" min="8721" max="8721"/>
    <col width="10.36328125" customWidth="1" style="97" min="8722" max="8722"/>
    <col width="9.1796875" customWidth="1" style="97" min="8723" max="8733"/>
    <col width="11.36328125" customWidth="1" style="97" min="8734" max="8734"/>
    <col hidden="1" width="13" customWidth="1" style="97" min="8735" max="8755"/>
    <col width="9.1796875" customWidth="1" style="97" min="8756" max="8961"/>
    <col width="28.6328125" customWidth="1" style="97" min="8962" max="8962"/>
    <col width="9" bestFit="1" customWidth="1" style="97" min="8963" max="8963"/>
    <col width="5.36328125" customWidth="1" style="97" min="8964" max="8964"/>
    <col width="9" bestFit="1" customWidth="1" style="97" min="8965" max="8965"/>
    <col width="5.36328125" customWidth="1" style="97" min="8966" max="8966"/>
    <col width="9" bestFit="1" customWidth="1" style="97" min="8967" max="8967"/>
    <col width="5" customWidth="1" style="97" min="8968" max="8968"/>
    <col width="9" bestFit="1" customWidth="1" style="97" min="8969" max="8969"/>
    <col width="5.1796875" customWidth="1" style="97" min="8970" max="8970"/>
    <col width="9.1796875" customWidth="1" style="97" min="8971" max="8971"/>
    <col width="6" customWidth="1" style="97" min="8972" max="8972"/>
    <col width="9.1796875" customWidth="1" style="97" min="8973" max="8973"/>
    <col width="6" customWidth="1" style="97" min="8974" max="8974"/>
    <col width="10.1796875" customWidth="1" style="97" min="8975" max="8976"/>
    <col width="10" customWidth="1" style="97" min="8977" max="8977"/>
    <col width="10.36328125" customWidth="1" style="97" min="8978" max="8978"/>
    <col width="9.1796875" customWidth="1" style="97" min="8979" max="8989"/>
    <col width="11.36328125" customWidth="1" style="97" min="8990" max="8990"/>
    <col hidden="1" width="13" customWidth="1" style="97" min="8991" max="9011"/>
    <col width="9.1796875" customWidth="1" style="97" min="9012" max="9217"/>
    <col width="28.6328125" customWidth="1" style="97" min="9218" max="9218"/>
    <col width="9" bestFit="1" customWidth="1" style="97" min="9219" max="9219"/>
    <col width="5.36328125" customWidth="1" style="97" min="9220" max="9220"/>
    <col width="9" bestFit="1" customWidth="1" style="97" min="9221" max="9221"/>
    <col width="5.36328125" customWidth="1" style="97" min="9222" max="9222"/>
    <col width="9" bestFit="1" customWidth="1" style="97" min="9223" max="9223"/>
    <col width="5" customWidth="1" style="97" min="9224" max="9224"/>
    <col width="9" bestFit="1" customWidth="1" style="97" min="9225" max="9225"/>
    <col width="5.1796875" customWidth="1" style="97" min="9226" max="9226"/>
    <col width="9.1796875" customWidth="1" style="97" min="9227" max="9227"/>
    <col width="6" customWidth="1" style="97" min="9228" max="9228"/>
    <col width="9.1796875" customWidth="1" style="97" min="9229" max="9229"/>
    <col width="6" customWidth="1" style="97" min="9230" max="9230"/>
    <col width="10.1796875" customWidth="1" style="97" min="9231" max="9232"/>
    <col width="10" customWidth="1" style="97" min="9233" max="9233"/>
    <col width="10.36328125" customWidth="1" style="97" min="9234" max="9234"/>
    <col width="9.1796875" customWidth="1" style="97" min="9235" max="9245"/>
    <col width="11.36328125" customWidth="1" style="97" min="9246" max="9246"/>
    <col hidden="1" width="13" customWidth="1" style="97" min="9247" max="9267"/>
    <col width="9.1796875" customWidth="1" style="97" min="9268" max="9473"/>
    <col width="28.6328125" customWidth="1" style="97" min="9474" max="9474"/>
    <col width="9" bestFit="1" customWidth="1" style="97" min="9475" max="9475"/>
    <col width="5.36328125" customWidth="1" style="97" min="9476" max="9476"/>
    <col width="9" bestFit="1" customWidth="1" style="97" min="9477" max="9477"/>
    <col width="5.36328125" customWidth="1" style="97" min="9478" max="9478"/>
    <col width="9" bestFit="1" customWidth="1" style="97" min="9479" max="9479"/>
    <col width="5" customWidth="1" style="97" min="9480" max="9480"/>
    <col width="9" bestFit="1" customWidth="1" style="97" min="9481" max="9481"/>
    <col width="5.1796875" customWidth="1" style="97" min="9482" max="9482"/>
    <col width="9.1796875" customWidth="1" style="97" min="9483" max="9483"/>
    <col width="6" customWidth="1" style="97" min="9484" max="9484"/>
    <col width="9.1796875" customWidth="1" style="97" min="9485" max="9485"/>
    <col width="6" customWidth="1" style="97" min="9486" max="9486"/>
    <col width="10.1796875" customWidth="1" style="97" min="9487" max="9488"/>
    <col width="10" customWidth="1" style="97" min="9489" max="9489"/>
    <col width="10.36328125" customWidth="1" style="97" min="9490" max="9490"/>
    <col width="9.1796875" customWidth="1" style="97" min="9491" max="9501"/>
    <col width="11.36328125" customWidth="1" style="97" min="9502" max="9502"/>
    <col hidden="1" width="13" customWidth="1" style="97" min="9503" max="9523"/>
    <col width="9.1796875" customWidth="1" style="97" min="9524" max="9729"/>
    <col width="28.6328125" customWidth="1" style="97" min="9730" max="9730"/>
    <col width="9" bestFit="1" customWidth="1" style="97" min="9731" max="9731"/>
    <col width="5.36328125" customWidth="1" style="97" min="9732" max="9732"/>
    <col width="9" bestFit="1" customWidth="1" style="97" min="9733" max="9733"/>
    <col width="5.36328125" customWidth="1" style="97" min="9734" max="9734"/>
    <col width="9" bestFit="1" customWidth="1" style="97" min="9735" max="9735"/>
    <col width="5" customWidth="1" style="97" min="9736" max="9736"/>
    <col width="9" bestFit="1" customWidth="1" style="97" min="9737" max="9737"/>
    <col width="5.1796875" customWidth="1" style="97" min="9738" max="9738"/>
    <col width="9.1796875" customWidth="1" style="97" min="9739" max="9739"/>
    <col width="6" customWidth="1" style="97" min="9740" max="9740"/>
    <col width="9.1796875" customWidth="1" style="97" min="9741" max="9741"/>
    <col width="6" customWidth="1" style="97" min="9742" max="9742"/>
    <col width="10.1796875" customWidth="1" style="97" min="9743" max="9744"/>
    <col width="10" customWidth="1" style="97" min="9745" max="9745"/>
    <col width="10.36328125" customWidth="1" style="97" min="9746" max="9746"/>
    <col width="9.1796875" customWidth="1" style="97" min="9747" max="9757"/>
    <col width="11.36328125" customWidth="1" style="97" min="9758" max="9758"/>
    <col hidden="1" width="13" customWidth="1" style="97" min="9759" max="9779"/>
    <col width="9.1796875" customWidth="1" style="97" min="9780" max="9985"/>
    <col width="28.6328125" customWidth="1" style="97" min="9986" max="9986"/>
    <col width="9" bestFit="1" customWidth="1" style="97" min="9987" max="9987"/>
    <col width="5.36328125" customWidth="1" style="97" min="9988" max="9988"/>
    <col width="9" bestFit="1" customWidth="1" style="97" min="9989" max="9989"/>
    <col width="5.36328125" customWidth="1" style="97" min="9990" max="9990"/>
    <col width="9" bestFit="1" customWidth="1" style="97" min="9991" max="9991"/>
    <col width="5" customWidth="1" style="97" min="9992" max="9992"/>
    <col width="9" bestFit="1" customWidth="1" style="97" min="9993" max="9993"/>
    <col width="5.1796875" customWidth="1" style="97" min="9994" max="9994"/>
    <col width="9.1796875" customWidth="1" style="97" min="9995" max="9995"/>
    <col width="6" customWidth="1" style="97" min="9996" max="9996"/>
    <col width="9.1796875" customWidth="1" style="97" min="9997" max="9997"/>
    <col width="6" customWidth="1" style="97" min="9998" max="9998"/>
    <col width="10.1796875" customWidth="1" style="97" min="9999" max="10000"/>
    <col width="10" customWidth="1" style="97" min="10001" max="10001"/>
    <col width="10.36328125" customWidth="1" style="97" min="10002" max="10002"/>
    <col width="9.1796875" customWidth="1" style="97" min="10003" max="10013"/>
    <col width="11.36328125" customWidth="1" style="97" min="10014" max="10014"/>
    <col hidden="1" width="13" customWidth="1" style="97" min="10015" max="10035"/>
    <col width="9.1796875" customWidth="1" style="97" min="10036" max="10241"/>
    <col width="28.6328125" customWidth="1" style="97" min="10242" max="10242"/>
    <col width="9" bestFit="1" customWidth="1" style="97" min="10243" max="10243"/>
    <col width="5.36328125" customWidth="1" style="97" min="10244" max="10244"/>
    <col width="9" bestFit="1" customWidth="1" style="97" min="10245" max="10245"/>
    <col width="5.36328125" customWidth="1" style="97" min="10246" max="10246"/>
    <col width="9" bestFit="1" customWidth="1" style="97" min="10247" max="10247"/>
    <col width="5" customWidth="1" style="97" min="10248" max="10248"/>
    <col width="9" bestFit="1" customWidth="1" style="97" min="10249" max="10249"/>
    <col width="5.1796875" customWidth="1" style="97" min="10250" max="10250"/>
    <col width="9.1796875" customWidth="1" style="97" min="10251" max="10251"/>
    <col width="6" customWidth="1" style="97" min="10252" max="10252"/>
    <col width="9.1796875" customWidth="1" style="97" min="10253" max="10253"/>
    <col width="6" customWidth="1" style="97" min="10254" max="10254"/>
    <col width="10.1796875" customWidth="1" style="97" min="10255" max="10256"/>
    <col width="10" customWidth="1" style="97" min="10257" max="10257"/>
    <col width="10.36328125" customWidth="1" style="97" min="10258" max="10258"/>
    <col width="9.1796875" customWidth="1" style="97" min="10259" max="10269"/>
    <col width="11.36328125" customWidth="1" style="97" min="10270" max="10270"/>
    <col hidden="1" width="13" customWidth="1" style="97" min="10271" max="10291"/>
    <col width="9.1796875" customWidth="1" style="97" min="10292" max="10497"/>
    <col width="28.6328125" customWidth="1" style="97" min="10498" max="10498"/>
    <col width="9" bestFit="1" customWidth="1" style="97" min="10499" max="10499"/>
    <col width="5.36328125" customWidth="1" style="97" min="10500" max="10500"/>
    <col width="9" bestFit="1" customWidth="1" style="97" min="10501" max="10501"/>
    <col width="5.36328125" customWidth="1" style="97" min="10502" max="10502"/>
    <col width="9" bestFit="1" customWidth="1" style="97" min="10503" max="10503"/>
    <col width="5" customWidth="1" style="97" min="10504" max="10504"/>
    <col width="9" bestFit="1" customWidth="1" style="97" min="10505" max="10505"/>
    <col width="5.1796875" customWidth="1" style="97" min="10506" max="10506"/>
    <col width="9.1796875" customWidth="1" style="97" min="10507" max="10507"/>
    <col width="6" customWidth="1" style="97" min="10508" max="10508"/>
    <col width="9.1796875" customWidth="1" style="97" min="10509" max="10509"/>
    <col width="6" customWidth="1" style="97" min="10510" max="10510"/>
    <col width="10.1796875" customWidth="1" style="97" min="10511" max="10512"/>
    <col width="10" customWidth="1" style="97" min="10513" max="10513"/>
    <col width="10.36328125" customWidth="1" style="97" min="10514" max="10514"/>
    <col width="9.1796875" customWidth="1" style="97" min="10515" max="10525"/>
    <col width="11.36328125" customWidth="1" style="97" min="10526" max="10526"/>
    <col hidden="1" width="13" customWidth="1" style="97" min="10527" max="10547"/>
    <col width="9.1796875" customWidth="1" style="97" min="10548" max="10753"/>
    <col width="28.6328125" customWidth="1" style="97" min="10754" max="10754"/>
    <col width="9" bestFit="1" customWidth="1" style="97" min="10755" max="10755"/>
    <col width="5.36328125" customWidth="1" style="97" min="10756" max="10756"/>
    <col width="9" bestFit="1" customWidth="1" style="97" min="10757" max="10757"/>
    <col width="5.36328125" customWidth="1" style="97" min="10758" max="10758"/>
    <col width="9" bestFit="1" customWidth="1" style="97" min="10759" max="10759"/>
    <col width="5" customWidth="1" style="97" min="10760" max="10760"/>
    <col width="9" bestFit="1" customWidth="1" style="97" min="10761" max="10761"/>
    <col width="5.1796875" customWidth="1" style="97" min="10762" max="10762"/>
    <col width="9.1796875" customWidth="1" style="97" min="10763" max="10763"/>
    <col width="6" customWidth="1" style="97" min="10764" max="10764"/>
    <col width="9.1796875" customWidth="1" style="97" min="10765" max="10765"/>
    <col width="6" customWidth="1" style="97" min="10766" max="10766"/>
    <col width="10.1796875" customWidth="1" style="97" min="10767" max="10768"/>
    <col width="10" customWidth="1" style="97" min="10769" max="10769"/>
    <col width="10.36328125" customWidth="1" style="97" min="10770" max="10770"/>
    <col width="9.1796875" customWidth="1" style="97" min="10771" max="10781"/>
    <col width="11.36328125" customWidth="1" style="97" min="10782" max="10782"/>
    <col hidden="1" width="13" customWidth="1" style="97" min="10783" max="10803"/>
    <col width="9.1796875" customWidth="1" style="97" min="10804" max="11009"/>
    <col width="28.6328125" customWidth="1" style="97" min="11010" max="11010"/>
    <col width="9" bestFit="1" customWidth="1" style="97" min="11011" max="11011"/>
    <col width="5.36328125" customWidth="1" style="97" min="11012" max="11012"/>
    <col width="9" bestFit="1" customWidth="1" style="97" min="11013" max="11013"/>
    <col width="5.36328125" customWidth="1" style="97" min="11014" max="11014"/>
    <col width="9" bestFit="1" customWidth="1" style="97" min="11015" max="11015"/>
    <col width="5" customWidth="1" style="97" min="11016" max="11016"/>
    <col width="9" bestFit="1" customWidth="1" style="97" min="11017" max="11017"/>
    <col width="5.1796875" customWidth="1" style="97" min="11018" max="11018"/>
    <col width="9.1796875" customWidth="1" style="97" min="11019" max="11019"/>
    <col width="6" customWidth="1" style="97" min="11020" max="11020"/>
    <col width="9.1796875" customWidth="1" style="97" min="11021" max="11021"/>
    <col width="6" customWidth="1" style="97" min="11022" max="11022"/>
    <col width="10.1796875" customWidth="1" style="97" min="11023" max="11024"/>
    <col width="10" customWidth="1" style="97" min="11025" max="11025"/>
    <col width="10.36328125" customWidth="1" style="97" min="11026" max="11026"/>
    <col width="9.1796875" customWidth="1" style="97" min="11027" max="11037"/>
    <col width="11.36328125" customWidth="1" style="97" min="11038" max="11038"/>
    <col hidden="1" width="13" customWidth="1" style="97" min="11039" max="11059"/>
    <col width="9.1796875" customWidth="1" style="97" min="11060" max="11265"/>
    <col width="28.6328125" customWidth="1" style="97" min="11266" max="11266"/>
    <col width="9" bestFit="1" customWidth="1" style="97" min="11267" max="11267"/>
    <col width="5.36328125" customWidth="1" style="97" min="11268" max="11268"/>
    <col width="9" bestFit="1" customWidth="1" style="97" min="11269" max="11269"/>
    <col width="5.36328125" customWidth="1" style="97" min="11270" max="11270"/>
    <col width="9" bestFit="1" customWidth="1" style="97" min="11271" max="11271"/>
    <col width="5" customWidth="1" style="97" min="11272" max="11272"/>
    <col width="9" bestFit="1" customWidth="1" style="97" min="11273" max="11273"/>
    <col width="5.1796875" customWidth="1" style="97" min="11274" max="11274"/>
    <col width="9.1796875" customWidth="1" style="97" min="11275" max="11275"/>
    <col width="6" customWidth="1" style="97" min="11276" max="11276"/>
    <col width="9.1796875" customWidth="1" style="97" min="11277" max="11277"/>
    <col width="6" customWidth="1" style="97" min="11278" max="11278"/>
    <col width="10.1796875" customWidth="1" style="97" min="11279" max="11280"/>
    <col width="10" customWidth="1" style="97" min="11281" max="11281"/>
    <col width="10.36328125" customWidth="1" style="97" min="11282" max="11282"/>
    <col width="9.1796875" customWidth="1" style="97" min="11283" max="11293"/>
    <col width="11.36328125" customWidth="1" style="97" min="11294" max="11294"/>
    <col hidden="1" width="13" customWidth="1" style="97" min="11295" max="11315"/>
    <col width="9.1796875" customWidth="1" style="97" min="11316" max="11521"/>
    <col width="28.6328125" customWidth="1" style="97" min="11522" max="11522"/>
    <col width="9" bestFit="1" customWidth="1" style="97" min="11523" max="11523"/>
    <col width="5.36328125" customWidth="1" style="97" min="11524" max="11524"/>
    <col width="9" bestFit="1" customWidth="1" style="97" min="11525" max="11525"/>
    <col width="5.36328125" customWidth="1" style="97" min="11526" max="11526"/>
    <col width="9" bestFit="1" customWidth="1" style="97" min="11527" max="11527"/>
    <col width="5" customWidth="1" style="97" min="11528" max="11528"/>
    <col width="9" bestFit="1" customWidth="1" style="97" min="11529" max="11529"/>
    <col width="5.1796875" customWidth="1" style="97" min="11530" max="11530"/>
    <col width="9.1796875" customWidth="1" style="97" min="11531" max="11531"/>
    <col width="6" customWidth="1" style="97" min="11532" max="11532"/>
    <col width="9.1796875" customWidth="1" style="97" min="11533" max="11533"/>
    <col width="6" customWidth="1" style="97" min="11534" max="11534"/>
    <col width="10.1796875" customWidth="1" style="97" min="11535" max="11536"/>
    <col width="10" customWidth="1" style="97" min="11537" max="11537"/>
    <col width="10.36328125" customWidth="1" style="97" min="11538" max="11538"/>
    <col width="9.1796875" customWidth="1" style="97" min="11539" max="11549"/>
    <col width="11.36328125" customWidth="1" style="97" min="11550" max="11550"/>
    <col hidden="1" width="13" customWidth="1" style="97" min="11551" max="11571"/>
    <col width="9.1796875" customWidth="1" style="97" min="11572" max="11777"/>
    <col width="28.6328125" customWidth="1" style="97" min="11778" max="11778"/>
    <col width="9" bestFit="1" customWidth="1" style="97" min="11779" max="11779"/>
    <col width="5.36328125" customWidth="1" style="97" min="11780" max="11780"/>
    <col width="9" bestFit="1" customWidth="1" style="97" min="11781" max="11781"/>
    <col width="5.36328125" customWidth="1" style="97" min="11782" max="11782"/>
    <col width="9" bestFit="1" customWidth="1" style="97" min="11783" max="11783"/>
    <col width="5" customWidth="1" style="97" min="11784" max="11784"/>
    <col width="9" bestFit="1" customWidth="1" style="97" min="11785" max="11785"/>
    <col width="5.1796875" customWidth="1" style="97" min="11786" max="11786"/>
    <col width="9.1796875" customWidth="1" style="97" min="11787" max="11787"/>
    <col width="6" customWidth="1" style="97" min="11788" max="11788"/>
    <col width="9.1796875" customWidth="1" style="97" min="11789" max="11789"/>
    <col width="6" customWidth="1" style="97" min="11790" max="11790"/>
    <col width="10.1796875" customWidth="1" style="97" min="11791" max="11792"/>
    <col width="10" customWidth="1" style="97" min="11793" max="11793"/>
    <col width="10.36328125" customWidth="1" style="97" min="11794" max="11794"/>
    <col width="9.1796875" customWidth="1" style="97" min="11795" max="11805"/>
    <col width="11.36328125" customWidth="1" style="97" min="11806" max="11806"/>
    <col hidden="1" width="13" customWidth="1" style="97" min="11807" max="11827"/>
    <col width="9.1796875" customWidth="1" style="97" min="11828" max="12033"/>
    <col width="28.6328125" customWidth="1" style="97" min="12034" max="12034"/>
    <col width="9" bestFit="1" customWidth="1" style="97" min="12035" max="12035"/>
    <col width="5.36328125" customWidth="1" style="97" min="12036" max="12036"/>
    <col width="9" bestFit="1" customWidth="1" style="97" min="12037" max="12037"/>
    <col width="5.36328125" customWidth="1" style="97" min="12038" max="12038"/>
    <col width="9" bestFit="1" customWidth="1" style="97" min="12039" max="12039"/>
    <col width="5" customWidth="1" style="97" min="12040" max="12040"/>
    <col width="9" bestFit="1" customWidth="1" style="97" min="12041" max="12041"/>
    <col width="5.1796875" customWidth="1" style="97" min="12042" max="12042"/>
    <col width="9.1796875" customWidth="1" style="97" min="12043" max="12043"/>
    <col width="6" customWidth="1" style="97" min="12044" max="12044"/>
    <col width="9.1796875" customWidth="1" style="97" min="12045" max="12045"/>
    <col width="6" customWidth="1" style="97" min="12046" max="12046"/>
    <col width="10.1796875" customWidth="1" style="97" min="12047" max="12048"/>
    <col width="10" customWidth="1" style="97" min="12049" max="12049"/>
    <col width="10.36328125" customWidth="1" style="97" min="12050" max="12050"/>
    <col width="9.1796875" customWidth="1" style="97" min="12051" max="12061"/>
    <col width="11.36328125" customWidth="1" style="97" min="12062" max="12062"/>
    <col hidden="1" width="13" customWidth="1" style="97" min="12063" max="12083"/>
    <col width="9.1796875" customWidth="1" style="97" min="12084" max="12289"/>
    <col width="28.6328125" customWidth="1" style="97" min="12290" max="12290"/>
    <col width="9" bestFit="1" customWidth="1" style="97" min="12291" max="12291"/>
    <col width="5.36328125" customWidth="1" style="97" min="12292" max="12292"/>
    <col width="9" bestFit="1" customWidth="1" style="97" min="12293" max="12293"/>
    <col width="5.36328125" customWidth="1" style="97" min="12294" max="12294"/>
    <col width="9" bestFit="1" customWidth="1" style="97" min="12295" max="12295"/>
    <col width="5" customWidth="1" style="97" min="12296" max="12296"/>
    <col width="9" bestFit="1" customWidth="1" style="97" min="12297" max="12297"/>
    <col width="5.1796875" customWidth="1" style="97" min="12298" max="12298"/>
    <col width="9.1796875" customWidth="1" style="97" min="12299" max="12299"/>
    <col width="6" customWidth="1" style="97" min="12300" max="12300"/>
    <col width="9.1796875" customWidth="1" style="97" min="12301" max="12301"/>
    <col width="6" customWidth="1" style="97" min="12302" max="12302"/>
    <col width="10.1796875" customWidth="1" style="97" min="12303" max="12304"/>
    <col width="10" customWidth="1" style="97" min="12305" max="12305"/>
    <col width="10.36328125" customWidth="1" style="97" min="12306" max="12306"/>
    <col width="9.1796875" customWidth="1" style="97" min="12307" max="12317"/>
    <col width="11.36328125" customWidth="1" style="97" min="12318" max="12318"/>
    <col hidden="1" width="13" customWidth="1" style="97" min="12319" max="12339"/>
    <col width="9.1796875" customWidth="1" style="97" min="12340" max="12545"/>
    <col width="28.6328125" customWidth="1" style="97" min="12546" max="12546"/>
    <col width="9" bestFit="1" customWidth="1" style="97" min="12547" max="12547"/>
    <col width="5.36328125" customWidth="1" style="97" min="12548" max="12548"/>
    <col width="9" bestFit="1" customWidth="1" style="97" min="12549" max="12549"/>
    <col width="5.36328125" customWidth="1" style="97" min="12550" max="12550"/>
    <col width="9" bestFit="1" customWidth="1" style="97" min="12551" max="12551"/>
    <col width="5" customWidth="1" style="97" min="12552" max="12552"/>
    <col width="9" bestFit="1" customWidth="1" style="97" min="12553" max="12553"/>
    <col width="5.1796875" customWidth="1" style="97" min="12554" max="12554"/>
    <col width="9.1796875" customWidth="1" style="97" min="12555" max="12555"/>
    <col width="6" customWidth="1" style="97" min="12556" max="12556"/>
    <col width="9.1796875" customWidth="1" style="97" min="12557" max="12557"/>
    <col width="6" customWidth="1" style="97" min="12558" max="12558"/>
    <col width="10.1796875" customWidth="1" style="97" min="12559" max="12560"/>
    <col width="10" customWidth="1" style="97" min="12561" max="12561"/>
    <col width="10.36328125" customWidth="1" style="97" min="12562" max="12562"/>
    <col width="9.1796875" customWidth="1" style="97" min="12563" max="12573"/>
    <col width="11.36328125" customWidth="1" style="97" min="12574" max="12574"/>
    <col hidden="1" width="13" customWidth="1" style="97" min="12575" max="12595"/>
    <col width="9.1796875" customWidth="1" style="97" min="12596" max="12801"/>
    <col width="28.6328125" customWidth="1" style="97" min="12802" max="12802"/>
    <col width="9" bestFit="1" customWidth="1" style="97" min="12803" max="12803"/>
    <col width="5.36328125" customWidth="1" style="97" min="12804" max="12804"/>
    <col width="9" bestFit="1" customWidth="1" style="97" min="12805" max="12805"/>
    <col width="5.36328125" customWidth="1" style="97" min="12806" max="12806"/>
    <col width="9" bestFit="1" customWidth="1" style="97" min="12807" max="12807"/>
    <col width="5" customWidth="1" style="97" min="12808" max="12808"/>
    <col width="9" bestFit="1" customWidth="1" style="97" min="12809" max="12809"/>
    <col width="5.1796875" customWidth="1" style="97" min="12810" max="12810"/>
    <col width="9.1796875" customWidth="1" style="97" min="12811" max="12811"/>
    <col width="6" customWidth="1" style="97" min="12812" max="12812"/>
    <col width="9.1796875" customWidth="1" style="97" min="12813" max="12813"/>
    <col width="6" customWidth="1" style="97" min="12814" max="12814"/>
    <col width="10.1796875" customWidth="1" style="97" min="12815" max="12816"/>
    <col width="10" customWidth="1" style="97" min="12817" max="12817"/>
    <col width="10.36328125" customWidth="1" style="97" min="12818" max="12818"/>
    <col width="9.1796875" customWidth="1" style="97" min="12819" max="12829"/>
    <col width="11.36328125" customWidth="1" style="97" min="12830" max="12830"/>
    <col hidden="1" width="13" customWidth="1" style="97" min="12831" max="12851"/>
    <col width="9.1796875" customWidth="1" style="97" min="12852" max="13057"/>
    <col width="28.6328125" customWidth="1" style="97" min="13058" max="13058"/>
    <col width="9" bestFit="1" customWidth="1" style="97" min="13059" max="13059"/>
    <col width="5.36328125" customWidth="1" style="97" min="13060" max="13060"/>
    <col width="9" bestFit="1" customWidth="1" style="97" min="13061" max="13061"/>
    <col width="5.36328125" customWidth="1" style="97" min="13062" max="13062"/>
    <col width="9" bestFit="1" customWidth="1" style="97" min="13063" max="13063"/>
    <col width="5" customWidth="1" style="97" min="13064" max="13064"/>
    <col width="9" bestFit="1" customWidth="1" style="97" min="13065" max="13065"/>
    <col width="5.1796875" customWidth="1" style="97" min="13066" max="13066"/>
    <col width="9.1796875" customWidth="1" style="97" min="13067" max="13067"/>
    <col width="6" customWidth="1" style="97" min="13068" max="13068"/>
    <col width="9.1796875" customWidth="1" style="97" min="13069" max="13069"/>
    <col width="6" customWidth="1" style="97" min="13070" max="13070"/>
    <col width="10.1796875" customWidth="1" style="97" min="13071" max="13072"/>
    <col width="10" customWidth="1" style="97" min="13073" max="13073"/>
    <col width="10.36328125" customWidth="1" style="97" min="13074" max="13074"/>
    <col width="9.1796875" customWidth="1" style="97" min="13075" max="13085"/>
    <col width="11.36328125" customWidth="1" style="97" min="13086" max="13086"/>
    <col hidden="1" width="13" customWidth="1" style="97" min="13087" max="13107"/>
    <col width="9.1796875" customWidth="1" style="97" min="13108" max="13313"/>
    <col width="28.6328125" customWidth="1" style="97" min="13314" max="13314"/>
    <col width="9" bestFit="1" customWidth="1" style="97" min="13315" max="13315"/>
    <col width="5.36328125" customWidth="1" style="97" min="13316" max="13316"/>
    <col width="9" bestFit="1" customWidth="1" style="97" min="13317" max="13317"/>
    <col width="5.36328125" customWidth="1" style="97" min="13318" max="13318"/>
    <col width="9" bestFit="1" customWidth="1" style="97" min="13319" max="13319"/>
    <col width="5" customWidth="1" style="97" min="13320" max="13320"/>
    <col width="9" bestFit="1" customWidth="1" style="97" min="13321" max="13321"/>
    <col width="5.1796875" customWidth="1" style="97" min="13322" max="13322"/>
    <col width="9.1796875" customWidth="1" style="97" min="13323" max="13323"/>
    <col width="6" customWidth="1" style="97" min="13324" max="13324"/>
    <col width="9.1796875" customWidth="1" style="97" min="13325" max="13325"/>
    <col width="6" customWidth="1" style="97" min="13326" max="13326"/>
    <col width="10.1796875" customWidth="1" style="97" min="13327" max="13328"/>
    <col width="10" customWidth="1" style="97" min="13329" max="13329"/>
    <col width="10.36328125" customWidth="1" style="97" min="13330" max="13330"/>
    <col width="9.1796875" customWidth="1" style="97" min="13331" max="13341"/>
    <col width="11.36328125" customWidth="1" style="97" min="13342" max="13342"/>
    <col hidden="1" width="13" customWidth="1" style="97" min="13343" max="13363"/>
    <col width="9.1796875" customWidth="1" style="97" min="13364" max="13569"/>
    <col width="28.6328125" customWidth="1" style="97" min="13570" max="13570"/>
    <col width="9" bestFit="1" customWidth="1" style="97" min="13571" max="13571"/>
    <col width="5.36328125" customWidth="1" style="97" min="13572" max="13572"/>
    <col width="9" bestFit="1" customWidth="1" style="97" min="13573" max="13573"/>
    <col width="5.36328125" customWidth="1" style="97" min="13574" max="13574"/>
    <col width="9" bestFit="1" customWidth="1" style="97" min="13575" max="13575"/>
    <col width="5" customWidth="1" style="97" min="13576" max="13576"/>
    <col width="9" bestFit="1" customWidth="1" style="97" min="13577" max="13577"/>
    <col width="5.1796875" customWidth="1" style="97" min="13578" max="13578"/>
    <col width="9.1796875" customWidth="1" style="97" min="13579" max="13579"/>
    <col width="6" customWidth="1" style="97" min="13580" max="13580"/>
    <col width="9.1796875" customWidth="1" style="97" min="13581" max="13581"/>
    <col width="6" customWidth="1" style="97" min="13582" max="13582"/>
    <col width="10.1796875" customWidth="1" style="97" min="13583" max="13584"/>
    <col width="10" customWidth="1" style="97" min="13585" max="13585"/>
    <col width="10.36328125" customWidth="1" style="97" min="13586" max="13586"/>
    <col width="9.1796875" customWidth="1" style="97" min="13587" max="13597"/>
    <col width="11.36328125" customWidth="1" style="97" min="13598" max="13598"/>
    <col hidden="1" width="13" customWidth="1" style="97" min="13599" max="13619"/>
    <col width="9.1796875" customWidth="1" style="97" min="13620" max="13825"/>
    <col width="28.6328125" customWidth="1" style="97" min="13826" max="13826"/>
    <col width="9" bestFit="1" customWidth="1" style="97" min="13827" max="13827"/>
    <col width="5.36328125" customWidth="1" style="97" min="13828" max="13828"/>
    <col width="9" bestFit="1" customWidth="1" style="97" min="13829" max="13829"/>
    <col width="5.36328125" customWidth="1" style="97" min="13830" max="13830"/>
    <col width="9" bestFit="1" customWidth="1" style="97" min="13831" max="13831"/>
    <col width="5" customWidth="1" style="97" min="13832" max="13832"/>
    <col width="9" bestFit="1" customWidth="1" style="97" min="13833" max="13833"/>
    <col width="5.1796875" customWidth="1" style="97" min="13834" max="13834"/>
    <col width="9.1796875" customWidth="1" style="97" min="13835" max="13835"/>
    <col width="6" customWidth="1" style="97" min="13836" max="13836"/>
    <col width="9.1796875" customWidth="1" style="97" min="13837" max="13837"/>
    <col width="6" customWidth="1" style="97" min="13838" max="13838"/>
    <col width="10.1796875" customWidth="1" style="97" min="13839" max="13840"/>
    <col width="10" customWidth="1" style="97" min="13841" max="13841"/>
    <col width="10.36328125" customWidth="1" style="97" min="13842" max="13842"/>
    <col width="9.1796875" customWidth="1" style="97" min="13843" max="13853"/>
    <col width="11.36328125" customWidth="1" style="97" min="13854" max="13854"/>
    <col hidden="1" width="13" customWidth="1" style="97" min="13855" max="13875"/>
    <col width="9.1796875" customWidth="1" style="97" min="13876" max="14081"/>
    <col width="28.6328125" customWidth="1" style="97" min="14082" max="14082"/>
    <col width="9" bestFit="1" customWidth="1" style="97" min="14083" max="14083"/>
    <col width="5.36328125" customWidth="1" style="97" min="14084" max="14084"/>
    <col width="9" bestFit="1" customWidth="1" style="97" min="14085" max="14085"/>
    <col width="5.36328125" customWidth="1" style="97" min="14086" max="14086"/>
    <col width="9" bestFit="1" customWidth="1" style="97" min="14087" max="14087"/>
    <col width="5" customWidth="1" style="97" min="14088" max="14088"/>
    <col width="9" bestFit="1" customWidth="1" style="97" min="14089" max="14089"/>
    <col width="5.1796875" customWidth="1" style="97" min="14090" max="14090"/>
    <col width="9.1796875" customWidth="1" style="97" min="14091" max="14091"/>
    <col width="6" customWidth="1" style="97" min="14092" max="14092"/>
    <col width="9.1796875" customWidth="1" style="97" min="14093" max="14093"/>
    <col width="6" customWidth="1" style="97" min="14094" max="14094"/>
    <col width="10.1796875" customWidth="1" style="97" min="14095" max="14096"/>
    <col width="10" customWidth="1" style="97" min="14097" max="14097"/>
    <col width="10.36328125" customWidth="1" style="97" min="14098" max="14098"/>
    <col width="9.1796875" customWidth="1" style="97" min="14099" max="14109"/>
    <col width="11.36328125" customWidth="1" style="97" min="14110" max="14110"/>
    <col hidden="1" width="13" customWidth="1" style="97" min="14111" max="14131"/>
    <col width="9.1796875" customWidth="1" style="97" min="14132" max="14337"/>
    <col width="28.6328125" customWidth="1" style="97" min="14338" max="14338"/>
    <col width="9" bestFit="1" customWidth="1" style="97" min="14339" max="14339"/>
    <col width="5.36328125" customWidth="1" style="97" min="14340" max="14340"/>
    <col width="9" bestFit="1" customWidth="1" style="97" min="14341" max="14341"/>
    <col width="5.36328125" customWidth="1" style="97" min="14342" max="14342"/>
    <col width="9" bestFit="1" customWidth="1" style="97" min="14343" max="14343"/>
    <col width="5" customWidth="1" style="97" min="14344" max="14344"/>
    <col width="9" bestFit="1" customWidth="1" style="97" min="14345" max="14345"/>
    <col width="5.1796875" customWidth="1" style="97" min="14346" max="14346"/>
    <col width="9.1796875" customWidth="1" style="97" min="14347" max="14347"/>
    <col width="6" customWidth="1" style="97" min="14348" max="14348"/>
    <col width="9.1796875" customWidth="1" style="97" min="14349" max="14349"/>
    <col width="6" customWidth="1" style="97" min="14350" max="14350"/>
    <col width="10.1796875" customWidth="1" style="97" min="14351" max="14352"/>
    <col width="10" customWidth="1" style="97" min="14353" max="14353"/>
    <col width="10.36328125" customWidth="1" style="97" min="14354" max="14354"/>
    <col width="9.1796875" customWidth="1" style="97" min="14355" max="14365"/>
    <col width="11.36328125" customWidth="1" style="97" min="14366" max="14366"/>
    <col hidden="1" width="13" customWidth="1" style="97" min="14367" max="14387"/>
    <col width="9.1796875" customWidth="1" style="97" min="14388" max="14593"/>
    <col width="28.6328125" customWidth="1" style="97" min="14594" max="14594"/>
    <col width="9" bestFit="1" customWidth="1" style="97" min="14595" max="14595"/>
    <col width="5.36328125" customWidth="1" style="97" min="14596" max="14596"/>
    <col width="9" bestFit="1" customWidth="1" style="97" min="14597" max="14597"/>
    <col width="5.36328125" customWidth="1" style="97" min="14598" max="14598"/>
    <col width="9" bestFit="1" customWidth="1" style="97" min="14599" max="14599"/>
    <col width="5" customWidth="1" style="97" min="14600" max="14600"/>
    <col width="9" bestFit="1" customWidth="1" style="97" min="14601" max="14601"/>
    <col width="5.1796875" customWidth="1" style="97" min="14602" max="14602"/>
    <col width="9.1796875" customWidth="1" style="97" min="14603" max="14603"/>
    <col width="6" customWidth="1" style="97" min="14604" max="14604"/>
    <col width="9.1796875" customWidth="1" style="97" min="14605" max="14605"/>
    <col width="6" customWidth="1" style="97" min="14606" max="14606"/>
    <col width="10.1796875" customWidth="1" style="97" min="14607" max="14608"/>
    <col width="10" customWidth="1" style="97" min="14609" max="14609"/>
    <col width="10.36328125" customWidth="1" style="97" min="14610" max="14610"/>
    <col width="9.1796875" customWidth="1" style="97" min="14611" max="14621"/>
    <col width="11.36328125" customWidth="1" style="97" min="14622" max="14622"/>
    <col hidden="1" width="13" customWidth="1" style="97" min="14623" max="14643"/>
    <col width="9.1796875" customWidth="1" style="97" min="14644" max="14849"/>
    <col width="28.6328125" customWidth="1" style="97" min="14850" max="14850"/>
    <col width="9" bestFit="1" customWidth="1" style="97" min="14851" max="14851"/>
    <col width="5.36328125" customWidth="1" style="97" min="14852" max="14852"/>
    <col width="9" bestFit="1" customWidth="1" style="97" min="14853" max="14853"/>
    <col width="5.36328125" customWidth="1" style="97" min="14854" max="14854"/>
    <col width="9" bestFit="1" customWidth="1" style="97" min="14855" max="14855"/>
    <col width="5" customWidth="1" style="97" min="14856" max="14856"/>
    <col width="9" bestFit="1" customWidth="1" style="97" min="14857" max="14857"/>
    <col width="5.1796875" customWidth="1" style="97" min="14858" max="14858"/>
    <col width="9.1796875" customWidth="1" style="97" min="14859" max="14859"/>
    <col width="6" customWidth="1" style="97" min="14860" max="14860"/>
    <col width="9.1796875" customWidth="1" style="97" min="14861" max="14861"/>
    <col width="6" customWidth="1" style="97" min="14862" max="14862"/>
    <col width="10.1796875" customWidth="1" style="97" min="14863" max="14864"/>
    <col width="10" customWidth="1" style="97" min="14865" max="14865"/>
    <col width="10.36328125" customWidth="1" style="97" min="14866" max="14866"/>
    <col width="9.1796875" customWidth="1" style="97" min="14867" max="14877"/>
    <col width="11.36328125" customWidth="1" style="97" min="14878" max="14878"/>
    <col hidden="1" width="13" customWidth="1" style="97" min="14879" max="14899"/>
    <col width="9.1796875" customWidth="1" style="97" min="14900" max="15105"/>
    <col width="28.6328125" customWidth="1" style="97" min="15106" max="15106"/>
    <col width="9" bestFit="1" customWidth="1" style="97" min="15107" max="15107"/>
    <col width="5.36328125" customWidth="1" style="97" min="15108" max="15108"/>
    <col width="9" bestFit="1" customWidth="1" style="97" min="15109" max="15109"/>
    <col width="5.36328125" customWidth="1" style="97" min="15110" max="15110"/>
    <col width="9" bestFit="1" customWidth="1" style="97" min="15111" max="15111"/>
    <col width="5" customWidth="1" style="97" min="15112" max="15112"/>
    <col width="9" bestFit="1" customWidth="1" style="97" min="15113" max="15113"/>
    <col width="5.1796875" customWidth="1" style="97" min="15114" max="15114"/>
    <col width="9.1796875" customWidth="1" style="97" min="15115" max="15115"/>
    <col width="6" customWidth="1" style="97" min="15116" max="15116"/>
    <col width="9.1796875" customWidth="1" style="97" min="15117" max="15117"/>
    <col width="6" customWidth="1" style="97" min="15118" max="15118"/>
    <col width="10.1796875" customWidth="1" style="97" min="15119" max="15120"/>
    <col width="10" customWidth="1" style="97" min="15121" max="15121"/>
    <col width="10.36328125" customWidth="1" style="97" min="15122" max="15122"/>
    <col width="9.1796875" customWidth="1" style="97" min="15123" max="15133"/>
    <col width="11.36328125" customWidth="1" style="97" min="15134" max="15134"/>
    <col hidden="1" width="13" customWidth="1" style="97" min="15135" max="15155"/>
    <col width="9.1796875" customWidth="1" style="97" min="15156" max="15361"/>
    <col width="28.6328125" customWidth="1" style="97" min="15362" max="15362"/>
    <col width="9" bestFit="1" customWidth="1" style="97" min="15363" max="15363"/>
    <col width="5.36328125" customWidth="1" style="97" min="15364" max="15364"/>
    <col width="9" bestFit="1" customWidth="1" style="97" min="15365" max="15365"/>
    <col width="5.36328125" customWidth="1" style="97" min="15366" max="15366"/>
    <col width="9" bestFit="1" customWidth="1" style="97" min="15367" max="15367"/>
    <col width="5" customWidth="1" style="97" min="15368" max="15368"/>
    <col width="9" bestFit="1" customWidth="1" style="97" min="15369" max="15369"/>
    <col width="5.1796875" customWidth="1" style="97" min="15370" max="15370"/>
    <col width="9.1796875" customWidth="1" style="97" min="15371" max="15371"/>
    <col width="6" customWidth="1" style="97" min="15372" max="15372"/>
    <col width="9.1796875" customWidth="1" style="97" min="15373" max="15373"/>
    <col width="6" customWidth="1" style="97" min="15374" max="15374"/>
    <col width="10.1796875" customWidth="1" style="97" min="15375" max="15376"/>
    <col width="10" customWidth="1" style="97" min="15377" max="15377"/>
    <col width="10.36328125" customWidth="1" style="97" min="15378" max="15378"/>
    <col width="9.1796875" customWidth="1" style="97" min="15379" max="15389"/>
    <col width="11.36328125" customWidth="1" style="97" min="15390" max="15390"/>
    <col hidden="1" width="13" customWidth="1" style="97" min="15391" max="15411"/>
    <col width="9.1796875" customWidth="1" style="97" min="15412" max="15617"/>
    <col width="28.6328125" customWidth="1" style="97" min="15618" max="15618"/>
    <col width="9" bestFit="1" customWidth="1" style="97" min="15619" max="15619"/>
    <col width="5.36328125" customWidth="1" style="97" min="15620" max="15620"/>
    <col width="9" bestFit="1" customWidth="1" style="97" min="15621" max="15621"/>
    <col width="5.36328125" customWidth="1" style="97" min="15622" max="15622"/>
    <col width="9" bestFit="1" customWidth="1" style="97" min="15623" max="15623"/>
    <col width="5" customWidth="1" style="97" min="15624" max="15624"/>
    <col width="9" bestFit="1" customWidth="1" style="97" min="15625" max="15625"/>
    <col width="5.1796875" customWidth="1" style="97" min="15626" max="15626"/>
    <col width="9.1796875" customWidth="1" style="97" min="15627" max="15627"/>
    <col width="6" customWidth="1" style="97" min="15628" max="15628"/>
    <col width="9.1796875" customWidth="1" style="97" min="15629" max="15629"/>
    <col width="6" customWidth="1" style="97" min="15630" max="15630"/>
    <col width="10.1796875" customWidth="1" style="97" min="15631" max="15632"/>
    <col width="10" customWidth="1" style="97" min="15633" max="15633"/>
    <col width="10.36328125" customWidth="1" style="97" min="15634" max="15634"/>
    <col width="9.1796875" customWidth="1" style="97" min="15635" max="15645"/>
    <col width="11.36328125" customWidth="1" style="97" min="15646" max="15646"/>
    <col hidden="1" width="13" customWidth="1" style="97" min="15647" max="15667"/>
    <col width="9.1796875" customWidth="1" style="97" min="15668" max="15873"/>
    <col width="28.6328125" customWidth="1" style="97" min="15874" max="15874"/>
    <col width="9" bestFit="1" customWidth="1" style="97" min="15875" max="15875"/>
    <col width="5.36328125" customWidth="1" style="97" min="15876" max="15876"/>
    <col width="9" bestFit="1" customWidth="1" style="97" min="15877" max="15877"/>
    <col width="5.36328125" customWidth="1" style="97" min="15878" max="15878"/>
    <col width="9" bestFit="1" customWidth="1" style="97" min="15879" max="15879"/>
    <col width="5" customWidth="1" style="97" min="15880" max="15880"/>
    <col width="9" bestFit="1" customWidth="1" style="97" min="15881" max="15881"/>
    <col width="5.1796875" customWidth="1" style="97" min="15882" max="15882"/>
    <col width="9.1796875" customWidth="1" style="97" min="15883" max="15883"/>
    <col width="6" customWidth="1" style="97" min="15884" max="15884"/>
    <col width="9.1796875" customWidth="1" style="97" min="15885" max="15885"/>
    <col width="6" customWidth="1" style="97" min="15886" max="15886"/>
    <col width="10.1796875" customWidth="1" style="97" min="15887" max="15888"/>
    <col width="10" customWidth="1" style="97" min="15889" max="15889"/>
    <col width="10.36328125" customWidth="1" style="97" min="15890" max="15890"/>
    <col width="9.1796875" customWidth="1" style="97" min="15891" max="15901"/>
    <col width="11.36328125" customWidth="1" style="97" min="15902" max="15902"/>
    <col hidden="1" width="13" customWidth="1" style="97" min="15903" max="15923"/>
    <col width="9.1796875" customWidth="1" style="97" min="15924" max="16129"/>
    <col width="28.6328125" customWidth="1" style="97" min="16130" max="16130"/>
    <col width="9" bestFit="1" customWidth="1" style="97" min="16131" max="16131"/>
    <col width="5.36328125" customWidth="1" style="97" min="16132" max="16132"/>
    <col width="9" bestFit="1" customWidth="1" style="97" min="16133" max="16133"/>
    <col width="5.36328125" customWidth="1" style="97" min="16134" max="16134"/>
    <col width="9" bestFit="1" customWidth="1" style="97" min="16135" max="16135"/>
    <col width="5" customWidth="1" style="97" min="16136" max="16136"/>
    <col width="9" bestFit="1" customWidth="1" style="97" min="16137" max="16137"/>
    <col width="5.1796875" customWidth="1" style="97" min="16138" max="16138"/>
    <col width="9.1796875" customWidth="1" style="97" min="16139" max="16139"/>
    <col width="6" customWidth="1" style="97" min="16140" max="16140"/>
    <col width="9.1796875" customWidth="1" style="97" min="16141" max="16141"/>
    <col width="6" customWidth="1" style="97" min="16142" max="16142"/>
    <col width="10.1796875" customWidth="1" style="97" min="16143" max="16144"/>
    <col width="10" customWidth="1" style="97" min="16145" max="16145"/>
    <col width="10.36328125" customWidth="1" style="97" min="16146" max="16146"/>
    <col width="9.1796875" customWidth="1" style="97" min="16147" max="16157"/>
    <col width="11.36328125" customWidth="1" style="97" min="16158" max="16158"/>
    <col hidden="1" width="13" customWidth="1" style="97" min="16159" max="16179"/>
    <col width="9.1796875" customWidth="1" style="97" min="16180" max="16384"/>
  </cols>
  <sheetData>
    <row r="1">
      <c r="AY1" s="33" t="inlineStr">
        <is>
          <t>Add column</t>
        </is>
      </c>
      <c r="AZ1" s="118" t="inlineStr">
        <is>
          <t>To modify</t>
        </is>
      </c>
    </row>
    <row r="2">
      <c r="B2" s="12" t="n"/>
    </row>
    <row r="3" ht="16" customHeight="1"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L3" s="8" t="n"/>
      <c r="AM3" s="8" t="n"/>
      <c r="AN3" s="8" t="n"/>
      <c r="AO3" s="8" t="n"/>
      <c r="AP3" s="8" t="n"/>
      <c r="AQ3" s="8" t="n"/>
      <c r="AR3" s="8" t="n"/>
      <c r="AS3" s="8" t="n"/>
      <c r="AT3" s="8" t="n"/>
      <c r="AU3" s="8" t="n"/>
      <c r="AV3" s="8" t="n"/>
      <c r="AW3" s="8" t="n"/>
      <c r="AX3" s="8" t="n"/>
      <c r="BA3" s="119" t="inlineStr">
        <is>
          <t>Average</t>
        </is>
      </c>
      <c r="BB3" s="104" t="n"/>
    </row>
    <row r="4">
      <c r="B4" s="116"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26" t="n">
        <v>44562</v>
      </c>
      <c r="AM4" s="26" t="n">
        <v>44593</v>
      </c>
      <c r="AN4" s="26" t="n">
        <v>44621</v>
      </c>
      <c r="AO4" s="26" t="n">
        <v>44652</v>
      </c>
      <c r="AP4" s="26" t="n">
        <v>44682</v>
      </c>
      <c r="AQ4" s="26" t="n">
        <v>44713</v>
      </c>
      <c r="AR4" s="26" t="n">
        <v>44743</v>
      </c>
      <c r="AS4" s="26" t="n">
        <v>44774</v>
      </c>
      <c r="AT4" s="26" t="n">
        <v>44805</v>
      </c>
      <c r="AU4" s="26" t="n">
        <v>44835</v>
      </c>
      <c r="AV4" s="26" t="n">
        <v>44866</v>
      </c>
      <c r="AW4" s="26" t="n">
        <v>44896</v>
      </c>
      <c r="AX4" s="26" t="n">
        <v>44927</v>
      </c>
      <c r="AY4" s="11" t="n"/>
      <c r="AZ4" s="120" t="inlineStr">
        <is>
          <t>mom</t>
        </is>
      </c>
      <c r="BA4" s="120" t="inlineStr">
        <is>
          <t>3 months</t>
        </is>
      </c>
      <c r="BB4" s="120" t="inlineStr">
        <is>
          <t>6 months</t>
        </is>
      </c>
    </row>
    <row r="5" ht="16" customHeight="1" thickBot="1">
      <c r="B5" s="117"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27" t="n"/>
      <c r="AM5" s="27" t="n"/>
      <c r="AN5" s="27" t="n"/>
      <c r="AO5" s="27" t="n"/>
      <c r="AP5" s="27" t="n"/>
      <c r="AQ5" s="27" t="n"/>
      <c r="AR5" s="27" t="n"/>
      <c r="AS5" s="27" t="n"/>
      <c r="AT5" s="27" t="n"/>
      <c r="AU5" s="27" t="n"/>
      <c r="AV5" s="27" t="n"/>
      <c r="AW5" s="27" t="n"/>
      <c r="AX5" s="27" t="n"/>
      <c r="AY5" s="11" t="n"/>
      <c r="AZ5" s="121" t="n"/>
      <c r="BA5" s="121" t="n"/>
      <c r="BB5" s="121"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20">
        <f>VLOOKUP(AL$4,'DB Manufacturing ISM'!$A:$S,MATCH($B6,'DB Manufacturing ISM'!$A$1:$S$1,0),0)</f>
        <v/>
      </c>
      <c r="AM6" s="20">
        <f>VLOOKUP(AM$4,'DB Manufacturing ISM'!$A:$S,MATCH($B6,'DB Manufacturing ISM'!$A$1:$S$1,0),0)</f>
        <v/>
      </c>
      <c r="AN6" s="20">
        <f>VLOOKUP(AN$4,'DB Manufacturing ISM'!$A:$S,MATCH($B6,'DB Manufacturing ISM'!$A$1:$S$1,0),0)</f>
        <v/>
      </c>
      <c r="AO6" s="20">
        <f>VLOOKUP(AO$4,'DB Manufacturing ISM'!$A:$S,MATCH($B6,'DB Manufacturing ISM'!$A$1:$S$1,0),0)</f>
        <v/>
      </c>
      <c r="AP6" s="20">
        <f>VLOOKUP(AP$4,'DB Manufacturing ISM'!$A:$S,MATCH($B6,'DB Manufacturing ISM'!$A$1:$S$1,0),0)</f>
        <v/>
      </c>
      <c r="AQ6" s="20">
        <f>VLOOKUP(AQ$4,'DB Manufacturing ISM'!$A:$S,MATCH($B6,'DB Manufacturing ISM'!$A$1:$S$1,0),0)</f>
        <v/>
      </c>
      <c r="AR6" s="20">
        <f>VLOOKUP(AR$4,'DB Manufacturing ISM'!$A:$S,MATCH($B6,'DB Manufacturing ISM'!$A$1:$S$1,0),0)</f>
        <v/>
      </c>
      <c r="AS6" s="20">
        <f>VLOOKUP(AS$4,'DB Manufacturing ISM'!$A:$S,MATCH($B6,'DB Manufacturing ISM'!$A$1:$S$1,0),0)</f>
        <v/>
      </c>
      <c r="AT6" s="20">
        <f>VLOOKUP(AT$4,'DB Manufacturing ISM'!$A:$S,MATCH($B6,'DB Manufacturing ISM'!$A$1:$S$1,0),0)</f>
        <v/>
      </c>
      <c r="AU6" s="20">
        <f>VLOOKUP(AU$4,'DB Manufacturing ISM'!$A:$S,MATCH($B6,'DB Manufacturing ISM'!$A$1:$S$1,0),0)</f>
        <v/>
      </c>
      <c r="AV6" s="20">
        <f>VLOOKUP(AV$4,'DB Manufacturing ISM'!$A:$S,MATCH($B6,'DB Manufacturing ISM'!$A$1:$S$1,0),0)</f>
        <v/>
      </c>
      <c r="AW6" s="20">
        <f>VLOOKUP(AW$4,'DB Manufacturing ISM'!$A:$S,MATCH($B6,'DB Manufacturing ISM'!$A$1:$S$1,0),0)</f>
        <v/>
      </c>
      <c r="AX6" s="20">
        <f>VLOOKUP(AX$4,'DB Manufacturing ISM'!$A:$S,MATCH($B6,'DB Manufacturing ISM'!$A$1:$S$1,0),0)</f>
        <v/>
      </c>
      <c r="AY6" s="13" t="n"/>
      <c r="AZ6" s="20">
        <f>AX6-AW6</f>
        <v/>
      </c>
      <c r="BA6" s="23">
        <f>AVERAGE(AV6:AX6)</f>
        <v/>
      </c>
      <c r="BB6" s="23">
        <f>AVERAGE(AS6:AX6)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20">
        <f>VLOOKUP(AL$4,'DB Manufacturing ISM'!$A:$S,MATCH($B7,'DB Manufacturing ISM'!$A$1:$S$1,0),0)</f>
        <v/>
      </c>
      <c r="AM7" s="20">
        <f>VLOOKUP(AM$4,'DB Manufacturing ISM'!$A:$S,MATCH($B7,'DB Manufacturing ISM'!$A$1:$S$1,0),0)</f>
        <v/>
      </c>
      <c r="AN7" s="20">
        <f>VLOOKUP(AN$4,'DB Manufacturing ISM'!$A:$S,MATCH($B7,'DB Manufacturing ISM'!$A$1:$S$1,0),0)</f>
        <v/>
      </c>
      <c r="AO7" s="20">
        <f>VLOOKUP(AO$4,'DB Manufacturing ISM'!$A:$S,MATCH($B7,'DB Manufacturing ISM'!$A$1:$S$1,0),0)</f>
        <v/>
      </c>
      <c r="AP7" s="20">
        <f>VLOOKUP(AP$4,'DB Manufacturing ISM'!$A:$S,MATCH($B7,'DB Manufacturing ISM'!$A$1:$S$1,0),0)</f>
        <v/>
      </c>
      <c r="AQ7" s="20">
        <f>VLOOKUP(AQ$4,'DB Manufacturing ISM'!$A:$S,MATCH($B7,'DB Manufacturing ISM'!$A$1:$S$1,0),0)</f>
        <v/>
      </c>
      <c r="AR7" s="20">
        <f>VLOOKUP(AR$4,'DB Manufacturing ISM'!$A:$S,MATCH($B7,'DB Manufacturing ISM'!$A$1:$S$1,0),0)</f>
        <v/>
      </c>
      <c r="AS7" s="20">
        <f>VLOOKUP(AS$4,'DB Manufacturing ISM'!$A:$S,MATCH($B7,'DB Manufacturing ISM'!$A$1:$S$1,0),0)</f>
        <v/>
      </c>
      <c r="AT7" s="20">
        <f>VLOOKUP(AT$4,'DB Manufacturing ISM'!$A:$S,MATCH($B7,'DB Manufacturing ISM'!$A$1:$S$1,0),0)</f>
        <v/>
      </c>
      <c r="AU7" s="20">
        <f>VLOOKUP(AU$4,'DB Manufacturing ISM'!$A:$S,MATCH($B7,'DB Manufacturing ISM'!$A$1:$S$1,0),0)</f>
        <v/>
      </c>
      <c r="AV7" s="20">
        <f>VLOOKUP(AV$4,'DB Manufacturing ISM'!$A:$S,MATCH($B7,'DB Manufacturing ISM'!$A$1:$S$1,0),0)</f>
        <v/>
      </c>
      <c r="AW7" s="20">
        <f>VLOOKUP(AW$4,'DB Manufacturing ISM'!$A:$S,MATCH($B7,'DB Manufacturing ISM'!$A$1:$S$1,0),0)</f>
        <v/>
      </c>
      <c r="AX7" s="20">
        <f>VLOOKUP(AX$4,'DB Manufacturing ISM'!$A:$S,MATCH($B7,'DB Manufacturing ISM'!$A$1:$S$1,0),0)</f>
        <v/>
      </c>
      <c r="AY7" s="13" t="n"/>
      <c r="AZ7" s="20">
        <f>AX7-AW7</f>
        <v/>
      </c>
      <c r="BA7" s="23">
        <f>AVERAGE(AV7:AX7)</f>
        <v/>
      </c>
      <c r="BB7" s="23">
        <f>AVERAGE(AS7:AX7)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20">
        <f>VLOOKUP(AL$4,'DB Manufacturing ISM'!$A:$S,MATCH($B8,'DB Manufacturing ISM'!$A$1:$S$1,0),0)</f>
        <v/>
      </c>
      <c r="AM8" s="20">
        <f>VLOOKUP(AM$4,'DB Manufacturing ISM'!$A:$S,MATCH($B8,'DB Manufacturing ISM'!$A$1:$S$1,0),0)</f>
        <v/>
      </c>
      <c r="AN8" s="20">
        <f>VLOOKUP(AN$4,'DB Manufacturing ISM'!$A:$S,MATCH($B8,'DB Manufacturing ISM'!$A$1:$S$1,0),0)</f>
        <v/>
      </c>
      <c r="AO8" s="20">
        <f>VLOOKUP(AO$4,'DB Manufacturing ISM'!$A:$S,MATCH($B8,'DB Manufacturing ISM'!$A$1:$S$1,0),0)</f>
        <v/>
      </c>
      <c r="AP8" s="20">
        <f>VLOOKUP(AP$4,'DB Manufacturing ISM'!$A:$S,MATCH($B8,'DB Manufacturing ISM'!$A$1:$S$1,0),0)</f>
        <v/>
      </c>
      <c r="AQ8" s="20">
        <f>VLOOKUP(AQ$4,'DB Manufacturing ISM'!$A:$S,MATCH($B8,'DB Manufacturing ISM'!$A$1:$S$1,0),0)</f>
        <v/>
      </c>
      <c r="AR8" s="20">
        <f>VLOOKUP(AR$4,'DB Manufacturing ISM'!$A:$S,MATCH($B8,'DB Manufacturing ISM'!$A$1:$S$1,0),0)</f>
        <v/>
      </c>
      <c r="AS8" s="20">
        <f>VLOOKUP(AS$4,'DB Manufacturing ISM'!$A:$S,MATCH($B8,'DB Manufacturing ISM'!$A$1:$S$1,0),0)</f>
        <v/>
      </c>
      <c r="AT8" s="20">
        <f>VLOOKUP(AT$4,'DB Manufacturing ISM'!$A:$S,MATCH($B8,'DB Manufacturing ISM'!$A$1:$S$1,0),0)</f>
        <v/>
      </c>
      <c r="AU8" s="20">
        <f>VLOOKUP(AU$4,'DB Manufacturing ISM'!$A:$S,MATCH($B8,'DB Manufacturing ISM'!$A$1:$S$1,0),0)</f>
        <v/>
      </c>
      <c r="AV8" s="20">
        <f>VLOOKUP(AV$4,'DB Manufacturing ISM'!$A:$S,MATCH($B8,'DB Manufacturing ISM'!$A$1:$S$1,0),0)</f>
        <v/>
      </c>
      <c r="AW8" s="20">
        <f>VLOOKUP(AW$4,'DB Manufacturing ISM'!$A:$S,MATCH($B8,'DB Manufacturing ISM'!$A$1:$S$1,0),0)</f>
        <v/>
      </c>
      <c r="AX8" s="20">
        <f>VLOOKUP(AX$4,'DB Manufacturing ISM'!$A:$S,MATCH($B8,'DB Manufacturing ISM'!$A$1:$S$1,0),0)</f>
        <v/>
      </c>
      <c r="AY8" s="13" t="n"/>
      <c r="AZ8" s="20">
        <f>AX8-AW8</f>
        <v/>
      </c>
      <c r="BA8" s="23">
        <f>AVERAGE(AV8:AX8)</f>
        <v/>
      </c>
      <c r="BB8" s="23">
        <f>AVERAGE(AS8:AX8)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20">
        <f>VLOOKUP(AL$4,'DB Manufacturing ISM'!$A:$S,MATCH($B9,'DB Manufacturing ISM'!$A$1:$S$1,0),0)</f>
        <v/>
      </c>
      <c r="AM9" s="20">
        <f>VLOOKUP(AM$4,'DB Manufacturing ISM'!$A:$S,MATCH($B9,'DB Manufacturing ISM'!$A$1:$S$1,0),0)</f>
        <v/>
      </c>
      <c r="AN9" s="20">
        <f>VLOOKUP(AN$4,'DB Manufacturing ISM'!$A:$S,MATCH($B9,'DB Manufacturing ISM'!$A$1:$S$1,0),0)</f>
        <v/>
      </c>
      <c r="AO9" s="20">
        <f>VLOOKUP(AO$4,'DB Manufacturing ISM'!$A:$S,MATCH($B9,'DB Manufacturing ISM'!$A$1:$S$1,0),0)</f>
        <v/>
      </c>
      <c r="AP9" s="20">
        <f>VLOOKUP(AP$4,'DB Manufacturing ISM'!$A:$S,MATCH($B9,'DB Manufacturing ISM'!$A$1:$S$1,0),0)</f>
        <v/>
      </c>
      <c r="AQ9" s="20">
        <f>VLOOKUP(AQ$4,'DB Manufacturing ISM'!$A:$S,MATCH($B9,'DB Manufacturing ISM'!$A$1:$S$1,0),0)</f>
        <v/>
      </c>
      <c r="AR9" s="20">
        <f>VLOOKUP(AR$4,'DB Manufacturing ISM'!$A:$S,MATCH($B9,'DB Manufacturing ISM'!$A$1:$S$1,0),0)</f>
        <v/>
      </c>
      <c r="AS9" s="20">
        <f>VLOOKUP(AS$4,'DB Manufacturing ISM'!$A:$S,MATCH($B9,'DB Manufacturing ISM'!$A$1:$S$1,0),0)</f>
        <v/>
      </c>
      <c r="AT9" s="20">
        <f>VLOOKUP(AT$4,'DB Manufacturing ISM'!$A:$S,MATCH($B9,'DB Manufacturing ISM'!$A$1:$S$1,0),0)</f>
        <v/>
      </c>
      <c r="AU9" s="20">
        <f>VLOOKUP(AU$4,'DB Manufacturing ISM'!$A:$S,MATCH($B9,'DB Manufacturing ISM'!$A$1:$S$1,0),0)</f>
        <v/>
      </c>
      <c r="AV9" s="20">
        <f>VLOOKUP(AV$4,'DB Manufacturing ISM'!$A:$S,MATCH($B9,'DB Manufacturing ISM'!$A$1:$S$1,0),0)</f>
        <v/>
      </c>
      <c r="AW9" s="20">
        <f>VLOOKUP(AW$4,'DB Manufacturing ISM'!$A:$S,MATCH($B9,'DB Manufacturing ISM'!$A$1:$S$1,0),0)</f>
        <v/>
      </c>
      <c r="AX9" s="20">
        <f>VLOOKUP(AX$4,'DB Manufacturing ISM'!$A:$S,MATCH($B9,'DB Manufacturing ISM'!$A$1:$S$1,0),0)</f>
        <v/>
      </c>
      <c r="AY9" s="13" t="n"/>
      <c r="AZ9" s="20">
        <f>AX9-AW9</f>
        <v/>
      </c>
      <c r="BA9" s="23">
        <f>AVERAGE(AV9:AX9)</f>
        <v/>
      </c>
      <c r="BB9" s="23">
        <f>AVERAGE(AS9:AX9)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20">
        <f>VLOOKUP(AL$4,'DB Manufacturing ISM'!$A:$S,MATCH($B10,'DB Manufacturing ISM'!$A$1:$S$1,0),0)</f>
        <v/>
      </c>
      <c r="AM10" s="20">
        <f>VLOOKUP(AM$4,'DB Manufacturing ISM'!$A:$S,MATCH($B10,'DB Manufacturing ISM'!$A$1:$S$1,0),0)</f>
        <v/>
      </c>
      <c r="AN10" s="20">
        <f>VLOOKUP(AN$4,'DB Manufacturing ISM'!$A:$S,MATCH($B10,'DB Manufacturing ISM'!$A$1:$S$1,0),0)</f>
        <v/>
      </c>
      <c r="AO10" s="20">
        <f>VLOOKUP(AO$4,'DB Manufacturing ISM'!$A:$S,MATCH($B10,'DB Manufacturing ISM'!$A$1:$S$1,0),0)</f>
        <v/>
      </c>
      <c r="AP10" s="20">
        <f>VLOOKUP(AP$4,'DB Manufacturing ISM'!$A:$S,MATCH($B10,'DB Manufacturing ISM'!$A$1:$S$1,0),0)</f>
        <v/>
      </c>
      <c r="AQ10" s="20">
        <f>VLOOKUP(AQ$4,'DB Manufacturing ISM'!$A:$S,MATCH($B10,'DB Manufacturing ISM'!$A$1:$S$1,0),0)</f>
        <v/>
      </c>
      <c r="AR10" s="20">
        <f>VLOOKUP(AR$4,'DB Manufacturing ISM'!$A:$S,MATCH($B10,'DB Manufacturing ISM'!$A$1:$S$1,0),0)</f>
        <v/>
      </c>
      <c r="AS10" s="20">
        <f>VLOOKUP(AS$4,'DB Manufacturing ISM'!$A:$S,MATCH($B10,'DB Manufacturing ISM'!$A$1:$S$1,0),0)</f>
        <v/>
      </c>
      <c r="AT10" s="20">
        <f>VLOOKUP(AT$4,'DB Manufacturing ISM'!$A:$S,MATCH($B10,'DB Manufacturing ISM'!$A$1:$S$1,0),0)</f>
        <v/>
      </c>
      <c r="AU10" s="20">
        <f>VLOOKUP(AU$4,'DB Manufacturing ISM'!$A:$S,MATCH($B10,'DB Manufacturing ISM'!$A$1:$S$1,0),0)</f>
        <v/>
      </c>
      <c r="AV10" s="20">
        <f>VLOOKUP(AV$4,'DB Manufacturing ISM'!$A:$S,MATCH($B10,'DB Manufacturing ISM'!$A$1:$S$1,0),0)</f>
        <v/>
      </c>
      <c r="AW10" s="20">
        <f>VLOOKUP(AW$4,'DB Manufacturing ISM'!$A:$S,MATCH($B10,'DB Manufacturing ISM'!$A$1:$S$1,0),0)</f>
        <v/>
      </c>
      <c r="AX10" s="20">
        <f>VLOOKUP(AX$4,'DB Manufacturing ISM'!$A:$S,MATCH($B10,'DB Manufacturing ISM'!$A$1:$S$1,0),0)</f>
        <v/>
      </c>
      <c r="AY10" s="13" t="n"/>
      <c r="AZ10" s="20">
        <f>AX10-AW10</f>
        <v/>
      </c>
      <c r="BA10" s="23">
        <f>AVERAGE(AV10:AX10)</f>
        <v/>
      </c>
      <c r="BB10" s="23">
        <f>AVERAGE(AS10:AX10)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20">
        <f>VLOOKUP(AL$4,'DB Manufacturing ISM'!$A:$S,MATCH($B11,'DB Manufacturing ISM'!$A$1:$S$1,0),0)</f>
        <v/>
      </c>
      <c r="AM11" s="20">
        <f>VLOOKUP(AM$4,'DB Manufacturing ISM'!$A:$S,MATCH($B11,'DB Manufacturing ISM'!$A$1:$S$1,0),0)</f>
        <v/>
      </c>
      <c r="AN11" s="20">
        <f>VLOOKUP(AN$4,'DB Manufacturing ISM'!$A:$S,MATCH($B11,'DB Manufacturing ISM'!$A$1:$S$1,0),0)</f>
        <v/>
      </c>
      <c r="AO11" s="20">
        <f>VLOOKUP(AO$4,'DB Manufacturing ISM'!$A:$S,MATCH($B11,'DB Manufacturing ISM'!$A$1:$S$1,0),0)</f>
        <v/>
      </c>
      <c r="AP11" s="20">
        <f>VLOOKUP(AP$4,'DB Manufacturing ISM'!$A:$S,MATCH($B11,'DB Manufacturing ISM'!$A$1:$S$1,0),0)</f>
        <v/>
      </c>
      <c r="AQ11" s="20">
        <f>VLOOKUP(AQ$4,'DB Manufacturing ISM'!$A:$S,MATCH($B11,'DB Manufacturing ISM'!$A$1:$S$1,0),0)</f>
        <v/>
      </c>
      <c r="AR11" s="20">
        <f>VLOOKUP(AR$4,'DB Manufacturing ISM'!$A:$S,MATCH($B11,'DB Manufacturing ISM'!$A$1:$S$1,0),0)</f>
        <v/>
      </c>
      <c r="AS11" s="20">
        <f>VLOOKUP(AS$4,'DB Manufacturing ISM'!$A:$S,MATCH($B11,'DB Manufacturing ISM'!$A$1:$S$1,0),0)</f>
        <v/>
      </c>
      <c r="AT11" s="20">
        <f>VLOOKUP(AT$4,'DB Manufacturing ISM'!$A:$S,MATCH($B11,'DB Manufacturing ISM'!$A$1:$S$1,0),0)</f>
        <v/>
      </c>
      <c r="AU11" s="20">
        <f>VLOOKUP(AU$4,'DB Manufacturing ISM'!$A:$S,MATCH($B11,'DB Manufacturing ISM'!$A$1:$S$1,0),0)</f>
        <v/>
      </c>
      <c r="AV11" s="20">
        <f>VLOOKUP(AV$4,'DB Manufacturing ISM'!$A:$S,MATCH($B11,'DB Manufacturing ISM'!$A$1:$S$1,0),0)</f>
        <v/>
      </c>
      <c r="AW11" s="20">
        <f>VLOOKUP(AW$4,'DB Manufacturing ISM'!$A:$S,MATCH($B11,'DB Manufacturing ISM'!$A$1:$S$1,0),0)</f>
        <v/>
      </c>
      <c r="AX11" s="20">
        <f>VLOOKUP(AX$4,'DB Manufacturing ISM'!$A:$S,MATCH($B11,'DB Manufacturing ISM'!$A$1:$S$1,0),0)</f>
        <v/>
      </c>
      <c r="AY11" s="13" t="n"/>
      <c r="AZ11" s="20">
        <f>AX11-AW11</f>
        <v/>
      </c>
      <c r="BA11" s="23">
        <f>AVERAGE(AV11:AX11)</f>
        <v/>
      </c>
      <c r="BB11" s="23">
        <f>AVERAGE(AS11:AX11)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20">
        <f>VLOOKUP(AL$4,'DB Manufacturing ISM'!$A:$S,MATCH($B12,'DB Manufacturing ISM'!$A$1:$S$1,0),0)</f>
        <v/>
      </c>
      <c r="AM12" s="20">
        <f>VLOOKUP(AM$4,'DB Manufacturing ISM'!$A:$S,MATCH($B12,'DB Manufacturing ISM'!$A$1:$S$1,0),0)</f>
        <v/>
      </c>
      <c r="AN12" s="20">
        <f>VLOOKUP(AN$4,'DB Manufacturing ISM'!$A:$S,MATCH($B12,'DB Manufacturing ISM'!$A$1:$S$1,0),0)</f>
        <v/>
      </c>
      <c r="AO12" s="20">
        <f>VLOOKUP(AO$4,'DB Manufacturing ISM'!$A:$S,MATCH($B12,'DB Manufacturing ISM'!$A$1:$S$1,0),0)</f>
        <v/>
      </c>
      <c r="AP12" s="20">
        <f>VLOOKUP(AP$4,'DB Manufacturing ISM'!$A:$S,MATCH($B12,'DB Manufacturing ISM'!$A$1:$S$1,0),0)</f>
        <v/>
      </c>
      <c r="AQ12" s="20">
        <f>VLOOKUP(AQ$4,'DB Manufacturing ISM'!$A:$S,MATCH($B12,'DB Manufacturing ISM'!$A$1:$S$1,0),0)</f>
        <v/>
      </c>
      <c r="AR12" s="20">
        <f>VLOOKUP(AR$4,'DB Manufacturing ISM'!$A:$S,MATCH($B12,'DB Manufacturing ISM'!$A$1:$S$1,0),0)</f>
        <v/>
      </c>
      <c r="AS12" s="20">
        <f>VLOOKUP(AS$4,'DB Manufacturing ISM'!$A:$S,MATCH($B12,'DB Manufacturing ISM'!$A$1:$S$1,0),0)</f>
        <v/>
      </c>
      <c r="AT12" s="20">
        <f>VLOOKUP(AT$4,'DB Manufacturing ISM'!$A:$S,MATCH($B12,'DB Manufacturing ISM'!$A$1:$S$1,0),0)</f>
        <v/>
      </c>
      <c r="AU12" s="20">
        <f>VLOOKUP(AU$4,'DB Manufacturing ISM'!$A:$S,MATCH($B12,'DB Manufacturing ISM'!$A$1:$S$1,0),0)</f>
        <v/>
      </c>
      <c r="AV12" s="20">
        <f>VLOOKUP(AV$4,'DB Manufacturing ISM'!$A:$S,MATCH($B12,'DB Manufacturing ISM'!$A$1:$S$1,0),0)</f>
        <v/>
      </c>
      <c r="AW12" s="20">
        <f>VLOOKUP(AW$4,'DB Manufacturing ISM'!$A:$S,MATCH($B12,'DB Manufacturing ISM'!$A$1:$S$1,0),0)</f>
        <v/>
      </c>
      <c r="AX12" s="20">
        <f>VLOOKUP(AX$4,'DB Manufacturing ISM'!$A:$S,MATCH($B12,'DB Manufacturing ISM'!$A$1:$S$1,0),0)</f>
        <v/>
      </c>
      <c r="AY12" s="13" t="n"/>
      <c r="AZ12" s="20">
        <f>AX12-AW12</f>
        <v/>
      </c>
      <c r="BA12" s="23">
        <f>AVERAGE(AV12:AX12)</f>
        <v/>
      </c>
      <c r="BB12" s="23">
        <f>AVERAGE(AS12:AX12)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20">
        <f>VLOOKUP(AL$4,'DB Manufacturing ISM'!$A:$S,MATCH($B13,'DB Manufacturing ISM'!$A$1:$S$1,0),0)</f>
        <v/>
      </c>
      <c r="AM13" s="20">
        <f>VLOOKUP(AM$4,'DB Manufacturing ISM'!$A:$S,MATCH($B13,'DB Manufacturing ISM'!$A$1:$S$1,0),0)</f>
        <v/>
      </c>
      <c r="AN13" s="20">
        <f>VLOOKUP(AN$4,'DB Manufacturing ISM'!$A:$S,MATCH($B13,'DB Manufacturing ISM'!$A$1:$S$1,0),0)</f>
        <v/>
      </c>
      <c r="AO13" s="20">
        <f>VLOOKUP(AO$4,'DB Manufacturing ISM'!$A:$S,MATCH($B13,'DB Manufacturing ISM'!$A$1:$S$1,0),0)</f>
        <v/>
      </c>
      <c r="AP13" s="20">
        <f>VLOOKUP(AP$4,'DB Manufacturing ISM'!$A:$S,MATCH($B13,'DB Manufacturing ISM'!$A$1:$S$1,0),0)</f>
        <v/>
      </c>
      <c r="AQ13" s="20">
        <f>VLOOKUP(AQ$4,'DB Manufacturing ISM'!$A:$S,MATCH($B13,'DB Manufacturing ISM'!$A$1:$S$1,0),0)</f>
        <v/>
      </c>
      <c r="AR13" s="20">
        <f>VLOOKUP(AR$4,'DB Manufacturing ISM'!$A:$S,MATCH($B13,'DB Manufacturing ISM'!$A$1:$S$1,0),0)</f>
        <v/>
      </c>
      <c r="AS13" s="20">
        <f>VLOOKUP(AS$4,'DB Manufacturing ISM'!$A:$S,MATCH($B13,'DB Manufacturing ISM'!$A$1:$S$1,0),0)</f>
        <v/>
      </c>
      <c r="AT13" s="20">
        <f>VLOOKUP(AT$4,'DB Manufacturing ISM'!$A:$S,MATCH($B13,'DB Manufacturing ISM'!$A$1:$S$1,0),0)</f>
        <v/>
      </c>
      <c r="AU13" s="20">
        <f>VLOOKUP(AU$4,'DB Manufacturing ISM'!$A:$S,MATCH($B13,'DB Manufacturing ISM'!$A$1:$S$1,0),0)</f>
        <v/>
      </c>
      <c r="AV13" s="20">
        <f>VLOOKUP(AV$4,'DB Manufacturing ISM'!$A:$S,MATCH($B13,'DB Manufacturing ISM'!$A$1:$S$1,0),0)</f>
        <v/>
      </c>
      <c r="AW13" s="20">
        <f>VLOOKUP(AW$4,'DB Manufacturing ISM'!$A:$S,MATCH($B13,'DB Manufacturing ISM'!$A$1:$S$1,0),0)</f>
        <v/>
      </c>
      <c r="AX13" s="20">
        <f>VLOOKUP(AX$4,'DB Manufacturing ISM'!$A:$S,MATCH($B13,'DB Manufacturing ISM'!$A$1:$S$1,0),0)</f>
        <v/>
      </c>
      <c r="AY13" s="13" t="n"/>
      <c r="AZ13" s="20">
        <f>AX13-AW13</f>
        <v/>
      </c>
      <c r="BA13" s="23">
        <f>AVERAGE(AV13:AX13)</f>
        <v/>
      </c>
      <c r="BB13" s="23">
        <f>AVERAGE(AS13:AX13)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20">
        <f>VLOOKUP(AL$4,'DB Manufacturing ISM'!$A:$S,MATCH($B14,'DB Manufacturing ISM'!$A$1:$S$1,0),0)</f>
        <v/>
      </c>
      <c r="AM14" s="20">
        <f>VLOOKUP(AM$4,'DB Manufacturing ISM'!$A:$S,MATCH($B14,'DB Manufacturing ISM'!$A$1:$S$1,0),0)</f>
        <v/>
      </c>
      <c r="AN14" s="20">
        <f>VLOOKUP(AN$4,'DB Manufacturing ISM'!$A:$S,MATCH($B14,'DB Manufacturing ISM'!$A$1:$S$1,0),0)</f>
        <v/>
      </c>
      <c r="AO14" s="20">
        <f>VLOOKUP(AO$4,'DB Manufacturing ISM'!$A:$S,MATCH($B14,'DB Manufacturing ISM'!$A$1:$S$1,0),0)</f>
        <v/>
      </c>
      <c r="AP14" s="20">
        <f>VLOOKUP(AP$4,'DB Manufacturing ISM'!$A:$S,MATCH($B14,'DB Manufacturing ISM'!$A$1:$S$1,0),0)</f>
        <v/>
      </c>
      <c r="AQ14" s="20">
        <f>VLOOKUP(AQ$4,'DB Manufacturing ISM'!$A:$S,MATCH($B14,'DB Manufacturing ISM'!$A$1:$S$1,0),0)</f>
        <v/>
      </c>
      <c r="AR14" s="20">
        <f>VLOOKUP(AR$4,'DB Manufacturing ISM'!$A:$S,MATCH($B14,'DB Manufacturing ISM'!$A$1:$S$1,0),0)</f>
        <v/>
      </c>
      <c r="AS14" s="20">
        <f>VLOOKUP(AS$4,'DB Manufacturing ISM'!$A:$S,MATCH($B14,'DB Manufacturing ISM'!$A$1:$S$1,0),0)</f>
        <v/>
      </c>
      <c r="AT14" s="20">
        <f>VLOOKUP(AT$4,'DB Manufacturing ISM'!$A:$S,MATCH($B14,'DB Manufacturing ISM'!$A$1:$S$1,0),0)</f>
        <v/>
      </c>
      <c r="AU14" s="20">
        <f>VLOOKUP(AU$4,'DB Manufacturing ISM'!$A:$S,MATCH($B14,'DB Manufacturing ISM'!$A$1:$S$1,0),0)</f>
        <v/>
      </c>
      <c r="AV14" s="20">
        <f>VLOOKUP(AV$4,'DB Manufacturing ISM'!$A:$S,MATCH($B14,'DB Manufacturing ISM'!$A$1:$S$1,0),0)</f>
        <v/>
      </c>
      <c r="AW14" s="20">
        <f>VLOOKUP(AW$4,'DB Manufacturing ISM'!$A:$S,MATCH($B14,'DB Manufacturing ISM'!$A$1:$S$1,0),0)</f>
        <v/>
      </c>
      <c r="AX14" s="20">
        <f>VLOOKUP(AX$4,'DB Manufacturing ISM'!$A:$S,MATCH($B14,'DB Manufacturing ISM'!$A$1:$S$1,0),0)</f>
        <v/>
      </c>
      <c r="AY14" s="13" t="n"/>
      <c r="AZ14" s="20">
        <f>AX14-AW14</f>
        <v/>
      </c>
      <c r="BA14" s="23">
        <f>AVERAGE(AV14:AX14)</f>
        <v/>
      </c>
      <c r="BB14" s="23">
        <f>AVERAGE(AS14:AX14)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20">
        <f>VLOOKUP(AL$4,'DB Manufacturing ISM'!$A:$S,MATCH($B15,'DB Manufacturing ISM'!$A$1:$S$1,0),0)</f>
        <v/>
      </c>
      <c r="AM15" s="20">
        <f>VLOOKUP(AM$4,'DB Manufacturing ISM'!$A:$S,MATCH($B15,'DB Manufacturing ISM'!$A$1:$S$1,0),0)</f>
        <v/>
      </c>
      <c r="AN15" s="20">
        <f>VLOOKUP(AN$4,'DB Manufacturing ISM'!$A:$S,MATCH($B15,'DB Manufacturing ISM'!$A$1:$S$1,0),0)</f>
        <v/>
      </c>
      <c r="AO15" s="20">
        <f>VLOOKUP(AO$4,'DB Manufacturing ISM'!$A:$S,MATCH($B15,'DB Manufacturing ISM'!$A$1:$S$1,0),0)</f>
        <v/>
      </c>
      <c r="AP15" s="20">
        <f>VLOOKUP(AP$4,'DB Manufacturing ISM'!$A:$S,MATCH($B15,'DB Manufacturing ISM'!$A$1:$S$1,0),0)</f>
        <v/>
      </c>
      <c r="AQ15" s="20">
        <f>VLOOKUP(AQ$4,'DB Manufacturing ISM'!$A:$S,MATCH($B15,'DB Manufacturing ISM'!$A$1:$S$1,0),0)</f>
        <v/>
      </c>
      <c r="AR15" s="20">
        <f>VLOOKUP(AR$4,'DB Manufacturing ISM'!$A:$S,MATCH($B15,'DB Manufacturing ISM'!$A$1:$S$1,0),0)</f>
        <v/>
      </c>
      <c r="AS15" s="20">
        <f>VLOOKUP(AS$4,'DB Manufacturing ISM'!$A:$S,MATCH($B15,'DB Manufacturing ISM'!$A$1:$S$1,0),0)</f>
        <v/>
      </c>
      <c r="AT15" s="20">
        <f>VLOOKUP(AT$4,'DB Manufacturing ISM'!$A:$S,MATCH($B15,'DB Manufacturing ISM'!$A$1:$S$1,0),0)</f>
        <v/>
      </c>
      <c r="AU15" s="20">
        <f>VLOOKUP(AU$4,'DB Manufacturing ISM'!$A:$S,MATCH($B15,'DB Manufacturing ISM'!$A$1:$S$1,0),0)</f>
        <v/>
      </c>
      <c r="AV15" s="20">
        <f>VLOOKUP(AV$4,'DB Manufacturing ISM'!$A:$S,MATCH($B15,'DB Manufacturing ISM'!$A$1:$S$1,0),0)</f>
        <v/>
      </c>
      <c r="AW15" s="20">
        <f>VLOOKUP(AW$4,'DB Manufacturing ISM'!$A:$S,MATCH($B15,'DB Manufacturing ISM'!$A$1:$S$1,0),0)</f>
        <v/>
      </c>
      <c r="AX15" s="20">
        <f>VLOOKUP(AX$4,'DB Manufacturing ISM'!$A:$S,MATCH($B15,'DB Manufacturing ISM'!$A$1:$S$1,0),0)</f>
        <v/>
      </c>
      <c r="AY15" s="13" t="n"/>
      <c r="AZ15" s="20">
        <f>AX15-AW15</f>
        <v/>
      </c>
      <c r="BA15" s="23">
        <f>AVERAGE(AV15:AX15)</f>
        <v/>
      </c>
      <c r="BB15" s="23">
        <f>AVERAGE(AS15:AX15)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20">
        <f>VLOOKUP(AL$4,'DB Manufacturing ISM'!$A:$S,MATCH($B16,'DB Manufacturing ISM'!$A$1:$S$1,0),0)</f>
        <v/>
      </c>
      <c r="AM16" s="20">
        <f>VLOOKUP(AM$4,'DB Manufacturing ISM'!$A:$S,MATCH($B16,'DB Manufacturing ISM'!$A$1:$S$1,0),0)</f>
        <v/>
      </c>
      <c r="AN16" s="20">
        <f>VLOOKUP(AN$4,'DB Manufacturing ISM'!$A:$S,MATCH($B16,'DB Manufacturing ISM'!$A$1:$S$1,0),0)</f>
        <v/>
      </c>
      <c r="AO16" s="20">
        <f>VLOOKUP(AO$4,'DB Manufacturing ISM'!$A:$S,MATCH($B16,'DB Manufacturing ISM'!$A$1:$S$1,0),0)</f>
        <v/>
      </c>
      <c r="AP16" s="20">
        <f>VLOOKUP(AP$4,'DB Manufacturing ISM'!$A:$S,MATCH($B16,'DB Manufacturing ISM'!$A$1:$S$1,0),0)</f>
        <v/>
      </c>
      <c r="AQ16" s="20">
        <f>VLOOKUP(AQ$4,'DB Manufacturing ISM'!$A:$S,MATCH($B16,'DB Manufacturing ISM'!$A$1:$S$1,0),0)</f>
        <v/>
      </c>
      <c r="AR16" s="20">
        <f>VLOOKUP(AR$4,'DB Manufacturing ISM'!$A:$S,MATCH($B16,'DB Manufacturing ISM'!$A$1:$S$1,0),0)</f>
        <v/>
      </c>
      <c r="AS16" s="20">
        <f>VLOOKUP(AS$4,'DB Manufacturing ISM'!$A:$S,MATCH($B16,'DB Manufacturing ISM'!$A$1:$S$1,0),0)</f>
        <v/>
      </c>
      <c r="AT16" s="20">
        <f>VLOOKUP(AT$4,'DB Manufacturing ISM'!$A:$S,MATCH($B16,'DB Manufacturing ISM'!$A$1:$S$1,0),0)</f>
        <v/>
      </c>
      <c r="AU16" s="20">
        <f>VLOOKUP(AU$4,'DB Manufacturing ISM'!$A:$S,MATCH($B16,'DB Manufacturing ISM'!$A$1:$S$1,0),0)</f>
        <v/>
      </c>
      <c r="AV16" s="20">
        <f>VLOOKUP(AV$4,'DB Manufacturing ISM'!$A:$S,MATCH($B16,'DB Manufacturing ISM'!$A$1:$S$1,0),0)</f>
        <v/>
      </c>
      <c r="AW16" s="20">
        <f>VLOOKUP(AW$4,'DB Manufacturing ISM'!$A:$S,MATCH($B16,'DB Manufacturing ISM'!$A$1:$S$1,0),0)</f>
        <v/>
      </c>
      <c r="AX16" s="20">
        <f>VLOOKUP(AX$4,'DB Manufacturing ISM'!$A:$S,MATCH($B16,'DB Manufacturing ISM'!$A$1:$S$1,0),0)</f>
        <v/>
      </c>
      <c r="AY16" s="13" t="n"/>
      <c r="AZ16" s="20">
        <f>AX16-AW16</f>
        <v/>
      </c>
      <c r="BA16" s="23">
        <f>AVERAGE(AV16:AX16)</f>
        <v/>
      </c>
      <c r="BB16" s="23">
        <f>AVERAGE(AS16:AX16)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20">
        <f>VLOOKUP(AL$4,'DB Manufacturing ISM'!$A:$S,MATCH($B17,'DB Manufacturing ISM'!$A$1:$S$1,0),0)</f>
        <v/>
      </c>
      <c r="AM17" s="20">
        <f>VLOOKUP(AM$4,'DB Manufacturing ISM'!$A:$S,MATCH($B17,'DB Manufacturing ISM'!$A$1:$S$1,0),0)</f>
        <v/>
      </c>
      <c r="AN17" s="20">
        <f>VLOOKUP(AN$4,'DB Manufacturing ISM'!$A:$S,MATCH($B17,'DB Manufacturing ISM'!$A$1:$S$1,0),0)</f>
        <v/>
      </c>
      <c r="AO17" s="20">
        <f>VLOOKUP(AO$4,'DB Manufacturing ISM'!$A:$S,MATCH($B17,'DB Manufacturing ISM'!$A$1:$S$1,0),0)</f>
        <v/>
      </c>
      <c r="AP17" s="20">
        <f>VLOOKUP(AP$4,'DB Manufacturing ISM'!$A:$S,MATCH($B17,'DB Manufacturing ISM'!$A$1:$S$1,0),0)</f>
        <v/>
      </c>
      <c r="AQ17" s="20">
        <f>VLOOKUP(AQ$4,'DB Manufacturing ISM'!$A:$S,MATCH($B17,'DB Manufacturing ISM'!$A$1:$S$1,0),0)</f>
        <v/>
      </c>
      <c r="AR17" s="20">
        <f>VLOOKUP(AR$4,'DB Manufacturing ISM'!$A:$S,MATCH($B17,'DB Manufacturing ISM'!$A$1:$S$1,0),0)</f>
        <v/>
      </c>
      <c r="AS17" s="20">
        <f>VLOOKUP(AS$4,'DB Manufacturing ISM'!$A:$S,MATCH($B17,'DB Manufacturing ISM'!$A$1:$S$1,0),0)</f>
        <v/>
      </c>
      <c r="AT17" s="20">
        <f>VLOOKUP(AT$4,'DB Manufacturing ISM'!$A:$S,MATCH($B17,'DB Manufacturing ISM'!$A$1:$S$1,0),0)</f>
        <v/>
      </c>
      <c r="AU17" s="20">
        <f>VLOOKUP(AU$4,'DB Manufacturing ISM'!$A:$S,MATCH($B17,'DB Manufacturing ISM'!$A$1:$S$1,0),0)</f>
        <v/>
      </c>
      <c r="AV17" s="20">
        <f>VLOOKUP(AV$4,'DB Manufacturing ISM'!$A:$S,MATCH($B17,'DB Manufacturing ISM'!$A$1:$S$1,0),0)</f>
        <v/>
      </c>
      <c r="AW17" s="20">
        <f>VLOOKUP(AW$4,'DB Manufacturing ISM'!$A:$S,MATCH($B17,'DB Manufacturing ISM'!$A$1:$S$1,0),0)</f>
        <v/>
      </c>
      <c r="AX17" s="20">
        <f>VLOOKUP(AX$4,'DB Manufacturing ISM'!$A:$S,MATCH($B17,'DB Manufacturing ISM'!$A$1:$S$1,0),0)</f>
        <v/>
      </c>
      <c r="AY17" s="13" t="n"/>
      <c r="AZ17" s="20">
        <f>AX17-AW17</f>
        <v/>
      </c>
      <c r="BA17" s="23">
        <f>AVERAGE(AV17:AX17)</f>
        <v/>
      </c>
      <c r="BB17" s="23">
        <f>AVERAGE(AS17:AX17)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20">
        <f>VLOOKUP(AL$4,'DB Manufacturing ISM'!$A:$S,MATCH($B18,'DB Manufacturing ISM'!$A$1:$S$1,0),0)</f>
        <v/>
      </c>
      <c r="AM18" s="20">
        <f>VLOOKUP(AM$4,'DB Manufacturing ISM'!$A:$S,MATCH($B18,'DB Manufacturing ISM'!$A$1:$S$1,0),0)</f>
        <v/>
      </c>
      <c r="AN18" s="20">
        <f>VLOOKUP(AN$4,'DB Manufacturing ISM'!$A:$S,MATCH($B18,'DB Manufacturing ISM'!$A$1:$S$1,0),0)</f>
        <v/>
      </c>
      <c r="AO18" s="20">
        <f>VLOOKUP(AO$4,'DB Manufacturing ISM'!$A:$S,MATCH($B18,'DB Manufacturing ISM'!$A$1:$S$1,0),0)</f>
        <v/>
      </c>
      <c r="AP18" s="20">
        <f>VLOOKUP(AP$4,'DB Manufacturing ISM'!$A:$S,MATCH($B18,'DB Manufacturing ISM'!$A$1:$S$1,0),0)</f>
        <v/>
      </c>
      <c r="AQ18" s="20">
        <f>VLOOKUP(AQ$4,'DB Manufacturing ISM'!$A:$S,MATCH($B18,'DB Manufacturing ISM'!$A$1:$S$1,0),0)</f>
        <v/>
      </c>
      <c r="AR18" s="20">
        <f>VLOOKUP(AR$4,'DB Manufacturing ISM'!$A:$S,MATCH($B18,'DB Manufacturing ISM'!$A$1:$S$1,0),0)</f>
        <v/>
      </c>
      <c r="AS18" s="20">
        <f>VLOOKUP(AS$4,'DB Manufacturing ISM'!$A:$S,MATCH($B18,'DB Manufacturing ISM'!$A$1:$S$1,0),0)</f>
        <v/>
      </c>
      <c r="AT18" s="20">
        <f>VLOOKUP(AT$4,'DB Manufacturing ISM'!$A:$S,MATCH($B18,'DB Manufacturing ISM'!$A$1:$S$1,0),0)</f>
        <v/>
      </c>
      <c r="AU18" s="20">
        <f>VLOOKUP(AU$4,'DB Manufacturing ISM'!$A:$S,MATCH($B18,'DB Manufacturing ISM'!$A$1:$S$1,0),0)</f>
        <v/>
      </c>
      <c r="AV18" s="20">
        <f>VLOOKUP(AV$4,'DB Manufacturing ISM'!$A:$S,MATCH($B18,'DB Manufacturing ISM'!$A$1:$S$1,0),0)</f>
        <v/>
      </c>
      <c r="AW18" s="20">
        <f>VLOOKUP(AW$4,'DB Manufacturing ISM'!$A:$S,MATCH($B18,'DB Manufacturing ISM'!$A$1:$S$1,0),0)</f>
        <v/>
      </c>
      <c r="AX18" s="20">
        <f>VLOOKUP(AX$4,'DB Manufacturing ISM'!$A:$S,MATCH($B18,'DB Manufacturing ISM'!$A$1:$S$1,0),0)</f>
        <v/>
      </c>
      <c r="AY18" s="13" t="n"/>
      <c r="AZ18" s="20">
        <f>AX18-AW18</f>
        <v/>
      </c>
      <c r="BA18" s="23">
        <f>AVERAGE(AV18:AX18)</f>
        <v/>
      </c>
      <c r="BB18" s="23">
        <f>AVERAGE(AS18:AX18)</f>
        <v/>
      </c>
      <c r="BE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20">
        <f>VLOOKUP(AL$4,'DB Manufacturing ISM'!$A:$S,MATCH($B19,'DB Manufacturing ISM'!$A$1:$S$1,0),0)</f>
        <v/>
      </c>
      <c r="AM19" s="20">
        <f>VLOOKUP(AM$4,'DB Manufacturing ISM'!$A:$S,MATCH($B19,'DB Manufacturing ISM'!$A$1:$S$1,0),0)</f>
        <v/>
      </c>
      <c r="AN19" s="20">
        <f>VLOOKUP(AN$4,'DB Manufacturing ISM'!$A:$S,MATCH($B19,'DB Manufacturing ISM'!$A$1:$S$1,0),0)</f>
        <v/>
      </c>
      <c r="AO19" s="20">
        <f>VLOOKUP(AO$4,'DB Manufacturing ISM'!$A:$S,MATCH($B19,'DB Manufacturing ISM'!$A$1:$S$1,0),0)</f>
        <v/>
      </c>
      <c r="AP19" s="20">
        <f>VLOOKUP(AP$4,'DB Manufacturing ISM'!$A:$S,MATCH($B19,'DB Manufacturing ISM'!$A$1:$S$1,0),0)</f>
        <v/>
      </c>
      <c r="AQ19" s="20">
        <f>VLOOKUP(AQ$4,'DB Manufacturing ISM'!$A:$S,MATCH($B19,'DB Manufacturing ISM'!$A$1:$S$1,0),0)</f>
        <v/>
      </c>
      <c r="AR19" s="20">
        <f>VLOOKUP(AR$4,'DB Manufacturing ISM'!$A:$S,MATCH($B19,'DB Manufacturing ISM'!$A$1:$S$1,0),0)</f>
        <v/>
      </c>
      <c r="AS19" s="20">
        <f>VLOOKUP(AS$4,'DB Manufacturing ISM'!$A:$S,MATCH($B19,'DB Manufacturing ISM'!$A$1:$S$1,0),0)</f>
        <v/>
      </c>
      <c r="AT19" s="20">
        <f>VLOOKUP(AT$4,'DB Manufacturing ISM'!$A:$S,MATCH($B19,'DB Manufacturing ISM'!$A$1:$S$1,0),0)</f>
        <v/>
      </c>
      <c r="AU19" s="20">
        <f>VLOOKUP(AU$4,'DB Manufacturing ISM'!$A:$S,MATCH($B19,'DB Manufacturing ISM'!$A$1:$S$1,0),0)</f>
        <v/>
      </c>
      <c r="AV19" s="20">
        <f>VLOOKUP(AV$4,'DB Manufacturing ISM'!$A:$S,MATCH($B19,'DB Manufacturing ISM'!$A$1:$S$1,0),0)</f>
        <v/>
      </c>
      <c r="AW19" s="20">
        <f>VLOOKUP(AW$4,'DB Manufacturing ISM'!$A:$S,MATCH($B19,'DB Manufacturing ISM'!$A$1:$S$1,0),0)</f>
        <v/>
      </c>
      <c r="AX19" s="20">
        <f>VLOOKUP(AX$4,'DB Manufacturing ISM'!$A:$S,MATCH($B19,'DB Manufacturing ISM'!$A$1:$S$1,0),0)</f>
        <v/>
      </c>
      <c r="AY19" s="13" t="n"/>
      <c r="AZ19" s="20">
        <f>AX19-AW19</f>
        <v/>
      </c>
      <c r="BA19" s="23">
        <f>AVERAGE(AV19:AX19)</f>
        <v/>
      </c>
      <c r="BB19" s="23">
        <f>AVERAGE(AS19:AX19)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20">
        <f>VLOOKUP(AL$4,'DB Manufacturing ISM'!$A:$S,MATCH($B20,'DB Manufacturing ISM'!$A$1:$S$1,0),0)</f>
        <v/>
      </c>
      <c r="AM20" s="20">
        <f>VLOOKUP(AM$4,'DB Manufacturing ISM'!$A:$S,MATCH($B20,'DB Manufacturing ISM'!$A$1:$S$1,0),0)</f>
        <v/>
      </c>
      <c r="AN20" s="20">
        <f>VLOOKUP(AN$4,'DB Manufacturing ISM'!$A:$S,MATCH($B20,'DB Manufacturing ISM'!$A$1:$S$1,0),0)</f>
        <v/>
      </c>
      <c r="AO20" s="20">
        <f>VLOOKUP(AO$4,'DB Manufacturing ISM'!$A:$S,MATCH($B20,'DB Manufacturing ISM'!$A$1:$S$1,0),0)</f>
        <v/>
      </c>
      <c r="AP20" s="20">
        <f>VLOOKUP(AP$4,'DB Manufacturing ISM'!$A:$S,MATCH($B20,'DB Manufacturing ISM'!$A$1:$S$1,0),0)</f>
        <v/>
      </c>
      <c r="AQ20" s="20">
        <f>VLOOKUP(AQ$4,'DB Manufacturing ISM'!$A:$S,MATCH($B20,'DB Manufacturing ISM'!$A$1:$S$1,0),0)</f>
        <v/>
      </c>
      <c r="AR20" s="20">
        <f>VLOOKUP(AR$4,'DB Manufacturing ISM'!$A:$S,MATCH($B20,'DB Manufacturing ISM'!$A$1:$S$1,0),0)</f>
        <v/>
      </c>
      <c r="AS20" s="20">
        <f>VLOOKUP(AS$4,'DB Manufacturing ISM'!$A:$S,MATCH($B20,'DB Manufacturing ISM'!$A$1:$S$1,0),0)</f>
        <v/>
      </c>
      <c r="AT20" s="20">
        <f>VLOOKUP(AT$4,'DB Manufacturing ISM'!$A:$S,MATCH($B20,'DB Manufacturing ISM'!$A$1:$S$1,0),0)</f>
        <v/>
      </c>
      <c r="AU20" s="20">
        <f>VLOOKUP(AU$4,'DB Manufacturing ISM'!$A:$S,MATCH($B20,'DB Manufacturing ISM'!$A$1:$S$1,0),0)</f>
        <v/>
      </c>
      <c r="AV20" s="20">
        <f>VLOOKUP(AV$4,'DB Manufacturing ISM'!$A:$S,MATCH($B20,'DB Manufacturing ISM'!$A$1:$S$1,0),0)</f>
        <v/>
      </c>
      <c r="AW20" s="20">
        <f>VLOOKUP(AW$4,'DB Manufacturing ISM'!$A:$S,MATCH($B20,'DB Manufacturing ISM'!$A$1:$S$1,0),0)</f>
        <v/>
      </c>
      <c r="AX20" s="20">
        <f>VLOOKUP(AX$4,'DB Manufacturing ISM'!$A:$S,MATCH($B20,'DB Manufacturing ISM'!$A$1:$S$1,0),0)</f>
        <v/>
      </c>
      <c r="AY20" s="13" t="n"/>
      <c r="AZ20" s="20">
        <f>AX20-AW20</f>
        <v/>
      </c>
      <c r="BA20" s="23">
        <f>AVERAGE(AV20:AX20)</f>
        <v/>
      </c>
      <c r="BB20" s="23">
        <f>AVERAGE(AS20:AX20)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20">
        <f>VLOOKUP(AL$4,'DB Manufacturing ISM'!$A:$S,MATCH($B21,'DB Manufacturing ISM'!$A$1:$S$1,0),0)</f>
        <v/>
      </c>
      <c r="AM21" s="20">
        <f>VLOOKUP(AM$4,'DB Manufacturing ISM'!$A:$S,MATCH($B21,'DB Manufacturing ISM'!$A$1:$S$1,0),0)</f>
        <v/>
      </c>
      <c r="AN21" s="20">
        <f>VLOOKUP(AN$4,'DB Manufacturing ISM'!$A:$S,MATCH($B21,'DB Manufacturing ISM'!$A$1:$S$1,0),0)</f>
        <v/>
      </c>
      <c r="AO21" s="20">
        <f>VLOOKUP(AO$4,'DB Manufacturing ISM'!$A:$S,MATCH($B21,'DB Manufacturing ISM'!$A$1:$S$1,0),0)</f>
        <v/>
      </c>
      <c r="AP21" s="20">
        <f>VLOOKUP(AP$4,'DB Manufacturing ISM'!$A:$S,MATCH($B21,'DB Manufacturing ISM'!$A$1:$S$1,0),0)</f>
        <v/>
      </c>
      <c r="AQ21" s="20">
        <f>VLOOKUP(AQ$4,'DB Manufacturing ISM'!$A:$S,MATCH($B21,'DB Manufacturing ISM'!$A$1:$S$1,0),0)</f>
        <v/>
      </c>
      <c r="AR21" s="20">
        <f>VLOOKUP(AR$4,'DB Manufacturing ISM'!$A:$S,MATCH($B21,'DB Manufacturing ISM'!$A$1:$S$1,0),0)</f>
        <v/>
      </c>
      <c r="AS21" s="20">
        <f>VLOOKUP(AS$4,'DB Manufacturing ISM'!$A:$S,MATCH($B21,'DB Manufacturing ISM'!$A$1:$S$1,0),0)</f>
        <v/>
      </c>
      <c r="AT21" s="20">
        <f>VLOOKUP(AT$4,'DB Manufacturing ISM'!$A:$S,MATCH($B21,'DB Manufacturing ISM'!$A$1:$S$1,0),0)</f>
        <v/>
      </c>
      <c r="AU21" s="20">
        <f>VLOOKUP(AU$4,'DB Manufacturing ISM'!$A:$S,MATCH($B21,'DB Manufacturing ISM'!$A$1:$S$1,0),0)</f>
        <v/>
      </c>
      <c r="AV21" s="20">
        <f>VLOOKUP(AV$4,'DB Manufacturing ISM'!$A:$S,MATCH($B21,'DB Manufacturing ISM'!$A$1:$S$1,0),0)</f>
        <v/>
      </c>
      <c r="AW21" s="20">
        <f>VLOOKUP(AW$4,'DB Manufacturing ISM'!$A:$S,MATCH($B21,'DB Manufacturing ISM'!$A$1:$S$1,0),0)</f>
        <v/>
      </c>
      <c r="AX21" s="20">
        <f>VLOOKUP(AX$4,'DB Manufacturing ISM'!$A:$S,MATCH($B21,'DB Manufacturing ISM'!$A$1:$S$1,0),0)</f>
        <v/>
      </c>
      <c r="AY21" s="13" t="n"/>
      <c r="AZ21" s="20">
        <f>AX21-AW21</f>
        <v/>
      </c>
      <c r="BA21" s="23">
        <f>AVERAGE(AV21:AX21)</f>
        <v/>
      </c>
      <c r="BB21" s="23">
        <f>AVERAGE(AS21:AX21)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20">
        <f>VLOOKUP(AL$4,'DB Manufacturing ISM'!$A:$S,MATCH($B22,'DB Manufacturing ISM'!$A$1:$S$1,0),0)</f>
        <v/>
      </c>
      <c r="AM22" s="20">
        <f>VLOOKUP(AM$4,'DB Manufacturing ISM'!$A:$S,MATCH($B22,'DB Manufacturing ISM'!$A$1:$S$1,0),0)</f>
        <v/>
      </c>
      <c r="AN22" s="20">
        <f>VLOOKUP(AN$4,'DB Manufacturing ISM'!$A:$S,MATCH($B22,'DB Manufacturing ISM'!$A$1:$S$1,0),0)</f>
        <v/>
      </c>
      <c r="AO22" s="20">
        <f>VLOOKUP(AO$4,'DB Manufacturing ISM'!$A:$S,MATCH($B22,'DB Manufacturing ISM'!$A$1:$S$1,0),0)</f>
        <v/>
      </c>
      <c r="AP22" s="20">
        <f>VLOOKUP(AP$4,'DB Manufacturing ISM'!$A:$S,MATCH($B22,'DB Manufacturing ISM'!$A$1:$S$1,0),0)</f>
        <v/>
      </c>
      <c r="AQ22" s="20">
        <f>VLOOKUP(AQ$4,'DB Manufacturing ISM'!$A:$S,MATCH($B22,'DB Manufacturing ISM'!$A$1:$S$1,0),0)</f>
        <v/>
      </c>
      <c r="AR22" s="20">
        <f>VLOOKUP(AR$4,'DB Manufacturing ISM'!$A:$S,MATCH($B22,'DB Manufacturing ISM'!$A$1:$S$1,0),0)</f>
        <v/>
      </c>
      <c r="AS22" s="20">
        <f>VLOOKUP(AS$4,'DB Manufacturing ISM'!$A:$S,MATCH($B22,'DB Manufacturing ISM'!$A$1:$S$1,0),0)</f>
        <v/>
      </c>
      <c r="AT22" s="20">
        <f>VLOOKUP(AT$4,'DB Manufacturing ISM'!$A:$S,MATCH($B22,'DB Manufacturing ISM'!$A$1:$S$1,0),0)</f>
        <v/>
      </c>
      <c r="AU22" s="20">
        <f>VLOOKUP(AU$4,'DB Manufacturing ISM'!$A:$S,MATCH($B22,'DB Manufacturing ISM'!$A$1:$S$1,0),0)</f>
        <v/>
      </c>
      <c r="AV22" s="20">
        <f>VLOOKUP(AV$4,'DB Manufacturing ISM'!$A:$S,MATCH($B22,'DB Manufacturing ISM'!$A$1:$S$1,0),0)</f>
        <v/>
      </c>
      <c r="AW22" s="20">
        <f>VLOOKUP(AW$4,'DB Manufacturing ISM'!$A:$S,MATCH($B22,'DB Manufacturing ISM'!$A$1:$S$1,0),0)</f>
        <v/>
      </c>
      <c r="AX22" s="20">
        <f>VLOOKUP(AX$4,'DB Manufacturing ISM'!$A:$S,MATCH($B22,'DB Manufacturing ISM'!$A$1:$S$1,0),0)</f>
        <v/>
      </c>
      <c r="AY22" s="13" t="n"/>
      <c r="AZ22" s="20">
        <f>AX22-AW22</f>
        <v/>
      </c>
      <c r="BA22" s="23">
        <f>AVERAGE(AV22:AX22)</f>
        <v/>
      </c>
      <c r="BB22" s="23">
        <f>AVERAGE(AS22:AX22)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20">
        <f>VLOOKUP(AL$4,'DB Manufacturing ISM'!$A:$S,MATCH($B23,'DB Manufacturing ISM'!$A$1:$S$1,0),0)</f>
        <v/>
      </c>
      <c r="AM23" s="20">
        <f>VLOOKUP(AM$4,'DB Manufacturing ISM'!$A:$S,MATCH($B23,'DB Manufacturing ISM'!$A$1:$S$1,0),0)</f>
        <v/>
      </c>
      <c r="AN23" s="20">
        <f>VLOOKUP(AN$4,'DB Manufacturing ISM'!$A:$S,MATCH($B23,'DB Manufacturing ISM'!$A$1:$S$1,0),0)</f>
        <v/>
      </c>
      <c r="AO23" s="20">
        <f>VLOOKUP(AO$4,'DB Manufacturing ISM'!$A:$S,MATCH($B23,'DB Manufacturing ISM'!$A$1:$S$1,0),0)</f>
        <v/>
      </c>
      <c r="AP23" s="20">
        <f>VLOOKUP(AP$4,'DB Manufacturing ISM'!$A:$S,MATCH($B23,'DB Manufacturing ISM'!$A$1:$S$1,0),0)</f>
        <v/>
      </c>
      <c r="AQ23" s="20">
        <f>VLOOKUP(AQ$4,'DB Manufacturing ISM'!$A:$S,MATCH($B23,'DB Manufacturing ISM'!$A$1:$S$1,0),0)</f>
        <v/>
      </c>
      <c r="AR23" s="20">
        <f>VLOOKUP(AR$4,'DB Manufacturing ISM'!$A:$S,MATCH($B23,'DB Manufacturing ISM'!$A$1:$S$1,0),0)</f>
        <v/>
      </c>
      <c r="AS23" s="20">
        <f>VLOOKUP(AS$4,'DB Manufacturing ISM'!$A:$S,MATCH($B23,'DB Manufacturing ISM'!$A$1:$S$1,0),0)</f>
        <v/>
      </c>
      <c r="AT23" s="20">
        <f>VLOOKUP(AT$4,'DB Manufacturing ISM'!$A:$S,MATCH($B23,'DB Manufacturing ISM'!$A$1:$S$1,0),0)</f>
        <v/>
      </c>
      <c r="AU23" s="20">
        <f>VLOOKUP(AU$4,'DB Manufacturing ISM'!$A:$S,MATCH($B23,'DB Manufacturing ISM'!$A$1:$S$1,0),0)</f>
        <v/>
      </c>
      <c r="AV23" s="20">
        <f>VLOOKUP(AV$4,'DB Manufacturing ISM'!$A:$S,MATCH($B23,'DB Manufacturing ISM'!$A$1:$S$1,0),0)</f>
        <v/>
      </c>
      <c r="AW23" s="20">
        <f>VLOOKUP(AW$4,'DB Manufacturing ISM'!$A:$S,MATCH($B23,'DB Manufacturing ISM'!$A$1:$S$1,0),0)</f>
        <v/>
      </c>
      <c r="AX23" s="20">
        <f>VLOOKUP(AX$4,'DB Manufacturing ISM'!$A:$S,MATCH($B23,'DB Manufacturing ISM'!$A$1:$S$1,0),0)</f>
        <v/>
      </c>
      <c r="AY23" s="13" t="n"/>
      <c r="AZ23" s="20">
        <f>AX23-AW23</f>
        <v/>
      </c>
      <c r="BA23" s="23">
        <f>AVERAGE(AV23:AX23)</f>
        <v/>
      </c>
      <c r="BB23" s="23">
        <f>AVERAGE(AS23:AX23)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21" t="n">
        <v>37</v>
      </c>
      <c r="AM24" s="21" t="n">
        <v>38</v>
      </c>
      <c r="AN24" s="21" t="n">
        <v>39</v>
      </c>
      <c r="AO24" s="21" t="n">
        <v>40</v>
      </c>
      <c r="AP24" s="21" t="n">
        <v>41</v>
      </c>
      <c r="AQ24" s="21" t="n">
        <v>42</v>
      </c>
      <c r="AR24" s="21" t="n">
        <v>43</v>
      </c>
      <c r="AS24" s="21" t="n">
        <v>44</v>
      </c>
      <c r="AT24" s="21" t="n">
        <v>45</v>
      </c>
      <c r="AU24" s="21" t="n">
        <v>46</v>
      </c>
      <c r="AV24" s="21" t="n">
        <v>47</v>
      </c>
      <c r="AW24" s="21" t="n">
        <v>48</v>
      </c>
      <c r="AX24" s="21" t="n">
        <v>49</v>
      </c>
      <c r="AY24" s="13" t="n"/>
      <c r="AZ24" s="13" t="n"/>
      <c r="BA24" s="13" t="n"/>
      <c r="BB24" s="13" t="n"/>
    </row>
    <row r="25" ht="16" customHeight="1"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c r="AL25" s="22" t="n"/>
      <c r="AM25" s="22" t="n"/>
      <c r="AN25" s="22" t="n"/>
      <c r="AO25" s="22" t="n"/>
      <c r="AP25" s="22" t="n"/>
      <c r="AQ25" s="22" t="n"/>
      <c r="AR25" s="22" t="n"/>
      <c r="AS25" s="22" t="n"/>
      <c r="AT25" s="22" t="n"/>
      <c r="AU25" s="22" t="n"/>
      <c r="AV25" s="22" t="n"/>
      <c r="AW25" s="22" t="n"/>
      <c r="AX25" s="22" t="n"/>
    </row>
    <row r="26">
      <c r="B26" s="116"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26" t="n">
        <v>44562</v>
      </c>
      <c r="AM26" s="26" t="n">
        <v>44593</v>
      </c>
      <c r="AN26" s="26" t="n">
        <v>44621</v>
      </c>
      <c r="AO26" s="26" t="n">
        <v>44652</v>
      </c>
      <c r="AP26" s="26" t="n">
        <v>44682</v>
      </c>
      <c r="AQ26" s="26" t="n">
        <v>44713</v>
      </c>
      <c r="AR26" s="26" t="n">
        <v>44743</v>
      </c>
      <c r="AS26" s="26" t="n">
        <v>44774</v>
      </c>
      <c r="AT26" s="26" t="n">
        <v>44805</v>
      </c>
      <c r="AU26" s="26" t="n">
        <v>44835</v>
      </c>
      <c r="AV26" s="26" t="n">
        <v>44866</v>
      </c>
      <c r="AW26" s="26" t="n">
        <v>44896</v>
      </c>
      <c r="AX26" s="26" t="n">
        <v>44927</v>
      </c>
      <c r="AY26" s="11" t="n"/>
      <c r="AZ26" s="120" t="inlineStr">
        <is>
          <t>mom</t>
        </is>
      </c>
      <c r="BA26" s="120" t="inlineStr">
        <is>
          <t>3 months</t>
        </is>
      </c>
      <c r="BB26" s="120" t="inlineStr">
        <is>
          <t>6 months</t>
        </is>
      </c>
    </row>
    <row r="27" ht="16" customHeight="1" thickBot="1">
      <c r="B27" s="117"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27" t="n"/>
      <c r="AM27" s="27" t="n"/>
      <c r="AN27" s="27" t="n"/>
      <c r="AO27" s="27" t="n"/>
      <c r="AP27" s="27" t="n"/>
      <c r="AQ27" s="27" t="n"/>
      <c r="AR27" s="27" t="n"/>
      <c r="AS27" s="27" t="n"/>
      <c r="AT27" s="27" t="n"/>
      <c r="AU27" s="27" t="n"/>
      <c r="AV27" s="27" t="n"/>
      <c r="AW27" s="27" t="n"/>
      <c r="AX27" s="27" t="n"/>
      <c r="AY27" s="11" t="n"/>
      <c r="AZ27" s="121" t="n"/>
      <c r="BA27" s="121" t="n"/>
      <c r="BB27" s="121"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L28" s="20">
        <f>VLOOKUP(AL$26,'DB New Orders'!$A:$S,MATCH($B28,'DB New Orders'!$A$1:$S$1,0),0)</f>
        <v/>
      </c>
      <c r="AM28" s="20">
        <f>VLOOKUP(AM$26,'DB New Orders'!$A:$S,MATCH($B28,'DB New Orders'!$A$1:$S$1,0),0)</f>
        <v/>
      </c>
      <c r="AN28" s="20">
        <f>VLOOKUP(AN$26,'DB New Orders'!$A:$S,MATCH($B28,'DB New Orders'!$A$1:$S$1,0),0)</f>
        <v/>
      </c>
      <c r="AO28" s="20">
        <f>VLOOKUP(AO$26,'DB New Orders'!$A:$S,MATCH($B28,'DB New Orders'!$A$1:$S$1,0),0)</f>
        <v/>
      </c>
      <c r="AP28" s="20">
        <f>VLOOKUP(AP$26,'DB New Orders'!$A:$S,MATCH($B28,'DB New Orders'!$A$1:$S$1,0),0)</f>
        <v/>
      </c>
      <c r="AQ28" s="20">
        <f>VLOOKUP(AQ$26,'DB New Orders'!$A:$S,MATCH($B28,'DB New Orders'!$A$1:$S$1,0),0)</f>
        <v/>
      </c>
      <c r="AR28" s="20">
        <f>VLOOKUP(AR$26,'DB New Orders'!$A:$S,MATCH($B28,'DB New Orders'!$A$1:$S$1,0),0)</f>
        <v/>
      </c>
      <c r="AS28" s="20">
        <f>VLOOKUP(AS$26,'DB New Orders'!$A:$S,MATCH($B28,'DB New Orders'!$A$1:$S$1,0),0)</f>
        <v/>
      </c>
      <c r="AT28" s="20">
        <f>VLOOKUP(AT$26,'DB New Orders'!$A:$S,MATCH($B28,'DB New Orders'!$A$1:$S$1,0),0)</f>
        <v/>
      </c>
      <c r="AU28" s="20">
        <f>VLOOKUP(AU$26,'DB New Orders'!$A:$S,MATCH($B28,'DB New Orders'!$A$1:$S$1,0),0)</f>
        <v/>
      </c>
      <c r="AV28" s="20">
        <f>VLOOKUP(AV$26,'DB New Orders'!$A:$S,MATCH($B28,'DB New Orders'!$A$1:$S$1,0),0)</f>
        <v/>
      </c>
      <c r="AW28" s="20">
        <f>VLOOKUP(AW$26,'DB New Orders'!$A:$S,MATCH($B28,'DB New Orders'!$A$1:$S$1,0),0)</f>
        <v/>
      </c>
      <c r="AX28" s="20">
        <f>VLOOKUP(AX$26,'DB New Orders'!$A:$S,MATCH($B28,'DB New Orders'!$A$1:$S$1,0),0)</f>
        <v/>
      </c>
      <c r="AZ28" s="20">
        <f>AX28-AW28</f>
        <v/>
      </c>
      <c r="BA28" s="23">
        <f>AVERAGE(AV28:AX28)</f>
        <v/>
      </c>
      <c r="BB28" s="23">
        <f>AVERAGE(AS28:AX28)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L29" s="20">
        <f>VLOOKUP(AL$26,'DB New Orders'!$A:$S,MATCH($B29,'DB New Orders'!$A$1:$S$1,0),0)</f>
        <v/>
      </c>
      <c r="AM29" s="20">
        <f>VLOOKUP(AM$26,'DB New Orders'!$A:$S,MATCH($B29,'DB New Orders'!$A$1:$S$1,0),0)</f>
        <v/>
      </c>
      <c r="AN29" s="20">
        <f>VLOOKUP(AN$26,'DB New Orders'!$A:$S,MATCH($B29,'DB New Orders'!$A$1:$S$1,0),0)</f>
        <v/>
      </c>
      <c r="AO29" s="20">
        <f>VLOOKUP(AO$26,'DB New Orders'!$A:$S,MATCH($B29,'DB New Orders'!$A$1:$S$1,0),0)</f>
        <v/>
      </c>
      <c r="AP29" s="20">
        <f>VLOOKUP(AP$26,'DB New Orders'!$A:$S,MATCH($B29,'DB New Orders'!$A$1:$S$1,0),0)</f>
        <v/>
      </c>
      <c r="AQ29" s="20">
        <f>VLOOKUP(AQ$26,'DB New Orders'!$A:$S,MATCH($B29,'DB New Orders'!$A$1:$S$1,0),0)</f>
        <v/>
      </c>
      <c r="AR29" s="20">
        <f>VLOOKUP(AR$26,'DB New Orders'!$A:$S,MATCH($B29,'DB New Orders'!$A$1:$S$1,0),0)</f>
        <v/>
      </c>
      <c r="AS29" s="20">
        <f>VLOOKUP(AS$26,'DB New Orders'!$A:$S,MATCH($B29,'DB New Orders'!$A$1:$S$1,0),0)</f>
        <v/>
      </c>
      <c r="AT29" s="20">
        <f>VLOOKUP(AT$26,'DB New Orders'!$A:$S,MATCH($B29,'DB New Orders'!$A$1:$S$1,0),0)</f>
        <v/>
      </c>
      <c r="AU29" s="20">
        <f>VLOOKUP(AU$26,'DB New Orders'!$A:$S,MATCH($B29,'DB New Orders'!$A$1:$S$1,0),0)</f>
        <v/>
      </c>
      <c r="AV29" s="20">
        <f>VLOOKUP(AV$26,'DB New Orders'!$A:$S,MATCH($B29,'DB New Orders'!$A$1:$S$1,0),0)</f>
        <v/>
      </c>
      <c r="AW29" s="20">
        <f>VLOOKUP(AW$26,'DB New Orders'!$A:$S,MATCH($B29,'DB New Orders'!$A$1:$S$1,0),0)</f>
        <v/>
      </c>
      <c r="AX29" s="20">
        <f>VLOOKUP(AX$26,'DB New Orders'!$A:$S,MATCH($B29,'DB New Orders'!$A$1:$S$1,0),0)</f>
        <v/>
      </c>
      <c r="AZ29" s="20">
        <f>AX29-AW29</f>
        <v/>
      </c>
      <c r="BA29" s="23">
        <f>AVERAGE(AV29:AX29)</f>
        <v/>
      </c>
      <c r="BB29" s="23">
        <f>AVERAGE(AS29:AX29)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L30" s="20">
        <f>VLOOKUP(AL$26,'DB New Orders'!$A:$S,MATCH($B30,'DB New Orders'!$A$1:$S$1,0),0)</f>
        <v/>
      </c>
      <c r="AM30" s="20">
        <f>VLOOKUP(AM$26,'DB New Orders'!$A:$S,MATCH($B30,'DB New Orders'!$A$1:$S$1,0),0)</f>
        <v/>
      </c>
      <c r="AN30" s="20">
        <f>VLOOKUP(AN$26,'DB New Orders'!$A:$S,MATCH($B30,'DB New Orders'!$A$1:$S$1,0),0)</f>
        <v/>
      </c>
      <c r="AO30" s="20">
        <f>VLOOKUP(AO$26,'DB New Orders'!$A:$S,MATCH($B30,'DB New Orders'!$A$1:$S$1,0),0)</f>
        <v/>
      </c>
      <c r="AP30" s="20">
        <f>VLOOKUP(AP$26,'DB New Orders'!$A:$S,MATCH($B30,'DB New Orders'!$A$1:$S$1,0),0)</f>
        <v/>
      </c>
      <c r="AQ30" s="20">
        <f>VLOOKUP(AQ$26,'DB New Orders'!$A:$S,MATCH($B30,'DB New Orders'!$A$1:$S$1,0),0)</f>
        <v/>
      </c>
      <c r="AR30" s="20">
        <f>VLOOKUP(AR$26,'DB New Orders'!$A:$S,MATCH($B30,'DB New Orders'!$A$1:$S$1,0),0)</f>
        <v/>
      </c>
      <c r="AS30" s="20">
        <f>VLOOKUP(AS$26,'DB New Orders'!$A:$S,MATCH($B30,'DB New Orders'!$A$1:$S$1,0),0)</f>
        <v/>
      </c>
      <c r="AT30" s="20">
        <f>VLOOKUP(AT$26,'DB New Orders'!$A:$S,MATCH($B30,'DB New Orders'!$A$1:$S$1,0),0)</f>
        <v/>
      </c>
      <c r="AU30" s="20">
        <f>VLOOKUP(AU$26,'DB New Orders'!$A:$S,MATCH($B30,'DB New Orders'!$A$1:$S$1,0),0)</f>
        <v/>
      </c>
      <c r="AV30" s="20">
        <f>VLOOKUP(AV$26,'DB New Orders'!$A:$S,MATCH($B30,'DB New Orders'!$A$1:$S$1,0),0)</f>
        <v/>
      </c>
      <c r="AW30" s="20">
        <f>VLOOKUP(AW$26,'DB New Orders'!$A:$S,MATCH($B30,'DB New Orders'!$A$1:$S$1,0),0)</f>
        <v/>
      </c>
      <c r="AX30" s="20">
        <f>VLOOKUP(AX$26,'DB New Orders'!$A:$S,MATCH($B30,'DB New Orders'!$A$1:$S$1,0),0)</f>
        <v/>
      </c>
      <c r="AZ30" s="20">
        <f>AX30-AW30</f>
        <v/>
      </c>
      <c r="BA30" s="23">
        <f>AVERAGE(AV30:AX30)</f>
        <v/>
      </c>
      <c r="BB30" s="23">
        <f>AVERAGE(AS30:AX30)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L31" s="20">
        <f>VLOOKUP(AL$26,'DB New Orders'!$A:$S,MATCH($B31,'DB New Orders'!$A$1:$S$1,0),0)</f>
        <v/>
      </c>
      <c r="AM31" s="20">
        <f>VLOOKUP(AM$26,'DB New Orders'!$A:$S,MATCH($B31,'DB New Orders'!$A$1:$S$1,0),0)</f>
        <v/>
      </c>
      <c r="AN31" s="20">
        <f>VLOOKUP(AN$26,'DB New Orders'!$A:$S,MATCH($B31,'DB New Orders'!$A$1:$S$1,0),0)</f>
        <v/>
      </c>
      <c r="AO31" s="20">
        <f>VLOOKUP(AO$26,'DB New Orders'!$A:$S,MATCH($B31,'DB New Orders'!$A$1:$S$1,0),0)</f>
        <v/>
      </c>
      <c r="AP31" s="20">
        <f>VLOOKUP(AP$26,'DB New Orders'!$A:$S,MATCH($B31,'DB New Orders'!$A$1:$S$1,0),0)</f>
        <v/>
      </c>
      <c r="AQ31" s="20">
        <f>VLOOKUP(AQ$26,'DB New Orders'!$A:$S,MATCH($B31,'DB New Orders'!$A$1:$S$1,0),0)</f>
        <v/>
      </c>
      <c r="AR31" s="20">
        <f>VLOOKUP(AR$26,'DB New Orders'!$A:$S,MATCH($B31,'DB New Orders'!$A$1:$S$1,0),0)</f>
        <v/>
      </c>
      <c r="AS31" s="20">
        <f>VLOOKUP(AS$26,'DB New Orders'!$A:$S,MATCH($B31,'DB New Orders'!$A$1:$S$1,0),0)</f>
        <v/>
      </c>
      <c r="AT31" s="20">
        <f>VLOOKUP(AT$26,'DB New Orders'!$A:$S,MATCH($B31,'DB New Orders'!$A$1:$S$1,0),0)</f>
        <v/>
      </c>
      <c r="AU31" s="20">
        <f>VLOOKUP(AU$26,'DB New Orders'!$A:$S,MATCH($B31,'DB New Orders'!$A$1:$S$1,0),0)</f>
        <v/>
      </c>
      <c r="AV31" s="20">
        <f>VLOOKUP(AV$26,'DB New Orders'!$A:$S,MATCH($B31,'DB New Orders'!$A$1:$S$1,0),0)</f>
        <v/>
      </c>
      <c r="AW31" s="20">
        <f>VLOOKUP(AW$26,'DB New Orders'!$A:$S,MATCH($B31,'DB New Orders'!$A$1:$S$1,0),0)</f>
        <v/>
      </c>
      <c r="AX31" s="20">
        <f>VLOOKUP(AX$26,'DB New Orders'!$A:$S,MATCH($B31,'DB New Orders'!$A$1:$S$1,0),0)</f>
        <v/>
      </c>
      <c r="AZ31" s="20">
        <f>AX31-AW31</f>
        <v/>
      </c>
      <c r="BA31" s="23">
        <f>AVERAGE(AV31:AX31)</f>
        <v/>
      </c>
      <c r="BB31" s="23">
        <f>AVERAGE(AS31:AX31)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L32" s="20">
        <f>VLOOKUP(AL$26,'DB New Orders'!$A:$S,MATCH($B32,'DB New Orders'!$A$1:$S$1,0),0)</f>
        <v/>
      </c>
      <c r="AM32" s="20">
        <f>VLOOKUP(AM$26,'DB New Orders'!$A:$S,MATCH($B32,'DB New Orders'!$A$1:$S$1,0),0)</f>
        <v/>
      </c>
      <c r="AN32" s="20">
        <f>VLOOKUP(AN$26,'DB New Orders'!$A:$S,MATCH($B32,'DB New Orders'!$A$1:$S$1,0),0)</f>
        <v/>
      </c>
      <c r="AO32" s="20">
        <f>VLOOKUP(AO$26,'DB New Orders'!$A:$S,MATCH($B32,'DB New Orders'!$A$1:$S$1,0),0)</f>
        <v/>
      </c>
      <c r="AP32" s="20">
        <f>VLOOKUP(AP$26,'DB New Orders'!$A:$S,MATCH($B32,'DB New Orders'!$A$1:$S$1,0),0)</f>
        <v/>
      </c>
      <c r="AQ32" s="20">
        <f>VLOOKUP(AQ$26,'DB New Orders'!$A:$S,MATCH($B32,'DB New Orders'!$A$1:$S$1,0),0)</f>
        <v/>
      </c>
      <c r="AR32" s="20">
        <f>VLOOKUP(AR$26,'DB New Orders'!$A:$S,MATCH($B32,'DB New Orders'!$A$1:$S$1,0),0)</f>
        <v/>
      </c>
      <c r="AS32" s="20">
        <f>VLOOKUP(AS$26,'DB New Orders'!$A:$S,MATCH($B32,'DB New Orders'!$A$1:$S$1,0),0)</f>
        <v/>
      </c>
      <c r="AT32" s="20">
        <f>VLOOKUP(AT$26,'DB New Orders'!$A:$S,MATCH($B32,'DB New Orders'!$A$1:$S$1,0),0)</f>
        <v/>
      </c>
      <c r="AU32" s="20">
        <f>VLOOKUP(AU$26,'DB New Orders'!$A:$S,MATCH($B32,'DB New Orders'!$A$1:$S$1,0),0)</f>
        <v/>
      </c>
      <c r="AV32" s="20">
        <f>VLOOKUP(AV$26,'DB New Orders'!$A:$S,MATCH($B32,'DB New Orders'!$A$1:$S$1,0),0)</f>
        <v/>
      </c>
      <c r="AW32" s="20">
        <f>VLOOKUP(AW$26,'DB New Orders'!$A:$S,MATCH($B32,'DB New Orders'!$A$1:$S$1,0),0)</f>
        <v/>
      </c>
      <c r="AX32" s="20">
        <f>VLOOKUP(AX$26,'DB New Orders'!$A:$S,MATCH($B32,'DB New Orders'!$A$1:$S$1,0),0)</f>
        <v/>
      </c>
      <c r="AZ32" s="20">
        <f>AX32-AW32</f>
        <v/>
      </c>
      <c r="BA32" s="23">
        <f>AVERAGE(AV32:AX32)</f>
        <v/>
      </c>
      <c r="BB32" s="23">
        <f>AVERAGE(AS32:AX32)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L33" s="20">
        <f>VLOOKUP(AL$26,'DB New Orders'!$A:$S,MATCH($B33,'DB New Orders'!$A$1:$S$1,0),0)</f>
        <v/>
      </c>
      <c r="AM33" s="20">
        <f>VLOOKUP(AM$26,'DB New Orders'!$A:$S,MATCH($B33,'DB New Orders'!$A$1:$S$1,0),0)</f>
        <v/>
      </c>
      <c r="AN33" s="20">
        <f>VLOOKUP(AN$26,'DB New Orders'!$A:$S,MATCH($B33,'DB New Orders'!$A$1:$S$1,0),0)</f>
        <v/>
      </c>
      <c r="AO33" s="20">
        <f>VLOOKUP(AO$26,'DB New Orders'!$A:$S,MATCH($B33,'DB New Orders'!$A$1:$S$1,0),0)</f>
        <v/>
      </c>
      <c r="AP33" s="20">
        <f>VLOOKUP(AP$26,'DB New Orders'!$A:$S,MATCH($B33,'DB New Orders'!$A$1:$S$1,0),0)</f>
        <v/>
      </c>
      <c r="AQ33" s="20">
        <f>VLOOKUP(AQ$26,'DB New Orders'!$A:$S,MATCH($B33,'DB New Orders'!$A$1:$S$1,0),0)</f>
        <v/>
      </c>
      <c r="AR33" s="20">
        <f>VLOOKUP(AR$26,'DB New Orders'!$A:$S,MATCH($B33,'DB New Orders'!$A$1:$S$1,0),0)</f>
        <v/>
      </c>
      <c r="AS33" s="20">
        <f>VLOOKUP(AS$26,'DB New Orders'!$A:$S,MATCH($B33,'DB New Orders'!$A$1:$S$1,0),0)</f>
        <v/>
      </c>
      <c r="AT33" s="20">
        <f>VLOOKUP(AT$26,'DB New Orders'!$A:$S,MATCH($B33,'DB New Orders'!$A$1:$S$1,0),0)</f>
        <v/>
      </c>
      <c r="AU33" s="20">
        <f>VLOOKUP(AU$26,'DB New Orders'!$A:$S,MATCH($B33,'DB New Orders'!$A$1:$S$1,0),0)</f>
        <v/>
      </c>
      <c r="AV33" s="20">
        <f>VLOOKUP(AV$26,'DB New Orders'!$A:$S,MATCH($B33,'DB New Orders'!$A$1:$S$1,0),0)</f>
        <v/>
      </c>
      <c r="AW33" s="20">
        <f>VLOOKUP(AW$26,'DB New Orders'!$A:$S,MATCH($B33,'DB New Orders'!$A$1:$S$1,0),0)</f>
        <v/>
      </c>
      <c r="AX33" s="20">
        <f>VLOOKUP(AX$26,'DB New Orders'!$A:$S,MATCH($B33,'DB New Orders'!$A$1:$S$1,0),0)</f>
        <v/>
      </c>
      <c r="AZ33" s="20">
        <f>AX33-AW33</f>
        <v/>
      </c>
      <c r="BA33" s="23">
        <f>AVERAGE(AV33:AX33)</f>
        <v/>
      </c>
      <c r="BB33" s="23">
        <f>AVERAGE(AS33:AX33)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L34" s="20">
        <f>VLOOKUP(AL$26,'DB New Orders'!$A:$S,MATCH($B34,'DB New Orders'!$A$1:$S$1,0),0)</f>
        <v/>
      </c>
      <c r="AM34" s="20">
        <f>VLOOKUP(AM$26,'DB New Orders'!$A:$S,MATCH($B34,'DB New Orders'!$A$1:$S$1,0),0)</f>
        <v/>
      </c>
      <c r="AN34" s="20">
        <f>VLOOKUP(AN$26,'DB New Orders'!$A:$S,MATCH($B34,'DB New Orders'!$A$1:$S$1,0),0)</f>
        <v/>
      </c>
      <c r="AO34" s="20">
        <f>VLOOKUP(AO$26,'DB New Orders'!$A:$S,MATCH($B34,'DB New Orders'!$A$1:$S$1,0),0)</f>
        <v/>
      </c>
      <c r="AP34" s="20">
        <f>VLOOKUP(AP$26,'DB New Orders'!$A:$S,MATCH($B34,'DB New Orders'!$A$1:$S$1,0),0)</f>
        <v/>
      </c>
      <c r="AQ34" s="20">
        <f>VLOOKUP(AQ$26,'DB New Orders'!$A:$S,MATCH($B34,'DB New Orders'!$A$1:$S$1,0),0)</f>
        <v/>
      </c>
      <c r="AR34" s="20">
        <f>VLOOKUP(AR$26,'DB New Orders'!$A:$S,MATCH($B34,'DB New Orders'!$A$1:$S$1,0),0)</f>
        <v/>
      </c>
      <c r="AS34" s="20">
        <f>VLOOKUP(AS$26,'DB New Orders'!$A:$S,MATCH($B34,'DB New Orders'!$A$1:$S$1,0),0)</f>
        <v/>
      </c>
      <c r="AT34" s="20">
        <f>VLOOKUP(AT$26,'DB New Orders'!$A:$S,MATCH($B34,'DB New Orders'!$A$1:$S$1,0),0)</f>
        <v/>
      </c>
      <c r="AU34" s="20">
        <f>VLOOKUP(AU$26,'DB New Orders'!$A:$S,MATCH($B34,'DB New Orders'!$A$1:$S$1,0),0)</f>
        <v/>
      </c>
      <c r="AV34" s="20">
        <f>VLOOKUP(AV$26,'DB New Orders'!$A:$S,MATCH($B34,'DB New Orders'!$A$1:$S$1,0),0)</f>
        <v/>
      </c>
      <c r="AW34" s="20">
        <f>VLOOKUP(AW$26,'DB New Orders'!$A:$S,MATCH($B34,'DB New Orders'!$A$1:$S$1,0),0)</f>
        <v/>
      </c>
      <c r="AX34" s="20">
        <f>VLOOKUP(AX$26,'DB New Orders'!$A:$S,MATCH($B34,'DB New Orders'!$A$1:$S$1,0),0)</f>
        <v/>
      </c>
      <c r="AZ34" s="20">
        <f>AX34-AW34</f>
        <v/>
      </c>
      <c r="BA34" s="23">
        <f>AVERAGE(AV34:AX34)</f>
        <v/>
      </c>
      <c r="BB34" s="23">
        <f>AVERAGE(AS34:AX34)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L35" s="20">
        <f>VLOOKUP(AL$26,'DB New Orders'!$A:$S,MATCH($B35,'DB New Orders'!$A$1:$S$1,0),0)</f>
        <v/>
      </c>
      <c r="AM35" s="20">
        <f>VLOOKUP(AM$26,'DB New Orders'!$A:$S,MATCH($B35,'DB New Orders'!$A$1:$S$1,0),0)</f>
        <v/>
      </c>
      <c r="AN35" s="20">
        <f>VLOOKUP(AN$26,'DB New Orders'!$A:$S,MATCH($B35,'DB New Orders'!$A$1:$S$1,0),0)</f>
        <v/>
      </c>
      <c r="AO35" s="20">
        <f>VLOOKUP(AO$26,'DB New Orders'!$A:$S,MATCH($B35,'DB New Orders'!$A$1:$S$1,0),0)</f>
        <v/>
      </c>
      <c r="AP35" s="20">
        <f>VLOOKUP(AP$26,'DB New Orders'!$A:$S,MATCH($B35,'DB New Orders'!$A$1:$S$1,0),0)</f>
        <v/>
      </c>
      <c r="AQ35" s="20">
        <f>VLOOKUP(AQ$26,'DB New Orders'!$A:$S,MATCH($B35,'DB New Orders'!$A$1:$S$1,0),0)</f>
        <v/>
      </c>
      <c r="AR35" s="20">
        <f>VLOOKUP(AR$26,'DB New Orders'!$A:$S,MATCH($B35,'DB New Orders'!$A$1:$S$1,0),0)</f>
        <v/>
      </c>
      <c r="AS35" s="20">
        <f>VLOOKUP(AS$26,'DB New Orders'!$A:$S,MATCH($B35,'DB New Orders'!$A$1:$S$1,0),0)</f>
        <v/>
      </c>
      <c r="AT35" s="20">
        <f>VLOOKUP(AT$26,'DB New Orders'!$A:$S,MATCH($B35,'DB New Orders'!$A$1:$S$1,0),0)</f>
        <v/>
      </c>
      <c r="AU35" s="20">
        <f>VLOOKUP(AU$26,'DB New Orders'!$A:$S,MATCH($B35,'DB New Orders'!$A$1:$S$1,0),0)</f>
        <v/>
      </c>
      <c r="AV35" s="20">
        <f>VLOOKUP(AV$26,'DB New Orders'!$A:$S,MATCH($B35,'DB New Orders'!$A$1:$S$1,0),0)</f>
        <v/>
      </c>
      <c r="AW35" s="20">
        <f>VLOOKUP(AW$26,'DB New Orders'!$A:$S,MATCH($B35,'DB New Orders'!$A$1:$S$1,0),0)</f>
        <v/>
      </c>
      <c r="AX35" s="20">
        <f>VLOOKUP(AX$26,'DB New Orders'!$A:$S,MATCH($B35,'DB New Orders'!$A$1:$S$1,0),0)</f>
        <v/>
      </c>
      <c r="AZ35" s="20">
        <f>AX35-AW35</f>
        <v/>
      </c>
      <c r="BA35" s="23">
        <f>AVERAGE(AV35:AX35)</f>
        <v/>
      </c>
      <c r="BB35" s="23">
        <f>AVERAGE(AS35:AX35)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L36" s="20">
        <f>VLOOKUP(AL$26,'DB New Orders'!$A:$S,MATCH($B36,'DB New Orders'!$A$1:$S$1,0),0)</f>
        <v/>
      </c>
      <c r="AM36" s="20">
        <f>VLOOKUP(AM$26,'DB New Orders'!$A:$S,MATCH($B36,'DB New Orders'!$A$1:$S$1,0),0)</f>
        <v/>
      </c>
      <c r="AN36" s="20">
        <f>VLOOKUP(AN$26,'DB New Orders'!$A:$S,MATCH($B36,'DB New Orders'!$A$1:$S$1,0),0)</f>
        <v/>
      </c>
      <c r="AO36" s="20">
        <f>VLOOKUP(AO$26,'DB New Orders'!$A:$S,MATCH($B36,'DB New Orders'!$A$1:$S$1,0),0)</f>
        <v/>
      </c>
      <c r="AP36" s="20">
        <f>VLOOKUP(AP$26,'DB New Orders'!$A:$S,MATCH($B36,'DB New Orders'!$A$1:$S$1,0),0)</f>
        <v/>
      </c>
      <c r="AQ36" s="20">
        <f>VLOOKUP(AQ$26,'DB New Orders'!$A:$S,MATCH($B36,'DB New Orders'!$A$1:$S$1,0),0)</f>
        <v/>
      </c>
      <c r="AR36" s="20">
        <f>VLOOKUP(AR$26,'DB New Orders'!$A:$S,MATCH($B36,'DB New Orders'!$A$1:$S$1,0),0)</f>
        <v/>
      </c>
      <c r="AS36" s="20">
        <f>VLOOKUP(AS$26,'DB New Orders'!$A:$S,MATCH($B36,'DB New Orders'!$A$1:$S$1,0),0)</f>
        <v/>
      </c>
      <c r="AT36" s="20">
        <f>VLOOKUP(AT$26,'DB New Orders'!$A:$S,MATCH($B36,'DB New Orders'!$A$1:$S$1,0),0)</f>
        <v/>
      </c>
      <c r="AU36" s="20">
        <f>VLOOKUP(AU$26,'DB New Orders'!$A:$S,MATCH($B36,'DB New Orders'!$A$1:$S$1,0),0)</f>
        <v/>
      </c>
      <c r="AV36" s="20">
        <f>VLOOKUP(AV$26,'DB New Orders'!$A:$S,MATCH($B36,'DB New Orders'!$A$1:$S$1,0),0)</f>
        <v/>
      </c>
      <c r="AW36" s="20">
        <f>VLOOKUP(AW$26,'DB New Orders'!$A:$S,MATCH($B36,'DB New Orders'!$A$1:$S$1,0),0)</f>
        <v/>
      </c>
      <c r="AX36" s="20">
        <f>VLOOKUP(AX$26,'DB New Orders'!$A:$S,MATCH($B36,'DB New Orders'!$A$1:$S$1,0),0)</f>
        <v/>
      </c>
      <c r="AZ36" s="20">
        <f>AX36-AW36</f>
        <v/>
      </c>
      <c r="BA36" s="23">
        <f>AVERAGE(AV36:AX36)</f>
        <v/>
      </c>
      <c r="BB36" s="23">
        <f>AVERAGE(AS36:AX36)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L37" s="20">
        <f>VLOOKUP(AL$26,'DB New Orders'!$A:$S,MATCH($B37,'DB New Orders'!$A$1:$S$1,0),0)</f>
        <v/>
      </c>
      <c r="AM37" s="20">
        <f>VLOOKUP(AM$26,'DB New Orders'!$A:$S,MATCH($B37,'DB New Orders'!$A$1:$S$1,0),0)</f>
        <v/>
      </c>
      <c r="AN37" s="20">
        <f>VLOOKUP(AN$26,'DB New Orders'!$A:$S,MATCH($B37,'DB New Orders'!$A$1:$S$1,0),0)</f>
        <v/>
      </c>
      <c r="AO37" s="20">
        <f>VLOOKUP(AO$26,'DB New Orders'!$A:$S,MATCH($B37,'DB New Orders'!$A$1:$S$1,0),0)</f>
        <v/>
      </c>
      <c r="AP37" s="20">
        <f>VLOOKUP(AP$26,'DB New Orders'!$A:$S,MATCH($B37,'DB New Orders'!$A$1:$S$1,0),0)</f>
        <v/>
      </c>
      <c r="AQ37" s="20">
        <f>VLOOKUP(AQ$26,'DB New Orders'!$A:$S,MATCH($B37,'DB New Orders'!$A$1:$S$1,0),0)</f>
        <v/>
      </c>
      <c r="AR37" s="20">
        <f>VLOOKUP(AR$26,'DB New Orders'!$A:$S,MATCH($B37,'DB New Orders'!$A$1:$S$1,0),0)</f>
        <v/>
      </c>
      <c r="AS37" s="20">
        <f>VLOOKUP(AS$26,'DB New Orders'!$A:$S,MATCH($B37,'DB New Orders'!$A$1:$S$1,0),0)</f>
        <v/>
      </c>
      <c r="AT37" s="20">
        <f>VLOOKUP(AT$26,'DB New Orders'!$A:$S,MATCH($B37,'DB New Orders'!$A$1:$S$1,0),0)</f>
        <v/>
      </c>
      <c r="AU37" s="20">
        <f>VLOOKUP(AU$26,'DB New Orders'!$A:$S,MATCH($B37,'DB New Orders'!$A$1:$S$1,0),0)</f>
        <v/>
      </c>
      <c r="AV37" s="20">
        <f>VLOOKUP(AV$26,'DB New Orders'!$A:$S,MATCH($B37,'DB New Orders'!$A$1:$S$1,0),0)</f>
        <v/>
      </c>
      <c r="AW37" s="20">
        <f>VLOOKUP(AW$26,'DB New Orders'!$A:$S,MATCH($B37,'DB New Orders'!$A$1:$S$1,0),0)</f>
        <v/>
      </c>
      <c r="AX37" s="20">
        <f>VLOOKUP(AX$26,'DB New Orders'!$A:$S,MATCH($B37,'DB New Orders'!$A$1:$S$1,0),0)</f>
        <v/>
      </c>
      <c r="AZ37" s="20">
        <f>AX37-AW37</f>
        <v/>
      </c>
      <c r="BA37" s="23">
        <f>AVERAGE(AV37:AX37)</f>
        <v/>
      </c>
      <c r="BB37" s="23">
        <f>AVERAGE(AS37:AX37)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L38" s="20">
        <f>VLOOKUP(AL$26,'DB New Orders'!$A:$S,MATCH($B38,'DB New Orders'!$A$1:$S$1,0),0)</f>
        <v/>
      </c>
      <c r="AM38" s="20">
        <f>VLOOKUP(AM$26,'DB New Orders'!$A:$S,MATCH($B38,'DB New Orders'!$A$1:$S$1,0),0)</f>
        <v/>
      </c>
      <c r="AN38" s="20">
        <f>VLOOKUP(AN$26,'DB New Orders'!$A:$S,MATCH($B38,'DB New Orders'!$A$1:$S$1,0),0)</f>
        <v/>
      </c>
      <c r="AO38" s="20">
        <f>VLOOKUP(AO$26,'DB New Orders'!$A:$S,MATCH($B38,'DB New Orders'!$A$1:$S$1,0),0)</f>
        <v/>
      </c>
      <c r="AP38" s="20">
        <f>VLOOKUP(AP$26,'DB New Orders'!$A:$S,MATCH($B38,'DB New Orders'!$A$1:$S$1,0),0)</f>
        <v/>
      </c>
      <c r="AQ38" s="20">
        <f>VLOOKUP(AQ$26,'DB New Orders'!$A:$S,MATCH($B38,'DB New Orders'!$A$1:$S$1,0),0)</f>
        <v/>
      </c>
      <c r="AR38" s="20">
        <f>VLOOKUP(AR$26,'DB New Orders'!$A:$S,MATCH($B38,'DB New Orders'!$A$1:$S$1,0),0)</f>
        <v/>
      </c>
      <c r="AS38" s="20">
        <f>VLOOKUP(AS$26,'DB New Orders'!$A:$S,MATCH($B38,'DB New Orders'!$A$1:$S$1,0),0)</f>
        <v/>
      </c>
      <c r="AT38" s="20">
        <f>VLOOKUP(AT$26,'DB New Orders'!$A:$S,MATCH($B38,'DB New Orders'!$A$1:$S$1,0),0)</f>
        <v/>
      </c>
      <c r="AU38" s="20">
        <f>VLOOKUP(AU$26,'DB New Orders'!$A:$S,MATCH($B38,'DB New Orders'!$A$1:$S$1,0),0)</f>
        <v/>
      </c>
      <c r="AV38" s="20">
        <f>VLOOKUP(AV$26,'DB New Orders'!$A:$S,MATCH($B38,'DB New Orders'!$A$1:$S$1,0),0)</f>
        <v/>
      </c>
      <c r="AW38" s="20">
        <f>VLOOKUP(AW$26,'DB New Orders'!$A:$S,MATCH($B38,'DB New Orders'!$A$1:$S$1,0),0)</f>
        <v/>
      </c>
      <c r="AX38" s="20">
        <f>VLOOKUP(AX$26,'DB New Orders'!$A:$S,MATCH($B38,'DB New Orders'!$A$1:$S$1,0),0)</f>
        <v/>
      </c>
      <c r="AZ38" s="20">
        <f>AX38-AW38</f>
        <v/>
      </c>
      <c r="BA38" s="23">
        <f>AVERAGE(AV38:AX38)</f>
        <v/>
      </c>
      <c r="BB38" s="23">
        <f>AVERAGE(AS38:AX38)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L39" s="20">
        <f>VLOOKUP(AL$26,'DB New Orders'!$A:$S,MATCH($B39,'DB New Orders'!$A$1:$S$1,0),0)</f>
        <v/>
      </c>
      <c r="AM39" s="20">
        <f>VLOOKUP(AM$26,'DB New Orders'!$A:$S,MATCH($B39,'DB New Orders'!$A$1:$S$1,0),0)</f>
        <v/>
      </c>
      <c r="AN39" s="20">
        <f>VLOOKUP(AN$26,'DB New Orders'!$A:$S,MATCH($B39,'DB New Orders'!$A$1:$S$1,0),0)</f>
        <v/>
      </c>
      <c r="AO39" s="20">
        <f>VLOOKUP(AO$26,'DB New Orders'!$A:$S,MATCH($B39,'DB New Orders'!$A$1:$S$1,0),0)</f>
        <v/>
      </c>
      <c r="AP39" s="20">
        <f>VLOOKUP(AP$26,'DB New Orders'!$A:$S,MATCH($B39,'DB New Orders'!$A$1:$S$1,0),0)</f>
        <v/>
      </c>
      <c r="AQ39" s="20">
        <f>VLOOKUP(AQ$26,'DB New Orders'!$A:$S,MATCH($B39,'DB New Orders'!$A$1:$S$1,0),0)</f>
        <v/>
      </c>
      <c r="AR39" s="20">
        <f>VLOOKUP(AR$26,'DB New Orders'!$A:$S,MATCH($B39,'DB New Orders'!$A$1:$S$1,0),0)</f>
        <v/>
      </c>
      <c r="AS39" s="20">
        <f>VLOOKUP(AS$26,'DB New Orders'!$A:$S,MATCH($B39,'DB New Orders'!$A$1:$S$1,0),0)</f>
        <v/>
      </c>
      <c r="AT39" s="20">
        <f>VLOOKUP(AT$26,'DB New Orders'!$A:$S,MATCH($B39,'DB New Orders'!$A$1:$S$1,0),0)</f>
        <v/>
      </c>
      <c r="AU39" s="20">
        <f>VLOOKUP(AU$26,'DB New Orders'!$A:$S,MATCH($B39,'DB New Orders'!$A$1:$S$1,0),0)</f>
        <v/>
      </c>
      <c r="AV39" s="20">
        <f>VLOOKUP(AV$26,'DB New Orders'!$A:$S,MATCH($B39,'DB New Orders'!$A$1:$S$1,0),0)</f>
        <v/>
      </c>
      <c r="AW39" s="20">
        <f>VLOOKUP(AW$26,'DB New Orders'!$A:$S,MATCH($B39,'DB New Orders'!$A$1:$S$1,0),0)</f>
        <v/>
      </c>
      <c r="AX39" s="20">
        <f>VLOOKUP(AX$26,'DB New Orders'!$A:$S,MATCH($B39,'DB New Orders'!$A$1:$S$1,0),0)</f>
        <v/>
      </c>
      <c r="AZ39" s="20">
        <f>AX39-AW39</f>
        <v/>
      </c>
      <c r="BA39" s="23">
        <f>AVERAGE(AV39:AX39)</f>
        <v/>
      </c>
      <c r="BB39" s="23">
        <f>AVERAGE(AS39:AX39)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L40" s="20">
        <f>VLOOKUP(AL$26,'DB New Orders'!$A:$S,MATCH($B40,'DB New Orders'!$A$1:$S$1,0),0)</f>
        <v/>
      </c>
      <c r="AM40" s="20">
        <f>VLOOKUP(AM$26,'DB New Orders'!$A:$S,MATCH($B40,'DB New Orders'!$A$1:$S$1,0),0)</f>
        <v/>
      </c>
      <c r="AN40" s="20">
        <f>VLOOKUP(AN$26,'DB New Orders'!$A:$S,MATCH($B40,'DB New Orders'!$A$1:$S$1,0),0)</f>
        <v/>
      </c>
      <c r="AO40" s="20">
        <f>VLOOKUP(AO$26,'DB New Orders'!$A:$S,MATCH($B40,'DB New Orders'!$A$1:$S$1,0),0)</f>
        <v/>
      </c>
      <c r="AP40" s="20">
        <f>VLOOKUP(AP$26,'DB New Orders'!$A:$S,MATCH($B40,'DB New Orders'!$A$1:$S$1,0),0)</f>
        <v/>
      </c>
      <c r="AQ40" s="20">
        <f>VLOOKUP(AQ$26,'DB New Orders'!$A:$S,MATCH($B40,'DB New Orders'!$A$1:$S$1,0),0)</f>
        <v/>
      </c>
      <c r="AR40" s="20">
        <f>VLOOKUP(AR$26,'DB New Orders'!$A:$S,MATCH($B40,'DB New Orders'!$A$1:$S$1,0),0)</f>
        <v/>
      </c>
      <c r="AS40" s="20">
        <f>VLOOKUP(AS$26,'DB New Orders'!$A:$S,MATCH($B40,'DB New Orders'!$A$1:$S$1,0),0)</f>
        <v/>
      </c>
      <c r="AT40" s="20">
        <f>VLOOKUP(AT$26,'DB New Orders'!$A:$S,MATCH($B40,'DB New Orders'!$A$1:$S$1,0),0)</f>
        <v/>
      </c>
      <c r="AU40" s="20">
        <f>VLOOKUP(AU$26,'DB New Orders'!$A:$S,MATCH($B40,'DB New Orders'!$A$1:$S$1,0),0)</f>
        <v/>
      </c>
      <c r="AV40" s="20">
        <f>VLOOKUP(AV$26,'DB New Orders'!$A:$S,MATCH($B40,'DB New Orders'!$A$1:$S$1,0),0)</f>
        <v/>
      </c>
      <c r="AW40" s="20">
        <f>VLOOKUP(AW$26,'DB New Orders'!$A:$S,MATCH($B40,'DB New Orders'!$A$1:$S$1,0),0)</f>
        <v/>
      </c>
      <c r="AX40" s="20">
        <f>VLOOKUP(AX$26,'DB New Orders'!$A:$S,MATCH($B40,'DB New Orders'!$A$1:$S$1,0),0)</f>
        <v/>
      </c>
      <c r="AZ40" s="20">
        <f>AX40-AW40</f>
        <v/>
      </c>
      <c r="BA40" s="23">
        <f>AVERAGE(AV40:AX40)</f>
        <v/>
      </c>
      <c r="BB40" s="23">
        <f>AVERAGE(AS40:AX40)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L41" s="20">
        <f>VLOOKUP(AL$26,'DB New Orders'!$A:$S,MATCH($B41,'DB New Orders'!$A$1:$S$1,0),0)</f>
        <v/>
      </c>
      <c r="AM41" s="20">
        <f>VLOOKUP(AM$26,'DB New Orders'!$A:$S,MATCH($B41,'DB New Orders'!$A$1:$S$1,0),0)</f>
        <v/>
      </c>
      <c r="AN41" s="20">
        <f>VLOOKUP(AN$26,'DB New Orders'!$A:$S,MATCH($B41,'DB New Orders'!$A$1:$S$1,0),0)</f>
        <v/>
      </c>
      <c r="AO41" s="20">
        <f>VLOOKUP(AO$26,'DB New Orders'!$A:$S,MATCH($B41,'DB New Orders'!$A$1:$S$1,0),0)</f>
        <v/>
      </c>
      <c r="AP41" s="20">
        <f>VLOOKUP(AP$26,'DB New Orders'!$A:$S,MATCH($B41,'DB New Orders'!$A$1:$S$1,0),0)</f>
        <v/>
      </c>
      <c r="AQ41" s="20">
        <f>VLOOKUP(AQ$26,'DB New Orders'!$A:$S,MATCH($B41,'DB New Orders'!$A$1:$S$1,0),0)</f>
        <v/>
      </c>
      <c r="AR41" s="20">
        <f>VLOOKUP(AR$26,'DB New Orders'!$A:$S,MATCH($B41,'DB New Orders'!$A$1:$S$1,0),0)</f>
        <v/>
      </c>
      <c r="AS41" s="20">
        <f>VLOOKUP(AS$26,'DB New Orders'!$A:$S,MATCH($B41,'DB New Orders'!$A$1:$S$1,0),0)</f>
        <v/>
      </c>
      <c r="AT41" s="20">
        <f>VLOOKUP(AT$26,'DB New Orders'!$A:$S,MATCH($B41,'DB New Orders'!$A$1:$S$1,0),0)</f>
        <v/>
      </c>
      <c r="AU41" s="20">
        <f>VLOOKUP(AU$26,'DB New Orders'!$A:$S,MATCH($B41,'DB New Orders'!$A$1:$S$1,0),0)</f>
        <v/>
      </c>
      <c r="AV41" s="20">
        <f>VLOOKUP(AV$26,'DB New Orders'!$A:$S,MATCH($B41,'DB New Orders'!$A$1:$S$1,0),0)</f>
        <v/>
      </c>
      <c r="AW41" s="20">
        <f>VLOOKUP(AW$26,'DB New Orders'!$A:$S,MATCH($B41,'DB New Orders'!$A$1:$S$1,0),0)</f>
        <v/>
      </c>
      <c r="AX41" s="20">
        <f>VLOOKUP(AX$26,'DB New Orders'!$A:$S,MATCH($B41,'DB New Orders'!$A$1:$S$1,0),0)</f>
        <v/>
      </c>
      <c r="AZ41" s="20">
        <f>AX41-AW41</f>
        <v/>
      </c>
      <c r="BA41" s="23">
        <f>AVERAGE(AV41:AX41)</f>
        <v/>
      </c>
      <c r="BB41" s="23">
        <f>AVERAGE(AS41:AX41)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L42" s="20">
        <f>VLOOKUP(AL$26,'DB New Orders'!$A:$S,MATCH($B42,'DB New Orders'!$A$1:$S$1,0),0)</f>
        <v/>
      </c>
      <c r="AM42" s="20">
        <f>VLOOKUP(AM$26,'DB New Orders'!$A:$S,MATCH($B42,'DB New Orders'!$A$1:$S$1,0),0)</f>
        <v/>
      </c>
      <c r="AN42" s="20">
        <f>VLOOKUP(AN$26,'DB New Orders'!$A:$S,MATCH($B42,'DB New Orders'!$A$1:$S$1,0),0)</f>
        <v/>
      </c>
      <c r="AO42" s="20">
        <f>VLOOKUP(AO$26,'DB New Orders'!$A:$S,MATCH($B42,'DB New Orders'!$A$1:$S$1,0),0)</f>
        <v/>
      </c>
      <c r="AP42" s="20">
        <f>VLOOKUP(AP$26,'DB New Orders'!$A:$S,MATCH($B42,'DB New Orders'!$A$1:$S$1,0),0)</f>
        <v/>
      </c>
      <c r="AQ42" s="20">
        <f>VLOOKUP(AQ$26,'DB New Orders'!$A:$S,MATCH($B42,'DB New Orders'!$A$1:$S$1,0),0)</f>
        <v/>
      </c>
      <c r="AR42" s="20">
        <f>VLOOKUP(AR$26,'DB New Orders'!$A:$S,MATCH($B42,'DB New Orders'!$A$1:$S$1,0),0)</f>
        <v/>
      </c>
      <c r="AS42" s="20">
        <f>VLOOKUP(AS$26,'DB New Orders'!$A:$S,MATCH($B42,'DB New Orders'!$A$1:$S$1,0),0)</f>
        <v/>
      </c>
      <c r="AT42" s="20">
        <f>VLOOKUP(AT$26,'DB New Orders'!$A:$S,MATCH($B42,'DB New Orders'!$A$1:$S$1,0),0)</f>
        <v/>
      </c>
      <c r="AU42" s="20">
        <f>VLOOKUP(AU$26,'DB New Orders'!$A:$S,MATCH($B42,'DB New Orders'!$A$1:$S$1,0),0)</f>
        <v/>
      </c>
      <c r="AV42" s="20">
        <f>VLOOKUP(AV$26,'DB New Orders'!$A:$S,MATCH($B42,'DB New Orders'!$A$1:$S$1,0),0)</f>
        <v/>
      </c>
      <c r="AW42" s="20">
        <f>VLOOKUP(AW$26,'DB New Orders'!$A:$S,MATCH($B42,'DB New Orders'!$A$1:$S$1,0),0)</f>
        <v/>
      </c>
      <c r="AX42" s="20">
        <f>VLOOKUP(AX$26,'DB New Orders'!$A:$S,MATCH($B42,'DB New Orders'!$A$1:$S$1,0),0)</f>
        <v/>
      </c>
      <c r="AZ42" s="20">
        <f>AX42-AW42</f>
        <v/>
      </c>
      <c r="BA42" s="23">
        <f>AVERAGE(AV42:AX42)</f>
        <v/>
      </c>
      <c r="BB42" s="23">
        <f>AVERAGE(AS42:AX42)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L43" s="20">
        <f>VLOOKUP(AL$26,'DB New Orders'!$A:$S,MATCH($B43,'DB New Orders'!$A$1:$S$1,0),0)</f>
        <v/>
      </c>
      <c r="AM43" s="20">
        <f>VLOOKUP(AM$26,'DB New Orders'!$A:$S,MATCH($B43,'DB New Orders'!$A$1:$S$1,0),0)</f>
        <v/>
      </c>
      <c r="AN43" s="20">
        <f>VLOOKUP(AN$26,'DB New Orders'!$A:$S,MATCH($B43,'DB New Orders'!$A$1:$S$1,0),0)</f>
        <v/>
      </c>
      <c r="AO43" s="20">
        <f>VLOOKUP(AO$26,'DB New Orders'!$A:$S,MATCH($B43,'DB New Orders'!$A$1:$S$1,0),0)</f>
        <v/>
      </c>
      <c r="AP43" s="20">
        <f>VLOOKUP(AP$26,'DB New Orders'!$A:$S,MATCH($B43,'DB New Orders'!$A$1:$S$1,0),0)</f>
        <v/>
      </c>
      <c r="AQ43" s="20">
        <f>VLOOKUP(AQ$26,'DB New Orders'!$A:$S,MATCH($B43,'DB New Orders'!$A$1:$S$1,0),0)</f>
        <v/>
      </c>
      <c r="AR43" s="20">
        <f>VLOOKUP(AR$26,'DB New Orders'!$A:$S,MATCH($B43,'DB New Orders'!$A$1:$S$1,0),0)</f>
        <v/>
      </c>
      <c r="AS43" s="20">
        <f>VLOOKUP(AS$26,'DB New Orders'!$A:$S,MATCH($B43,'DB New Orders'!$A$1:$S$1,0),0)</f>
        <v/>
      </c>
      <c r="AT43" s="20">
        <f>VLOOKUP(AT$26,'DB New Orders'!$A:$S,MATCH($B43,'DB New Orders'!$A$1:$S$1,0),0)</f>
        <v/>
      </c>
      <c r="AU43" s="20">
        <f>VLOOKUP(AU$26,'DB New Orders'!$A:$S,MATCH($B43,'DB New Orders'!$A$1:$S$1,0),0)</f>
        <v/>
      </c>
      <c r="AV43" s="20">
        <f>VLOOKUP(AV$26,'DB New Orders'!$A:$S,MATCH($B43,'DB New Orders'!$A$1:$S$1,0),0)</f>
        <v/>
      </c>
      <c r="AW43" s="20">
        <f>VLOOKUP(AW$26,'DB New Orders'!$A:$S,MATCH($B43,'DB New Orders'!$A$1:$S$1,0),0)</f>
        <v/>
      </c>
      <c r="AX43" s="20">
        <f>VLOOKUP(AX$26,'DB New Orders'!$A:$S,MATCH($B43,'DB New Orders'!$A$1:$S$1,0),0)</f>
        <v/>
      </c>
      <c r="AZ43" s="20">
        <f>AX43-AW43</f>
        <v/>
      </c>
      <c r="BA43" s="23">
        <f>AVERAGE(AV43:AX43)</f>
        <v/>
      </c>
      <c r="BB43" s="23">
        <f>AVERAGE(AS43:AX43)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L44" s="20">
        <f>VLOOKUP(AL$26,'DB New Orders'!$A:$S,MATCH($B44,'DB New Orders'!$A$1:$S$1,0),0)</f>
        <v/>
      </c>
      <c r="AM44" s="20">
        <f>VLOOKUP(AM$26,'DB New Orders'!$A:$S,MATCH($B44,'DB New Orders'!$A$1:$S$1,0),0)</f>
        <v/>
      </c>
      <c r="AN44" s="20">
        <f>VLOOKUP(AN$26,'DB New Orders'!$A:$S,MATCH($B44,'DB New Orders'!$A$1:$S$1,0),0)</f>
        <v/>
      </c>
      <c r="AO44" s="20">
        <f>VLOOKUP(AO$26,'DB New Orders'!$A:$S,MATCH($B44,'DB New Orders'!$A$1:$S$1,0),0)</f>
        <v/>
      </c>
      <c r="AP44" s="20">
        <f>VLOOKUP(AP$26,'DB New Orders'!$A:$S,MATCH($B44,'DB New Orders'!$A$1:$S$1,0),0)</f>
        <v/>
      </c>
      <c r="AQ44" s="20">
        <f>VLOOKUP(AQ$26,'DB New Orders'!$A:$S,MATCH($B44,'DB New Orders'!$A$1:$S$1,0),0)</f>
        <v/>
      </c>
      <c r="AR44" s="20">
        <f>VLOOKUP(AR$26,'DB New Orders'!$A:$S,MATCH($B44,'DB New Orders'!$A$1:$S$1,0),0)</f>
        <v/>
      </c>
      <c r="AS44" s="20">
        <f>VLOOKUP(AS$26,'DB New Orders'!$A:$S,MATCH($B44,'DB New Orders'!$A$1:$S$1,0),0)</f>
        <v/>
      </c>
      <c r="AT44" s="20">
        <f>VLOOKUP(AT$26,'DB New Orders'!$A:$S,MATCH($B44,'DB New Orders'!$A$1:$S$1,0),0)</f>
        <v/>
      </c>
      <c r="AU44" s="20">
        <f>VLOOKUP(AU$26,'DB New Orders'!$A:$S,MATCH($B44,'DB New Orders'!$A$1:$S$1,0),0)</f>
        <v/>
      </c>
      <c r="AV44" s="20">
        <f>VLOOKUP(AV$26,'DB New Orders'!$A:$S,MATCH($B44,'DB New Orders'!$A$1:$S$1,0),0)</f>
        <v/>
      </c>
      <c r="AW44" s="20">
        <f>VLOOKUP(AW$26,'DB New Orders'!$A:$S,MATCH($B44,'DB New Orders'!$A$1:$S$1,0),0)</f>
        <v/>
      </c>
      <c r="AX44" s="20">
        <f>VLOOKUP(AX$26,'DB New Orders'!$A:$S,MATCH($B44,'DB New Orders'!$A$1:$S$1,0),0)</f>
        <v/>
      </c>
      <c r="AZ44" s="20">
        <f>AX44-AW44</f>
        <v/>
      </c>
      <c r="BA44" s="23">
        <f>AVERAGE(AV44:AX44)</f>
        <v/>
      </c>
      <c r="BB44" s="23">
        <f>AVERAGE(AS44:AX44)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L45" s="20">
        <f>VLOOKUP(AL$26,'DB New Orders'!$A:$S,MATCH($B45,'DB New Orders'!$A$1:$S$1,0),0)</f>
        <v/>
      </c>
      <c r="AM45" s="20">
        <f>VLOOKUP(AM$26,'DB New Orders'!$A:$S,MATCH($B45,'DB New Orders'!$A$1:$S$1,0),0)</f>
        <v/>
      </c>
      <c r="AN45" s="20">
        <f>VLOOKUP(AN$26,'DB New Orders'!$A:$S,MATCH($B45,'DB New Orders'!$A$1:$S$1,0),0)</f>
        <v/>
      </c>
      <c r="AO45" s="20">
        <f>VLOOKUP(AO$26,'DB New Orders'!$A:$S,MATCH($B45,'DB New Orders'!$A$1:$S$1,0),0)</f>
        <v/>
      </c>
      <c r="AP45" s="20">
        <f>VLOOKUP(AP$26,'DB New Orders'!$A:$S,MATCH($B45,'DB New Orders'!$A$1:$S$1,0),0)</f>
        <v/>
      </c>
      <c r="AQ45" s="20">
        <f>VLOOKUP(AQ$26,'DB New Orders'!$A:$S,MATCH($B45,'DB New Orders'!$A$1:$S$1,0),0)</f>
        <v/>
      </c>
      <c r="AR45" s="20">
        <f>VLOOKUP(AR$26,'DB New Orders'!$A:$S,MATCH($B45,'DB New Orders'!$A$1:$S$1,0),0)</f>
        <v/>
      </c>
      <c r="AS45" s="20">
        <f>VLOOKUP(AS$26,'DB New Orders'!$A:$S,MATCH($B45,'DB New Orders'!$A$1:$S$1,0),0)</f>
        <v/>
      </c>
      <c r="AT45" s="20">
        <f>VLOOKUP(AT$26,'DB New Orders'!$A:$S,MATCH($B45,'DB New Orders'!$A$1:$S$1,0),0)</f>
        <v/>
      </c>
      <c r="AU45" s="20">
        <f>VLOOKUP(AU$26,'DB New Orders'!$A:$S,MATCH($B45,'DB New Orders'!$A$1:$S$1,0),0)</f>
        <v/>
      </c>
      <c r="AV45" s="20">
        <f>VLOOKUP(AV$26,'DB New Orders'!$A:$S,MATCH($B45,'DB New Orders'!$A$1:$S$1,0),0)</f>
        <v/>
      </c>
      <c r="AW45" s="20">
        <f>VLOOKUP(AW$26,'DB New Orders'!$A:$S,MATCH($B45,'DB New Orders'!$A$1:$S$1,0),0)</f>
        <v/>
      </c>
      <c r="AX45" s="20">
        <f>VLOOKUP(AX$26,'DB New Orders'!$A:$S,MATCH($B45,'DB New Orders'!$A$1:$S$1,0),0)</f>
        <v/>
      </c>
      <c r="AZ45" s="20">
        <f>AX45-AW45</f>
        <v/>
      </c>
      <c r="BA45" s="23">
        <f>AVERAGE(AV45:AX45)</f>
        <v/>
      </c>
      <c r="BB45" s="23">
        <f>AVERAGE(AS45:AX45)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c r="AL46" s="22" t="n"/>
      <c r="AM46" s="22" t="n"/>
      <c r="AN46" s="22" t="n"/>
      <c r="AO46" s="22" t="n"/>
      <c r="AP46" s="22" t="n"/>
      <c r="AQ46" s="22" t="n"/>
      <c r="AR46" s="22" t="n"/>
      <c r="AS46" s="22" t="n"/>
      <c r="AT46" s="22" t="n"/>
      <c r="AU46" s="22" t="n"/>
      <c r="AV46" s="22" t="n"/>
      <c r="AW46" s="22" t="n"/>
      <c r="AX46" s="22" t="n"/>
    </row>
    <row r="47" ht="16" customHeight="1"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c r="AL47" s="22" t="n"/>
      <c r="AM47" s="22" t="n"/>
      <c r="AN47" s="22" t="n"/>
      <c r="AO47" s="22" t="n"/>
      <c r="AP47" s="22" t="n"/>
      <c r="AQ47" s="22" t="n"/>
      <c r="AR47" s="22" t="n"/>
      <c r="AS47" s="22" t="n"/>
      <c r="AT47" s="22" t="n"/>
      <c r="AU47" s="22" t="n"/>
      <c r="AV47" s="22" t="n"/>
      <c r="AW47" s="22" t="n"/>
      <c r="AX47" s="22" t="n"/>
    </row>
    <row r="48">
      <c r="B48" s="116"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26" t="n">
        <v>44562</v>
      </c>
      <c r="AM48" s="26" t="n">
        <v>44593</v>
      </c>
      <c r="AN48" s="26" t="n">
        <v>44621</v>
      </c>
      <c r="AO48" s="26" t="n">
        <v>44652</v>
      </c>
      <c r="AP48" s="26" t="n">
        <v>44682</v>
      </c>
      <c r="AQ48" s="26" t="n">
        <v>44713</v>
      </c>
      <c r="AR48" s="26" t="n">
        <v>44743</v>
      </c>
      <c r="AS48" s="26" t="n">
        <v>44774</v>
      </c>
      <c r="AT48" s="26" t="n">
        <v>44805</v>
      </c>
      <c r="AU48" s="26" t="n">
        <v>44835</v>
      </c>
      <c r="AV48" s="26" t="n">
        <v>44866</v>
      </c>
      <c r="AW48" s="26" t="n">
        <v>44896</v>
      </c>
      <c r="AX48" s="26" t="n">
        <v>44927</v>
      </c>
      <c r="AY48" s="11" t="n"/>
      <c r="AZ48" s="120" t="inlineStr">
        <is>
          <t>mom</t>
        </is>
      </c>
      <c r="BA48" s="120" t="inlineStr">
        <is>
          <t>3 months</t>
        </is>
      </c>
      <c r="BB48" s="120" t="inlineStr">
        <is>
          <t>6 months</t>
        </is>
      </c>
    </row>
    <row r="49" ht="16" customHeight="1" thickBot="1">
      <c r="B49" s="117"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27" t="n"/>
      <c r="AM49" s="27" t="n"/>
      <c r="AN49" s="27" t="n"/>
      <c r="AO49" s="27" t="n"/>
      <c r="AP49" s="27" t="n"/>
      <c r="AQ49" s="27" t="n"/>
      <c r="AR49" s="27" t="n"/>
      <c r="AS49" s="27" t="n"/>
      <c r="AT49" s="27" t="n"/>
      <c r="AU49" s="27" t="n"/>
      <c r="AV49" s="27" t="n"/>
      <c r="AW49" s="27" t="n"/>
      <c r="AX49" s="27" t="n"/>
      <c r="AY49" s="11" t="n"/>
      <c r="AZ49" s="121" t="n"/>
      <c r="BA49" s="121" t="n"/>
      <c r="BB49" s="121"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L50" s="20">
        <f>VLOOKUP(AL$48,'DB Production'!$A:$S,MATCH($B50,'DB Production'!$A$1:$S$1,0),0)</f>
        <v/>
      </c>
      <c r="AM50" s="20">
        <f>VLOOKUP(AM$48,'DB Production'!$A:$S,MATCH($B50,'DB Production'!$A$1:$S$1,0),0)</f>
        <v/>
      </c>
      <c r="AN50" s="20">
        <f>VLOOKUP(AN$48,'DB Production'!$A:$S,MATCH($B50,'DB Production'!$A$1:$S$1,0),0)</f>
        <v/>
      </c>
      <c r="AO50" s="20">
        <f>VLOOKUP(AO$48,'DB Production'!$A:$S,MATCH($B50,'DB Production'!$A$1:$S$1,0),0)</f>
        <v/>
      </c>
      <c r="AP50" s="20">
        <f>VLOOKUP(AP$48,'DB Production'!$A:$S,MATCH($B50,'DB Production'!$A$1:$S$1,0),0)</f>
        <v/>
      </c>
      <c r="AQ50" s="20">
        <f>VLOOKUP(AQ$48,'DB Production'!$A:$S,MATCH($B50,'DB Production'!$A$1:$S$1,0),0)</f>
        <v/>
      </c>
      <c r="AR50" s="20">
        <f>VLOOKUP(AR$48,'DB Production'!$A:$S,MATCH($B50,'DB Production'!$A$1:$S$1,0),0)</f>
        <v/>
      </c>
      <c r="AS50" s="20">
        <f>VLOOKUP(AS$48,'DB Production'!$A:$S,MATCH($B50,'DB Production'!$A$1:$S$1,0),0)</f>
        <v/>
      </c>
      <c r="AT50" s="20">
        <f>VLOOKUP(AT$48,'DB Production'!$A:$S,MATCH($B50,'DB Production'!$A$1:$S$1,0),0)</f>
        <v/>
      </c>
      <c r="AU50" s="20">
        <f>VLOOKUP(AU$48,'DB Production'!$A:$S,MATCH($B50,'DB Production'!$A$1:$S$1,0),0)</f>
        <v/>
      </c>
      <c r="AV50" s="20">
        <f>VLOOKUP(AV$48,'DB Production'!$A:$S,MATCH($B50,'DB Production'!$A$1:$S$1,0),0)</f>
        <v/>
      </c>
      <c r="AW50" s="20">
        <f>VLOOKUP(AW$48,'DB Production'!$A:$S,MATCH($B50,'DB Production'!$A$1:$S$1,0),0)</f>
        <v/>
      </c>
      <c r="AX50" s="20">
        <f>VLOOKUP(AX$48,'DB Production'!$A:$S,MATCH($B50,'DB Production'!$A$1:$S$1,0),0)</f>
        <v/>
      </c>
      <c r="AZ50" s="20">
        <f>AX50-AW50</f>
        <v/>
      </c>
      <c r="BA50" s="23">
        <f>AVERAGE(AV50:AX50)</f>
        <v/>
      </c>
      <c r="BB50" s="23">
        <f>AVERAGE(AS50:AX50)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L51" s="20">
        <f>VLOOKUP(AL$48,'DB Production'!$A:$S,MATCH($B51,'DB Production'!$A$1:$S$1,0),0)</f>
        <v/>
      </c>
      <c r="AM51" s="20">
        <f>VLOOKUP(AM$48,'DB Production'!$A:$S,MATCH($B51,'DB Production'!$A$1:$S$1,0),0)</f>
        <v/>
      </c>
      <c r="AN51" s="20">
        <f>VLOOKUP(AN$48,'DB Production'!$A:$S,MATCH($B51,'DB Production'!$A$1:$S$1,0),0)</f>
        <v/>
      </c>
      <c r="AO51" s="20">
        <f>VLOOKUP(AO$48,'DB Production'!$A:$S,MATCH($B51,'DB Production'!$A$1:$S$1,0),0)</f>
        <v/>
      </c>
      <c r="AP51" s="20">
        <f>VLOOKUP(AP$48,'DB Production'!$A:$S,MATCH($B51,'DB Production'!$A$1:$S$1,0),0)</f>
        <v/>
      </c>
      <c r="AQ51" s="20">
        <f>VLOOKUP(AQ$48,'DB Production'!$A:$S,MATCH($B51,'DB Production'!$A$1:$S$1,0),0)</f>
        <v/>
      </c>
      <c r="AR51" s="20">
        <f>VLOOKUP(AR$48,'DB Production'!$A:$S,MATCH($B51,'DB Production'!$A$1:$S$1,0),0)</f>
        <v/>
      </c>
      <c r="AS51" s="20">
        <f>VLOOKUP(AS$48,'DB Production'!$A:$S,MATCH($B51,'DB Production'!$A$1:$S$1,0),0)</f>
        <v/>
      </c>
      <c r="AT51" s="20">
        <f>VLOOKUP(AT$48,'DB Production'!$A:$S,MATCH($B51,'DB Production'!$A$1:$S$1,0),0)</f>
        <v/>
      </c>
      <c r="AU51" s="20">
        <f>VLOOKUP(AU$48,'DB Production'!$A:$S,MATCH($B51,'DB Production'!$A$1:$S$1,0),0)</f>
        <v/>
      </c>
      <c r="AV51" s="20">
        <f>VLOOKUP(AV$48,'DB Production'!$A:$S,MATCH($B51,'DB Production'!$A$1:$S$1,0),0)</f>
        <v/>
      </c>
      <c r="AW51" s="20">
        <f>VLOOKUP(AW$48,'DB Production'!$A:$S,MATCH($B51,'DB Production'!$A$1:$S$1,0),0)</f>
        <v/>
      </c>
      <c r="AX51" s="20">
        <f>VLOOKUP(AX$48,'DB Production'!$A:$S,MATCH($B51,'DB Production'!$A$1:$S$1,0),0)</f>
        <v/>
      </c>
      <c r="AZ51" s="20">
        <f>AX51-AW51</f>
        <v/>
      </c>
      <c r="BA51" s="23">
        <f>AVERAGE(AV51:AX51)</f>
        <v/>
      </c>
      <c r="BB51" s="23">
        <f>AVERAGE(AS51:AX51)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L52" s="20">
        <f>VLOOKUP(AL$48,'DB Production'!$A:$S,MATCH($B52,'DB Production'!$A$1:$S$1,0),0)</f>
        <v/>
      </c>
      <c r="AM52" s="20">
        <f>VLOOKUP(AM$48,'DB Production'!$A:$S,MATCH($B52,'DB Production'!$A$1:$S$1,0),0)</f>
        <v/>
      </c>
      <c r="AN52" s="20">
        <f>VLOOKUP(AN$48,'DB Production'!$A:$S,MATCH($B52,'DB Production'!$A$1:$S$1,0),0)</f>
        <v/>
      </c>
      <c r="AO52" s="20">
        <f>VLOOKUP(AO$48,'DB Production'!$A:$S,MATCH($B52,'DB Production'!$A$1:$S$1,0),0)</f>
        <v/>
      </c>
      <c r="AP52" s="20">
        <f>VLOOKUP(AP$48,'DB Production'!$A:$S,MATCH($B52,'DB Production'!$A$1:$S$1,0),0)</f>
        <v/>
      </c>
      <c r="AQ52" s="20">
        <f>VLOOKUP(AQ$48,'DB Production'!$A:$S,MATCH($B52,'DB Production'!$A$1:$S$1,0),0)</f>
        <v/>
      </c>
      <c r="AR52" s="20">
        <f>VLOOKUP(AR$48,'DB Production'!$A:$S,MATCH($B52,'DB Production'!$A$1:$S$1,0),0)</f>
        <v/>
      </c>
      <c r="AS52" s="20">
        <f>VLOOKUP(AS$48,'DB Production'!$A:$S,MATCH($B52,'DB Production'!$A$1:$S$1,0),0)</f>
        <v/>
      </c>
      <c r="AT52" s="20">
        <f>VLOOKUP(AT$48,'DB Production'!$A:$S,MATCH($B52,'DB Production'!$A$1:$S$1,0),0)</f>
        <v/>
      </c>
      <c r="AU52" s="20">
        <f>VLOOKUP(AU$48,'DB Production'!$A:$S,MATCH($B52,'DB Production'!$A$1:$S$1,0),0)</f>
        <v/>
      </c>
      <c r="AV52" s="20">
        <f>VLOOKUP(AV$48,'DB Production'!$A:$S,MATCH($B52,'DB Production'!$A$1:$S$1,0),0)</f>
        <v/>
      </c>
      <c r="AW52" s="20">
        <f>VLOOKUP(AW$48,'DB Production'!$A:$S,MATCH($B52,'DB Production'!$A$1:$S$1,0),0)</f>
        <v/>
      </c>
      <c r="AX52" s="20">
        <f>VLOOKUP(AX$48,'DB Production'!$A:$S,MATCH($B52,'DB Production'!$A$1:$S$1,0),0)</f>
        <v/>
      </c>
      <c r="AZ52" s="20">
        <f>AX52-AW52</f>
        <v/>
      </c>
      <c r="BA52" s="23">
        <f>AVERAGE(AV52:AX52)</f>
        <v/>
      </c>
      <c r="BB52" s="23">
        <f>AVERAGE(AS52:AX52)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L53" s="20">
        <f>VLOOKUP(AL$48,'DB Production'!$A:$S,MATCH($B53,'DB Production'!$A$1:$S$1,0),0)</f>
        <v/>
      </c>
      <c r="AM53" s="20">
        <f>VLOOKUP(AM$48,'DB Production'!$A:$S,MATCH($B53,'DB Production'!$A$1:$S$1,0),0)</f>
        <v/>
      </c>
      <c r="AN53" s="20">
        <f>VLOOKUP(AN$48,'DB Production'!$A:$S,MATCH($B53,'DB Production'!$A$1:$S$1,0),0)</f>
        <v/>
      </c>
      <c r="AO53" s="20">
        <f>VLOOKUP(AO$48,'DB Production'!$A:$S,MATCH($B53,'DB Production'!$A$1:$S$1,0),0)</f>
        <v/>
      </c>
      <c r="AP53" s="20">
        <f>VLOOKUP(AP$48,'DB Production'!$A:$S,MATCH($B53,'DB Production'!$A$1:$S$1,0),0)</f>
        <v/>
      </c>
      <c r="AQ53" s="20">
        <f>VLOOKUP(AQ$48,'DB Production'!$A:$S,MATCH($B53,'DB Production'!$A$1:$S$1,0),0)</f>
        <v/>
      </c>
      <c r="AR53" s="20">
        <f>VLOOKUP(AR$48,'DB Production'!$A:$S,MATCH($B53,'DB Production'!$A$1:$S$1,0),0)</f>
        <v/>
      </c>
      <c r="AS53" s="20">
        <f>VLOOKUP(AS$48,'DB Production'!$A:$S,MATCH($B53,'DB Production'!$A$1:$S$1,0),0)</f>
        <v/>
      </c>
      <c r="AT53" s="20">
        <f>VLOOKUP(AT$48,'DB Production'!$A:$S,MATCH($B53,'DB Production'!$A$1:$S$1,0),0)</f>
        <v/>
      </c>
      <c r="AU53" s="20">
        <f>VLOOKUP(AU$48,'DB Production'!$A:$S,MATCH($B53,'DB Production'!$A$1:$S$1,0),0)</f>
        <v/>
      </c>
      <c r="AV53" s="20">
        <f>VLOOKUP(AV$48,'DB Production'!$A:$S,MATCH($B53,'DB Production'!$A$1:$S$1,0),0)</f>
        <v/>
      </c>
      <c r="AW53" s="20">
        <f>VLOOKUP(AW$48,'DB Production'!$A:$S,MATCH($B53,'DB Production'!$A$1:$S$1,0),0)</f>
        <v/>
      </c>
      <c r="AX53" s="20">
        <f>VLOOKUP(AX$48,'DB Production'!$A:$S,MATCH($B53,'DB Production'!$A$1:$S$1,0),0)</f>
        <v/>
      </c>
      <c r="AZ53" s="20">
        <f>AX53-AW53</f>
        <v/>
      </c>
      <c r="BA53" s="23">
        <f>AVERAGE(AV53:AX53)</f>
        <v/>
      </c>
      <c r="BB53" s="23">
        <f>AVERAGE(AS53:AX53)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L54" s="20">
        <f>VLOOKUP(AL$48,'DB Production'!$A:$S,MATCH($B54,'DB Production'!$A$1:$S$1,0),0)</f>
        <v/>
      </c>
      <c r="AM54" s="20">
        <f>VLOOKUP(AM$48,'DB Production'!$A:$S,MATCH($B54,'DB Production'!$A$1:$S$1,0),0)</f>
        <v/>
      </c>
      <c r="AN54" s="20">
        <f>VLOOKUP(AN$48,'DB Production'!$A:$S,MATCH($B54,'DB Production'!$A$1:$S$1,0),0)</f>
        <v/>
      </c>
      <c r="AO54" s="20">
        <f>VLOOKUP(AO$48,'DB Production'!$A:$S,MATCH($B54,'DB Production'!$A$1:$S$1,0),0)</f>
        <v/>
      </c>
      <c r="AP54" s="20">
        <f>VLOOKUP(AP$48,'DB Production'!$A:$S,MATCH($B54,'DB Production'!$A$1:$S$1,0),0)</f>
        <v/>
      </c>
      <c r="AQ54" s="20">
        <f>VLOOKUP(AQ$48,'DB Production'!$A:$S,MATCH($B54,'DB Production'!$A$1:$S$1,0),0)</f>
        <v/>
      </c>
      <c r="AR54" s="20">
        <f>VLOOKUP(AR$48,'DB Production'!$A:$S,MATCH($B54,'DB Production'!$A$1:$S$1,0),0)</f>
        <v/>
      </c>
      <c r="AS54" s="20">
        <f>VLOOKUP(AS$48,'DB Production'!$A:$S,MATCH($B54,'DB Production'!$A$1:$S$1,0),0)</f>
        <v/>
      </c>
      <c r="AT54" s="20">
        <f>VLOOKUP(AT$48,'DB Production'!$A:$S,MATCH($B54,'DB Production'!$A$1:$S$1,0),0)</f>
        <v/>
      </c>
      <c r="AU54" s="20">
        <f>VLOOKUP(AU$48,'DB Production'!$A:$S,MATCH($B54,'DB Production'!$A$1:$S$1,0),0)</f>
        <v/>
      </c>
      <c r="AV54" s="20">
        <f>VLOOKUP(AV$48,'DB Production'!$A:$S,MATCH($B54,'DB Production'!$A$1:$S$1,0),0)</f>
        <v/>
      </c>
      <c r="AW54" s="20">
        <f>VLOOKUP(AW$48,'DB Production'!$A:$S,MATCH($B54,'DB Production'!$A$1:$S$1,0),0)</f>
        <v/>
      </c>
      <c r="AX54" s="20">
        <f>VLOOKUP(AX$48,'DB Production'!$A:$S,MATCH($B54,'DB Production'!$A$1:$S$1,0),0)</f>
        <v/>
      </c>
      <c r="AZ54" s="20">
        <f>AX54-AW54</f>
        <v/>
      </c>
      <c r="BA54" s="23">
        <f>AVERAGE(AV54:AX54)</f>
        <v/>
      </c>
      <c r="BB54" s="23">
        <f>AVERAGE(AS54:AX54)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L55" s="20">
        <f>VLOOKUP(AL$48,'DB Production'!$A:$S,MATCH($B55,'DB Production'!$A$1:$S$1,0),0)</f>
        <v/>
      </c>
      <c r="AM55" s="20">
        <f>VLOOKUP(AM$48,'DB Production'!$A:$S,MATCH($B55,'DB Production'!$A$1:$S$1,0),0)</f>
        <v/>
      </c>
      <c r="AN55" s="20">
        <f>VLOOKUP(AN$48,'DB Production'!$A:$S,MATCH($B55,'DB Production'!$A$1:$S$1,0),0)</f>
        <v/>
      </c>
      <c r="AO55" s="20">
        <f>VLOOKUP(AO$48,'DB Production'!$A:$S,MATCH($B55,'DB Production'!$A$1:$S$1,0),0)</f>
        <v/>
      </c>
      <c r="AP55" s="20">
        <f>VLOOKUP(AP$48,'DB Production'!$A:$S,MATCH($B55,'DB Production'!$A$1:$S$1,0),0)</f>
        <v/>
      </c>
      <c r="AQ55" s="20">
        <f>VLOOKUP(AQ$48,'DB Production'!$A:$S,MATCH($B55,'DB Production'!$A$1:$S$1,0),0)</f>
        <v/>
      </c>
      <c r="AR55" s="20">
        <f>VLOOKUP(AR$48,'DB Production'!$A:$S,MATCH($B55,'DB Production'!$A$1:$S$1,0),0)</f>
        <v/>
      </c>
      <c r="AS55" s="20">
        <f>VLOOKUP(AS$48,'DB Production'!$A:$S,MATCH($B55,'DB Production'!$A$1:$S$1,0),0)</f>
        <v/>
      </c>
      <c r="AT55" s="20">
        <f>VLOOKUP(AT$48,'DB Production'!$A:$S,MATCH($B55,'DB Production'!$A$1:$S$1,0),0)</f>
        <v/>
      </c>
      <c r="AU55" s="20">
        <f>VLOOKUP(AU$48,'DB Production'!$A:$S,MATCH($B55,'DB Production'!$A$1:$S$1,0),0)</f>
        <v/>
      </c>
      <c r="AV55" s="20">
        <f>VLOOKUP(AV$48,'DB Production'!$A:$S,MATCH($B55,'DB Production'!$A$1:$S$1,0),0)</f>
        <v/>
      </c>
      <c r="AW55" s="20">
        <f>VLOOKUP(AW$48,'DB Production'!$A:$S,MATCH($B55,'DB Production'!$A$1:$S$1,0),0)</f>
        <v/>
      </c>
      <c r="AX55" s="20">
        <f>VLOOKUP(AX$48,'DB Production'!$A:$S,MATCH($B55,'DB Production'!$A$1:$S$1,0),0)</f>
        <v/>
      </c>
      <c r="AZ55" s="20">
        <f>AX55-AW55</f>
        <v/>
      </c>
      <c r="BA55" s="23">
        <f>AVERAGE(AV55:AX55)</f>
        <v/>
      </c>
      <c r="BB55" s="23">
        <f>AVERAGE(AS55:AX55)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L56" s="20">
        <f>VLOOKUP(AL$48,'DB Production'!$A:$S,MATCH($B56,'DB Production'!$A$1:$S$1,0),0)</f>
        <v/>
      </c>
      <c r="AM56" s="20">
        <f>VLOOKUP(AM$48,'DB Production'!$A:$S,MATCH($B56,'DB Production'!$A$1:$S$1,0),0)</f>
        <v/>
      </c>
      <c r="AN56" s="20">
        <f>VLOOKUP(AN$48,'DB Production'!$A:$S,MATCH($B56,'DB Production'!$A$1:$S$1,0),0)</f>
        <v/>
      </c>
      <c r="AO56" s="20">
        <f>VLOOKUP(AO$48,'DB Production'!$A:$S,MATCH($B56,'DB Production'!$A$1:$S$1,0),0)</f>
        <v/>
      </c>
      <c r="AP56" s="20">
        <f>VLOOKUP(AP$48,'DB Production'!$A:$S,MATCH($B56,'DB Production'!$A$1:$S$1,0),0)</f>
        <v/>
      </c>
      <c r="AQ56" s="20">
        <f>VLOOKUP(AQ$48,'DB Production'!$A:$S,MATCH($B56,'DB Production'!$A$1:$S$1,0),0)</f>
        <v/>
      </c>
      <c r="AR56" s="20">
        <f>VLOOKUP(AR$48,'DB Production'!$A:$S,MATCH($B56,'DB Production'!$A$1:$S$1,0),0)</f>
        <v/>
      </c>
      <c r="AS56" s="20">
        <f>VLOOKUP(AS$48,'DB Production'!$A:$S,MATCH($B56,'DB Production'!$A$1:$S$1,0),0)</f>
        <v/>
      </c>
      <c r="AT56" s="20">
        <f>VLOOKUP(AT$48,'DB Production'!$A:$S,MATCH($B56,'DB Production'!$A$1:$S$1,0),0)</f>
        <v/>
      </c>
      <c r="AU56" s="20">
        <f>VLOOKUP(AU$48,'DB Production'!$A:$S,MATCH($B56,'DB Production'!$A$1:$S$1,0),0)</f>
        <v/>
      </c>
      <c r="AV56" s="20">
        <f>VLOOKUP(AV$48,'DB Production'!$A:$S,MATCH($B56,'DB Production'!$A$1:$S$1,0),0)</f>
        <v/>
      </c>
      <c r="AW56" s="20">
        <f>VLOOKUP(AW$48,'DB Production'!$A:$S,MATCH($B56,'DB Production'!$A$1:$S$1,0),0)</f>
        <v/>
      </c>
      <c r="AX56" s="20">
        <f>VLOOKUP(AX$48,'DB Production'!$A:$S,MATCH($B56,'DB Production'!$A$1:$S$1,0),0)</f>
        <v/>
      </c>
      <c r="AZ56" s="20">
        <f>AX56-AW56</f>
        <v/>
      </c>
      <c r="BA56" s="23">
        <f>AVERAGE(AV56:AX56)</f>
        <v/>
      </c>
      <c r="BB56" s="23">
        <f>AVERAGE(AS56:AX56)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L57" s="20">
        <f>VLOOKUP(AL$48,'DB Production'!$A:$S,MATCH($B57,'DB Production'!$A$1:$S$1,0),0)</f>
        <v/>
      </c>
      <c r="AM57" s="20">
        <f>VLOOKUP(AM$48,'DB Production'!$A:$S,MATCH($B57,'DB Production'!$A$1:$S$1,0),0)</f>
        <v/>
      </c>
      <c r="AN57" s="20">
        <f>VLOOKUP(AN$48,'DB Production'!$A:$S,MATCH($B57,'DB Production'!$A$1:$S$1,0),0)</f>
        <v/>
      </c>
      <c r="AO57" s="20">
        <f>VLOOKUP(AO$48,'DB Production'!$A:$S,MATCH($B57,'DB Production'!$A$1:$S$1,0),0)</f>
        <v/>
      </c>
      <c r="AP57" s="20">
        <f>VLOOKUP(AP$48,'DB Production'!$A:$S,MATCH($B57,'DB Production'!$A$1:$S$1,0),0)</f>
        <v/>
      </c>
      <c r="AQ57" s="20">
        <f>VLOOKUP(AQ$48,'DB Production'!$A:$S,MATCH($B57,'DB Production'!$A$1:$S$1,0),0)</f>
        <v/>
      </c>
      <c r="AR57" s="20">
        <f>VLOOKUP(AR$48,'DB Production'!$A:$S,MATCH($B57,'DB Production'!$A$1:$S$1,0),0)</f>
        <v/>
      </c>
      <c r="AS57" s="20">
        <f>VLOOKUP(AS$48,'DB Production'!$A:$S,MATCH($B57,'DB Production'!$A$1:$S$1,0),0)</f>
        <v/>
      </c>
      <c r="AT57" s="20">
        <f>VLOOKUP(AT$48,'DB Production'!$A:$S,MATCH($B57,'DB Production'!$A$1:$S$1,0),0)</f>
        <v/>
      </c>
      <c r="AU57" s="20">
        <f>VLOOKUP(AU$48,'DB Production'!$A:$S,MATCH($B57,'DB Production'!$A$1:$S$1,0),0)</f>
        <v/>
      </c>
      <c r="AV57" s="20">
        <f>VLOOKUP(AV$48,'DB Production'!$A:$S,MATCH($B57,'DB Production'!$A$1:$S$1,0),0)</f>
        <v/>
      </c>
      <c r="AW57" s="20">
        <f>VLOOKUP(AW$48,'DB Production'!$A:$S,MATCH($B57,'DB Production'!$A$1:$S$1,0),0)</f>
        <v/>
      </c>
      <c r="AX57" s="20">
        <f>VLOOKUP(AX$48,'DB Production'!$A:$S,MATCH($B57,'DB Production'!$A$1:$S$1,0),0)</f>
        <v/>
      </c>
      <c r="AZ57" s="20">
        <f>AX57-AW57</f>
        <v/>
      </c>
      <c r="BA57" s="23">
        <f>AVERAGE(AV57:AX57)</f>
        <v/>
      </c>
      <c r="BB57" s="23">
        <f>AVERAGE(AS57:AX57)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L58" s="20">
        <f>VLOOKUP(AL$48,'DB Production'!$A:$S,MATCH($B58,'DB Production'!$A$1:$S$1,0),0)</f>
        <v/>
      </c>
      <c r="AM58" s="20">
        <f>VLOOKUP(AM$48,'DB Production'!$A:$S,MATCH($B58,'DB Production'!$A$1:$S$1,0),0)</f>
        <v/>
      </c>
      <c r="AN58" s="20">
        <f>VLOOKUP(AN$48,'DB Production'!$A:$S,MATCH($B58,'DB Production'!$A$1:$S$1,0),0)</f>
        <v/>
      </c>
      <c r="AO58" s="20">
        <f>VLOOKUP(AO$48,'DB Production'!$A:$S,MATCH($B58,'DB Production'!$A$1:$S$1,0),0)</f>
        <v/>
      </c>
      <c r="AP58" s="20">
        <f>VLOOKUP(AP$48,'DB Production'!$A:$S,MATCH($B58,'DB Production'!$A$1:$S$1,0),0)</f>
        <v/>
      </c>
      <c r="AQ58" s="20">
        <f>VLOOKUP(AQ$48,'DB Production'!$A:$S,MATCH($B58,'DB Production'!$A$1:$S$1,0),0)</f>
        <v/>
      </c>
      <c r="AR58" s="20">
        <f>VLOOKUP(AR$48,'DB Production'!$A:$S,MATCH($B58,'DB Production'!$A$1:$S$1,0),0)</f>
        <v/>
      </c>
      <c r="AS58" s="20">
        <f>VLOOKUP(AS$48,'DB Production'!$A:$S,MATCH($B58,'DB Production'!$A$1:$S$1,0),0)</f>
        <v/>
      </c>
      <c r="AT58" s="20">
        <f>VLOOKUP(AT$48,'DB Production'!$A:$S,MATCH($B58,'DB Production'!$A$1:$S$1,0),0)</f>
        <v/>
      </c>
      <c r="AU58" s="20">
        <f>VLOOKUP(AU$48,'DB Production'!$A:$S,MATCH($B58,'DB Production'!$A$1:$S$1,0),0)</f>
        <v/>
      </c>
      <c r="AV58" s="20">
        <f>VLOOKUP(AV$48,'DB Production'!$A:$S,MATCH($B58,'DB Production'!$A$1:$S$1,0),0)</f>
        <v/>
      </c>
      <c r="AW58" s="20">
        <f>VLOOKUP(AW$48,'DB Production'!$A:$S,MATCH($B58,'DB Production'!$A$1:$S$1,0),0)</f>
        <v/>
      </c>
      <c r="AX58" s="20">
        <f>VLOOKUP(AX$48,'DB Production'!$A:$S,MATCH($B58,'DB Production'!$A$1:$S$1,0),0)</f>
        <v/>
      </c>
      <c r="AZ58" s="20">
        <f>AX58-AW58</f>
        <v/>
      </c>
      <c r="BA58" s="23">
        <f>AVERAGE(AV58:AX58)</f>
        <v/>
      </c>
      <c r="BB58" s="23">
        <f>AVERAGE(AS58:AX58)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L59" s="20">
        <f>VLOOKUP(AL$48,'DB Production'!$A:$S,MATCH($B59,'DB Production'!$A$1:$S$1,0),0)</f>
        <v/>
      </c>
      <c r="AM59" s="20">
        <f>VLOOKUP(AM$48,'DB Production'!$A:$S,MATCH($B59,'DB Production'!$A$1:$S$1,0),0)</f>
        <v/>
      </c>
      <c r="AN59" s="20">
        <f>VLOOKUP(AN$48,'DB Production'!$A:$S,MATCH($B59,'DB Production'!$A$1:$S$1,0),0)</f>
        <v/>
      </c>
      <c r="AO59" s="20">
        <f>VLOOKUP(AO$48,'DB Production'!$A:$S,MATCH($B59,'DB Production'!$A$1:$S$1,0),0)</f>
        <v/>
      </c>
      <c r="AP59" s="20">
        <f>VLOOKUP(AP$48,'DB Production'!$A:$S,MATCH($B59,'DB Production'!$A$1:$S$1,0),0)</f>
        <v/>
      </c>
      <c r="AQ59" s="20">
        <f>VLOOKUP(AQ$48,'DB Production'!$A:$S,MATCH($B59,'DB Production'!$A$1:$S$1,0),0)</f>
        <v/>
      </c>
      <c r="AR59" s="20">
        <f>VLOOKUP(AR$48,'DB Production'!$A:$S,MATCH($B59,'DB Production'!$A$1:$S$1,0),0)</f>
        <v/>
      </c>
      <c r="AS59" s="20">
        <f>VLOOKUP(AS$48,'DB Production'!$A:$S,MATCH($B59,'DB Production'!$A$1:$S$1,0),0)</f>
        <v/>
      </c>
      <c r="AT59" s="20">
        <f>VLOOKUP(AT$48,'DB Production'!$A:$S,MATCH($B59,'DB Production'!$A$1:$S$1,0),0)</f>
        <v/>
      </c>
      <c r="AU59" s="20">
        <f>VLOOKUP(AU$48,'DB Production'!$A:$S,MATCH($B59,'DB Production'!$A$1:$S$1,0),0)</f>
        <v/>
      </c>
      <c r="AV59" s="20">
        <f>VLOOKUP(AV$48,'DB Production'!$A:$S,MATCH($B59,'DB Production'!$A$1:$S$1,0),0)</f>
        <v/>
      </c>
      <c r="AW59" s="20">
        <f>VLOOKUP(AW$48,'DB Production'!$A:$S,MATCH($B59,'DB Production'!$A$1:$S$1,0),0)</f>
        <v/>
      </c>
      <c r="AX59" s="20">
        <f>VLOOKUP(AX$48,'DB Production'!$A:$S,MATCH($B59,'DB Production'!$A$1:$S$1,0),0)</f>
        <v/>
      </c>
      <c r="AZ59" s="20">
        <f>AX59-AW59</f>
        <v/>
      </c>
      <c r="BA59" s="23">
        <f>AVERAGE(AV59:AX59)</f>
        <v/>
      </c>
      <c r="BB59" s="23">
        <f>AVERAGE(AS59:AX59)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L60" s="20">
        <f>VLOOKUP(AL$48,'DB Production'!$A:$S,MATCH($B60,'DB Production'!$A$1:$S$1,0),0)</f>
        <v/>
      </c>
      <c r="AM60" s="20">
        <f>VLOOKUP(AM$48,'DB Production'!$A:$S,MATCH($B60,'DB Production'!$A$1:$S$1,0),0)</f>
        <v/>
      </c>
      <c r="AN60" s="20">
        <f>VLOOKUP(AN$48,'DB Production'!$A:$S,MATCH($B60,'DB Production'!$A$1:$S$1,0),0)</f>
        <v/>
      </c>
      <c r="AO60" s="20">
        <f>VLOOKUP(AO$48,'DB Production'!$A:$S,MATCH($B60,'DB Production'!$A$1:$S$1,0),0)</f>
        <v/>
      </c>
      <c r="AP60" s="20">
        <f>VLOOKUP(AP$48,'DB Production'!$A:$S,MATCH($B60,'DB Production'!$A$1:$S$1,0),0)</f>
        <v/>
      </c>
      <c r="AQ60" s="20">
        <f>VLOOKUP(AQ$48,'DB Production'!$A:$S,MATCH($B60,'DB Production'!$A$1:$S$1,0),0)</f>
        <v/>
      </c>
      <c r="AR60" s="20">
        <f>VLOOKUP(AR$48,'DB Production'!$A:$S,MATCH($B60,'DB Production'!$A$1:$S$1,0),0)</f>
        <v/>
      </c>
      <c r="AS60" s="20">
        <f>VLOOKUP(AS$48,'DB Production'!$A:$S,MATCH($B60,'DB Production'!$A$1:$S$1,0),0)</f>
        <v/>
      </c>
      <c r="AT60" s="20">
        <f>VLOOKUP(AT$48,'DB Production'!$A:$S,MATCH($B60,'DB Production'!$A$1:$S$1,0),0)</f>
        <v/>
      </c>
      <c r="AU60" s="20">
        <f>VLOOKUP(AU$48,'DB Production'!$A:$S,MATCH($B60,'DB Production'!$A$1:$S$1,0),0)</f>
        <v/>
      </c>
      <c r="AV60" s="20">
        <f>VLOOKUP(AV$48,'DB Production'!$A:$S,MATCH($B60,'DB Production'!$A$1:$S$1,0),0)</f>
        <v/>
      </c>
      <c r="AW60" s="20">
        <f>VLOOKUP(AW$48,'DB Production'!$A:$S,MATCH($B60,'DB Production'!$A$1:$S$1,0),0)</f>
        <v/>
      </c>
      <c r="AX60" s="20">
        <f>VLOOKUP(AX$48,'DB Production'!$A:$S,MATCH($B60,'DB Production'!$A$1:$S$1,0),0)</f>
        <v/>
      </c>
      <c r="AZ60" s="20">
        <f>AX60-AW60</f>
        <v/>
      </c>
      <c r="BA60" s="23">
        <f>AVERAGE(AV60:AX60)</f>
        <v/>
      </c>
      <c r="BB60" s="23">
        <f>AVERAGE(AS60:AX60)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L61" s="20">
        <f>VLOOKUP(AL$48,'DB Production'!$A:$S,MATCH($B61,'DB Production'!$A$1:$S$1,0),0)</f>
        <v/>
      </c>
      <c r="AM61" s="20">
        <f>VLOOKUP(AM$48,'DB Production'!$A:$S,MATCH($B61,'DB Production'!$A$1:$S$1,0),0)</f>
        <v/>
      </c>
      <c r="AN61" s="20">
        <f>VLOOKUP(AN$48,'DB Production'!$A:$S,MATCH($B61,'DB Production'!$A$1:$S$1,0),0)</f>
        <v/>
      </c>
      <c r="AO61" s="20">
        <f>VLOOKUP(AO$48,'DB Production'!$A:$S,MATCH($B61,'DB Production'!$A$1:$S$1,0),0)</f>
        <v/>
      </c>
      <c r="AP61" s="20">
        <f>VLOOKUP(AP$48,'DB Production'!$A:$S,MATCH($B61,'DB Production'!$A$1:$S$1,0),0)</f>
        <v/>
      </c>
      <c r="AQ61" s="20">
        <f>VLOOKUP(AQ$48,'DB Production'!$A:$S,MATCH($B61,'DB Production'!$A$1:$S$1,0),0)</f>
        <v/>
      </c>
      <c r="AR61" s="20">
        <f>VLOOKUP(AR$48,'DB Production'!$A:$S,MATCH($B61,'DB Production'!$A$1:$S$1,0),0)</f>
        <v/>
      </c>
      <c r="AS61" s="20">
        <f>VLOOKUP(AS$48,'DB Production'!$A:$S,MATCH($B61,'DB Production'!$A$1:$S$1,0),0)</f>
        <v/>
      </c>
      <c r="AT61" s="20">
        <f>VLOOKUP(AT$48,'DB Production'!$A:$S,MATCH($B61,'DB Production'!$A$1:$S$1,0),0)</f>
        <v/>
      </c>
      <c r="AU61" s="20">
        <f>VLOOKUP(AU$48,'DB Production'!$A:$S,MATCH($B61,'DB Production'!$A$1:$S$1,0),0)</f>
        <v/>
      </c>
      <c r="AV61" s="20">
        <f>VLOOKUP(AV$48,'DB Production'!$A:$S,MATCH($B61,'DB Production'!$A$1:$S$1,0),0)</f>
        <v/>
      </c>
      <c r="AW61" s="20">
        <f>VLOOKUP(AW$48,'DB Production'!$A:$S,MATCH($B61,'DB Production'!$A$1:$S$1,0),0)</f>
        <v/>
      </c>
      <c r="AX61" s="20">
        <f>VLOOKUP(AX$48,'DB Production'!$A:$S,MATCH($B61,'DB Production'!$A$1:$S$1,0),0)</f>
        <v/>
      </c>
      <c r="AZ61" s="20">
        <f>AX61-AW61</f>
        <v/>
      </c>
      <c r="BA61" s="23">
        <f>AVERAGE(AV61:AX61)</f>
        <v/>
      </c>
      <c r="BB61" s="23">
        <f>AVERAGE(AS61:AX61)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L62" s="20">
        <f>VLOOKUP(AL$48,'DB Production'!$A:$S,MATCH($B62,'DB Production'!$A$1:$S$1,0),0)</f>
        <v/>
      </c>
      <c r="AM62" s="20">
        <f>VLOOKUP(AM$48,'DB Production'!$A:$S,MATCH($B62,'DB Production'!$A$1:$S$1,0),0)</f>
        <v/>
      </c>
      <c r="AN62" s="20">
        <f>VLOOKUP(AN$48,'DB Production'!$A:$S,MATCH($B62,'DB Production'!$A$1:$S$1,0),0)</f>
        <v/>
      </c>
      <c r="AO62" s="20">
        <f>VLOOKUP(AO$48,'DB Production'!$A:$S,MATCH($B62,'DB Production'!$A$1:$S$1,0),0)</f>
        <v/>
      </c>
      <c r="AP62" s="20">
        <f>VLOOKUP(AP$48,'DB Production'!$A:$S,MATCH($B62,'DB Production'!$A$1:$S$1,0),0)</f>
        <v/>
      </c>
      <c r="AQ62" s="20">
        <f>VLOOKUP(AQ$48,'DB Production'!$A:$S,MATCH($B62,'DB Production'!$A$1:$S$1,0),0)</f>
        <v/>
      </c>
      <c r="AR62" s="20">
        <f>VLOOKUP(AR$48,'DB Production'!$A:$S,MATCH($B62,'DB Production'!$A$1:$S$1,0),0)</f>
        <v/>
      </c>
      <c r="AS62" s="20">
        <f>VLOOKUP(AS$48,'DB Production'!$A:$S,MATCH($B62,'DB Production'!$A$1:$S$1,0),0)</f>
        <v/>
      </c>
      <c r="AT62" s="20">
        <f>VLOOKUP(AT$48,'DB Production'!$A:$S,MATCH($B62,'DB Production'!$A$1:$S$1,0),0)</f>
        <v/>
      </c>
      <c r="AU62" s="20">
        <f>VLOOKUP(AU$48,'DB Production'!$A:$S,MATCH($B62,'DB Production'!$A$1:$S$1,0),0)</f>
        <v/>
      </c>
      <c r="AV62" s="20">
        <f>VLOOKUP(AV$48,'DB Production'!$A:$S,MATCH($B62,'DB Production'!$A$1:$S$1,0),0)</f>
        <v/>
      </c>
      <c r="AW62" s="20">
        <f>VLOOKUP(AW$48,'DB Production'!$A:$S,MATCH($B62,'DB Production'!$A$1:$S$1,0),0)</f>
        <v/>
      </c>
      <c r="AX62" s="20">
        <f>VLOOKUP(AX$48,'DB Production'!$A:$S,MATCH($B62,'DB Production'!$A$1:$S$1,0),0)</f>
        <v/>
      </c>
      <c r="AZ62" s="20">
        <f>AX62-AW62</f>
        <v/>
      </c>
      <c r="BA62" s="23">
        <f>AVERAGE(AV62:AX62)</f>
        <v/>
      </c>
      <c r="BB62" s="23">
        <f>AVERAGE(AS62:AX62)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L63" s="20">
        <f>VLOOKUP(AL$48,'DB Production'!$A:$S,MATCH($B63,'DB Production'!$A$1:$S$1,0),0)</f>
        <v/>
      </c>
      <c r="AM63" s="20">
        <f>VLOOKUP(AM$48,'DB Production'!$A:$S,MATCH($B63,'DB Production'!$A$1:$S$1,0),0)</f>
        <v/>
      </c>
      <c r="AN63" s="20">
        <f>VLOOKUP(AN$48,'DB Production'!$A:$S,MATCH($B63,'DB Production'!$A$1:$S$1,0),0)</f>
        <v/>
      </c>
      <c r="AO63" s="20">
        <f>VLOOKUP(AO$48,'DB Production'!$A:$S,MATCH($B63,'DB Production'!$A$1:$S$1,0),0)</f>
        <v/>
      </c>
      <c r="AP63" s="20">
        <f>VLOOKUP(AP$48,'DB Production'!$A:$S,MATCH($B63,'DB Production'!$A$1:$S$1,0),0)</f>
        <v/>
      </c>
      <c r="AQ63" s="20">
        <f>VLOOKUP(AQ$48,'DB Production'!$A:$S,MATCH($B63,'DB Production'!$A$1:$S$1,0),0)</f>
        <v/>
      </c>
      <c r="AR63" s="20">
        <f>VLOOKUP(AR$48,'DB Production'!$A:$S,MATCH($B63,'DB Production'!$A$1:$S$1,0),0)</f>
        <v/>
      </c>
      <c r="AS63" s="20">
        <f>VLOOKUP(AS$48,'DB Production'!$A:$S,MATCH($B63,'DB Production'!$A$1:$S$1,0),0)</f>
        <v/>
      </c>
      <c r="AT63" s="20">
        <f>VLOOKUP(AT$48,'DB Production'!$A:$S,MATCH($B63,'DB Production'!$A$1:$S$1,0),0)</f>
        <v/>
      </c>
      <c r="AU63" s="20">
        <f>VLOOKUP(AU$48,'DB Production'!$A:$S,MATCH($B63,'DB Production'!$A$1:$S$1,0),0)</f>
        <v/>
      </c>
      <c r="AV63" s="20">
        <f>VLOOKUP(AV$48,'DB Production'!$A:$S,MATCH($B63,'DB Production'!$A$1:$S$1,0),0)</f>
        <v/>
      </c>
      <c r="AW63" s="20">
        <f>VLOOKUP(AW$48,'DB Production'!$A:$S,MATCH($B63,'DB Production'!$A$1:$S$1,0),0)</f>
        <v/>
      </c>
      <c r="AX63" s="20">
        <f>VLOOKUP(AX$48,'DB Production'!$A:$S,MATCH($B63,'DB Production'!$A$1:$S$1,0),0)</f>
        <v/>
      </c>
      <c r="AZ63" s="20">
        <f>AX63-AW63</f>
        <v/>
      </c>
      <c r="BA63" s="23">
        <f>AVERAGE(AV63:AX63)</f>
        <v/>
      </c>
      <c r="BB63" s="23">
        <f>AVERAGE(AS63:AX63)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L64" s="20">
        <f>VLOOKUP(AL$48,'DB Production'!$A:$S,MATCH($B64,'DB Production'!$A$1:$S$1,0),0)</f>
        <v/>
      </c>
      <c r="AM64" s="20">
        <f>VLOOKUP(AM$48,'DB Production'!$A:$S,MATCH($B64,'DB Production'!$A$1:$S$1,0),0)</f>
        <v/>
      </c>
      <c r="AN64" s="20">
        <f>VLOOKUP(AN$48,'DB Production'!$A:$S,MATCH($B64,'DB Production'!$A$1:$S$1,0),0)</f>
        <v/>
      </c>
      <c r="AO64" s="20">
        <f>VLOOKUP(AO$48,'DB Production'!$A:$S,MATCH($B64,'DB Production'!$A$1:$S$1,0),0)</f>
        <v/>
      </c>
      <c r="AP64" s="20">
        <f>VLOOKUP(AP$48,'DB Production'!$A:$S,MATCH($B64,'DB Production'!$A$1:$S$1,0),0)</f>
        <v/>
      </c>
      <c r="AQ64" s="20">
        <f>VLOOKUP(AQ$48,'DB Production'!$A:$S,MATCH($B64,'DB Production'!$A$1:$S$1,0),0)</f>
        <v/>
      </c>
      <c r="AR64" s="20">
        <f>VLOOKUP(AR$48,'DB Production'!$A:$S,MATCH($B64,'DB Production'!$A$1:$S$1,0),0)</f>
        <v/>
      </c>
      <c r="AS64" s="20">
        <f>VLOOKUP(AS$48,'DB Production'!$A:$S,MATCH($B64,'DB Production'!$A$1:$S$1,0),0)</f>
        <v/>
      </c>
      <c r="AT64" s="20">
        <f>VLOOKUP(AT$48,'DB Production'!$A:$S,MATCH($B64,'DB Production'!$A$1:$S$1,0),0)</f>
        <v/>
      </c>
      <c r="AU64" s="20">
        <f>VLOOKUP(AU$48,'DB Production'!$A:$S,MATCH($B64,'DB Production'!$A$1:$S$1,0),0)</f>
        <v/>
      </c>
      <c r="AV64" s="20">
        <f>VLOOKUP(AV$48,'DB Production'!$A:$S,MATCH($B64,'DB Production'!$A$1:$S$1,0),0)</f>
        <v/>
      </c>
      <c r="AW64" s="20">
        <f>VLOOKUP(AW$48,'DB Production'!$A:$S,MATCH($B64,'DB Production'!$A$1:$S$1,0),0)</f>
        <v/>
      </c>
      <c r="AX64" s="20">
        <f>VLOOKUP(AX$48,'DB Production'!$A:$S,MATCH($B64,'DB Production'!$A$1:$S$1,0),0)</f>
        <v/>
      </c>
      <c r="AZ64" s="20">
        <f>AX64-AW64</f>
        <v/>
      </c>
      <c r="BA64" s="23">
        <f>AVERAGE(AV64:AX64)</f>
        <v/>
      </c>
      <c r="BB64" s="23">
        <f>AVERAGE(AS64:AX64)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L65" s="20">
        <f>VLOOKUP(AL$48,'DB Production'!$A:$S,MATCH($B65,'DB Production'!$A$1:$S$1,0),0)</f>
        <v/>
      </c>
      <c r="AM65" s="20">
        <f>VLOOKUP(AM$48,'DB Production'!$A:$S,MATCH($B65,'DB Production'!$A$1:$S$1,0),0)</f>
        <v/>
      </c>
      <c r="AN65" s="20">
        <f>VLOOKUP(AN$48,'DB Production'!$A:$S,MATCH($B65,'DB Production'!$A$1:$S$1,0),0)</f>
        <v/>
      </c>
      <c r="AO65" s="20">
        <f>VLOOKUP(AO$48,'DB Production'!$A:$S,MATCH($B65,'DB Production'!$A$1:$S$1,0),0)</f>
        <v/>
      </c>
      <c r="AP65" s="20">
        <f>VLOOKUP(AP$48,'DB Production'!$A:$S,MATCH($B65,'DB Production'!$A$1:$S$1,0),0)</f>
        <v/>
      </c>
      <c r="AQ65" s="20">
        <f>VLOOKUP(AQ$48,'DB Production'!$A:$S,MATCH($B65,'DB Production'!$A$1:$S$1,0),0)</f>
        <v/>
      </c>
      <c r="AR65" s="20">
        <f>VLOOKUP(AR$48,'DB Production'!$A:$S,MATCH($B65,'DB Production'!$A$1:$S$1,0),0)</f>
        <v/>
      </c>
      <c r="AS65" s="20">
        <f>VLOOKUP(AS$48,'DB Production'!$A:$S,MATCH($B65,'DB Production'!$A$1:$S$1,0),0)</f>
        <v/>
      </c>
      <c r="AT65" s="20">
        <f>VLOOKUP(AT$48,'DB Production'!$A:$S,MATCH($B65,'DB Production'!$A$1:$S$1,0),0)</f>
        <v/>
      </c>
      <c r="AU65" s="20">
        <f>VLOOKUP(AU$48,'DB Production'!$A:$S,MATCH($B65,'DB Production'!$A$1:$S$1,0),0)</f>
        <v/>
      </c>
      <c r="AV65" s="20">
        <f>VLOOKUP(AV$48,'DB Production'!$A:$S,MATCH($B65,'DB Production'!$A$1:$S$1,0),0)</f>
        <v/>
      </c>
      <c r="AW65" s="20">
        <f>VLOOKUP(AW$48,'DB Production'!$A:$S,MATCH($B65,'DB Production'!$A$1:$S$1,0),0)</f>
        <v/>
      </c>
      <c r="AX65" s="20">
        <f>VLOOKUP(AX$48,'DB Production'!$A:$S,MATCH($B65,'DB Production'!$A$1:$S$1,0),0)</f>
        <v/>
      </c>
      <c r="AZ65" s="20">
        <f>AX65-AW65</f>
        <v/>
      </c>
      <c r="BA65" s="23">
        <f>AVERAGE(AV65:AX65)</f>
        <v/>
      </c>
      <c r="BB65" s="23">
        <f>AVERAGE(AS65:AX65)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L66" s="20">
        <f>VLOOKUP(AL$48,'DB Production'!$A:$S,MATCH($B66,'DB Production'!$A$1:$S$1,0),0)</f>
        <v/>
      </c>
      <c r="AM66" s="20">
        <f>VLOOKUP(AM$48,'DB Production'!$A:$S,MATCH($B66,'DB Production'!$A$1:$S$1,0),0)</f>
        <v/>
      </c>
      <c r="AN66" s="20">
        <f>VLOOKUP(AN$48,'DB Production'!$A:$S,MATCH($B66,'DB Production'!$A$1:$S$1,0),0)</f>
        <v/>
      </c>
      <c r="AO66" s="20">
        <f>VLOOKUP(AO$48,'DB Production'!$A:$S,MATCH($B66,'DB Production'!$A$1:$S$1,0),0)</f>
        <v/>
      </c>
      <c r="AP66" s="20">
        <f>VLOOKUP(AP$48,'DB Production'!$A:$S,MATCH($B66,'DB Production'!$A$1:$S$1,0),0)</f>
        <v/>
      </c>
      <c r="AQ66" s="20">
        <f>VLOOKUP(AQ$48,'DB Production'!$A:$S,MATCH($B66,'DB Production'!$A$1:$S$1,0),0)</f>
        <v/>
      </c>
      <c r="AR66" s="20">
        <f>VLOOKUP(AR$48,'DB Production'!$A:$S,MATCH($B66,'DB Production'!$A$1:$S$1,0),0)</f>
        <v/>
      </c>
      <c r="AS66" s="20">
        <f>VLOOKUP(AS$48,'DB Production'!$A:$S,MATCH($B66,'DB Production'!$A$1:$S$1,0),0)</f>
        <v/>
      </c>
      <c r="AT66" s="20">
        <f>VLOOKUP(AT$48,'DB Production'!$A:$S,MATCH($B66,'DB Production'!$A$1:$S$1,0),0)</f>
        <v/>
      </c>
      <c r="AU66" s="20">
        <f>VLOOKUP(AU$48,'DB Production'!$A:$S,MATCH($B66,'DB Production'!$A$1:$S$1,0),0)</f>
        <v/>
      </c>
      <c r="AV66" s="20">
        <f>VLOOKUP(AV$48,'DB Production'!$A:$S,MATCH($B66,'DB Production'!$A$1:$S$1,0),0)</f>
        <v/>
      </c>
      <c r="AW66" s="20">
        <f>VLOOKUP(AW$48,'DB Production'!$A:$S,MATCH($B66,'DB Production'!$A$1:$S$1,0),0)</f>
        <v/>
      </c>
      <c r="AX66" s="20">
        <f>VLOOKUP(AX$48,'DB Production'!$A:$S,MATCH($B66,'DB Production'!$A$1:$S$1,0),0)</f>
        <v/>
      </c>
      <c r="AZ66" s="20">
        <f>AX66-AW66</f>
        <v/>
      </c>
      <c r="BA66" s="23">
        <f>AVERAGE(AV66:AX66)</f>
        <v/>
      </c>
      <c r="BB66" s="23">
        <f>AVERAGE(AS66:AX66)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L67" s="20">
        <f>VLOOKUP(AL$48,'DB Production'!$A:$S,MATCH($B67,'DB Production'!$A$1:$S$1,0),0)</f>
        <v/>
      </c>
      <c r="AM67" s="20">
        <f>VLOOKUP(AM$48,'DB Production'!$A:$S,MATCH($B67,'DB Production'!$A$1:$S$1,0),0)</f>
        <v/>
      </c>
      <c r="AN67" s="20">
        <f>VLOOKUP(AN$48,'DB Production'!$A:$S,MATCH($B67,'DB Production'!$A$1:$S$1,0),0)</f>
        <v/>
      </c>
      <c r="AO67" s="20">
        <f>VLOOKUP(AO$48,'DB Production'!$A:$S,MATCH($B67,'DB Production'!$A$1:$S$1,0),0)</f>
        <v/>
      </c>
      <c r="AP67" s="20">
        <f>VLOOKUP(AP$48,'DB Production'!$A:$S,MATCH($B67,'DB Production'!$A$1:$S$1,0),0)</f>
        <v/>
      </c>
      <c r="AQ67" s="20">
        <f>VLOOKUP(AQ$48,'DB Production'!$A:$S,MATCH($B67,'DB Production'!$A$1:$S$1,0),0)</f>
        <v/>
      </c>
      <c r="AR67" s="20">
        <f>VLOOKUP(AR$48,'DB Production'!$A:$S,MATCH($B67,'DB Production'!$A$1:$S$1,0),0)</f>
        <v/>
      </c>
      <c r="AS67" s="20">
        <f>VLOOKUP(AS$48,'DB Production'!$A:$S,MATCH($B67,'DB Production'!$A$1:$S$1,0),0)</f>
        <v/>
      </c>
      <c r="AT67" s="20">
        <f>VLOOKUP(AT$48,'DB Production'!$A:$S,MATCH($B67,'DB Production'!$A$1:$S$1,0),0)</f>
        <v/>
      </c>
      <c r="AU67" s="20">
        <f>VLOOKUP(AU$48,'DB Production'!$A:$S,MATCH($B67,'DB Production'!$A$1:$S$1,0),0)</f>
        <v/>
      </c>
      <c r="AV67" s="20">
        <f>VLOOKUP(AV$48,'DB Production'!$A:$S,MATCH($B67,'DB Production'!$A$1:$S$1,0),0)</f>
        <v/>
      </c>
      <c r="AW67" s="20">
        <f>VLOOKUP(AW$48,'DB Production'!$A:$S,MATCH($B67,'DB Production'!$A$1:$S$1,0),0)</f>
        <v/>
      </c>
      <c r="AX67" s="20">
        <f>VLOOKUP(AX$48,'DB Production'!$A:$S,MATCH($B67,'DB Production'!$A$1:$S$1,0),0)</f>
        <v/>
      </c>
      <c r="AZ67" s="20">
        <f>AX67-AW67</f>
        <v/>
      </c>
      <c r="BA67" s="23">
        <f>AVERAGE(AV67:AX67)</f>
        <v/>
      </c>
      <c r="BB67" s="23">
        <f>AVERAGE(AS67:AX67)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c r="AL68" s="22" t="n"/>
      <c r="AM68" s="22" t="n"/>
      <c r="AN68" s="22" t="n"/>
      <c r="AO68" s="22" t="n"/>
      <c r="AP68" s="22" t="n"/>
      <c r="AQ68" s="22" t="n"/>
      <c r="AR68" s="22" t="n"/>
      <c r="AS68" s="22" t="n"/>
      <c r="AT68" s="22" t="n"/>
      <c r="AU68" s="22" t="n"/>
      <c r="AV68" s="22" t="n"/>
      <c r="AW68" s="22" t="n"/>
      <c r="AX68" s="22" t="n"/>
    </row>
  </sheetData>
  <mergeCells count="14">
    <mergeCell ref="B4:B5"/>
    <mergeCell ref="B48:B49"/>
    <mergeCell ref="B26:B27"/>
    <mergeCell ref="AZ1:BB1"/>
    <mergeCell ref="BA3:BB3"/>
    <mergeCell ref="BA4:BA5"/>
    <mergeCell ref="BA26:BA27"/>
    <mergeCell ref="BA48:BA49"/>
    <mergeCell ref="BB4:BB5"/>
    <mergeCell ref="BB26:BB27"/>
    <mergeCell ref="BB48:BB49"/>
    <mergeCell ref="AZ4:AZ5"/>
    <mergeCell ref="AZ48:AZ49"/>
    <mergeCell ref="AZ26:AZ27"/>
  </mergeCells>
  <conditionalFormatting sqref="AZ6:AZ23">
    <cfRule type="colorScale" priority="1112">
      <colorScale>
        <cfvo type="min"/>
        <cfvo type="percentile" val="50"/>
        <cfvo type="max"/>
        <color rgb="FFF8696B"/>
        <color rgb="FFFFEB84"/>
        <color rgb="FF63BE7B"/>
      </colorScale>
    </cfRule>
    <cfRule type="cellIs" priority="1571" operator="equal" dxfId="0">
      <formula>0</formula>
    </cfRule>
    <cfRule type="cellIs" priority="1572" operator="lessThan" dxfId="1">
      <formula>0</formula>
    </cfRule>
    <cfRule type="cellIs" priority="1573" operator="greaterThan" dxfId="0">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BA6:BA23">
    <cfRule type="colorScale" priority="1111">
      <colorScale>
        <cfvo type="min"/>
        <cfvo type="percentile" val="50"/>
        <cfvo type="max"/>
        <color rgb="FFF8696B"/>
        <color rgb="FFFFEB84"/>
        <color rgb="FF63BE7B"/>
      </colorScale>
    </cfRule>
    <cfRule type="cellIs" priority="1566" operator="equal" dxfId="0">
      <formula>0</formula>
    </cfRule>
    <cfRule type="cellIs" priority="1567" operator="lessThan" dxfId="1">
      <formula>0</formula>
    </cfRule>
    <cfRule type="cellIs" priority="1568" operator="greaterThan" dxfId="0">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BB6:BB23">
    <cfRule type="colorScale" priority="1110">
      <colorScale>
        <cfvo type="min"/>
        <cfvo type="percentile" val="50"/>
        <cfvo type="max"/>
        <color rgb="FFF8696B"/>
        <color rgb="FFFFEB84"/>
        <color rgb="FF63BE7B"/>
      </colorScale>
    </cfRule>
    <cfRule type="cellIs" priority="1561" operator="equal" dxfId="0">
      <formula>0</formula>
    </cfRule>
    <cfRule type="cellIs" priority="1562" operator="lessThan" dxfId="1">
      <formula>0</formula>
    </cfRule>
    <cfRule type="cellIs" priority="1563" operator="greaterThan" dxfId="0">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0">
      <formula>0</formula>
    </cfRule>
    <cfRule type="cellIs" priority="1424" operator="lessThan" dxfId="1">
      <formula>0</formula>
    </cfRule>
    <cfRule type="cellIs" priority="1425" operator="greaterThan" dxfId="0">
      <formula>0</formula>
    </cfRule>
    <cfRule type="colorScale" priority="1427">
      <colorScale>
        <cfvo type="min"/>
        <cfvo type="percentile" val="50"/>
        <cfvo type="max"/>
        <color rgb="FFF8696B"/>
        <color rgb="FFFFEB84"/>
        <color rgb="FF63BE7B"/>
      </colorScale>
    </cfRule>
  </conditionalFormatting>
  <conditionalFormatting sqref="C28:AX45">
    <cfRule type="cellIs" priority="1418" operator="equal" dxfId="0">
      <formula>0</formula>
    </cfRule>
    <cfRule type="cellIs" priority="1419" operator="lessThan" dxfId="1">
      <formula>0</formula>
    </cfRule>
    <cfRule type="cellIs" priority="1420" operator="greaterThan" dxfId="0">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X23">
    <cfRule type="cellIs" priority="825" operator="equal" dxfId="0">
      <formula>0</formula>
    </cfRule>
    <cfRule type="cellIs" priority="826" operator="lessThan" dxfId="1">
      <formula>0</formula>
    </cfRule>
    <cfRule type="cellIs" priority="827" operator="greaterThan" dxfId="0">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X67">
    <cfRule type="cellIs" priority="152" operator="equal" dxfId="0">
      <formula>0</formula>
    </cfRule>
    <cfRule type="cellIs" priority="153" operator="lessThan" dxfId="1">
      <formula>0</formula>
    </cfRule>
    <cfRule type="cellIs" priority="154" operator="greaterThan" dxfId="0">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Z28:AZ45">
    <cfRule type="colorScale" priority="136">
      <colorScale>
        <cfvo type="min"/>
        <cfvo type="percentile" val="50"/>
        <cfvo type="max"/>
        <color rgb="FFF8696B"/>
        <color rgb="FFFFEB84"/>
        <color rgb="FF63BE7B"/>
      </colorScale>
    </cfRule>
    <cfRule type="cellIs" priority="147" operator="equal" dxfId="0">
      <formula>0</formula>
    </cfRule>
    <cfRule type="cellIs" priority="148" operator="lessThan" dxfId="1">
      <formula>0</formula>
    </cfRule>
    <cfRule type="cellIs" priority="149" operator="greaterThan" dxfId="0">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BA28:BA45">
    <cfRule type="colorScale" priority="135">
      <colorScale>
        <cfvo type="min"/>
        <cfvo type="percentile" val="50"/>
        <cfvo type="max"/>
        <color rgb="FFF8696B"/>
        <color rgb="FFFFEB84"/>
        <color rgb="FF63BE7B"/>
      </colorScale>
    </cfRule>
    <cfRule type="cellIs" priority="142" operator="equal" dxfId="0">
      <formula>0</formula>
    </cfRule>
    <cfRule type="cellIs" priority="143" operator="lessThan" dxfId="1">
      <formula>0</formula>
    </cfRule>
    <cfRule type="cellIs" priority="144" operator="greaterThan" dxfId="0">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BB28:BB45">
    <cfRule type="colorScale" priority="134">
      <colorScale>
        <cfvo type="min"/>
        <cfvo type="percentile" val="50"/>
        <cfvo type="max"/>
        <color rgb="FFF8696B"/>
        <color rgb="FFFFEB84"/>
        <color rgb="FF63BE7B"/>
      </colorScale>
    </cfRule>
    <cfRule type="cellIs" priority="137" operator="equal" dxfId="0">
      <formula>0</formula>
    </cfRule>
    <cfRule type="cellIs" priority="138" operator="lessThan" dxfId="1">
      <formula>0</formula>
    </cfRule>
    <cfRule type="cellIs" priority="139" operator="greaterThan" dxfId="0">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Z50:AZ67">
    <cfRule type="colorScale" priority="118">
      <colorScale>
        <cfvo type="min"/>
        <cfvo type="percentile" val="50"/>
        <cfvo type="max"/>
        <color rgb="FFF8696B"/>
        <color rgb="FFFFEB84"/>
        <color rgb="FF63BE7B"/>
      </colorScale>
    </cfRule>
    <cfRule type="cellIs" priority="129" operator="equal" dxfId="0">
      <formula>0</formula>
    </cfRule>
    <cfRule type="cellIs" priority="130" operator="lessThan" dxfId="1">
      <formula>0</formula>
    </cfRule>
    <cfRule type="cellIs" priority="131" operator="greaterThan" dxfId="0">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BA50:BA67">
    <cfRule type="colorScale" priority="117">
      <colorScale>
        <cfvo type="min"/>
        <cfvo type="percentile" val="50"/>
        <cfvo type="max"/>
        <color rgb="FFF8696B"/>
        <color rgb="FFFFEB84"/>
        <color rgb="FF63BE7B"/>
      </colorScale>
    </cfRule>
    <cfRule type="cellIs" priority="124" operator="equal" dxfId="0">
      <formula>0</formula>
    </cfRule>
    <cfRule type="cellIs" priority="125" operator="lessThan" dxfId="1">
      <formula>0</formula>
    </cfRule>
    <cfRule type="cellIs" priority="126" operator="greaterThan" dxfId="0">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BB50:BB67">
    <cfRule type="colorScale" priority="116">
      <colorScale>
        <cfvo type="min"/>
        <cfvo type="percentile" val="50"/>
        <cfvo type="max"/>
        <color rgb="FFF8696B"/>
        <color rgb="FFFFEB84"/>
        <color rgb="FF63BE7B"/>
      </colorScale>
    </cfRule>
    <cfRule type="cellIs" priority="119" operator="equal" dxfId="0">
      <formula>0</formula>
    </cfRule>
    <cfRule type="cellIs" priority="120" operator="lessThan" dxfId="1">
      <formula>0</formula>
    </cfRule>
    <cfRule type="cellIs" priority="121" operator="greaterThan" dxfId="0">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AL6:AM23 AP6:AX23">
    <cfRule type="colorScale" priority="81">
      <colorScale>
        <cfvo type="min"/>
        <cfvo type="percentile" val="50"/>
        <cfvo type="max"/>
        <color rgb="FFF8696B"/>
        <color rgb="FFFFEB84"/>
        <color rgb="FF63BE7B"/>
      </colorScale>
    </cfRule>
  </conditionalFormatting>
  <conditionalFormatting sqref="AK6:AK23 AN6:AO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AL28:AL45 AP28:AP45">
    <cfRule type="colorScale" priority="37">
      <colorScale>
        <cfvo type="min"/>
        <cfvo type="percentile" val="50"/>
        <cfvo type="max"/>
        <color rgb="FFF8696B"/>
        <color rgb="FFFFEB84"/>
        <color rgb="FF63BE7B"/>
      </colorScale>
    </cfRule>
  </conditionalFormatting>
  <conditionalFormatting sqref="AJ28:AJ45 AM28:AM45 AQ28:AX45">
    <cfRule type="colorScale" priority="36">
      <colorScale>
        <cfvo type="min"/>
        <cfvo type="percentile" val="50"/>
        <cfvo type="max"/>
        <color rgb="FFF8696B"/>
        <color rgb="FFFFEB84"/>
        <color rgb="FF63BE7B"/>
      </colorScale>
    </cfRule>
  </conditionalFormatting>
  <conditionalFormatting sqref="AK28:AK45 AN28:AO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906"/>
  <sheetViews>
    <sheetView zoomScale="110" zoomScaleNormal="110" workbookViewId="0">
      <pane ySplit="5" topLeftCell="A868" activePane="bottomLeft" state="frozen"/>
      <selection pane="bottomLeft" activeCell="R894" sqref="R894"/>
    </sheetView>
  </sheetViews>
  <sheetFormatPr baseColWidth="8" defaultColWidth="9.1796875" defaultRowHeight="14.5"/>
  <cols>
    <col width="12" customWidth="1" style="97" min="1" max="1"/>
    <col width="11.36328125" customWidth="1" style="97" min="2" max="9"/>
    <col width="12.1796875" customWidth="1" style="97" min="10" max="10"/>
    <col width="11.36328125" customWidth="1" style="97" min="11" max="11"/>
    <col width="9.1796875" customWidth="1" style="97" min="12" max="52"/>
    <col width="9.1796875" customWidth="1" style="97" min="53" max="16384"/>
  </cols>
  <sheetData>
    <row r="1">
      <c r="A1" s="113" t="n"/>
      <c r="B1" s="113" t="n"/>
      <c r="J1" s="110" t="n"/>
    </row>
    <row r="2">
      <c r="C2" s="110" t="n"/>
      <c r="D2" s="110" t="n"/>
    </row>
    <row r="3">
      <c r="C3" s="110" t="n"/>
      <c r="D3" s="110" t="n"/>
    </row>
    <row r="4" ht="16" customHeight="1" thickBot="1">
      <c r="C4" s="110" t="n"/>
      <c r="D4" s="110" t="n"/>
    </row>
    <row r="5" ht="39" customHeight="1" thickBot="1">
      <c r="A5" s="59" t="inlineStr">
        <is>
          <t>Date</t>
        </is>
      </c>
      <c r="B5" s="60" t="inlineStr">
        <is>
          <t>New Orders</t>
        </is>
      </c>
      <c r="C5" s="60" t="inlineStr">
        <is>
          <t>Imports</t>
        </is>
      </c>
      <c r="D5" s="60" t="inlineStr">
        <is>
          <t>Backlog Of Orders</t>
        </is>
      </c>
      <c r="E5" s="60" t="inlineStr">
        <is>
          <t>Prices</t>
        </is>
      </c>
      <c r="F5" s="60" t="inlineStr">
        <is>
          <t>Production</t>
        </is>
      </c>
      <c r="G5" s="60" t="inlineStr">
        <is>
          <t>Customers Inventories</t>
        </is>
      </c>
      <c r="H5" s="60" t="inlineStr">
        <is>
          <t>Inventories</t>
        </is>
      </c>
      <c r="I5" s="60" t="inlineStr">
        <is>
          <t>Deliveries</t>
        </is>
      </c>
      <c r="J5" s="60" t="inlineStr">
        <is>
          <t>Employment</t>
        </is>
      </c>
      <c r="K5" s="60" t="inlineStr">
        <is>
          <t>Exports</t>
        </is>
      </c>
      <c r="L5" s="61" t="inlineStr">
        <is>
          <t>ISM</t>
        </is>
      </c>
    </row>
    <row r="6">
      <c r="A6" s="56" t="n">
        <v>17533</v>
      </c>
      <c r="B6" s="57">
        <f>VLOOKUP(Table91213[[#This Row],[Date]],'DB Details'!$A:$L,2)</f>
        <v/>
      </c>
      <c r="C6" s="57" t="n"/>
      <c r="D6" s="57" t="n"/>
      <c r="E6" s="88">
        <f>VLOOKUP(Table91213[[#This Row],[Date]],'DB Details'!$A:$L,5)</f>
        <v/>
      </c>
      <c r="F6" s="88">
        <f>VLOOKUP(Table91213[[#This Row],[Date]],'DB Details'!$A:$L,6)</f>
        <v/>
      </c>
      <c r="G6" s="58" t="n"/>
      <c r="H6" s="88">
        <f>VLOOKUP(Table91213[[#This Row],[Date]],'DB Details'!$A:$L,8)</f>
        <v/>
      </c>
      <c r="I6" s="88">
        <f>VLOOKUP(Table91213[[#This Row],[Date]],'DB Details'!$A:$L,9)</f>
        <v/>
      </c>
      <c r="J6" s="88">
        <f>VLOOKUP(Table91213[[#This Row],[Date]],'DB Details'!$A:$L,10)</f>
        <v/>
      </c>
      <c r="K6" s="58" t="n"/>
      <c r="L6" s="88">
        <f>VLOOKUP(Table91213[[#This Row],[Date]],'DB Details'!$A:$L,12)</f>
        <v/>
      </c>
    </row>
    <row r="7">
      <c r="A7" s="39" t="n">
        <v>17564</v>
      </c>
      <c r="B7" s="57">
        <f>VLOOKUP(Table91213[[#This Row],[Date]],'DB Details'!$A:$L,2)</f>
        <v/>
      </c>
      <c r="C7" s="55" t="n"/>
      <c r="D7" s="55" t="n"/>
      <c r="E7" s="88">
        <f>VLOOKUP(Table91213[[#This Row],[Date]],'DB Details'!$A:$L,5)</f>
        <v/>
      </c>
      <c r="F7" s="88">
        <f>VLOOKUP(Table91213[[#This Row],[Date]],'DB Details'!$A:$L,6)</f>
        <v/>
      </c>
      <c r="G7" s="119" t="n"/>
      <c r="H7" s="88">
        <f>VLOOKUP(Table91213[[#This Row],[Date]],'DB Details'!$A:$L,8)</f>
        <v/>
      </c>
      <c r="I7" s="88">
        <f>VLOOKUP(Table91213[[#This Row],[Date]],'DB Details'!$A:$L,9)</f>
        <v/>
      </c>
      <c r="J7" s="88">
        <f>VLOOKUP(Table91213[[#This Row],[Date]],'DB Details'!$A:$L,10)</f>
        <v/>
      </c>
      <c r="K7" s="119" t="n"/>
      <c r="L7" s="88">
        <f>VLOOKUP(Table91213[[#This Row],[Date]],'DB Details'!$A:$L,12)</f>
        <v/>
      </c>
    </row>
    <row r="8">
      <c r="A8" s="39" t="n">
        <v>17593</v>
      </c>
      <c r="B8" s="57">
        <f>VLOOKUP(Table91213[[#This Row],[Date]],'DB Details'!$A:$L,2)</f>
        <v/>
      </c>
      <c r="C8" s="55" t="n"/>
      <c r="D8" s="55" t="n"/>
      <c r="E8" s="88">
        <f>VLOOKUP(Table91213[[#This Row],[Date]],'DB Details'!$A:$L,5)</f>
        <v/>
      </c>
      <c r="F8" s="88">
        <f>VLOOKUP(Table91213[[#This Row],[Date]],'DB Details'!$A:$L,6)</f>
        <v/>
      </c>
      <c r="G8" s="119" t="n"/>
      <c r="H8" s="88">
        <f>VLOOKUP(Table91213[[#This Row],[Date]],'DB Details'!$A:$L,8)</f>
        <v/>
      </c>
      <c r="I8" s="88">
        <f>VLOOKUP(Table91213[[#This Row],[Date]],'DB Details'!$A:$L,9)</f>
        <v/>
      </c>
      <c r="J8" s="88">
        <f>VLOOKUP(Table91213[[#This Row],[Date]],'DB Details'!$A:$L,10)</f>
        <v/>
      </c>
      <c r="K8" s="119" t="n"/>
      <c r="L8" s="88">
        <f>VLOOKUP(Table91213[[#This Row],[Date]],'DB Details'!$A:$L,12)</f>
        <v/>
      </c>
    </row>
    <row r="9">
      <c r="A9" s="39" t="n">
        <v>17624</v>
      </c>
      <c r="B9" s="57">
        <f>VLOOKUP(Table91213[[#This Row],[Date]],'DB Details'!$A:$L,2)</f>
        <v/>
      </c>
      <c r="C9" s="55" t="n"/>
      <c r="D9" s="55" t="n"/>
      <c r="E9" s="88">
        <f>VLOOKUP(Table91213[[#This Row],[Date]],'DB Details'!$A:$L,5)</f>
        <v/>
      </c>
      <c r="F9" s="88">
        <f>VLOOKUP(Table91213[[#This Row],[Date]],'DB Details'!$A:$L,6)</f>
        <v/>
      </c>
      <c r="G9" s="119" t="n"/>
      <c r="H9" s="88">
        <f>VLOOKUP(Table91213[[#This Row],[Date]],'DB Details'!$A:$L,8)</f>
        <v/>
      </c>
      <c r="I9" s="88">
        <f>VLOOKUP(Table91213[[#This Row],[Date]],'DB Details'!$A:$L,9)</f>
        <v/>
      </c>
      <c r="J9" s="88">
        <f>VLOOKUP(Table91213[[#This Row],[Date]],'DB Details'!$A:$L,10)</f>
        <v/>
      </c>
      <c r="K9" s="119" t="n"/>
      <c r="L9" s="88">
        <f>VLOOKUP(Table91213[[#This Row],[Date]],'DB Details'!$A:$L,12)</f>
        <v/>
      </c>
    </row>
    <row r="10">
      <c r="A10" s="39" t="n">
        <v>17654</v>
      </c>
      <c r="B10" s="57">
        <f>VLOOKUP(Table91213[[#This Row],[Date]],'DB Details'!$A:$L,2)</f>
        <v/>
      </c>
      <c r="C10" s="55" t="n"/>
      <c r="D10" s="55" t="n"/>
      <c r="E10" s="88">
        <f>VLOOKUP(Table91213[[#This Row],[Date]],'DB Details'!$A:$L,5)</f>
        <v/>
      </c>
      <c r="F10" s="88">
        <f>VLOOKUP(Table91213[[#This Row],[Date]],'DB Details'!$A:$L,6)</f>
        <v/>
      </c>
      <c r="G10" s="119" t="n"/>
      <c r="H10" s="88">
        <f>VLOOKUP(Table91213[[#This Row],[Date]],'DB Details'!$A:$L,8)</f>
        <v/>
      </c>
      <c r="I10" s="88">
        <f>VLOOKUP(Table91213[[#This Row],[Date]],'DB Details'!$A:$L,9)</f>
        <v/>
      </c>
      <c r="J10" s="88">
        <f>VLOOKUP(Table91213[[#This Row],[Date]],'DB Details'!$A:$L,10)</f>
        <v/>
      </c>
      <c r="K10" s="119" t="n"/>
      <c r="L10" s="88">
        <f>VLOOKUP(Table91213[[#This Row],[Date]],'DB Details'!$A:$L,12)</f>
        <v/>
      </c>
    </row>
    <row r="11">
      <c r="A11" s="39" t="n">
        <v>17685</v>
      </c>
      <c r="B11" s="57">
        <f>VLOOKUP(Table91213[[#This Row],[Date]],'DB Details'!$A:$L,2)</f>
        <v/>
      </c>
      <c r="C11" s="55" t="n"/>
      <c r="D11" s="55" t="n"/>
      <c r="E11" s="88">
        <f>VLOOKUP(Table91213[[#This Row],[Date]],'DB Details'!$A:$L,5)</f>
        <v/>
      </c>
      <c r="F11" s="88">
        <f>VLOOKUP(Table91213[[#This Row],[Date]],'DB Details'!$A:$L,6)</f>
        <v/>
      </c>
      <c r="G11" s="119" t="n"/>
      <c r="H11" s="88">
        <f>VLOOKUP(Table91213[[#This Row],[Date]],'DB Details'!$A:$L,8)</f>
        <v/>
      </c>
      <c r="I11" s="88">
        <f>VLOOKUP(Table91213[[#This Row],[Date]],'DB Details'!$A:$L,9)</f>
        <v/>
      </c>
      <c r="J11" s="88">
        <f>VLOOKUP(Table91213[[#This Row],[Date]],'DB Details'!$A:$L,10)</f>
        <v/>
      </c>
      <c r="K11" s="119" t="n"/>
      <c r="L11" s="88">
        <f>VLOOKUP(Table91213[[#This Row],[Date]],'DB Details'!$A:$L,12)</f>
        <v/>
      </c>
    </row>
    <row r="12">
      <c r="A12" s="39" t="n">
        <v>17715</v>
      </c>
      <c r="B12" s="57">
        <f>VLOOKUP(Table91213[[#This Row],[Date]],'DB Details'!$A:$L,2)</f>
        <v/>
      </c>
      <c r="C12" s="55" t="n"/>
      <c r="D12" s="55" t="n"/>
      <c r="E12" s="88">
        <f>VLOOKUP(Table91213[[#This Row],[Date]],'DB Details'!$A:$L,5)</f>
        <v/>
      </c>
      <c r="F12" s="88">
        <f>VLOOKUP(Table91213[[#This Row],[Date]],'DB Details'!$A:$L,6)</f>
        <v/>
      </c>
      <c r="G12" s="119" t="n"/>
      <c r="H12" s="88">
        <f>VLOOKUP(Table91213[[#This Row],[Date]],'DB Details'!$A:$L,8)</f>
        <v/>
      </c>
      <c r="I12" s="88">
        <f>VLOOKUP(Table91213[[#This Row],[Date]],'DB Details'!$A:$L,9)</f>
        <v/>
      </c>
      <c r="J12" s="88">
        <f>VLOOKUP(Table91213[[#This Row],[Date]],'DB Details'!$A:$L,10)</f>
        <v/>
      </c>
      <c r="K12" s="119" t="n"/>
      <c r="L12" s="88">
        <f>VLOOKUP(Table91213[[#This Row],[Date]],'DB Details'!$A:$L,12)</f>
        <v/>
      </c>
    </row>
    <row r="13">
      <c r="A13" s="39" t="n">
        <v>17746</v>
      </c>
      <c r="B13" s="57">
        <f>VLOOKUP(Table91213[[#This Row],[Date]],'DB Details'!$A:$L,2)</f>
        <v/>
      </c>
      <c r="C13" s="55" t="n"/>
      <c r="D13" s="55" t="n"/>
      <c r="E13" s="88">
        <f>VLOOKUP(Table91213[[#This Row],[Date]],'DB Details'!$A:$L,5)</f>
        <v/>
      </c>
      <c r="F13" s="88">
        <f>VLOOKUP(Table91213[[#This Row],[Date]],'DB Details'!$A:$L,6)</f>
        <v/>
      </c>
      <c r="G13" s="119" t="n"/>
      <c r="H13" s="88">
        <f>VLOOKUP(Table91213[[#This Row],[Date]],'DB Details'!$A:$L,8)</f>
        <v/>
      </c>
      <c r="I13" s="88">
        <f>VLOOKUP(Table91213[[#This Row],[Date]],'DB Details'!$A:$L,9)</f>
        <v/>
      </c>
      <c r="J13" s="88">
        <f>VLOOKUP(Table91213[[#This Row],[Date]],'DB Details'!$A:$L,10)</f>
        <v/>
      </c>
      <c r="K13" s="119" t="n"/>
      <c r="L13" s="88">
        <f>VLOOKUP(Table91213[[#This Row],[Date]],'DB Details'!$A:$L,12)</f>
        <v/>
      </c>
    </row>
    <row r="14">
      <c r="A14" s="39" t="n">
        <v>17777</v>
      </c>
      <c r="B14" s="57">
        <f>VLOOKUP(Table91213[[#This Row],[Date]],'DB Details'!$A:$L,2)</f>
        <v/>
      </c>
      <c r="C14" s="55" t="n"/>
      <c r="D14" s="55" t="n"/>
      <c r="E14" s="88">
        <f>VLOOKUP(Table91213[[#This Row],[Date]],'DB Details'!$A:$L,5)</f>
        <v/>
      </c>
      <c r="F14" s="88">
        <f>VLOOKUP(Table91213[[#This Row],[Date]],'DB Details'!$A:$L,6)</f>
        <v/>
      </c>
      <c r="G14" s="119" t="n"/>
      <c r="H14" s="88">
        <f>VLOOKUP(Table91213[[#This Row],[Date]],'DB Details'!$A:$L,8)</f>
        <v/>
      </c>
      <c r="I14" s="88">
        <f>VLOOKUP(Table91213[[#This Row],[Date]],'DB Details'!$A:$L,9)</f>
        <v/>
      </c>
      <c r="J14" s="88">
        <f>VLOOKUP(Table91213[[#This Row],[Date]],'DB Details'!$A:$L,10)</f>
        <v/>
      </c>
      <c r="K14" s="119" t="n"/>
      <c r="L14" s="88">
        <f>VLOOKUP(Table91213[[#This Row],[Date]],'DB Details'!$A:$L,12)</f>
        <v/>
      </c>
    </row>
    <row r="15">
      <c r="A15" s="39" t="n">
        <v>17807</v>
      </c>
      <c r="B15" s="57">
        <f>VLOOKUP(Table91213[[#This Row],[Date]],'DB Details'!$A:$L,2)</f>
        <v/>
      </c>
      <c r="C15" s="55" t="n"/>
      <c r="D15" s="55" t="n"/>
      <c r="E15" s="88">
        <f>VLOOKUP(Table91213[[#This Row],[Date]],'DB Details'!$A:$L,5)</f>
        <v/>
      </c>
      <c r="F15" s="88">
        <f>VLOOKUP(Table91213[[#This Row],[Date]],'DB Details'!$A:$L,6)</f>
        <v/>
      </c>
      <c r="G15" s="119" t="n"/>
      <c r="H15" s="88">
        <f>VLOOKUP(Table91213[[#This Row],[Date]],'DB Details'!$A:$L,8)</f>
        <v/>
      </c>
      <c r="I15" s="88">
        <f>VLOOKUP(Table91213[[#This Row],[Date]],'DB Details'!$A:$L,9)</f>
        <v/>
      </c>
      <c r="J15" s="88">
        <f>VLOOKUP(Table91213[[#This Row],[Date]],'DB Details'!$A:$L,10)</f>
        <v/>
      </c>
      <c r="K15" s="119" t="n"/>
      <c r="L15" s="88">
        <f>VLOOKUP(Table91213[[#This Row],[Date]],'DB Details'!$A:$L,12)</f>
        <v/>
      </c>
    </row>
    <row r="16">
      <c r="A16" s="39" t="n">
        <v>17838</v>
      </c>
      <c r="B16" s="57">
        <f>VLOOKUP(Table91213[[#This Row],[Date]],'DB Details'!$A:$L,2)</f>
        <v/>
      </c>
      <c r="C16" s="55" t="n"/>
      <c r="D16" s="55" t="n"/>
      <c r="E16" s="88">
        <f>VLOOKUP(Table91213[[#This Row],[Date]],'DB Details'!$A:$L,5)</f>
        <v/>
      </c>
      <c r="F16" s="88">
        <f>VLOOKUP(Table91213[[#This Row],[Date]],'DB Details'!$A:$L,6)</f>
        <v/>
      </c>
      <c r="G16" s="119" t="n"/>
      <c r="H16" s="88">
        <f>VLOOKUP(Table91213[[#This Row],[Date]],'DB Details'!$A:$L,8)</f>
        <v/>
      </c>
      <c r="I16" s="88">
        <f>VLOOKUP(Table91213[[#This Row],[Date]],'DB Details'!$A:$L,9)</f>
        <v/>
      </c>
      <c r="J16" s="88">
        <f>VLOOKUP(Table91213[[#This Row],[Date]],'DB Details'!$A:$L,10)</f>
        <v/>
      </c>
      <c r="K16" s="119" t="n"/>
      <c r="L16" s="88">
        <f>VLOOKUP(Table91213[[#This Row],[Date]],'DB Details'!$A:$L,12)</f>
        <v/>
      </c>
    </row>
    <row r="17">
      <c r="A17" s="39" t="n">
        <v>17868</v>
      </c>
      <c r="B17" s="57">
        <f>VLOOKUP(Table91213[[#This Row],[Date]],'DB Details'!$A:$L,2)</f>
        <v/>
      </c>
      <c r="C17" s="55" t="n"/>
      <c r="D17" s="55" t="n"/>
      <c r="E17" s="88">
        <f>VLOOKUP(Table91213[[#This Row],[Date]],'DB Details'!$A:$L,5)</f>
        <v/>
      </c>
      <c r="F17" s="88">
        <f>VLOOKUP(Table91213[[#This Row],[Date]],'DB Details'!$A:$L,6)</f>
        <v/>
      </c>
      <c r="G17" s="119" t="n"/>
      <c r="H17" s="88">
        <f>VLOOKUP(Table91213[[#This Row],[Date]],'DB Details'!$A:$L,8)</f>
        <v/>
      </c>
      <c r="I17" s="88">
        <f>VLOOKUP(Table91213[[#This Row],[Date]],'DB Details'!$A:$L,9)</f>
        <v/>
      </c>
      <c r="J17" s="88">
        <f>VLOOKUP(Table91213[[#This Row],[Date]],'DB Details'!$A:$L,10)</f>
        <v/>
      </c>
      <c r="K17" s="119" t="n"/>
      <c r="L17" s="88">
        <f>VLOOKUP(Table91213[[#This Row],[Date]],'DB Details'!$A:$L,12)</f>
        <v/>
      </c>
    </row>
    <row r="18">
      <c r="A18" s="39" t="n">
        <v>17899</v>
      </c>
      <c r="B18" s="57">
        <f>VLOOKUP(Table91213[[#This Row],[Date]],'DB Details'!$A:$L,2)</f>
        <v/>
      </c>
      <c r="C18" s="55" t="n"/>
      <c r="D18" s="55" t="n"/>
      <c r="E18" s="88">
        <f>VLOOKUP(Table91213[[#This Row],[Date]],'DB Details'!$A:$L,5)</f>
        <v/>
      </c>
      <c r="F18" s="88">
        <f>VLOOKUP(Table91213[[#This Row],[Date]],'DB Details'!$A:$L,6)</f>
        <v/>
      </c>
      <c r="G18" s="119" t="n"/>
      <c r="H18" s="88">
        <f>VLOOKUP(Table91213[[#This Row],[Date]],'DB Details'!$A:$L,8)</f>
        <v/>
      </c>
      <c r="I18" s="88">
        <f>VLOOKUP(Table91213[[#This Row],[Date]],'DB Details'!$A:$L,9)</f>
        <v/>
      </c>
      <c r="J18" s="88">
        <f>VLOOKUP(Table91213[[#This Row],[Date]],'DB Details'!$A:$L,10)</f>
        <v/>
      </c>
      <c r="K18" s="119" t="n"/>
      <c r="L18" s="88">
        <f>VLOOKUP(Table91213[[#This Row],[Date]],'DB Details'!$A:$L,12)</f>
        <v/>
      </c>
    </row>
    <row r="19">
      <c r="A19" s="39" t="n">
        <v>17930</v>
      </c>
      <c r="B19" s="57">
        <f>VLOOKUP(Table91213[[#This Row],[Date]],'DB Details'!$A:$L,2)</f>
        <v/>
      </c>
      <c r="C19" s="55" t="n"/>
      <c r="D19" s="55" t="n"/>
      <c r="E19" s="88">
        <f>VLOOKUP(Table91213[[#This Row],[Date]],'DB Details'!$A:$L,5)</f>
        <v/>
      </c>
      <c r="F19" s="88">
        <f>VLOOKUP(Table91213[[#This Row],[Date]],'DB Details'!$A:$L,6)</f>
        <v/>
      </c>
      <c r="G19" s="119" t="n"/>
      <c r="H19" s="88">
        <f>VLOOKUP(Table91213[[#This Row],[Date]],'DB Details'!$A:$L,8)</f>
        <v/>
      </c>
      <c r="I19" s="88">
        <f>VLOOKUP(Table91213[[#This Row],[Date]],'DB Details'!$A:$L,9)</f>
        <v/>
      </c>
      <c r="J19" s="88">
        <f>VLOOKUP(Table91213[[#This Row],[Date]],'DB Details'!$A:$L,10)</f>
        <v/>
      </c>
      <c r="K19" s="119" t="n"/>
      <c r="L19" s="88">
        <f>VLOOKUP(Table91213[[#This Row],[Date]],'DB Details'!$A:$L,12)</f>
        <v/>
      </c>
    </row>
    <row r="20">
      <c r="A20" s="39" t="n">
        <v>17958</v>
      </c>
      <c r="B20" s="57">
        <f>VLOOKUP(Table91213[[#This Row],[Date]],'DB Details'!$A:$L,2)</f>
        <v/>
      </c>
      <c r="C20" s="55" t="n"/>
      <c r="D20" s="55" t="n"/>
      <c r="E20" s="88">
        <f>VLOOKUP(Table91213[[#This Row],[Date]],'DB Details'!$A:$L,5)</f>
        <v/>
      </c>
      <c r="F20" s="88">
        <f>VLOOKUP(Table91213[[#This Row],[Date]],'DB Details'!$A:$L,6)</f>
        <v/>
      </c>
      <c r="G20" s="119" t="n"/>
      <c r="H20" s="88">
        <f>VLOOKUP(Table91213[[#This Row],[Date]],'DB Details'!$A:$L,8)</f>
        <v/>
      </c>
      <c r="I20" s="88">
        <f>VLOOKUP(Table91213[[#This Row],[Date]],'DB Details'!$A:$L,9)</f>
        <v/>
      </c>
      <c r="J20" s="88">
        <f>VLOOKUP(Table91213[[#This Row],[Date]],'DB Details'!$A:$L,10)</f>
        <v/>
      </c>
      <c r="K20" s="119" t="n"/>
      <c r="L20" s="88">
        <f>VLOOKUP(Table91213[[#This Row],[Date]],'DB Details'!$A:$L,12)</f>
        <v/>
      </c>
    </row>
    <row r="21">
      <c r="A21" s="39" t="n">
        <v>17989</v>
      </c>
      <c r="B21" s="57">
        <f>VLOOKUP(Table91213[[#This Row],[Date]],'DB Details'!$A:$L,2)</f>
        <v/>
      </c>
      <c r="C21" s="55" t="n"/>
      <c r="D21" s="55" t="n"/>
      <c r="E21" s="88">
        <f>VLOOKUP(Table91213[[#This Row],[Date]],'DB Details'!$A:$L,5)</f>
        <v/>
      </c>
      <c r="F21" s="88">
        <f>VLOOKUP(Table91213[[#This Row],[Date]],'DB Details'!$A:$L,6)</f>
        <v/>
      </c>
      <c r="G21" s="119" t="n"/>
      <c r="H21" s="88">
        <f>VLOOKUP(Table91213[[#This Row],[Date]],'DB Details'!$A:$L,8)</f>
        <v/>
      </c>
      <c r="I21" s="88">
        <f>VLOOKUP(Table91213[[#This Row],[Date]],'DB Details'!$A:$L,9)</f>
        <v/>
      </c>
      <c r="J21" s="88">
        <f>VLOOKUP(Table91213[[#This Row],[Date]],'DB Details'!$A:$L,10)</f>
        <v/>
      </c>
      <c r="K21" s="119" t="n"/>
      <c r="L21" s="88">
        <f>VLOOKUP(Table91213[[#This Row],[Date]],'DB Details'!$A:$L,12)</f>
        <v/>
      </c>
    </row>
    <row r="22">
      <c r="A22" s="39" t="n">
        <v>18019</v>
      </c>
      <c r="B22" s="57">
        <f>VLOOKUP(Table91213[[#This Row],[Date]],'DB Details'!$A:$L,2)</f>
        <v/>
      </c>
      <c r="C22" s="55" t="n"/>
      <c r="D22" s="55" t="n"/>
      <c r="E22" s="88">
        <f>VLOOKUP(Table91213[[#This Row],[Date]],'DB Details'!$A:$L,5)</f>
        <v/>
      </c>
      <c r="F22" s="88">
        <f>VLOOKUP(Table91213[[#This Row],[Date]],'DB Details'!$A:$L,6)</f>
        <v/>
      </c>
      <c r="G22" s="119" t="n"/>
      <c r="H22" s="88">
        <f>VLOOKUP(Table91213[[#This Row],[Date]],'DB Details'!$A:$L,8)</f>
        <v/>
      </c>
      <c r="I22" s="88">
        <f>VLOOKUP(Table91213[[#This Row],[Date]],'DB Details'!$A:$L,9)</f>
        <v/>
      </c>
      <c r="J22" s="88">
        <f>VLOOKUP(Table91213[[#This Row],[Date]],'DB Details'!$A:$L,10)</f>
        <v/>
      </c>
      <c r="K22" s="119" t="n"/>
      <c r="L22" s="88">
        <f>VLOOKUP(Table91213[[#This Row],[Date]],'DB Details'!$A:$L,12)</f>
        <v/>
      </c>
    </row>
    <row r="23">
      <c r="A23" s="39" t="n">
        <v>18050</v>
      </c>
      <c r="B23" s="57">
        <f>VLOOKUP(Table91213[[#This Row],[Date]],'DB Details'!$A:$L,2)</f>
        <v/>
      </c>
      <c r="C23" s="55" t="n"/>
      <c r="D23" s="55" t="n"/>
      <c r="E23" s="88">
        <f>VLOOKUP(Table91213[[#This Row],[Date]],'DB Details'!$A:$L,5)</f>
        <v/>
      </c>
      <c r="F23" s="88">
        <f>VLOOKUP(Table91213[[#This Row],[Date]],'DB Details'!$A:$L,6)</f>
        <v/>
      </c>
      <c r="G23" s="119" t="n"/>
      <c r="H23" s="88">
        <f>VLOOKUP(Table91213[[#This Row],[Date]],'DB Details'!$A:$L,8)</f>
        <v/>
      </c>
      <c r="I23" s="88">
        <f>VLOOKUP(Table91213[[#This Row],[Date]],'DB Details'!$A:$L,9)</f>
        <v/>
      </c>
      <c r="J23" s="88">
        <f>VLOOKUP(Table91213[[#This Row],[Date]],'DB Details'!$A:$L,10)</f>
        <v/>
      </c>
      <c r="K23" s="119" t="n"/>
      <c r="L23" s="88">
        <f>VLOOKUP(Table91213[[#This Row],[Date]],'DB Details'!$A:$L,12)</f>
        <v/>
      </c>
    </row>
    <row r="24">
      <c r="A24" s="39" t="n">
        <v>18080</v>
      </c>
      <c r="B24" s="57">
        <f>VLOOKUP(Table91213[[#This Row],[Date]],'DB Details'!$A:$L,2)</f>
        <v/>
      </c>
      <c r="C24" s="55" t="n"/>
      <c r="D24" s="55" t="n"/>
      <c r="E24" s="88">
        <f>VLOOKUP(Table91213[[#This Row],[Date]],'DB Details'!$A:$L,5)</f>
        <v/>
      </c>
      <c r="F24" s="88">
        <f>VLOOKUP(Table91213[[#This Row],[Date]],'DB Details'!$A:$L,6)</f>
        <v/>
      </c>
      <c r="G24" s="119" t="n"/>
      <c r="H24" s="88">
        <f>VLOOKUP(Table91213[[#This Row],[Date]],'DB Details'!$A:$L,8)</f>
        <v/>
      </c>
      <c r="I24" s="88">
        <f>VLOOKUP(Table91213[[#This Row],[Date]],'DB Details'!$A:$L,9)</f>
        <v/>
      </c>
      <c r="J24" s="88">
        <f>VLOOKUP(Table91213[[#This Row],[Date]],'DB Details'!$A:$L,10)</f>
        <v/>
      </c>
      <c r="K24" s="119" t="n"/>
      <c r="L24" s="88">
        <f>VLOOKUP(Table91213[[#This Row],[Date]],'DB Details'!$A:$L,12)</f>
        <v/>
      </c>
    </row>
    <row r="25">
      <c r="A25" s="39" t="n">
        <v>18111</v>
      </c>
      <c r="B25" s="57">
        <f>VLOOKUP(Table91213[[#This Row],[Date]],'DB Details'!$A:$L,2)</f>
        <v/>
      </c>
      <c r="C25" s="55" t="n"/>
      <c r="D25" s="55" t="n"/>
      <c r="E25" s="88">
        <f>VLOOKUP(Table91213[[#This Row],[Date]],'DB Details'!$A:$L,5)</f>
        <v/>
      </c>
      <c r="F25" s="88">
        <f>VLOOKUP(Table91213[[#This Row],[Date]],'DB Details'!$A:$L,6)</f>
        <v/>
      </c>
      <c r="G25" s="119" t="n"/>
      <c r="H25" s="88">
        <f>VLOOKUP(Table91213[[#This Row],[Date]],'DB Details'!$A:$L,8)</f>
        <v/>
      </c>
      <c r="I25" s="88">
        <f>VLOOKUP(Table91213[[#This Row],[Date]],'DB Details'!$A:$L,9)</f>
        <v/>
      </c>
      <c r="J25" s="88">
        <f>VLOOKUP(Table91213[[#This Row],[Date]],'DB Details'!$A:$L,10)</f>
        <v/>
      </c>
      <c r="K25" s="119" t="n"/>
      <c r="L25" s="88">
        <f>VLOOKUP(Table91213[[#This Row],[Date]],'DB Details'!$A:$L,12)</f>
        <v/>
      </c>
    </row>
    <row r="26">
      <c r="A26" s="39" t="n">
        <v>18142</v>
      </c>
      <c r="B26" s="57">
        <f>VLOOKUP(Table91213[[#This Row],[Date]],'DB Details'!$A:$L,2)</f>
        <v/>
      </c>
      <c r="C26" s="55" t="n"/>
      <c r="D26" s="55" t="n"/>
      <c r="E26" s="88">
        <f>VLOOKUP(Table91213[[#This Row],[Date]],'DB Details'!$A:$L,5)</f>
        <v/>
      </c>
      <c r="F26" s="88">
        <f>VLOOKUP(Table91213[[#This Row],[Date]],'DB Details'!$A:$L,6)</f>
        <v/>
      </c>
      <c r="G26" s="119" t="n"/>
      <c r="H26" s="88">
        <f>VLOOKUP(Table91213[[#This Row],[Date]],'DB Details'!$A:$L,8)</f>
        <v/>
      </c>
      <c r="I26" s="88">
        <f>VLOOKUP(Table91213[[#This Row],[Date]],'DB Details'!$A:$L,9)</f>
        <v/>
      </c>
      <c r="J26" s="88">
        <f>VLOOKUP(Table91213[[#This Row],[Date]],'DB Details'!$A:$L,10)</f>
        <v/>
      </c>
      <c r="K26" s="119" t="n"/>
      <c r="L26" s="88">
        <f>VLOOKUP(Table91213[[#This Row],[Date]],'DB Details'!$A:$L,12)</f>
        <v/>
      </c>
    </row>
    <row r="27">
      <c r="A27" s="39" t="n">
        <v>18172</v>
      </c>
      <c r="B27" s="57">
        <f>VLOOKUP(Table91213[[#This Row],[Date]],'DB Details'!$A:$L,2)</f>
        <v/>
      </c>
      <c r="C27" s="55" t="n"/>
      <c r="D27" s="55" t="n"/>
      <c r="E27" s="88">
        <f>VLOOKUP(Table91213[[#This Row],[Date]],'DB Details'!$A:$L,5)</f>
        <v/>
      </c>
      <c r="F27" s="88">
        <f>VLOOKUP(Table91213[[#This Row],[Date]],'DB Details'!$A:$L,6)</f>
        <v/>
      </c>
      <c r="G27" s="119" t="n"/>
      <c r="H27" s="88">
        <f>VLOOKUP(Table91213[[#This Row],[Date]],'DB Details'!$A:$L,8)</f>
        <v/>
      </c>
      <c r="I27" s="88">
        <f>VLOOKUP(Table91213[[#This Row],[Date]],'DB Details'!$A:$L,9)</f>
        <v/>
      </c>
      <c r="J27" s="88">
        <f>VLOOKUP(Table91213[[#This Row],[Date]],'DB Details'!$A:$L,10)</f>
        <v/>
      </c>
      <c r="K27" s="119" t="n"/>
      <c r="L27" s="88">
        <f>VLOOKUP(Table91213[[#This Row],[Date]],'DB Details'!$A:$L,12)</f>
        <v/>
      </c>
    </row>
    <row r="28">
      <c r="A28" s="39" t="n">
        <v>18203</v>
      </c>
      <c r="B28" s="57">
        <f>VLOOKUP(Table91213[[#This Row],[Date]],'DB Details'!$A:$L,2)</f>
        <v/>
      </c>
      <c r="C28" s="55" t="n"/>
      <c r="D28" s="55" t="n"/>
      <c r="E28" s="88">
        <f>VLOOKUP(Table91213[[#This Row],[Date]],'DB Details'!$A:$L,5)</f>
        <v/>
      </c>
      <c r="F28" s="88">
        <f>VLOOKUP(Table91213[[#This Row],[Date]],'DB Details'!$A:$L,6)</f>
        <v/>
      </c>
      <c r="G28" s="119" t="n"/>
      <c r="H28" s="88">
        <f>VLOOKUP(Table91213[[#This Row],[Date]],'DB Details'!$A:$L,8)</f>
        <v/>
      </c>
      <c r="I28" s="88">
        <f>VLOOKUP(Table91213[[#This Row],[Date]],'DB Details'!$A:$L,9)</f>
        <v/>
      </c>
      <c r="J28" s="88">
        <f>VLOOKUP(Table91213[[#This Row],[Date]],'DB Details'!$A:$L,10)</f>
        <v/>
      </c>
      <c r="K28" s="119" t="n"/>
      <c r="L28" s="88">
        <f>VLOOKUP(Table91213[[#This Row],[Date]],'DB Details'!$A:$L,12)</f>
        <v/>
      </c>
    </row>
    <row r="29">
      <c r="A29" s="39" t="n">
        <v>18233</v>
      </c>
      <c r="B29" s="57">
        <f>VLOOKUP(Table91213[[#This Row],[Date]],'DB Details'!$A:$L,2)</f>
        <v/>
      </c>
      <c r="C29" s="55" t="n"/>
      <c r="D29" s="55" t="n"/>
      <c r="E29" s="88">
        <f>VLOOKUP(Table91213[[#This Row],[Date]],'DB Details'!$A:$L,5)</f>
        <v/>
      </c>
      <c r="F29" s="88">
        <f>VLOOKUP(Table91213[[#This Row],[Date]],'DB Details'!$A:$L,6)</f>
        <v/>
      </c>
      <c r="G29" s="119" t="n"/>
      <c r="H29" s="88">
        <f>VLOOKUP(Table91213[[#This Row],[Date]],'DB Details'!$A:$L,8)</f>
        <v/>
      </c>
      <c r="I29" s="88">
        <f>VLOOKUP(Table91213[[#This Row],[Date]],'DB Details'!$A:$L,9)</f>
        <v/>
      </c>
      <c r="J29" s="88">
        <f>VLOOKUP(Table91213[[#This Row],[Date]],'DB Details'!$A:$L,10)</f>
        <v/>
      </c>
      <c r="K29" s="119" t="n"/>
      <c r="L29" s="88">
        <f>VLOOKUP(Table91213[[#This Row],[Date]],'DB Details'!$A:$L,12)</f>
        <v/>
      </c>
    </row>
    <row r="30">
      <c r="A30" s="39" t="n">
        <v>18264</v>
      </c>
      <c r="B30" s="57">
        <f>VLOOKUP(Table91213[[#This Row],[Date]],'DB Details'!$A:$L,2)</f>
        <v/>
      </c>
      <c r="C30" s="55" t="n"/>
      <c r="D30" s="55" t="n"/>
      <c r="E30" s="88">
        <f>VLOOKUP(Table91213[[#This Row],[Date]],'DB Details'!$A:$L,5)</f>
        <v/>
      </c>
      <c r="F30" s="88">
        <f>VLOOKUP(Table91213[[#This Row],[Date]],'DB Details'!$A:$L,6)</f>
        <v/>
      </c>
      <c r="G30" s="119" t="n"/>
      <c r="H30" s="88">
        <f>VLOOKUP(Table91213[[#This Row],[Date]],'DB Details'!$A:$L,8)</f>
        <v/>
      </c>
      <c r="I30" s="88">
        <f>VLOOKUP(Table91213[[#This Row],[Date]],'DB Details'!$A:$L,9)</f>
        <v/>
      </c>
      <c r="J30" s="88">
        <f>VLOOKUP(Table91213[[#This Row],[Date]],'DB Details'!$A:$L,10)</f>
        <v/>
      </c>
      <c r="K30" s="119" t="n"/>
      <c r="L30" s="88">
        <f>VLOOKUP(Table91213[[#This Row],[Date]],'DB Details'!$A:$L,12)</f>
        <v/>
      </c>
    </row>
    <row r="31">
      <c r="A31" s="39" t="n">
        <v>18295</v>
      </c>
      <c r="B31" s="57">
        <f>VLOOKUP(Table91213[[#This Row],[Date]],'DB Details'!$A:$L,2)</f>
        <v/>
      </c>
      <c r="C31" s="55" t="n"/>
      <c r="D31" s="55" t="n"/>
      <c r="E31" s="88">
        <f>VLOOKUP(Table91213[[#This Row],[Date]],'DB Details'!$A:$L,5)</f>
        <v/>
      </c>
      <c r="F31" s="88">
        <f>VLOOKUP(Table91213[[#This Row],[Date]],'DB Details'!$A:$L,6)</f>
        <v/>
      </c>
      <c r="G31" s="119" t="n"/>
      <c r="H31" s="88">
        <f>VLOOKUP(Table91213[[#This Row],[Date]],'DB Details'!$A:$L,8)</f>
        <v/>
      </c>
      <c r="I31" s="88">
        <f>VLOOKUP(Table91213[[#This Row],[Date]],'DB Details'!$A:$L,9)</f>
        <v/>
      </c>
      <c r="J31" s="88">
        <f>VLOOKUP(Table91213[[#This Row],[Date]],'DB Details'!$A:$L,10)</f>
        <v/>
      </c>
      <c r="K31" s="119" t="n"/>
      <c r="L31" s="88">
        <f>VLOOKUP(Table91213[[#This Row],[Date]],'DB Details'!$A:$L,12)</f>
        <v/>
      </c>
    </row>
    <row r="32">
      <c r="A32" s="39" t="n">
        <v>18323</v>
      </c>
      <c r="B32" s="57">
        <f>VLOOKUP(Table91213[[#This Row],[Date]],'DB Details'!$A:$L,2)</f>
        <v/>
      </c>
      <c r="C32" s="55" t="n"/>
      <c r="D32" s="55" t="n"/>
      <c r="E32" s="88">
        <f>VLOOKUP(Table91213[[#This Row],[Date]],'DB Details'!$A:$L,5)</f>
        <v/>
      </c>
      <c r="F32" s="88">
        <f>VLOOKUP(Table91213[[#This Row],[Date]],'DB Details'!$A:$L,6)</f>
        <v/>
      </c>
      <c r="G32" s="119" t="n"/>
      <c r="H32" s="88">
        <f>VLOOKUP(Table91213[[#This Row],[Date]],'DB Details'!$A:$L,8)</f>
        <v/>
      </c>
      <c r="I32" s="88">
        <f>VLOOKUP(Table91213[[#This Row],[Date]],'DB Details'!$A:$L,9)</f>
        <v/>
      </c>
      <c r="J32" s="88">
        <f>VLOOKUP(Table91213[[#This Row],[Date]],'DB Details'!$A:$L,10)</f>
        <v/>
      </c>
      <c r="K32" s="119" t="n"/>
      <c r="L32" s="88">
        <f>VLOOKUP(Table91213[[#This Row],[Date]],'DB Details'!$A:$L,12)</f>
        <v/>
      </c>
    </row>
    <row r="33">
      <c r="A33" s="39" t="n">
        <v>18354</v>
      </c>
      <c r="B33" s="57">
        <f>VLOOKUP(Table91213[[#This Row],[Date]],'DB Details'!$A:$L,2)</f>
        <v/>
      </c>
      <c r="C33" s="55" t="n"/>
      <c r="D33" s="55" t="n"/>
      <c r="E33" s="88">
        <f>VLOOKUP(Table91213[[#This Row],[Date]],'DB Details'!$A:$L,5)</f>
        <v/>
      </c>
      <c r="F33" s="88">
        <f>VLOOKUP(Table91213[[#This Row],[Date]],'DB Details'!$A:$L,6)</f>
        <v/>
      </c>
      <c r="G33" s="119" t="n"/>
      <c r="H33" s="88">
        <f>VLOOKUP(Table91213[[#This Row],[Date]],'DB Details'!$A:$L,8)</f>
        <v/>
      </c>
      <c r="I33" s="88">
        <f>VLOOKUP(Table91213[[#This Row],[Date]],'DB Details'!$A:$L,9)</f>
        <v/>
      </c>
      <c r="J33" s="88">
        <f>VLOOKUP(Table91213[[#This Row],[Date]],'DB Details'!$A:$L,10)</f>
        <v/>
      </c>
      <c r="K33" s="119" t="n"/>
      <c r="L33" s="88">
        <f>VLOOKUP(Table91213[[#This Row],[Date]],'DB Details'!$A:$L,12)</f>
        <v/>
      </c>
    </row>
    <row r="34">
      <c r="A34" s="39" t="n">
        <v>18384</v>
      </c>
      <c r="B34" s="57">
        <f>VLOOKUP(Table91213[[#This Row],[Date]],'DB Details'!$A:$L,2)</f>
        <v/>
      </c>
      <c r="C34" s="55" t="n"/>
      <c r="D34" s="55" t="n"/>
      <c r="E34" s="88">
        <f>VLOOKUP(Table91213[[#This Row],[Date]],'DB Details'!$A:$L,5)</f>
        <v/>
      </c>
      <c r="F34" s="88">
        <f>VLOOKUP(Table91213[[#This Row],[Date]],'DB Details'!$A:$L,6)</f>
        <v/>
      </c>
      <c r="G34" s="119" t="n"/>
      <c r="H34" s="88">
        <f>VLOOKUP(Table91213[[#This Row],[Date]],'DB Details'!$A:$L,8)</f>
        <v/>
      </c>
      <c r="I34" s="88">
        <f>VLOOKUP(Table91213[[#This Row],[Date]],'DB Details'!$A:$L,9)</f>
        <v/>
      </c>
      <c r="J34" s="88">
        <f>VLOOKUP(Table91213[[#This Row],[Date]],'DB Details'!$A:$L,10)</f>
        <v/>
      </c>
      <c r="K34" s="119" t="n"/>
      <c r="L34" s="88">
        <f>VLOOKUP(Table91213[[#This Row],[Date]],'DB Details'!$A:$L,12)</f>
        <v/>
      </c>
    </row>
    <row r="35">
      <c r="A35" s="39" t="n">
        <v>18415</v>
      </c>
      <c r="B35" s="57">
        <f>VLOOKUP(Table91213[[#This Row],[Date]],'DB Details'!$A:$L,2)</f>
        <v/>
      </c>
      <c r="C35" s="55" t="n"/>
      <c r="D35" s="55" t="n"/>
      <c r="E35" s="88">
        <f>VLOOKUP(Table91213[[#This Row],[Date]],'DB Details'!$A:$L,5)</f>
        <v/>
      </c>
      <c r="F35" s="88">
        <f>VLOOKUP(Table91213[[#This Row],[Date]],'DB Details'!$A:$L,6)</f>
        <v/>
      </c>
      <c r="G35" s="119" t="n"/>
      <c r="H35" s="88">
        <f>VLOOKUP(Table91213[[#This Row],[Date]],'DB Details'!$A:$L,8)</f>
        <v/>
      </c>
      <c r="I35" s="88">
        <f>VLOOKUP(Table91213[[#This Row],[Date]],'DB Details'!$A:$L,9)</f>
        <v/>
      </c>
      <c r="J35" s="88">
        <f>VLOOKUP(Table91213[[#This Row],[Date]],'DB Details'!$A:$L,10)</f>
        <v/>
      </c>
      <c r="K35" s="119" t="n"/>
      <c r="L35" s="88">
        <f>VLOOKUP(Table91213[[#This Row],[Date]],'DB Details'!$A:$L,12)</f>
        <v/>
      </c>
    </row>
    <row r="36">
      <c r="A36" s="39" t="n">
        <v>18445</v>
      </c>
      <c r="B36" s="57">
        <f>VLOOKUP(Table91213[[#This Row],[Date]],'DB Details'!$A:$L,2)</f>
        <v/>
      </c>
      <c r="C36" s="55" t="n"/>
      <c r="D36" s="55" t="n"/>
      <c r="E36" s="88">
        <f>VLOOKUP(Table91213[[#This Row],[Date]],'DB Details'!$A:$L,5)</f>
        <v/>
      </c>
      <c r="F36" s="88">
        <f>VLOOKUP(Table91213[[#This Row],[Date]],'DB Details'!$A:$L,6)</f>
        <v/>
      </c>
      <c r="G36" s="119" t="n"/>
      <c r="H36" s="88">
        <f>VLOOKUP(Table91213[[#This Row],[Date]],'DB Details'!$A:$L,8)</f>
        <v/>
      </c>
      <c r="I36" s="88">
        <f>VLOOKUP(Table91213[[#This Row],[Date]],'DB Details'!$A:$L,9)</f>
        <v/>
      </c>
      <c r="J36" s="88">
        <f>VLOOKUP(Table91213[[#This Row],[Date]],'DB Details'!$A:$L,10)</f>
        <v/>
      </c>
      <c r="K36" s="119" t="n"/>
      <c r="L36" s="88">
        <f>VLOOKUP(Table91213[[#This Row],[Date]],'DB Details'!$A:$L,12)</f>
        <v/>
      </c>
    </row>
    <row r="37">
      <c r="A37" s="39" t="n">
        <v>18476</v>
      </c>
      <c r="B37" s="57">
        <f>VLOOKUP(Table91213[[#This Row],[Date]],'DB Details'!$A:$L,2)</f>
        <v/>
      </c>
      <c r="C37" s="55" t="n"/>
      <c r="D37" s="55" t="n"/>
      <c r="E37" s="88">
        <f>VLOOKUP(Table91213[[#This Row],[Date]],'DB Details'!$A:$L,5)</f>
        <v/>
      </c>
      <c r="F37" s="88">
        <f>VLOOKUP(Table91213[[#This Row],[Date]],'DB Details'!$A:$L,6)</f>
        <v/>
      </c>
      <c r="G37" s="119" t="n"/>
      <c r="H37" s="88">
        <f>VLOOKUP(Table91213[[#This Row],[Date]],'DB Details'!$A:$L,8)</f>
        <v/>
      </c>
      <c r="I37" s="88">
        <f>VLOOKUP(Table91213[[#This Row],[Date]],'DB Details'!$A:$L,9)</f>
        <v/>
      </c>
      <c r="J37" s="88">
        <f>VLOOKUP(Table91213[[#This Row],[Date]],'DB Details'!$A:$L,10)</f>
        <v/>
      </c>
      <c r="K37" s="119" t="n"/>
      <c r="L37" s="88">
        <f>VLOOKUP(Table91213[[#This Row],[Date]],'DB Details'!$A:$L,12)</f>
        <v/>
      </c>
    </row>
    <row r="38">
      <c r="A38" s="39" t="n">
        <v>18507</v>
      </c>
      <c r="B38" s="57">
        <f>VLOOKUP(Table91213[[#This Row],[Date]],'DB Details'!$A:$L,2)</f>
        <v/>
      </c>
      <c r="C38" s="55" t="n"/>
      <c r="D38" s="55" t="n"/>
      <c r="E38" s="88">
        <f>VLOOKUP(Table91213[[#This Row],[Date]],'DB Details'!$A:$L,5)</f>
        <v/>
      </c>
      <c r="F38" s="88">
        <f>VLOOKUP(Table91213[[#This Row],[Date]],'DB Details'!$A:$L,6)</f>
        <v/>
      </c>
      <c r="G38" s="119" t="n"/>
      <c r="H38" s="88">
        <f>VLOOKUP(Table91213[[#This Row],[Date]],'DB Details'!$A:$L,8)</f>
        <v/>
      </c>
      <c r="I38" s="88">
        <f>VLOOKUP(Table91213[[#This Row],[Date]],'DB Details'!$A:$L,9)</f>
        <v/>
      </c>
      <c r="J38" s="88">
        <f>VLOOKUP(Table91213[[#This Row],[Date]],'DB Details'!$A:$L,10)</f>
        <v/>
      </c>
      <c r="K38" s="119" t="n"/>
      <c r="L38" s="88">
        <f>VLOOKUP(Table91213[[#This Row],[Date]],'DB Details'!$A:$L,12)</f>
        <v/>
      </c>
    </row>
    <row r="39">
      <c r="A39" s="39" t="n">
        <v>18537</v>
      </c>
      <c r="B39" s="57">
        <f>VLOOKUP(Table91213[[#This Row],[Date]],'DB Details'!$A:$L,2)</f>
        <v/>
      </c>
      <c r="C39" s="55" t="n"/>
      <c r="D39" s="55" t="n"/>
      <c r="E39" s="88">
        <f>VLOOKUP(Table91213[[#This Row],[Date]],'DB Details'!$A:$L,5)</f>
        <v/>
      </c>
      <c r="F39" s="88">
        <f>VLOOKUP(Table91213[[#This Row],[Date]],'DB Details'!$A:$L,6)</f>
        <v/>
      </c>
      <c r="G39" s="119" t="n"/>
      <c r="H39" s="88">
        <f>VLOOKUP(Table91213[[#This Row],[Date]],'DB Details'!$A:$L,8)</f>
        <v/>
      </c>
      <c r="I39" s="88">
        <f>VLOOKUP(Table91213[[#This Row],[Date]],'DB Details'!$A:$L,9)</f>
        <v/>
      </c>
      <c r="J39" s="88">
        <f>VLOOKUP(Table91213[[#This Row],[Date]],'DB Details'!$A:$L,10)</f>
        <v/>
      </c>
      <c r="K39" s="119" t="n"/>
      <c r="L39" s="88">
        <f>VLOOKUP(Table91213[[#This Row],[Date]],'DB Details'!$A:$L,12)</f>
        <v/>
      </c>
    </row>
    <row r="40">
      <c r="A40" s="39" t="n">
        <v>18568</v>
      </c>
      <c r="B40" s="57">
        <f>VLOOKUP(Table91213[[#This Row],[Date]],'DB Details'!$A:$L,2)</f>
        <v/>
      </c>
      <c r="C40" s="55" t="n"/>
      <c r="D40" s="55" t="n"/>
      <c r="E40" s="88">
        <f>VLOOKUP(Table91213[[#This Row],[Date]],'DB Details'!$A:$L,5)</f>
        <v/>
      </c>
      <c r="F40" s="88">
        <f>VLOOKUP(Table91213[[#This Row],[Date]],'DB Details'!$A:$L,6)</f>
        <v/>
      </c>
      <c r="G40" s="119" t="n"/>
      <c r="H40" s="88">
        <f>VLOOKUP(Table91213[[#This Row],[Date]],'DB Details'!$A:$L,8)</f>
        <v/>
      </c>
      <c r="I40" s="88">
        <f>VLOOKUP(Table91213[[#This Row],[Date]],'DB Details'!$A:$L,9)</f>
        <v/>
      </c>
      <c r="J40" s="88">
        <f>VLOOKUP(Table91213[[#This Row],[Date]],'DB Details'!$A:$L,10)</f>
        <v/>
      </c>
      <c r="K40" s="119" t="n"/>
      <c r="L40" s="88">
        <f>VLOOKUP(Table91213[[#This Row],[Date]],'DB Details'!$A:$L,12)</f>
        <v/>
      </c>
    </row>
    <row r="41">
      <c r="A41" s="39" t="n">
        <v>18598</v>
      </c>
      <c r="B41" s="57">
        <f>VLOOKUP(Table91213[[#This Row],[Date]],'DB Details'!$A:$L,2)</f>
        <v/>
      </c>
      <c r="C41" s="55" t="n"/>
      <c r="D41" s="55" t="n"/>
      <c r="E41" s="88">
        <f>VLOOKUP(Table91213[[#This Row],[Date]],'DB Details'!$A:$L,5)</f>
        <v/>
      </c>
      <c r="F41" s="88">
        <f>VLOOKUP(Table91213[[#This Row],[Date]],'DB Details'!$A:$L,6)</f>
        <v/>
      </c>
      <c r="G41" s="119" t="n"/>
      <c r="H41" s="88">
        <f>VLOOKUP(Table91213[[#This Row],[Date]],'DB Details'!$A:$L,8)</f>
        <v/>
      </c>
      <c r="I41" s="88">
        <f>VLOOKUP(Table91213[[#This Row],[Date]],'DB Details'!$A:$L,9)</f>
        <v/>
      </c>
      <c r="J41" s="88">
        <f>VLOOKUP(Table91213[[#This Row],[Date]],'DB Details'!$A:$L,10)</f>
        <v/>
      </c>
      <c r="K41" s="119" t="n"/>
      <c r="L41" s="88">
        <f>VLOOKUP(Table91213[[#This Row],[Date]],'DB Details'!$A:$L,12)</f>
        <v/>
      </c>
    </row>
    <row r="42">
      <c r="A42" s="39" t="n">
        <v>18629</v>
      </c>
      <c r="B42" s="57">
        <f>VLOOKUP(Table91213[[#This Row],[Date]],'DB Details'!$A:$L,2)</f>
        <v/>
      </c>
      <c r="C42" s="55" t="n"/>
      <c r="D42" s="55" t="n"/>
      <c r="E42" s="88">
        <f>VLOOKUP(Table91213[[#This Row],[Date]],'DB Details'!$A:$L,5)</f>
        <v/>
      </c>
      <c r="F42" s="88">
        <f>VLOOKUP(Table91213[[#This Row],[Date]],'DB Details'!$A:$L,6)</f>
        <v/>
      </c>
      <c r="G42" s="119" t="n"/>
      <c r="H42" s="88">
        <f>VLOOKUP(Table91213[[#This Row],[Date]],'DB Details'!$A:$L,8)</f>
        <v/>
      </c>
      <c r="I42" s="88">
        <f>VLOOKUP(Table91213[[#This Row],[Date]],'DB Details'!$A:$L,9)</f>
        <v/>
      </c>
      <c r="J42" s="88">
        <f>VLOOKUP(Table91213[[#This Row],[Date]],'DB Details'!$A:$L,10)</f>
        <v/>
      </c>
      <c r="K42" s="119" t="n"/>
      <c r="L42" s="88">
        <f>VLOOKUP(Table91213[[#This Row],[Date]],'DB Details'!$A:$L,12)</f>
        <v/>
      </c>
    </row>
    <row r="43">
      <c r="A43" s="39" t="n">
        <v>18660</v>
      </c>
      <c r="B43" s="57">
        <f>VLOOKUP(Table91213[[#This Row],[Date]],'DB Details'!$A:$L,2)</f>
        <v/>
      </c>
      <c r="C43" s="55" t="n"/>
      <c r="D43" s="55" t="n"/>
      <c r="E43" s="88">
        <f>VLOOKUP(Table91213[[#This Row],[Date]],'DB Details'!$A:$L,5)</f>
        <v/>
      </c>
      <c r="F43" s="88">
        <f>VLOOKUP(Table91213[[#This Row],[Date]],'DB Details'!$A:$L,6)</f>
        <v/>
      </c>
      <c r="G43" s="119" t="n"/>
      <c r="H43" s="88">
        <f>VLOOKUP(Table91213[[#This Row],[Date]],'DB Details'!$A:$L,8)</f>
        <v/>
      </c>
      <c r="I43" s="88">
        <f>VLOOKUP(Table91213[[#This Row],[Date]],'DB Details'!$A:$L,9)</f>
        <v/>
      </c>
      <c r="J43" s="88">
        <f>VLOOKUP(Table91213[[#This Row],[Date]],'DB Details'!$A:$L,10)</f>
        <v/>
      </c>
      <c r="K43" s="119" t="n"/>
      <c r="L43" s="88">
        <f>VLOOKUP(Table91213[[#This Row],[Date]],'DB Details'!$A:$L,12)</f>
        <v/>
      </c>
    </row>
    <row r="44">
      <c r="A44" s="39" t="n">
        <v>18688</v>
      </c>
      <c r="B44" s="57">
        <f>VLOOKUP(Table91213[[#This Row],[Date]],'DB Details'!$A:$L,2)</f>
        <v/>
      </c>
      <c r="C44" s="55" t="n"/>
      <c r="D44" s="55" t="n"/>
      <c r="E44" s="88">
        <f>VLOOKUP(Table91213[[#This Row],[Date]],'DB Details'!$A:$L,5)</f>
        <v/>
      </c>
      <c r="F44" s="88">
        <f>VLOOKUP(Table91213[[#This Row],[Date]],'DB Details'!$A:$L,6)</f>
        <v/>
      </c>
      <c r="G44" s="119" t="n"/>
      <c r="H44" s="88">
        <f>VLOOKUP(Table91213[[#This Row],[Date]],'DB Details'!$A:$L,8)</f>
        <v/>
      </c>
      <c r="I44" s="88">
        <f>VLOOKUP(Table91213[[#This Row],[Date]],'DB Details'!$A:$L,9)</f>
        <v/>
      </c>
      <c r="J44" s="88">
        <f>VLOOKUP(Table91213[[#This Row],[Date]],'DB Details'!$A:$L,10)</f>
        <v/>
      </c>
      <c r="K44" s="119" t="n"/>
      <c r="L44" s="88">
        <f>VLOOKUP(Table91213[[#This Row],[Date]],'DB Details'!$A:$L,12)</f>
        <v/>
      </c>
    </row>
    <row r="45">
      <c r="A45" s="39" t="n">
        <v>18719</v>
      </c>
      <c r="B45" s="57">
        <f>VLOOKUP(Table91213[[#This Row],[Date]],'DB Details'!$A:$L,2)</f>
        <v/>
      </c>
      <c r="C45" s="55" t="n"/>
      <c r="D45" s="55" t="n"/>
      <c r="E45" s="88">
        <f>VLOOKUP(Table91213[[#This Row],[Date]],'DB Details'!$A:$L,5)</f>
        <v/>
      </c>
      <c r="F45" s="88">
        <f>VLOOKUP(Table91213[[#This Row],[Date]],'DB Details'!$A:$L,6)</f>
        <v/>
      </c>
      <c r="G45" s="119" t="n"/>
      <c r="H45" s="88">
        <f>VLOOKUP(Table91213[[#This Row],[Date]],'DB Details'!$A:$L,8)</f>
        <v/>
      </c>
      <c r="I45" s="88">
        <f>VLOOKUP(Table91213[[#This Row],[Date]],'DB Details'!$A:$L,9)</f>
        <v/>
      </c>
      <c r="J45" s="88">
        <f>VLOOKUP(Table91213[[#This Row],[Date]],'DB Details'!$A:$L,10)</f>
        <v/>
      </c>
      <c r="K45" s="119" t="n"/>
      <c r="L45" s="88">
        <f>VLOOKUP(Table91213[[#This Row],[Date]],'DB Details'!$A:$L,12)</f>
        <v/>
      </c>
    </row>
    <row r="46">
      <c r="A46" s="39" t="n">
        <v>18749</v>
      </c>
      <c r="B46" s="57">
        <f>VLOOKUP(Table91213[[#This Row],[Date]],'DB Details'!$A:$L,2)</f>
        <v/>
      </c>
      <c r="C46" s="55" t="n"/>
      <c r="D46" s="55" t="n"/>
      <c r="E46" s="88">
        <f>VLOOKUP(Table91213[[#This Row],[Date]],'DB Details'!$A:$L,5)</f>
        <v/>
      </c>
      <c r="F46" s="88">
        <f>VLOOKUP(Table91213[[#This Row],[Date]],'DB Details'!$A:$L,6)</f>
        <v/>
      </c>
      <c r="G46" s="119" t="n"/>
      <c r="H46" s="88">
        <f>VLOOKUP(Table91213[[#This Row],[Date]],'DB Details'!$A:$L,8)</f>
        <v/>
      </c>
      <c r="I46" s="88">
        <f>VLOOKUP(Table91213[[#This Row],[Date]],'DB Details'!$A:$L,9)</f>
        <v/>
      </c>
      <c r="J46" s="88">
        <f>VLOOKUP(Table91213[[#This Row],[Date]],'DB Details'!$A:$L,10)</f>
        <v/>
      </c>
      <c r="K46" s="119" t="n"/>
      <c r="L46" s="88">
        <f>VLOOKUP(Table91213[[#This Row],[Date]],'DB Details'!$A:$L,12)</f>
        <v/>
      </c>
    </row>
    <row r="47">
      <c r="A47" s="39" t="n">
        <v>18780</v>
      </c>
      <c r="B47" s="57">
        <f>VLOOKUP(Table91213[[#This Row],[Date]],'DB Details'!$A:$L,2)</f>
        <v/>
      </c>
      <c r="C47" s="55" t="n"/>
      <c r="D47" s="55" t="n"/>
      <c r="E47" s="88">
        <f>VLOOKUP(Table91213[[#This Row],[Date]],'DB Details'!$A:$L,5)</f>
        <v/>
      </c>
      <c r="F47" s="88">
        <f>VLOOKUP(Table91213[[#This Row],[Date]],'DB Details'!$A:$L,6)</f>
        <v/>
      </c>
      <c r="G47" s="119" t="n"/>
      <c r="H47" s="88">
        <f>VLOOKUP(Table91213[[#This Row],[Date]],'DB Details'!$A:$L,8)</f>
        <v/>
      </c>
      <c r="I47" s="88">
        <f>VLOOKUP(Table91213[[#This Row],[Date]],'DB Details'!$A:$L,9)</f>
        <v/>
      </c>
      <c r="J47" s="88">
        <f>VLOOKUP(Table91213[[#This Row],[Date]],'DB Details'!$A:$L,10)</f>
        <v/>
      </c>
      <c r="K47" s="119" t="n"/>
      <c r="L47" s="88">
        <f>VLOOKUP(Table91213[[#This Row],[Date]],'DB Details'!$A:$L,12)</f>
        <v/>
      </c>
    </row>
    <row r="48">
      <c r="A48" s="39" t="n">
        <v>18810</v>
      </c>
      <c r="B48" s="57">
        <f>VLOOKUP(Table91213[[#This Row],[Date]],'DB Details'!$A:$L,2)</f>
        <v/>
      </c>
      <c r="C48" s="55" t="n"/>
      <c r="D48" s="55" t="n"/>
      <c r="E48" s="88">
        <f>VLOOKUP(Table91213[[#This Row],[Date]],'DB Details'!$A:$L,5)</f>
        <v/>
      </c>
      <c r="F48" s="88">
        <f>VLOOKUP(Table91213[[#This Row],[Date]],'DB Details'!$A:$L,6)</f>
        <v/>
      </c>
      <c r="G48" s="119" t="n"/>
      <c r="H48" s="88">
        <f>VLOOKUP(Table91213[[#This Row],[Date]],'DB Details'!$A:$L,8)</f>
        <v/>
      </c>
      <c r="I48" s="88">
        <f>VLOOKUP(Table91213[[#This Row],[Date]],'DB Details'!$A:$L,9)</f>
        <v/>
      </c>
      <c r="J48" s="88">
        <f>VLOOKUP(Table91213[[#This Row],[Date]],'DB Details'!$A:$L,10)</f>
        <v/>
      </c>
      <c r="K48" s="119" t="n"/>
      <c r="L48" s="88">
        <f>VLOOKUP(Table91213[[#This Row],[Date]],'DB Details'!$A:$L,12)</f>
        <v/>
      </c>
    </row>
    <row r="49">
      <c r="A49" s="39" t="n">
        <v>18841</v>
      </c>
      <c r="B49" s="57">
        <f>VLOOKUP(Table91213[[#This Row],[Date]],'DB Details'!$A:$L,2)</f>
        <v/>
      </c>
      <c r="C49" s="55" t="n"/>
      <c r="D49" s="55" t="n"/>
      <c r="E49" s="88">
        <f>VLOOKUP(Table91213[[#This Row],[Date]],'DB Details'!$A:$L,5)</f>
        <v/>
      </c>
      <c r="F49" s="88">
        <f>VLOOKUP(Table91213[[#This Row],[Date]],'DB Details'!$A:$L,6)</f>
        <v/>
      </c>
      <c r="G49" s="119" t="n"/>
      <c r="H49" s="88">
        <f>VLOOKUP(Table91213[[#This Row],[Date]],'DB Details'!$A:$L,8)</f>
        <v/>
      </c>
      <c r="I49" s="88">
        <f>VLOOKUP(Table91213[[#This Row],[Date]],'DB Details'!$A:$L,9)</f>
        <v/>
      </c>
      <c r="J49" s="88">
        <f>VLOOKUP(Table91213[[#This Row],[Date]],'DB Details'!$A:$L,10)</f>
        <v/>
      </c>
      <c r="K49" s="119" t="n"/>
      <c r="L49" s="88">
        <f>VLOOKUP(Table91213[[#This Row],[Date]],'DB Details'!$A:$L,12)</f>
        <v/>
      </c>
    </row>
    <row r="50">
      <c r="A50" s="39" t="n">
        <v>18872</v>
      </c>
      <c r="B50" s="57">
        <f>VLOOKUP(Table91213[[#This Row],[Date]],'DB Details'!$A:$L,2)</f>
        <v/>
      </c>
      <c r="C50" s="55" t="n"/>
      <c r="D50" s="55" t="n"/>
      <c r="E50" s="88">
        <f>VLOOKUP(Table91213[[#This Row],[Date]],'DB Details'!$A:$L,5)</f>
        <v/>
      </c>
      <c r="F50" s="88">
        <f>VLOOKUP(Table91213[[#This Row],[Date]],'DB Details'!$A:$L,6)</f>
        <v/>
      </c>
      <c r="G50" s="119" t="n"/>
      <c r="H50" s="88">
        <f>VLOOKUP(Table91213[[#This Row],[Date]],'DB Details'!$A:$L,8)</f>
        <v/>
      </c>
      <c r="I50" s="88">
        <f>VLOOKUP(Table91213[[#This Row],[Date]],'DB Details'!$A:$L,9)</f>
        <v/>
      </c>
      <c r="J50" s="88">
        <f>VLOOKUP(Table91213[[#This Row],[Date]],'DB Details'!$A:$L,10)</f>
        <v/>
      </c>
      <c r="K50" s="119" t="n"/>
      <c r="L50" s="88">
        <f>VLOOKUP(Table91213[[#This Row],[Date]],'DB Details'!$A:$L,12)</f>
        <v/>
      </c>
    </row>
    <row r="51">
      <c r="A51" s="39" t="n">
        <v>18902</v>
      </c>
      <c r="B51" s="57">
        <f>VLOOKUP(Table91213[[#This Row],[Date]],'DB Details'!$A:$L,2)</f>
        <v/>
      </c>
      <c r="C51" s="55" t="n"/>
      <c r="D51" s="55" t="n"/>
      <c r="E51" s="88">
        <f>VLOOKUP(Table91213[[#This Row],[Date]],'DB Details'!$A:$L,5)</f>
        <v/>
      </c>
      <c r="F51" s="88">
        <f>VLOOKUP(Table91213[[#This Row],[Date]],'DB Details'!$A:$L,6)</f>
        <v/>
      </c>
      <c r="G51" s="119" t="n"/>
      <c r="H51" s="88">
        <f>VLOOKUP(Table91213[[#This Row],[Date]],'DB Details'!$A:$L,8)</f>
        <v/>
      </c>
      <c r="I51" s="88">
        <f>VLOOKUP(Table91213[[#This Row],[Date]],'DB Details'!$A:$L,9)</f>
        <v/>
      </c>
      <c r="J51" s="88">
        <f>VLOOKUP(Table91213[[#This Row],[Date]],'DB Details'!$A:$L,10)</f>
        <v/>
      </c>
      <c r="K51" s="119" t="n"/>
      <c r="L51" s="88">
        <f>VLOOKUP(Table91213[[#This Row],[Date]],'DB Details'!$A:$L,12)</f>
        <v/>
      </c>
    </row>
    <row r="52">
      <c r="A52" s="39" t="n">
        <v>18933</v>
      </c>
      <c r="B52" s="57">
        <f>VLOOKUP(Table91213[[#This Row],[Date]],'DB Details'!$A:$L,2)</f>
        <v/>
      </c>
      <c r="C52" s="55" t="n"/>
      <c r="D52" s="55" t="n"/>
      <c r="E52" s="88">
        <f>VLOOKUP(Table91213[[#This Row],[Date]],'DB Details'!$A:$L,5)</f>
        <v/>
      </c>
      <c r="F52" s="88">
        <f>VLOOKUP(Table91213[[#This Row],[Date]],'DB Details'!$A:$L,6)</f>
        <v/>
      </c>
      <c r="G52" s="119" t="n"/>
      <c r="H52" s="88">
        <f>VLOOKUP(Table91213[[#This Row],[Date]],'DB Details'!$A:$L,8)</f>
        <v/>
      </c>
      <c r="I52" s="88">
        <f>VLOOKUP(Table91213[[#This Row],[Date]],'DB Details'!$A:$L,9)</f>
        <v/>
      </c>
      <c r="J52" s="88">
        <f>VLOOKUP(Table91213[[#This Row],[Date]],'DB Details'!$A:$L,10)</f>
        <v/>
      </c>
      <c r="K52" s="119" t="n"/>
      <c r="L52" s="88">
        <f>VLOOKUP(Table91213[[#This Row],[Date]],'DB Details'!$A:$L,12)</f>
        <v/>
      </c>
    </row>
    <row r="53">
      <c r="A53" s="39" t="n">
        <v>18963</v>
      </c>
      <c r="B53" s="57">
        <f>VLOOKUP(Table91213[[#This Row],[Date]],'DB Details'!$A:$L,2)</f>
        <v/>
      </c>
      <c r="C53" s="55" t="n"/>
      <c r="D53" s="55" t="n"/>
      <c r="E53" s="88">
        <f>VLOOKUP(Table91213[[#This Row],[Date]],'DB Details'!$A:$L,5)</f>
        <v/>
      </c>
      <c r="F53" s="88">
        <f>VLOOKUP(Table91213[[#This Row],[Date]],'DB Details'!$A:$L,6)</f>
        <v/>
      </c>
      <c r="G53" s="119" t="n"/>
      <c r="H53" s="88">
        <f>VLOOKUP(Table91213[[#This Row],[Date]],'DB Details'!$A:$L,8)</f>
        <v/>
      </c>
      <c r="I53" s="88">
        <f>VLOOKUP(Table91213[[#This Row],[Date]],'DB Details'!$A:$L,9)</f>
        <v/>
      </c>
      <c r="J53" s="88">
        <f>VLOOKUP(Table91213[[#This Row],[Date]],'DB Details'!$A:$L,10)</f>
        <v/>
      </c>
      <c r="K53" s="119" t="n"/>
      <c r="L53" s="88">
        <f>VLOOKUP(Table91213[[#This Row],[Date]],'DB Details'!$A:$L,12)</f>
        <v/>
      </c>
    </row>
    <row r="54">
      <c r="A54" s="39" t="n">
        <v>18994</v>
      </c>
      <c r="B54" s="57">
        <f>VLOOKUP(Table91213[[#This Row],[Date]],'DB Details'!$A:$L,2)</f>
        <v/>
      </c>
      <c r="C54" s="55" t="n"/>
      <c r="D54" s="55" t="n"/>
      <c r="E54" s="88">
        <f>VLOOKUP(Table91213[[#This Row],[Date]],'DB Details'!$A:$L,5)</f>
        <v/>
      </c>
      <c r="F54" s="88">
        <f>VLOOKUP(Table91213[[#This Row],[Date]],'DB Details'!$A:$L,6)</f>
        <v/>
      </c>
      <c r="G54" s="119" t="n"/>
      <c r="H54" s="88">
        <f>VLOOKUP(Table91213[[#This Row],[Date]],'DB Details'!$A:$L,8)</f>
        <v/>
      </c>
      <c r="I54" s="88">
        <f>VLOOKUP(Table91213[[#This Row],[Date]],'DB Details'!$A:$L,9)</f>
        <v/>
      </c>
      <c r="J54" s="88">
        <f>VLOOKUP(Table91213[[#This Row],[Date]],'DB Details'!$A:$L,10)</f>
        <v/>
      </c>
      <c r="K54" s="119" t="n"/>
      <c r="L54" s="88">
        <f>VLOOKUP(Table91213[[#This Row],[Date]],'DB Details'!$A:$L,12)</f>
        <v/>
      </c>
    </row>
    <row r="55">
      <c r="A55" s="39" t="n">
        <v>19025</v>
      </c>
      <c r="B55" s="57">
        <f>VLOOKUP(Table91213[[#This Row],[Date]],'DB Details'!$A:$L,2)</f>
        <v/>
      </c>
      <c r="C55" s="55" t="n"/>
      <c r="D55" s="55" t="n"/>
      <c r="E55" s="88">
        <f>VLOOKUP(Table91213[[#This Row],[Date]],'DB Details'!$A:$L,5)</f>
        <v/>
      </c>
      <c r="F55" s="88">
        <f>VLOOKUP(Table91213[[#This Row],[Date]],'DB Details'!$A:$L,6)</f>
        <v/>
      </c>
      <c r="G55" s="119" t="n"/>
      <c r="H55" s="88">
        <f>VLOOKUP(Table91213[[#This Row],[Date]],'DB Details'!$A:$L,8)</f>
        <v/>
      </c>
      <c r="I55" s="88">
        <f>VLOOKUP(Table91213[[#This Row],[Date]],'DB Details'!$A:$L,9)</f>
        <v/>
      </c>
      <c r="J55" s="88">
        <f>VLOOKUP(Table91213[[#This Row],[Date]],'DB Details'!$A:$L,10)</f>
        <v/>
      </c>
      <c r="K55" s="119" t="n"/>
      <c r="L55" s="88">
        <f>VLOOKUP(Table91213[[#This Row],[Date]],'DB Details'!$A:$L,12)</f>
        <v/>
      </c>
    </row>
    <row r="56">
      <c r="A56" s="39" t="n">
        <v>19054</v>
      </c>
      <c r="B56" s="57">
        <f>VLOOKUP(Table91213[[#This Row],[Date]],'DB Details'!$A:$L,2)</f>
        <v/>
      </c>
      <c r="C56" s="55" t="n"/>
      <c r="D56" s="55" t="n"/>
      <c r="E56" s="88">
        <f>VLOOKUP(Table91213[[#This Row],[Date]],'DB Details'!$A:$L,5)</f>
        <v/>
      </c>
      <c r="F56" s="88">
        <f>VLOOKUP(Table91213[[#This Row],[Date]],'DB Details'!$A:$L,6)</f>
        <v/>
      </c>
      <c r="G56" s="119" t="n"/>
      <c r="H56" s="88">
        <f>VLOOKUP(Table91213[[#This Row],[Date]],'DB Details'!$A:$L,8)</f>
        <v/>
      </c>
      <c r="I56" s="88">
        <f>VLOOKUP(Table91213[[#This Row],[Date]],'DB Details'!$A:$L,9)</f>
        <v/>
      </c>
      <c r="J56" s="88">
        <f>VLOOKUP(Table91213[[#This Row],[Date]],'DB Details'!$A:$L,10)</f>
        <v/>
      </c>
      <c r="K56" s="119" t="n"/>
      <c r="L56" s="88">
        <f>VLOOKUP(Table91213[[#This Row],[Date]],'DB Details'!$A:$L,12)</f>
        <v/>
      </c>
    </row>
    <row r="57">
      <c r="A57" s="39" t="n">
        <v>19085</v>
      </c>
      <c r="B57" s="57">
        <f>VLOOKUP(Table91213[[#This Row],[Date]],'DB Details'!$A:$L,2)</f>
        <v/>
      </c>
      <c r="C57" s="55" t="n"/>
      <c r="D57" s="55" t="n"/>
      <c r="E57" s="88">
        <f>VLOOKUP(Table91213[[#This Row],[Date]],'DB Details'!$A:$L,5)</f>
        <v/>
      </c>
      <c r="F57" s="88">
        <f>VLOOKUP(Table91213[[#This Row],[Date]],'DB Details'!$A:$L,6)</f>
        <v/>
      </c>
      <c r="G57" s="119" t="n"/>
      <c r="H57" s="88">
        <f>VLOOKUP(Table91213[[#This Row],[Date]],'DB Details'!$A:$L,8)</f>
        <v/>
      </c>
      <c r="I57" s="88">
        <f>VLOOKUP(Table91213[[#This Row],[Date]],'DB Details'!$A:$L,9)</f>
        <v/>
      </c>
      <c r="J57" s="88">
        <f>VLOOKUP(Table91213[[#This Row],[Date]],'DB Details'!$A:$L,10)</f>
        <v/>
      </c>
      <c r="K57" s="119" t="n"/>
      <c r="L57" s="88">
        <f>VLOOKUP(Table91213[[#This Row],[Date]],'DB Details'!$A:$L,12)</f>
        <v/>
      </c>
    </row>
    <row r="58">
      <c r="A58" s="39" t="n">
        <v>19115</v>
      </c>
      <c r="B58" s="57">
        <f>VLOOKUP(Table91213[[#This Row],[Date]],'DB Details'!$A:$L,2)</f>
        <v/>
      </c>
      <c r="C58" s="55" t="n"/>
      <c r="D58" s="55" t="n"/>
      <c r="E58" s="88">
        <f>VLOOKUP(Table91213[[#This Row],[Date]],'DB Details'!$A:$L,5)</f>
        <v/>
      </c>
      <c r="F58" s="88">
        <f>VLOOKUP(Table91213[[#This Row],[Date]],'DB Details'!$A:$L,6)</f>
        <v/>
      </c>
      <c r="G58" s="119" t="n"/>
      <c r="H58" s="88">
        <f>VLOOKUP(Table91213[[#This Row],[Date]],'DB Details'!$A:$L,8)</f>
        <v/>
      </c>
      <c r="I58" s="88">
        <f>VLOOKUP(Table91213[[#This Row],[Date]],'DB Details'!$A:$L,9)</f>
        <v/>
      </c>
      <c r="J58" s="88">
        <f>VLOOKUP(Table91213[[#This Row],[Date]],'DB Details'!$A:$L,10)</f>
        <v/>
      </c>
      <c r="K58" s="119" t="n"/>
      <c r="L58" s="88">
        <f>VLOOKUP(Table91213[[#This Row],[Date]],'DB Details'!$A:$L,12)</f>
        <v/>
      </c>
    </row>
    <row r="59">
      <c r="A59" s="39" t="n">
        <v>19146</v>
      </c>
      <c r="B59" s="57">
        <f>VLOOKUP(Table91213[[#This Row],[Date]],'DB Details'!$A:$L,2)</f>
        <v/>
      </c>
      <c r="C59" s="55" t="n"/>
      <c r="D59" s="55" t="n"/>
      <c r="E59" s="88">
        <f>VLOOKUP(Table91213[[#This Row],[Date]],'DB Details'!$A:$L,5)</f>
        <v/>
      </c>
      <c r="F59" s="88">
        <f>VLOOKUP(Table91213[[#This Row],[Date]],'DB Details'!$A:$L,6)</f>
        <v/>
      </c>
      <c r="G59" s="119" t="n"/>
      <c r="H59" s="88">
        <f>VLOOKUP(Table91213[[#This Row],[Date]],'DB Details'!$A:$L,8)</f>
        <v/>
      </c>
      <c r="I59" s="88">
        <f>VLOOKUP(Table91213[[#This Row],[Date]],'DB Details'!$A:$L,9)</f>
        <v/>
      </c>
      <c r="J59" s="88">
        <f>VLOOKUP(Table91213[[#This Row],[Date]],'DB Details'!$A:$L,10)</f>
        <v/>
      </c>
      <c r="K59" s="119" t="n"/>
      <c r="L59" s="88">
        <f>VLOOKUP(Table91213[[#This Row],[Date]],'DB Details'!$A:$L,12)</f>
        <v/>
      </c>
    </row>
    <row r="60">
      <c r="A60" s="39" t="n">
        <v>19176</v>
      </c>
      <c r="B60" s="57">
        <f>VLOOKUP(Table91213[[#This Row],[Date]],'DB Details'!$A:$L,2)</f>
        <v/>
      </c>
      <c r="C60" s="55" t="n"/>
      <c r="D60" s="55" t="n"/>
      <c r="E60" s="88">
        <f>VLOOKUP(Table91213[[#This Row],[Date]],'DB Details'!$A:$L,5)</f>
        <v/>
      </c>
      <c r="F60" s="88">
        <f>VLOOKUP(Table91213[[#This Row],[Date]],'DB Details'!$A:$L,6)</f>
        <v/>
      </c>
      <c r="G60" s="119" t="n"/>
      <c r="H60" s="88">
        <f>VLOOKUP(Table91213[[#This Row],[Date]],'DB Details'!$A:$L,8)</f>
        <v/>
      </c>
      <c r="I60" s="88">
        <f>VLOOKUP(Table91213[[#This Row],[Date]],'DB Details'!$A:$L,9)</f>
        <v/>
      </c>
      <c r="J60" s="88">
        <f>VLOOKUP(Table91213[[#This Row],[Date]],'DB Details'!$A:$L,10)</f>
        <v/>
      </c>
      <c r="K60" s="119" t="n"/>
      <c r="L60" s="88">
        <f>VLOOKUP(Table91213[[#This Row],[Date]],'DB Details'!$A:$L,12)</f>
        <v/>
      </c>
    </row>
    <row r="61">
      <c r="A61" s="39" t="n">
        <v>19207</v>
      </c>
      <c r="B61" s="57">
        <f>VLOOKUP(Table91213[[#This Row],[Date]],'DB Details'!$A:$L,2)</f>
        <v/>
      </c>
      <c r="C61" s="55" t="n"/>
      <c r="D61" s="55" t="n"/>
      <c r="E61" s="88">
        <f>VLOOKUP(Table91213[[#This Row],[Date]],'DB Details'!$A:$L,5)</f>
        <v/>
      </c>
      <c r="F61" s="88">
        <f>VLOOKUP(Table91213[[#This Row],[Date]],'DB Details'!$A:$L,6)</f>
        <v/>
      </c>
      <c r="G61" s="119" t="n"/>
      <c r="H61" s="88">
        <f>VLOOKUP(Table91213[[#This Row],[Date]],'DB Details'!$A:$L,8)</f>
        <v/>
      </c>
      <c r="I61" s="88">
        <f>VLOOKUP(Table91213[[#This Row],[Date]],'DB Details'!$A:$L,9)</f>
        <v/>
      </c>
      <c r="J61" s="88">
        <f>VLOOKUP(Table91213[[#This Row],[Date]],'DB Details'!$A:$L,10)</f>
        <v/>
      </c>
      <c r="K61" s="119" t="n"/>
      <c r="L61" s="88">
        <f>VLOOKUP(Table91213[[#This Row],[Date]],'DB Details'!$A:$L,12)</f>
        <v/>
      </c>
    </row>
    <row r="62">
      <c r="A62" s="39" t="n">
        <v>19238</v>
      </c>
      <c r="B62" s="57">
        <f>VLOOKUP(Table91213[[#This Row],[Date]],'DB Details'!$A:$L,2)</f>
        <v/>
      </c>
      <c r="C62" s="55" t="n"/>
      <c r="D62" s="55" t="n"/>
      <c r="E62" s="88">
        <f>VLOOKUP(Table91213[[#This Row],[Date]],'DB Details'!$A:$L,5)</f>
        <v/>
      </c>
      <c r="F62" s="88">
        <f>VLOOKUP(Table91213[[#This Row],[Date]],'DB Details'!$A:$L,6)</f>
        <v/>
      </c>
      <c r="G62" s="119" t="n"/>
      <c r="H62" s="88">
        <f>VLOOKUP(Table91213[[#This Row],[Date]],'DB Details'!$A:$L,8)</f>
        <v/>
      </c>
      <c r="I62" s="88">
        <f>VLOOKUP(Table91213[[#This Row],[Date]],'DB Details'!$A:$L,9)</f>
        <v/>
      </c>
      <c r="J62" s="88">
        <f>VLOOKUP(Table91213[[#This Row],[Date]],'DB Details'!$A:$L,10)</f>
        <v/>
      </c>
      <c r="K62" s="119" t="n"/>
      <c r="L62" s="88">
        <f>VLOOKUP(Table91213[[#This Row],[Date]],'DB Details'!$A:$L,12)</f>
        <v/>
      </c>
    </row>
    <row r="63">
      <c r="A63" s="39" t="n">
        <v>19268</v>
      </c>
      <c r="B63" s="57">
        <f>VLOOKUP(Table91213[[#This Row],[Date]],'DB Details'!$A:$L,2)</f>
        <v/>
      </c>
      <c r="C63" s="55" t="n"/>
      <c r="D63" s="55" t="n"/>
      <c r="E63" s="88">
        <f>VLOOKUP(Table91213[[#This Row],[Date]],'DB Details'!$A:$L,5)</f>
        <v/>
      </c>
      <c r="F63" s="88">
        <f>VLOOKUP(Table91213[[#This Row],[Date]],'DB Details'!$A:$L,6)</f>
        <v/>
      </c>
      <c r="G63" s="119" t="n"/>
      <c r="H63" s="88">
        <f>VLOOKUP(Table91213[[#This Row],[Date]],'DB Details'!$A:$L,8)</f>
        <v/>
      </c>
      <c r="I63" s="88">
        <f>VLOOKUP(Table91213[[#This Row],[Date]],'DB Details'!$A:$L,9)</f>
        <v/>
      </c>
      <c r="J63" s="88">
        <f>VLOOKUP(Table91213[[#This Row],[Date]],'DB Details'!$A:$L,10)</f>
        <v/>
      </c>
      <c r="K63" s="119" t="n"/>
      <c r="L63" s="88">
        <f>VLOOKUP(Table91213[[#This Row],[Date]],'DB Details'!$A:$L,12)</f>
        <v/>
      </c>
    </row>
    <row r="64">
      <c r="A64" s="39" t="n">
        <v>19299</v>
      </c>
      <c r="B64" s="57">
        <f>VLOOKUP(Table91213[[#This Row],[Date]],'DB Details'!$A:$L,2)</f>
        <v/>
      </c>
      <c r="C64" s="55" t="n"/>
      <c r="D64" s="55" t="n"/>
      <c r="E64" s="88">
        <f>VLOOKUP(Table91213[[#This Row],[Date]],'DB Details'!$A:$L,5)</f>
        <v/>
      </c>
      <c r="F64" s="88">
        <f>VLOOKUP(Table91213[[#This Row],[Date]],'DB Details'!$A:$L,6)</f>
        <v/>
      </c>
      <c r="G64" s="119" t="n"/>
      <c r="H64" s="88">
        <f>VLOOKUP(Table91213[[#This Row],[Date]],'DB Details'!$A:$L,8)</f>
        <v/>
      </c>
      <c r="I64" s="88">
        <f>VLOOKUP(Table91213[[#This Row],[Date]],'DB Details'!$A:$L,9)</f>
        <v/>
      </c>
      <c r="J64" s="88">
        <f>VLOOKUP(Table91213[[#This Row],[Date]],'DB Details'!$A:$L,10)</f>
        <v/>
      </c>
      <c r="K64" s="119" t="n"/>
      <c r="L64" s="88">
        <f>VLOOKUP(Table91213[[#This Row],[Date]],'DB Details'!$A:$L,12)</f>
        <v/>
      </c>
    </row>
    <row r="65">
      <c r="A65" s="39" t="n">
        <v>19329</v>
      </c>
      <c r="B65" s="57">
        <f>VLOOKUP(Table91213[[#This Row],[Date]],'DB Details'!$A:$L,2)</f>
        <v/>
      </c>
      <c r="C65" s="55" t="n"/>
      <c r="D65" s="55" t="n"/>
      <c r="E65" s="88">
        <f>VLOOKUP(Table91213[[#This Row],[Date]],'DB Details'!$A:$L,5)</f>
        <v/>
      </c>
      <c r="F65" s="88">
        <f>VLOOKUP(Table91213[[#This Row],[Date]],'DB Details'!$A:$L,6)</f>
        <v/>
      </c>
      <c r="G65" s="119" t="n"/>
      <c r="H65" s="88">
        <f>VLOOKUP(Table91213[[#This Row],[Date]],'DB Details'!$A:$L,8)</f>
        <v/>
      </c>
      <c r="I65" s="88">
        <f>VLOOKUP(Table91213[[#This Row],[Date]],'DB Details'!$A:$L,9)</f>
        <v/>
      </c>
      <c r="J65" s="88">
        <f>VLOOKUP(Table91213[[#This Row],[Date]],'DB Details'!$A:$L,10)</f>
        <v/>
      </c>
      <c r="K65" s="119" t="n"/>
      <c r="L65" s="88">
        <f>VLOOKUP(Table91213[[#This Row],[Date]],'DB Details'!$A:$L,12)</f>
        <v/>
      </c>
    </row>
    <row r="66">
      <c r="A66" s="39" t="n">
        <v>19360</v>
      </c>
      <c r="B66" s="57">
        <f>VLOOKUP(Table91213[[#This Row],[Date]],'DB Details'!$A:$L,2)</f>
        <v/>
      </c>
      <c r="C66" s="55" t="n"/>
      <c r="D66" s="55" t="n"/>
      <c r="E66" s="88">
        <f>VLOOKUP(Table91213[[#This Row],[Date]],'DB Details'!$A:$L,5)</f>
        <v/>
      </c>
      <c r="F66" s="88">
        <f>VLOOKUP(Table91213[[#This Row],[Date]],'DB Details'!$A:$L,6)</f>
        <v/>
      </c>
      <c r="G66" s="119" t="n"/>
      <c r="H66" s="88">
        <f>VLOOKUP(Table91213[[#This Row],[Date]],'DB Details'!$A:$L,8)</f>
        <v/>
      </c>
      <c r="I66" s="88">
        <f>VLOOKUP(Table91213[[#This Row],[Date]],'DB Details'!$A:$L,9)</f>
        <v/>
      </c>
      <c r="J66" s="88">
        <f>VLOOKUP(Table91213[[#This Row],[Date]],'DB Details'!$A:$L,10)</f>
        <v/>
      </c>
      <c r="K66" s="119" t="n"/>
      <c r="L66" s="88">
        <f>VLOOKUP(Table91213[[#This Row],[Date]],'DB Details'!$A:$L,12)</f>
        <v/>
      </c>
    </row>
    <row r="67">
      <c r="A67" s="39" t="n">
        <v>19391</v>
      </c>
      <c r="B67" s="57">
        <f>VLOOKUP(Table91213[[#This Row],[Date]],'DB Details'!$A:$L,2)</f>
        <v/>
      </c>
      <c r="C67" s="55" t="n"/>
      <c r="D67" s="55" t="n"/>
      <c r="E67" s="88">
        <f>VLOOKUP(Table91213[[#This Row],[Date]],'DB Details'!$A:$L,5)</f>
        <v/>
      </c>
      <c r="F67" s="88">
        <f>VLOOKUP(Table91213[[#This Row],[Date]],'DB Details'!$A:$L,6)</f>
        <v/>
      </c>
      <c r="G67" s="119" t="n"/>
      <c r="H67" s="88">
        <f>VLOOKUP(Table91213[[#This Row],[Date]],'DB Details'!$A:$L,8)</f>
        <v/>
      </c>
      <c r="I67" s="88">
        <f>VLOOKUP(Table91213[[#This Row],[Date]],'DB Details'!$A:$L,9)</f>
        <v/>
      </c>
      <c r="J67" s="88">
        <f>VLOOKUP(Table91213[[#This Row],[Date]],'DB Details'!$A:$L,10)</f>
        <v/>
      </c>
      <c r="K67" s="119" t="n"/>
      <c r="L67" s="88">
        <f>VLOOKUP(Table91213[[#This Row],[Date]],'DB Details'!$A:$L,12)</f>
        <v/>
      </c>
    </row>
    <row r="68">
      <c r="A68" s="39" t="n">
        <v>19419</v>
      </c>
      <c r="B68" s="57">
        <f>VLOOKUP(Table91213[[#This Row],[Date]],'DB Details'!$A:$L,2)</f>
        <v/>
      </c>
      <c r="C68" s="55" t="n"/>
      <c r="D68" s="55" t="n"/>
      <c r="E68" s="88">
        <f>VLOOKUP(Table91213[[#This Row],[Date]],'DB Details'!$A:$L,5)</f>
        <v/>
      </c>
      <c r="F68" s="88">
        <f>VLOOKUP(Table91213[[#This Row],[Date]],'DB Details'!$A:$L,6)</f>
        <v/>
      </c>
      <c r="G68" s="119" t="n"/>
      <c r="H68" s="88">
        <f>VLOOKUP(Table91213[[#This Row],[Date]],'DB Details'!$A:$L,8)</f>
        <v/>
      </c>
      <c r="I68" s="88">
        <f>VLOOKUP(Table91213[[#This Row],[Date]],'DB Details'!$A:$L,9)</f>
        <v/>
      </c>
      <c r="J68" s="88">
        <f>VLOOKUP(Table91213[[#This Row],[Date]],'DB Details'!$A:$L,10)</f>
        <v/>
      </c>
      <c r="K68" s="119" t="n"/>
      <c r="L68" s="88">
        <f>VLOOKUP(Table91213[[#This Row],[Date]],'DB Details'!$A:$L,12)</f>
        <v/>
      </c>
    </row>
    <row r="69">
      <c r="A69" s="39" t="n">
        <v>19450</v>
      </c>
      <c r="B69" s="57">
        <f>VLOOKUP(Table91213[[#This Row],[Date]],'DB Details'!$A:$L,2)</f>
        <v/>
      </c>
      <c r="C69" s="55" t="n"/>
      <c r="D69" s="55" t="n"/>
      <c r="E69" s="88">
        <f>VLOOKUP(Table91213[[#This Row],[Date]],'DB Details'!$A:$L,5)</f>
        <v/>
      </c>
      <c r="F69" s="88">
        <f>VLOOKUP(Table91213[[#This Row],[Date]],'DB Details'!$A:$L,6)</f>
        <v/>
      </c>
      <c r="G69" s="119" t="n"/>
      <c r="H69" s="88">
        <f>VLOOKUP(Table91213[[#This Row],[Date]],'DB Details'!$A:$L,8)</f>
        <v/>
      </c>
      <c r="I69" s="88">
        <f>VLOOKUP(Table91213[[#This Row],[Date]],'DB Details'!$A:$L,9)</f>
        <v/>
      </c>
      <c r="J69" s="88">
        <f>VLOOKUP(Table91213[[#This Row],[Date]],'DB Details'!$A:$L,10)</f>
        <v/>
      </c>
      <c r="K69" s="119" t="n"/>
      <c r="L69" s="88">
        <f>VLOOKUP(Table91213[[#This Row],[Date]],'DB Details'!$A:$L,12)</f>
        <v/>
      </c>
    </row>
    <row r="70">
      <c r="A70" s="39" t="n">
        <v>19480</v>
      </c>
      <c r="B70" s="57">
        <f>VLOOKUP(Table91213[[#This Row],[Date]],'DB Details'!$A:$L,2)</f>
        <v/>
      </c>
      <c r="C70" s="55" t="n"/>
      <c r="D70" s="55" t="n"/>
      <c r="E70" s="88">
        <f>VLOOKUP(Table91213[[#This Row],[Date]],'DB Details'!$A:$L,5)</f>
        <v/>
      </c>
      <c r="F70" s="88">
        <f>VLOOKUP(Table91213[[#This Row],[Date]],'DB Details'!$A:$L,6)</f>
        <v/>
      </c>
      <c r="G70" s="119" t="n"/>
      <c r="H70" s="88">
        <f>VLOOKUP(Table91213[[#This Row],[Date]],'DB Details'!$A:$L,8)</f>
        <v/>
      </c>
      <c r="I70" s="88">
        <f>VLOOKUP(Table91213[[#This Row],[Date]],'DB Details'!$A:$L,9)</f>
        <v/>
      </c>
      <c r="J70" s="88">
        <f>VLOOKUP(Table91213[[#This Row],[Date]],'DB Details'!$A:$L,10)</f>
        <v/>
      </c>
      <c r="K70" s="119" t="n"/>
      <c r="L70" s="88">
        <f>VLOOKUP(Table91213[[#This Row],[Date]],'DB Details'!$A:$L,12)</f>
        <v/>
      </c>
    </row>
    <row r="71">
      <c r="A71" s="39" t="n">
        <v>19511</v>
      </c>
      <c r="B71" s="57">
        <f>VLOOKUP(Table91213[[#This Row],[Date]],'DB Details'!$A:$L,2)</f>
        <v/>
      </c>
      <c r="C71" s="55" t="n"/>
      <c r="D71" s="55" t="n"/>
      <c r="E71" s="88">
        <f>VLOOKUP(Table91213[[#This Row],[Date]],'DB Details'!$A:$L,5)</f>
        <v/>
      </c>
      <c r="F71" s="88">
        <f>VLOOKUP(Table91213[[#This Row],[Date]],'DB Details'!$A:$L,6)</f>
        <v/>
      </c>
      <c r="G71" s="119" t="n"/>
      <c r="H71" s="88">
        <f>VLOOKUP(Table91213[[#This Row],[Date]],'DB Details'!$A:$L,8)</f>
        <v/>
      </c>
      <c r="I71" s="88">
        <f>VLOOKUP(Table91213[[#This Row],[Date]],'DB Details'!$A:$L,9)</f>
        <v/>
      </c>
      <c r="J71" s="88">
        <f>VLOOKUP(Table91213[[#This Row],[Date]],'DB Details'!$A:$L,10)</f>
        <v/>
      </c>
      <c r="K71" s="119" t="n"/>
      <c r="L71" s="88">
        <f>VLOOKUP(Table91213[[#This Row],[Date]],'DB Details'!$A:$L,12)</f>
        <v/>
      </c>
    </row>
    <row r="72">
      <c r="A72" s="39" t="n">
        <v>19541</v>
      </c>
      <c r="B72" s="57">
        <f>VLOOKUP(Table91213[[#This Row],[Date]],'DB Details'!$A:$L,2)</f>
        <v/>
      </c>
      <c r="C72" s="55" t="n"/>
      <c r="D72" s="55" t="n"/>
      <c r="E72" s="88">
        <f>VLOOKUP(Table91213[[#This Row],[Date]],'DB Details'!$A:$L,5)</f>
        <v/>
      </c>
      <c r="F72" s="88">
        <f>VLOOKUP(Table91213[[#This Row],[Date]],'DB Details'!$A:$L,6)</f>
        <v/>
      </c>
      <c r="G72" s="119" t="n"/>
      <c r="H72" s="88">
        <f>VLOOKUP(Table91213[[#This Row],[Date]],'DB Details'!$A:$L,8)</f>
        <v/>
      </c>
      <c r="I72" s="88">
        <f>VLOOKUP(Table91213[[#This Row],[Date]],'DB Details'!$A:$L,9)</f>
        <v/>
      </c>
      <c r="J72" s="88">
        <f>VLOOKUP(Table91213[[#This Row],[Date]],'DB Details'!$A:$L,10)</f>
        <v/>
      </c>
      <c r="K72" s="119" t="n"/>
      <c r="L72" s="88">
        <f>VLOOKUP(Table91213[[#This Row],[Date]],'DB Details'!$A:$L,12)</f>
        <v/>
      </c>
    </row>
    <row r="73">
      <c r="A73" s="39" t="n">
        <v>19572</v>
      </c>
      <c r="B73" s="57">
        <f>VLOOKUP(Table91213[[#This Row],[Date]],'DB Details'!$A:$L,2)</f>
        <v/>
      </c>
      <c r="C73" s="55" t="n"/>
      <c r="D73" s="55" t="n"/>
      <c r="E73" s="88">
        <f>VLOOKUP(Table91213[[#This Row],[Date]],'DB Details'!$A:$L,5)</f>
        <v/>
      </c>
      <c r="F73" s="88">
        <f>VLOOKUP(Table91213[[#This Row],[Date]],'DB Details'!$A:$L,6)</f>
        <v/>
      </c>
      <c r="G73" s="119" t="n"/>
      <c r="H73" s="88">
        <f>VLOOKUP(Table91213[[#This Row],[Date]],'DB Details'!$A:$L,8)</f>
        <v/>
      </c>
      <c r="I73" s="88">
        <f>VLOOKUP(Table91213[[#This Row],[Date]],'DB Details'!$A:$L,9)</f>
        <v/>
      </c>
      <c r="J73" s="88">
        <f>VLOOKUP(Table91213[[#This Row],[Date]],'DB Details'!$A:$L,10)</f>
        <v/>
      </c>
      <c r="K73" s="119" t="n"/>
      <c r="L73" s="88">
        <f>VLOOKUP(Table91213[[#This Row],[Date]],'DB Details'!$A:$L,12)</f>
        <v/>
      </c>
    </row>
    <row r="74">
      <c r="A74" s="39" t="n">
        <v>19603</v>
      </c>
      <c r="B74" s="57">
        <f>VLOOKUP(Table91213[[#This Row],[Date]],'DB Details'!$A:$L,2)</f>
        <v/>
      </c>
      <c r="C74" s="55" t="n"/>
      <c r="D74" s="55" t="n"/>
      <c r="E74" s="88">
        <f>VLOOKUP(Table91213[[#This Row],[Date]],'DB Details'!$A:$L,5)</f>
        <v/>
      </c>
      <c r="F74" s="88">
        <f>VLOOKUP(Table91213[[#This Row],[Date]],'DB Details'!$A:$L,6)</f>
        <v/>
      </c>
      <c r="G74" s="119" t="n"/>
      <c r="H74" s="88">
        <f>VLOOKUP(Table91213[[#This Row],[Date]],'DB Details'!$A:$L,8)</f>
        <v/>
      </c>
      <c r="I74" s="88">
        <f>VLOOKUP(Table91213[[#This Row],[Date]],'DB Details'!$A:$L,9)</f>
        <v/>
      </c>
      <c r="J74" s="88">
        <f>VLOOKUP(Table91213[[#This Row],[Date]],'DB Details'!$A:$L,10)</f>
        <v/>
      </c>
      <c r="K74" s="119" t="n"/>
      <c r="L74" s="88">
        <f>VLOOKUP(Table91213[[#This Row],[Date]],'DB Details'!$A:$L,12)</f>
        <v/>
      </c>
    </row>
    <row r="75">
      <c r="A75" s="39" t="n">
        <v>19633</v>
      </c>
      <c r="B75" s="57">
        <f>VLOOKUP(Table91213[[#This Row],[Date]],'DB Details'!$A:$L,2)</f>
        <v/>
      </c>
      <c r="C75" s="55" t="n"/>
      <c r="D75" s="55" t="n"/>
      <c r="E75" s="88">
        <f>VLOOKUP(Table91213[[#This Row],[Date]],'DB Details'!$A:$L,5)</f>
        <v/>
      </c>
      <c r="F75" s="88">
        <f>VLOOKUP(Table91213[[#This Row],[Date]],'DB Details'!$A:$L,6)</f>
        <v/>
      </c>
      <c r="G75" s="119" t="n"/>
      <c r="H75" s="88">
        <f>VLOOKUP(Table91213[[#This Row],[Date]],'DB Details'!$A:$L,8)</f>
        <v/>
      </c>
      <c r="I75" s="88">
        <f>VLOOKUP(Table91213[[#This Row],[Date]],'DB Details'!$A:$L,9)</f>
        <v/>
      </c>
      <c r="J75" s="88">
        <f>VLOOKUP(Table91213[[#This Row],[Date]],'DB Details'!$A:$L,10)</f>
        <v/>
      </c>
      <c r="K75" s="119" t="n"/>
      <c r="L75" s="88">
        <f>VLOOKUP(Table91213[[#This Row],[Date]],'DB Details'!$A:$L,12)</f>
        <v/>
      </c>
    </row>
    <row r="76">
      <c r="A76" s="39" t="n">
        <v>19664</v>
      </c>
      <c r="B76" s="57">
        <f>VLOOKUP(Table91213[[#This Row],[Date]],'DB Details'!$A:$L,2)</f>
        <v/>
      </c>
      <c r="C76" s="55" t="n"/>
      <c r="D76" s="55" t="n"/>
      <c r="E76" s="88">
        <f>VLOOKUP(Table91213[[#This Row],[Date]],'DB Details'!$A:$L,5)</f>
        <v/>
      </c>
      <c r="F76" s="88">
        <f>VLOOKUP(Table91213[[#This Row],[Date]],'DB Details'!$A:$L,6)</f>
        <v/>
      </c>
      <c r="G76" s="119" t="n"/>
      <c r="H76" s="88">
        <f>VLOOKUP(Table91213[[#This Row],[Date]],'DB Details'!$A:$L,8)</f>
        <v/>
      </c>
      <c r="I76" s="88">
        <f>VLOOKUP(Table91213[[#This Row],[Date]],'DB Details'!$A:$L,9)</f>
        <v/>
      </c>
      <c r="J76" s="88">
        <f>VLOOKUP(Table91213[[#This Row],[Date]],'DB Details'!$A:$L,10)</f>
        <v/>
      </c>
      <c r="K76" s="119" t="n"/>
      <c r="L76" s="88">
        <f>VLOOKUP(Table91213[[#This Row],[Date]],'DB Details'!$A:$L,12)</f>
        <v/>
      </c>
    </row>
    <row r="77">
      <c r="A77" s="39" t="n">
        <v>19694</v>
      </c>
      <c r="B77" s="57">
        <f>VLOOKUP(Table91213[[#This Row],[Date]],'DB Details'!$A:$L,2)</f>
        <v/>
      </c>
      <c r="C77" s="55" t="n"/>
      <c r="D77" s="55" t="n"/>
      <c r="E77" s="88">
        <f>VLOOKUP(Table91213[[#This Row],[Date]],'DB Details'!$A:$L,5)</f>
        <v/>
      </c>
      <c r="F77" s="88">
        <f>VLOOKUP(Table91213[[#This Row],[Date]],'DB Details'!$A:$L,6)</f>
        <v/>
      </c>
      <c r="G77" s="119" t="n"/>
      <c r="H77" s="88">
        <f>VLOOKUP(Table91213[[#This Row],[Date]],'DB Details'!$A:$L,8)</f>
        <v/>
      </c>
      <c r="I77" s="88">
        <f>VLOOKUP(Table91213[[#This Row],[Date]],'DB Details'!$A:$L,9)</f>
        <v/>
      </c>
      <c r="J77" s="88">
        <f>VLOOKUP(Table91213[[#This Row],[Date]],'DB Details'!$A:$L,10)</f>
        <v/>
      </c>
      <c r="K77" s="119" t="n"/>
      <c r="L77" s="88">
        <f>VLOOKUP(Table91213[[#This Row],[Date]],'DB Details'!$A:$L,12)</f>
        <v/>
      </c>
    </row>
    <row r="78">
      <c r="A78" s="39" t="n">
        <v>19725</v>
      </c>
      <c r="B78" s="57">
        <f>VLOOKUP(Table91213[[#This Row],[Date]],'DB Details'!$A:$L,2)</f>
        <v/>
      </c>
      <c r="C78" s="55" t="n"/>
      <c r="D78" s="55" t="n"/>
      <c r="E78" s="88">
        <f>VLOOKUP(Table91213[[#This Row],[Date]],'DB Details'!$A:$L,5)</f>
        <v/>
      </c>
      <c r="F78" s="88">
        <f>VLOOKUP(Table91213[[#This Row],[Date]],'DB Details'!$A:$L,6)</f>
        <v/>
      </c>
      <c r="G78" s="119" t="n"/>
      <c r="H78" s="88">
        <f>VLOOKUP(Table91213[[#This Row],[Date]],'DB Details'!$A:$L,8)</f>
        <v/>
      </c>
      <c r="I78" s="88">
        <f>VLOOKUP(Table91213[[#This Row],[Date]],'DB Details'!$A:$L,9)</f>
        <v/>
      </c>
      <c r="J78" s="88">
        <f>VLOOKUP(Table91213[[#This Row],[Date]],'DB Details'!$A:$L,10)</f>
        <v/>
      </c>
      <c r="K78" s="119" t="n"/>
      <c r="L78" s="88">
        <f>VLOOKUP(Table91213[[#This Row],[Date]],'DB Details'!$A:$L,12)</f>
        <v/>
      </c>
    </row>
    <row r="79">
      <c r="A79" s="39" t="n">
        <v>19756</v>
      </c>
      <c r="B79" s="57">
        <f>VLOOKUP(Table91213[[#This Row],[Date]],'DB Details'!$A:$L,2)</f>
        <v/>
      </c>
      <c r="C79" s="55" t="n"/>
      <c r="D79" s="55" t="n"/>
      <c r="E79" s="88">
        <f>VLOOKUP(Table91213[[#This Row],[Date]],'DB Details'!$A:$L,5)</f>
        <v/>
      </c>
      <c r="F79" s="88">
        <f>VLOOKUP(Table91213[[#This Row],[Date]],'DB Details'!$A:$L,6)</f>
        <v/>
      </c>
      <c r="G79" s="119" t="n"/>
      <c r="H79" s="88">
        <f>VLOOKUP(Table91213[[#This Row],[Date]],'DB Details'!$A:$L,8)</f>
        <v/>
      </c>
      <c r="I79" s="88">
        <f>VLOOKUP(Table91213[[#This Row],[Date]],'DB Details'!$A:$L,9)</f>
        <v/>
      </c>
      <c r="J79" s="88">
        <f>VLOOKUP(Table91213[[#This Row],[Date]],'DB Details'!$A:$L,10)</f>
        <v/>
      </c>
      <c r="K79" s="119" t="n"/>
      <c r="L79" s="88">
        <f>VLOOKUP(Table91213[[#This Row],[Date]],'DB Details'!$A:$L,12)</f>
        <v/>
      </c>
    </row>
    <row r="80">
      <c r="A80" s="39" t="n">
        <v>19784</v>
      </c>
      <c r="B80" s="57">
        <f>VLOOKUP(Table91213[[#This Row],[Date]],'DB Details'!$A:$L,2)</f>
        <v/>
      </c>
      <c r="C80" s="55" t="n"/>
      <c r="D80" s="55" t="n"/>
      <c r="E80" s="88">
        <f>VLOOKUP(Table91213[[#This Row],[Date]],'DB Details'!$A:$L,5)</f>
        <v/>
      </c>
      <c r="F80" s="88">
        <f>VLOOKUP(Table91213[[#This Row],[Date]],'DB Details'!$A:$L,6)</f>
        <v/>
      </c>
      <c r="G80" s="119" t="n"/>
      <c r="H80" s="88">
        <f>VLOOKUP(Table91213[[#This Row],[Date]],'DB Details'!$A:$L,8)</f>
        <v/>
      </c>
      <c r="I80" s="88">
        <f>VLOOKUP(Table91213[[#This Row],[Date]],'DB Details'!$A:$L,9)</f>
        <v/>
      </c>
      <c r="J80" s="88">
        <f>VLOOKUP(Table91213[[#This Row],[Date]],'DB Details'!$A:$L,10)</f>
        <v/>
      </c>
      <c r="K80" s="119" t="n"/>
      <c r="L80" s="88">
        <f>VLOOKUP(Table91213[[#This Row],[Date]],'DB Details'!$A:$L,12)</f>
        <v/>
      </c>
    </row>
    <row r="81">
      <c r="A81" s="39" t="n">
        <v>19815</v>
      </c>
      <c r="B81" s="57">
        <f>VLOOKUP(Table91213[[#This Row],[Date]],'DB Details'!$A:$L,2)</f>
        <v/>
      </c>
      <c r="C81" s="55" t="n"/>
      <c r="D81" s="55" t="n"/>
      <c r="E81" s="88">
        <f>VLOOKUP(Table91213[[#This Row],[Date]],'DB Details'!$A:$L,5)</f>
        <v/>
      </c>
      <c r="F81" s="88">
        <f>VLOOKUP(Table91213[[#This Row],[Date]],'DB Details'!$A:$L,6)</f>
        <v/>
      </c>
      <c r="G81" s="119" t="n"/>
      <c r="H81" s="88">
        <f>VLOOKUP(Table91213[[#This Row],[Date]],'DB Details'!$A:$L,8)</f>
        <v/>
      </c>
      <c r="I81" s="88">
        <f>VLOOKUP(Table91213[[#This Row],[Date]],'DB Details'!$A:$L,9)</f>
        <v/>
      </c>
      <c r="J81" s="88">
        <f>VLOOKUP(Table91213[[#This Row],[Date]],'DB Details'!$A:$L,10)</f>
        <v/>
      </c>
      <c r="K81" s="119" t="n"/>
      <c r="L81" s="88">
        <f>VLOOKUP(Table91213[[#This Row],[Date]],'DB Details'!$A:$L,12)</f>
        <v/>
      </c>
    </row>
    <row r="82">
      <c r="A82" s="39" t="n">
        <v>19845</v>
      </c>
      <c r="B82" s="57">
        <f>VLOOKUP(Table91213[[#This Row],[Date]],'DB Details'!$A:$L,2)</f>
        <v/>
      </c>
      <c r="C82" s="55" t="n"/>
      <c r="D82" s="55" t="n"/>
      <c r="E82" s="88">
        <f>VLOOKUP(Table91213[[#This Row],[Date]],'DB Details'!$A:$L,5)</f>
        <v/>
      </c>
      <c r="F82" s="88">
        <f>VLOOKUP(Table91213[[#This Row],[Date]],'DB Details'!$A:$L,6)</f>
        <v/>
      </c>
      <c r="G82" s="119" t="n"/>
      <c r="H82" s="88">
        <f>VLOOKUP(Table91213[[#This Row],[Date]],'DB Details'!$A:$L,8)</f>
        <v/>
      </c>
      <c r="I82" s="88">
        <f>VLOOKUP(Table91213[[#This Row],[Date]],'DB Details'!$A:$L,9)</f>
        <v/>
      </c>
      <c r="J82" s="88">
        <f>VLOOKUP(Table91213[[#This Row],[Date]],'DB Details'!$A:$L,10)</f>
        <v/>
      </c>
      <c r="K82" s="119" t="n"/>
      <c r="L82" s="88">
        <f>VLOOKUP(Table91213[[#This Row],[Date]],'DB Details'!$A:$L,12)</f>
        <v/>
      </c>
    </row>
    <row r="83">
      <c r="A83" s="39" t="n">
        <v>19876</v>
      </c>
      <c r="B83" s="57">
        <f>VLOOKUP(Table91213[[#This Row],[Date]],'DB Details'!$A:$L,2)</f>
        <v/>
      </c>
      <c r="C83" s="55" t="n"/>
      <c r="D83" s="55" t="n"/>
      <c r="E83" s="88">
        <f>VLOOKUP(Table91213[[#This Row],[Date]],'DB Details'!$A:$L,5)</f>
        <v/>
      </c>
      <c r="F83" s="88">
        <f>VLOOKUP(Table91213[[#This Row],[Date]],'DB Details'!$A:$L,6)</f>
        <v/>
      </c>
      <c r="G83" s="119" t="n"/>
      <c r="H83" s="88">
        <f>VLOOKUP(Table91213[[#This Row],[Date]],'DB Details'!$A:$L,8)</f>
        <v/>
      </c>
      <c r="I83" s="88">
        <f>VLOOKUP(Table91213[[#This Row],[Date]],'DB Details'!$A:$L,9)</f>
        <v/>
      </c>
      <c r="J83" s="88">
        <f>VLOOKUP(Table91213[[#This Row],[Date]],'DB Details'!$A:$L,10)</f>
        <v/>
      </c>
      <c r="K83" s="119" t="n"/>
      <c r="L83" s="88">
        <f>VLOOKUP(Table91213[[#This Row],[Date]],'DB Details'!$A:$L,12)</f>
        <v/>
      </c>
    </row>
    <row r="84">
      <c r="A84" s="39" t="n">
        <v>19906</v>
      </c>
      <c r="B84" s="57">
        <f>VLOOKUP(Table91213[[#This Row],[Date]],'DB Details'!$A:$L,2)</f>
        <v/>
      </c>
      <c r="C84" s="55" t="n"/>
      <c r="D84" s="55" t="n"/>
      <c r="E84" s="88">
        <f>VLOOKUP(Table91213[[#This Row],[Date]],'DB Details'!$A:$L,5)</f>
        <v/>
      </c>
      <c r="F84" s="88">
        <f>VLOOKUP(Table91213[[#This Row],[Date]],'DB Details'!$A:$L,6)</f>
        <v/>
      </c>
      <c r="G84" s="119" t="n"/>
      <c r="H84" s="88">
        <f>VLOOKUP(Table91213[[#This Row],[Date]],'DB Details'!$A:$L,8)</f>
        <v/>
      </c>
      <c r="I84" s="88">
        <f>VLOOKUP(Table91213[[#This Row],[Date]],'DB Details'!$A:$L,9)</f>
        <v/>
      </c>
      <c r="J84" s="88">
        <f>VLOOKUP(Table91213[[#This Row],[Date]],'DB Details'!$A:$L,10)</f>
        <v/>
      </c>
      <c r="K84" s="119" t="n"/>
      <c r="L84" s="88">
        <f>VLOOKUP(Table91213[[#This Row],[Date]],'DB Details'!$A:$L,12)</f>
        <v/>
      </c>
    </row>
    <row r="85">
      <c r="A85" s="39" t="n">
        <v>19937</v>
      </c>
      <c r="B85" s="57">
        <f>VLOOKUP(Table91213[[#This Row],[Date]],'DB Details'!$A:$L,2)</f>
        <v/>
      </c>
      <c r="C85" s="55" t="n"/>
      <c r="D85" s="55" t="n"/>
      <c r="E85" s="88">
        <f>VLOOKUP(Table91213[[#This Row],[Date]],'DB Details'!$A:$L,5)</f>
        <v/>
      </c>
      <c r="F85" s="88">
        <f>VLOOKUP(Table91213[[#This Row],[Date]],'DB Details'!$A:$L,6)</f>
        <v/>
      </c>
      <c r="G85" s="119" t="n"/>
      <c r="H85" s="88">
        <f>VLOOKUP(Table91213[[#This Row],[Date]],'DB Details'!$A:$L,8)</f>
        <v/>
      </c>
      <c r="I85" s="88">
        <f>VLOOKUP(Table91213[[#This Row],[Date]],'DB Details'!$A:$L,9)</f>
        <v/>
      </c>
      <c r="J85" s="88">
        <f>VLOOKUP(Table91213[[#This Row],[Date]],'DB Details'!$A:$L,10)</f>
        <v/>
      </c>
      <c r="K85" s="119" t="n"/>
      <c r="L85" s="88">
        <f>VLOOKUP(Table91213[[#This Row],[Date]],'DB Details'!$A:$L,12)</f>
        <v/>
      </c>
    </row>
    <row r="86">
      <c r="A86" s="39" t="n">
        <v>19968</v>
      </c>
      <c r="B86" s="57">
        <f>VLOOKUP(Table91213[[#This Row],[Date]],'DB Details'!$A:$L,2)</f>
        <v/>
      </c>
      <c r="C86" s="55" t="n"/>
      <c r="D86" s="55" t="n"/>
      <c r="E86" s="88">
        <f>VLOOKUP(Table91213[[#This Row],[Date]],'DB Details'!$A:$L,5)</f>
        <v/>
      </c>
      <c r="F86" s="88">
        <f>VLOOKUP(Table91213[[#This Row],[Date]],'DB Details'!$A:$L,6)</f>
        <v/>
      </c>
      <c r="G86" s="119" t="n"/>
      <c r="H86" s="88">
        <f>VLOOKUP(Table91213[[#This Row],[Date]],'DB Details'!$A:$L,8)</f>
        <v/>
      </c>
      <c r="I86" s="88">
        <f>VLOOKUP(Table91213[[#This Row],[Date]],'DB Details'!$A:$L,9)</f>
        <v/>
      </c>
      <c r="J86" s="88">
        <f>VLOOKUP(Table91213[[#This Row],[Date]],'DB Details'!$A:$L,10)</f>
        <v/>
      </c>
      <c r="K86" s="119" t="n"/>
      <c r="L86" s="88">
        <f>VLOOKUP(Table91213[[#This Row],[Date]],'DB Details'!$A:$L,12)</f>
        <v/>
      </c>
    </row>
    <row r="87">
      <c r="A87" s="39" t="n">
        <v>19998</v>
      </c>
      <c r="B87" s="57">
        <f>VLOOKUP(Table91213[[#This Row],[Date]],'DB Details'!$A:$L,2)</f>
        <v/>
      </c>
      <c r="C87" s="55" t="n"/>
      <c r="D87" s="55" t="n"/>
      <c r="E87" s="88">
        <f>VLOOKUP(Table91213[[#This Row],[Date]],'DB Details'!$A:$L,5)</f>
        <v/>
      </c>
      <c r="F87" s="88">
        <f>VLOOKUP(Table91213[[#This Row],[Date]],'DB Details'!$A:$L,6)</f>
        <v/>
      </c>
      <c r="G87" s="119" t="n"/>
      <c r="H87" s="88">
        <f>VLOOKUP(Table91213[[#This Row],[Date]],'DB Details'!$A:$L,8)</f>
        <v/>
      </c>
      <c r="I87" s="88">
        <f>VLOOKUP(Table91213[[#This Row],[Date]],'DB Details'!$A:$L,9)</f>
        <v/>
      </c>
      <c r="J87" s="88">
        <f>VLOOKUP(Table91213[[#This Row],[Date]],'DB Details'!$A:$L,10)</f>
        <v/>
      </c>
      <c r="K87" s="119" t="n"/>
      <c r="L87" s="88">
        <f>VLOOKUP(Table91213[[#This Row],[Date]],'DB Details'!$A:$L,12)</f>
        <v/>
      </c>
    </row>
    <row r="88">
      <c r="A88" s="39" t="n">
        <v>20029</v>
      </c>
      <c r="B88" s="57">
        <f>VLOOKUP(Table91213[[#This Row],[Date]],'DB Details'!$A:$L,2)</f>
        <v/>
      </c>
      <c r="C88" s="55" t="n"/>
      <c r="D88" s="55" t="n"/>
      <c r="E88" s="88">
        <f>VLOOKUP(Table91213[[#This Row],[Date]],'DB Details'!$A:$L,5)</f>
        <v/>
      </c>
      <c r="F88" s="88">
        <f>VLOOKUP(Table91213[[#This Row],[Date]],'DB Details'!$A:$L,6)</f>
        <v/>
      </c>
      <c r="G88" s="119" t="n"/>
      <c r="H88" s="88">
        <f>VLOOKUP(Table91213[[#This Row],[Date]],'DB Details'!$A:$L,8)</f>
        <v/>
      </c>
      <c r="I88" s="88">
        <f>VLOOKUP(Table91213[[#This Row],[Date]],'DB Details'!$A:$L,9)</f>
        <v/>
      </c>
      <c r="J88" s="88">
        <f>VLOOKUP(Table91213[[#This Row],[Date]],'DB Details'!$A:$L,10)</f>
        <v/>
      </c>
      <c r="K88" s="119" t="n"/>
      <c r="L88" s="88">
        <f>VLOOKUP(Table91213[[#This Row],[Date]],'DB Details'!$A:$L,12)</f>
        <v/>
      </c>
    </row>
    <row r="89">
      <c r="A89" s="39" t="n">
        <v>20059</v>
      </c>
      <c r="B89" s="57">
        <f>VLOOKUP(Table91213[[#This Row],[Date]],'DB Details'!$A:$L,2)</f>
        <v/>
      </c>
      <c r="C89" s="55" t="n"/>
      <c r="D89" s="55" t="n"/>
      <c r="E89" s="88">
        <f>VLOOKUP(Table91213[[#This Row],[Date]],'DB Details'!$A:$L,5)</f>
        <v/>
      </c>
      <c r="F89" s="88">
        <f>VLOOKUP(Table91213[[#This Row],[Date]],'DB Details'!$A:$L,6)</f>
        <v/>
      </c>
      <c r="G89" s="119" t="n"/>
      <c r="H89" s="88">
        <f>VLOOKUP(Table91213[[#This Row],[Date]],'DB Details'!$A:$L,8)</f>
        <v/>
      </c>
      <c r="I89" s="88">
        <f>VLOOKUP(Table91213[[#This Row],[Date]],'DB Details'!$A:$L,9)</f>
        <v/>
      </c>
      <c r="J89" s="88">
        <f>VLOOKUP(Table91213[[#This Row],[Date]],'DB Details'!$A:$L,10)</f>
        <v/>
      </c>
      <c r="K89" s="119" t="n"/>
      <c r="L89" s="88">
        <f>VLOOKUP(Table91213[[#This Row],[Date]],'DB Details'!$A:$L,12)</f>
        <v/>
      </c>
    </row>
    <row r="90">
      <c r="A90" s="39" t="n">
        <v>20090</v>
      </c>
      <c r="B90" s="57">
        <f>VLOOKUP(Table91213[[#This Row],[Date]],'DB Details'!$A:$L,2)</f>
        <v/>
      </c>
      <c r="C90" s="55" t="n"/>
      <c r="D90" s="55" t="n"/>
      <c r="E90" s="88">
        <f>VLOOKUP(Table91213[[#This Row],[Date]],'DB Details'!$A:$L,5)</f>
        <v/>
      </c>
      <c r="F90" s="88">
        <f>VLOOKUP(Table91213[[#This Row],[Date]],'DB Details'!$A:$L,6)</f>
        <v/>
      </c>
      <c r="G90" s="119" t="n"/>
      <c r="H90" s="88">
        <f>VLOOKUP(Table91213[[#This Row],[Date]],'DB Details'!$A:$L,8)</f>
        <v/>
      </c>
      <c r="I90" s="88">
        <f>VLOOKUP(Table91213[[#This Row],[Date]],'DB Details'!$A:$L,9)</f>
        <v/>
      </c>
      <c r="J90" s="88">
        <f>VLOOKUP(Table91213[[#This Row],[Date]],'DB Details'!$A:$L,10)</f>
        <v/>
      </c>
      <c r="K90" s="119" t="n"/>
      <c r="L90" s="88">
        <f>VLOOKUP(Table91213[[#This Row],[Date]],'DB Details'!$A:$L,12)</f>
        <v/>
      </c>
    </row>
    <row r="91">
      <c r="A91" s="39" t="n">
        <v>20121</v>
      </c>
      <c r="B91" s="57">
        <f>VLOOKUP(Table91213[[#This Row],[Date]],'DB Details'!$A:$L,2)</f>
        <v/>
      </c>
      <c r="C91" s="55" t="n"/>
      <c r="D91" s="55" t="n"/>
      <c r="E91" s="88">
        <f>VLOOKUP(Table91213[[#This Row],[Date]],'DB Details'!$A:$L,5)</f>
        <v/>
      </c>
      <c r="F91" s="88">
        <f>VLOOKUP(Table91213[[#This Row],[Date]],'DB Details'!$A:$L,6)</f>
        <v/>
      </c>
      <c r="G91" s="119" t="n"/>
      <c r="H91" s="88">
        <f>VLOOKUP(Table91213[[#This Row],[Date]],'DB Details'!$A:$L,8)</f>
        <v/>
      </c>
      <c r="I91" s="88">
        <f>VLOOKUP(Table91213[[#This Row],[Date]],'DB Details'!$A:$L,9)</f>
        <v/>
      </c>
      <c r="J91" s="88">
        <f>VLOOKUP(Table91213[[#This Row],[Date]],'DB Details'!$A:$L,10)</f>
        <v/>
      </c>
      <c r="K91" s="119" t="n"/>
      <c r="L91" s="88">
        <f>VLOOKUP(Table91213[[#This Row],[Date]],'DB Details'!$A:$L,12)</f>
        <v/>
      </c>
    </row>
    <row r="92">
      <c r="A92" s="39" t="n">
        <v>20149</v>
      </c>
      <c r="B92" s="57">
        <f>VLOOKUP(Table91213[[#This Row],[Date]],'DB Details'!$A:$L,2)</f>
        <v/>
      </c>
      <c r="C92" s="55" t="n"/>
      <c r="D92" s="55" t="n"/>
      <c r="E92" s="88">
        <f>VLOOKUP(Table91213[[#This Row],[Date]],'DB Details'!$A:$L,5)</f>
        <v/>
      </c>
      <c r="F92" s="88">
        <f>VLOOKUP(Table91213[[#This Row],[Date]],'DB Details'!$A:$L,6)</f>
        <v/>
      </c>
      <c r="G92" s="119" t="n"/>
      <c r="H92" s="88">
        <f>VLOOKUP(Table91213[[#This Row],[Date]],'DB Details'!$A:$L,8)</f>
        <v/>
      </c>
      <c r="I92" s="88">
        <f>VLOOKUP(Table91213[[#This Row],[Date]],'DB Details'!$A:$L,9)</f>
        <v/>
      </c>
      <c r="J92" s="88">
        <f>VLOOKUP(Table91213[[#This Row],[Date]],'DB Details'!$A:$L,10)</f>
        <v/>
      </c>
      <c r="K92" s="119" t="n"/>
      <c r="L92" s="88">
        <f>VLOOKUP(Table91213[[#This Row],[Date]],'DB Details'!$A:$L,12)</f>
        <v/>
      </c>
    </row>
    <row r="93">
      <c r="A93" s="39" t="n">
        <v>20180</v>
      </c>
      <c r="B93" s="57">
        <f>VLOOKUP(Table91213[[#This Row],[Date]],'DB Details'!$A:$L,2)</f>
        <v/>
      </c>
      <c r="C93" s="55" t="n"/>
      <c r="D93" s="55" t="n"/>
      <c r="E93" s="88">
        <f>VLOOKUP(Table91213[[#This Row],[Date]],'DB Details'!$A:$L,5)</f>
        <v/>
      </c>
      <c r="F93" s="88">
        <f>VLOOKUP(Table91213[[#This Row],[Date]],'DB Details'!$A:$L,6)</f>
        <v/>
      </c>
      <c r="G93" s="119" t="n"/>
      <c r="H93" s="88">
        <f>VLOOKUP(Table91213[[#This Row],[Date]],'DB Details'!$A:$L,8)</f>
        <v/>
      </c>
      <c r="I93" s="88">
        <f>VLOOKUP(Table91213[[#This Row],[Date]],'DB Details'!$A:$L,9)</f>
        <v/>
      </c>
      <c r="J93" s="88">
        <f>VLOOKUP(Table91213[[#This Row],[Date]],'DB Details'!$A:$L,10)</f>
        <v/>
      </c>
      <c r="K93" s="119" t="n"/>
      <c r="L93" s="88">
        <f>VLOOKUP(Table91213[[#This Row],[Date]],'DB Details'!$A:$L,12)</f>
        <v/>
      </c>
    </row>
    <row r="94">
      <c r="A94" s="39" t="n">
        <v>20210</v>
      </c>
      <c r="B94" s="57">
        <f>VLOOKUP(Table91213[[#This Row],[Date]],'DB Details'!$A:$L,2)</f>
        <v/>
      </c>
      <c r="C94" s="55" t="n"/>
      <c r="D94" s="55" t="n"/>
      <c r="E94" s="88">
        <f>VLOOKUP(Table91213[[#This Row],[Date]],'DB Details'!$A:$L,5)</f>
        <v/>
      </c>
      <c r="F94" s="88">
        <f>VLOOKUP(Table91213[[#This Row],[Date]],'DB Details'!$A:$L,6)</f>
        <v/>
      </c>
      <c r="G94" s="119" t="n"/>
      <c r="H94" s="88">
        <f>VLOOKUP(Table91213[[#This Row],[Date]],'DB Details'!$A:$L,8)</f>
        <v/>
      </c>
      <c r="I94" s="88">
        <f>VLOOKUP(Table91213[[#This Row],[Date]],'DB Details'!$A:$L,9)</f>
        <v/>
      </c>
      <c r="J94" s="88">
        <f>VLOOKUP(Table91213[[#This Row],[Date]],'DB Details'!$A:$L,10)</f>
        <v/>
      </c>
      <c r="K94" s="119" t="n"/>
      <c r="L94" s="88">
        <f>VLOOKUP(Table91213[[#This Row],[Date]],'DB Details'!$A:$L,12)</f>
        <v/>
      </c>
    </row>
    <row r="95">
      <c r="A95" s="39" t="n">
        <v>20241</v>
      </c>
      <c r="B95" s="57">
        <f>VLOOKUP(Table91213[[#This Row],[Date]],'DB Details'!$A:$L,2)</f>
        <v/>
      </c>
      <c r="C95" s="55" t="n"/>
      <c r="D95" s="55" t="n"/>
      <c r="E95" s="88">
        <f>VLOOKUP(Table91213[[#This Row],[Date]],'DB Details'!$A:$L,5)</f>
        <v/>
      </c>
      <c r="F95" s="88">
        <f>VLOOKUP(Table91213[[#This Row],[Date]],'DB Details'!$A:$L,6)</f>
        <v/>
      </c>
      <c r="G95" s="119" t="n"/>
      <c r="H95" s="88">
        <f>VLOOKUP(Table91213[[#This Row],[Date]],'DB Details'!$A:$L,8)</f>
        <v/>
      </c>
      <c r="I95" s="88">
        <f>VLOOKUP(Table91213[[#This Row],[Date]],'DB Details'!$A:$L,9)</f>
        <v/>
      </c>
      <c r="J95" s="88">
        <f>VLOOKUP(Table91213[[#This Row],[Date]],'DB Details'!$A:$L,10)</f>
        <v/>
      </c>
      <c r="K95" s="119" t="n"/>
      <c r="L95" s="88">
        <f>VLOOKUP(Table91213[[#This Row],[Date]],'DB Details'!$A:$L,12)</f>
        <v/>
      </c>
    </row>
    <row r="96">
      <c r="A96" s="39" t="n">
        <v>20271</v>
      </c>
      <c r="B96" s="57">
        <f>VLOOKUP(Table91213[[#This Row],[Date]],'DB Details'!$A:$L,2)</f>
        <v/>
      </c>
      <c r="C96" s="55" t="n"/>
      <c r="D96" s="55" t="n"/>
      <c r="E96" s="88">
        <f>VLOOKUP(Table91213[[#This Row],[Date]],'DB Details'!$A:$L,5)</f>
        <v/>
      </c>
      <c r="F96" s="88">
        <f>VLOOKUP(Table91213[[#This Row],[Date]],'DB Details'!$A:$L,6)</f>
        <v/>
      </c>
      <c r="G96" s="119" t="n"/>
      <c r="H96" s="88">
        <f>VLOOKUP(Table91213[[#This Row],[Date]],'DB Details'!$A:$L,8)</f>
        <v/>
      </c>
      <c r="I96" s="88">
        <f>VLOOKUP(Table91213[[#This Row],[Date]],'DB Details'!$A:$L,9)</f>
        <v/>
      </c>
      <c r="J96" s="88">
        <f>VLOOKUP(Table91213[[#This Row],[Date]],'DB Details'!$A:$L,10)</f>
        <v/>
      </c>
      <c r="K96" s="119" t="n"/>
      <c r="L96" s="88">
        <f>VLOOKUP(Table91213[[#This Row],[Date]],'DB Details'!$A:$L,12)</f>
        <v/>
      </c>
    </row>
    <row r="97">
      <c r="A97" s="39" t="n">
        <v>20302</v>
      </c>
      <c r="B97" s="57">
        <f>VLOOKUP(Table91213[[#This Row],[Date]],'DB Details'!$A:$L,2)</f>
        <v/>
      </c>
      <c r="C97" s="55" t="n"/>
      <c r="D97" s="55" t="n"/>
      <c r="E97" s="88">
        <f>VLOOKUP(Table91213[[#This Row],[Date]],'DB Details'!$A:$L,5)</f>
        <v/>
      </c>
      <c r="F97" s="88">
        <f>VLOOKUP(Table91213[[#This Row],[Date]],'DB Details'!$A:$L,6)</f>
        <v/>
      </c>
      <c r="G97" s="119" t="n"/>
      <c r="H97" s="88">
        <f>VLOOKUP(Table91213[[#This Row],[Date]],'DB Details'!$A:$L,8)</f>
        <v/>
      </c>
      <c r="I97" s="88">
        <f>VLOOKUP(Table91213[[#This Row],[Date]],'DB Details'!$A:$L,9)</f>
        <v/>
      </c>
      <c r="J97" s="88">
        <f>VLOOKUP(Table91213[[#This Row],[Date]],'DB Details'!$A:$L,10)</f>
        <v/>
      </c>
      <c r="K97" s="119" t="n"/>
      <c r="L97" s="88">
        <f>VLOOKUP(Table91213[[#This Row],[Date]],'DB Details'!$A:$L,12)</f>
        <v/>
      </c>
    </row>
    <row r="98">
      <c r="A98" s="39" t="n">
        <v>20333</v>
      </c>
      <c r="B98" s="57">
        <f>VLOOKUP(Table91213[[#This Row],[Date]],'DB Details'!$A:$L,2)</f>
        <v/>
      </c>
      <c r="C98" s="55" t="n"/>
      <c r="D98" s="55" t="n"/>
      <c r="E98" s="88">
        <f>VLOOKUP(Table91213[[#This Row],[Date]],'DB Details'!$A:$L,5)</f>
        <v/>
      </c>
      <c r="F98" s="88">
        <f>VLOOKUP(Table91213[[#This Row],[Date]],'DB Details'!$A:$L,6)</f>
        <v/>
      </c>
      <c r="G98" s="119" t="n"/>
      <c r="H98" s="88">
        <f>VLOOKUP(Table91213[[#This Row],[Date]],'DB Details'!$A:$L,8)</f>
        <v/>
      </c>
      <c r="I98" s="88">
        <f>VLOOKUP(Table91213[[#This Row],[Date]],'DB Details'!$A:$L,9)</f>
        <v/>
      </c>
      <c r="J98" s="88">
        <f>VLOOKUP(Table91213[[#This Row],[Date]],'DB Details'!$A:$L,10)</f>
        <v/>
      </c>
      <c r="K98" s="119" t="n"/>
      <c r="L98" s="88">
        <f>VLOOKUP(Table91213[[#This Row],[Date]],'DB Details'!$A:$L,12)</f>
        <v/>
      </c>
    </row>
    <row r="99">
      <c r="A99" s="39" t="n">
        <v>20363</v>
      </c>
      <c r="B99" s="57">
        <f>VLOOKUP(Table91213[[#This Row],[Date]],'DB Details'!$A:$L,2)</f>
        <v/>
      </c>
      <c r="C99" s="55" t="n"/>
      <c r="D99" s="55" t="n"/>
      <c r="E99" s="88">
        <f>VLOOKUP(Table91213[[#This Row],[Date]],'DB Details'!$A:$L,5)</f>
        <v/>
      </c>
      <c r="F99" s="88">
        <f>VLOOKUP(Table91213[[#This Row],[Date]],'DB Details'!$A:$L,6)</f>
        <v/>
      </c>
      <c r="G99" s="119" t="n"/>
      <c r="H99" s="88">
        <f>VLOOKUP(Table91213[[#This Row],[Date]],'DB Details'!$A:$L,8)</f>
        <v/>
      </c>
      <c r="I99" s="88">
        <f>VLOOKUP(Table91213[[#This Row],[Date]],'DB Details'!$A:$L,9)</f>
        <v/>
      </c>
      <c r="J99" s="88">
        <f>VLOOKUP(Table91213[[#This Row],[Date]],'DB Details'!$A:$L,10)</f>
        <v/>
      </c>
      <c r="K99" s="119" t="n"/>
      <c r="L99" s="88">
        <f>VLOOKUP(Table91213[[#This Row],[Date]],'DB Details'!$A:$L,12)</f>
        <v/>
      </c>
    </row>
    <row r="100">
      <c r="A100" s="39" t="n">
        <v>20394</v>
      </c>
      <c r="B100" s="57">
        <f>VLOOKUP(Table91213[[#This Row],[Date]],'DB Details'!$A:$L,2)</f>
        <v/>
      </c>
      <c r="C100" s="55" t="n"/>
      <c r="D100" s="55" t="n"/>
      <c r="E100" s="88">
        <f>VLOOKUP(Table91213[[#This Row],[Date]],'DB Details'!$A:$L,5)</f>
        <v/>
      </c>
      <c r="F100" s="88">
        <f>VLOOKUP(Table91213[[#This Row],[Date]],'DB Details'!$A:$L,6)</f>
        <v/>
      </c>
      <c r="G100" s="119" t="n"/>
      <c r="H100" s="88">
        <f>VLOOKUP(Table91213[[#This Row],[Date]],'DB Details'!$A:$L,8)</f>
        <v/>
      </c>
      <c r="I100" s="88">
        <f>VLOOKUP(Table91213[[#This Row],[Date]],'DB Details'!$A:$L,9)</f>
        <v/>
      </c>
      <c r="J100" s="88">
        <f>VLOOKUP(Table91213[[#This Row],[Date]],'DB Details'!$A:$L,10)</f>
        <v/>
      </c>
      <c r="K100" s="119" t="n"/>
      <c r="L100" s="88">
        <f>VLOOKUP(Table91213[[#This Row],[Date]],'DB Details'!$A:$L,12)</f>
        <v/>
      </c>
    </row>
    <row r="101">
      <c r="A101" s="39" t="n">
        <v>20424</v>
      </c>
      <c r="B101" s="57">
        <f>VLOOKUP(Table91213[[#This Row],[Date]],'DB Details'!$A:$L,2)</f>
        <v/>
      </c>
      <c r="C101" s="55" t="n"/>
      <c r="D101" s="55" t="n"/>
      <c r="E101" s="88">
        <f>VLOOKUP(Table91213[[#This Row],[Date]],'DB Details'!$A:$L,5)</f>
        <v/>
      </c>
      <c r="F101" s="88">
        <f>VLOOKUP(Table91213[[#This Row],[Date]],'DB Details'!$A:$L,6)</f>
        <v/>
      </c>
      <c r="G101" s="119" t="n"/>
      <c r="H101" s="88">
        <f>VLOOKUP(Table91213[[#This Row],[Date]],'DB Details'!$A:$L,8)</f>
        <v/>
      </c>
      <c r="I101" s="88">
        <f>VLOOKUP(Table91213[[#This Row],[Date]],'DB Details'!$A:$L,9)</f>
        <v/>
      </c>
      <c r="J101" s="88">
        <f>VLOOKUP(Table91213[[#This Row],[Date]],'DB Details'!$A:$L,10)</f>
        <v/>
      </c>
      <c r="K101" s="119" t="n"/>
      <c r="L101" s="88">
        <f>VLOOKUP(Table91213[[#This Row],[Date]],'DB Details'!$A:$L,12)</f>
        <v/>
      </c>
    </row>
    <row r="102">
      <c r="A102" s="39" t="n">
        <v>20455</v>
      </c>
      <c r="B102" s="57">
        <f>VLOOKUP(Table91213[[#This Row],[Date]],'DB Details'!$A:$L,2)</f>
        <v/>
      </c>
      <c r="C102" s="55" t="n"/>
      <c r="D102" s="55" t="n"/>
      <c r="E102" s="88">
        <f>VLOOKUP(Table91213[[#This Row],[Date]],'DB Details'!$A:$L,5)</f>
        <v/>
      </c>
      <c r="F102" s="88">
        <f>VLOOKUP(Table91213[[#This Row],[Date]],'DB Details'!$A:$L,6)</f>
        <v/>
      </c>
      <c r="G102" s="119" t="n"/>
      <c r="H102" s="88">
        <f>VLOOKUP(Table91213[[#This Row],[Date]],'DB Details'!$A:$L,8)</f>
        <v/>
      </c>
      <c r="I102" s="88">
        <f>VLOOKUP(Table91213[[#This Row],[Date]],'DB Details'!$A:$L,9)</f>
        <v/>
      </c>
      <c r="J102" s="88">
        <f>VLOOKUP(Table91213[[#This Row],[Date]],'DB Details'!$A:$L,10)</f>
        <v/>
      </c>
      <c r="K102" s="119" t="n"/>
      <c r="L102" s="88">
        <f>VLOOKUP(Table91213[[#This Row],[Date]],'DB Details'!$A:$L,12)</f>
        <v/>
      </c>
    </row>
    <row r="103">
      <c r="A103" s="39" t="n">
        <v>20486</v>
      </c>
      <c r="B103" s="57">
        <f>VLOOKUP(Table91213[[#This Row],[Date]],'DB Details'!$A:$L,2)</f>
        <v/>
      </c>
      <c r="C103" s="55" t="n"/>
      <c r="D103" s="55" t="n"/>
      <c r="E103" s="88">
        <f>VLOOKUP(Table91213[[#This Row],[Date]],'DB Details'!$A:$L,5)</f>
        <v/>
      </c>
      <c r="F103" s="88">
        <f>VLOOKUP(Table91213[[#This Row],[Date]],'DB Details'!$A:$L,6)</f>
        <v/>
      </c>
      <c r="G103" s="119" t="n"/>
      <c r="H103" s="88">
        <f>VLOOKUP(Table91213[[#This Row],[Date]],'DB Details'!$A:$L,8)</f>
        <v/>
      </c>
      <c r="I103" s="88">
        <f>VLOOKUP(Table91213[[#This Row],[Date]],'DB Details'!$A:$L,9)</f>
        <v/>
      </c>
      <c r="J103" s="88">
        <f>VLOOKUP(Table91213[[#This Row],[Date]],'DB Details'!$A:$L,10)</f>
        <v/>
      </c>
      <c r="K103" s="119" t="n"/>
      <c r="L103" s="88">
        <f>VLOOKUP(Table91213[[#This Row],[Date]],'DB Details'!$A:$L,12)</f>
        <v/>
      </c>
    </row>
    <row r="104">
      <c r="A104" s="39" t="n">
        <v>20515</v>
      </c>
      <c r="B104" s="57">
        <f>VLOOKUP(Table91213[[#This Row],[Date]],'DB Details'!$A:$L,2)</f>
        <v/>
      </c>
      <c r="C104" s="55" t="n"/>
      <c r="D104" s="55" t="n"/>
      <c r="E104" s="88">
        <f>VLOOKUP(Table91213[[#This Row],[Date]],'DB Details'!$A:$L,5)</f>
        <v/>
      </c>
      <c r="F104" s="88">
        <f>VLOOKUP(Table91213[[#This Row],[Date]],'DB Details'!$A:$L,6)</f>
        <v/>
      </c>
      <c r="G104" s="119" t="n"/>
      <c r="H104" s="88">
        <f>VLOOKUP(Table91213[[#This Row],[Date]],'DB Details'!$A:$L,8)</f>
        <v/>
      </c>
      <c r="I104" s="88">
        <f>VLOOKUP(Table91213[[#This Row],[Date]],'DB Details'!$A:$L,9)</f>
        <v/>
      </c>
      <c r="J104" s="88">
        <f>VLOOKUP(Table91213[[#This Row],[Date]],'DB Details'!$A:$L,10)</f>
        <v/>
      </c>
      <c r="K104" s="119" t="n"/>
      <c r="L104" s="88">
        <f>VLOOKUP(Table91213[[#This Row],[Date]],'DB Details'!$A:$L,12)</f>
        <v/>
      </c>
    </row>
    <row r="105">
      <c r="A105" s="39" t="n">
        <v>20546</v>
      </c>
      <c r="B105" s="57">
        <f>VLOOKUP(Table91213[[#This Row],[Date]],'DB Details'!$A:$L,2)</f>
        <v/>
      </c>
      <c r="C105" s="55" t="n"/>
      <c r="D105" s="55" t="n"/>
      <c r="E105" s="88">
        <f>VLOOKUP(Table91213[[#This Row],[Date]],'DB Details'!$A:$L,5)</f>
        <v/>
      </c>
      <c r="F105" s="88">
        <f>VLOOKUP(Table91213[[#This Row],[Date]],'DB Details'!$A:$L,6)</f>
        <v/>
      </c>
      <c r="G105" s="119" t="n"/>
      <c r="H105" s="88">
        <f>VLOOKUP(Table91213[[#This Row],[Date]],'DB Details'!$A:$L,8)</f>
        <v/>
      </c>
      <c r="I105" s="88">
        <f>VLOOKUP(Table91213[[#This Row],[Date]],'DB Details'!$A:$L,9)</f>
        <v/>
      </c>
      <c r="J105" s="88">
        <f>VLOOKUP(Table91213[[#This Row],[Date]],'DB Details'!$A:$L,10)</f>
        <v/>
      </c>
      <c r="K105" s="119" t="n"/>
      <c r="L105" s="88">
        <f>VLOOKUP(Table91213[[#This Row],[Date]],'DB Details'!$A:$L,12)</f>
        <v/>
      </c>
    </row>
    <row r="106">
      <c r="A106" s="39" t="n">
        <v>20576</v>
      </c>
      <c r="B106" s="57">
        <f>VLOOKUP(Table91213[[#This Row],[Date]],'DB Details'!$A:$L,2)</f>
        <v/>
      </c>
      <c r="C106" s="55" t="n"/>
      <c r="D106" s="55" t="n"/>
      <c r="E106" s="88">
        <f>VLOOKUP(Table91213[[#This Row],[Date]],'DB Details'!$A:$L,5)</f>
        <v/>
      </c>
      <c r="F106" s="88">
        <f>VLOOKUP(Table91213[[#This Row],[Date]],'DB Details'!$A:$L,6)</f>
        <v/>
      </c>
      <c r="G106" s="119" t="n"/>
      <c r="H106" s="88">
        <f>VLOOKUP(Table91213[[#This Row],[Date]],'DB Details'!$A:$L,8)</f>
        <v/>
      </c>
      <c r="I106" s="88">
        <f>VLOOKUP(Table91213[[#This Row],[Date]],'DB Details'!$A:$L,9)</f>
        <v/>
      </c>
      <c r="J106" s="88">
        <f>VLOOKUP(Table91213[[#This Row],[Date]],'DB Details'!$A:$L,10)</f>
        <v/>
      </c>
      <c r="K106" s="119" t="n"/>
      <c r="L106" s="88">
        <f>VLOOKUP(Table91213[[#This Row],[Date]],'DB Details'!$A:$L,12)</f>
        <v/>
      </c>
    </row>
    <row r="107">
      <c r="A107" s="39" t="n">
        <v>20607</v>
      </c>
      <c r="B107" s="57">
        <f>VLOOKUP(Table91213[[#This Row],[Date]],'DB Details'!$A:$L,2)</f>
        <v/>
      </c>
      <c r="C107" s="55" t="n"/>
      <c r="D107" s="55" t="n"/>
      <c r="E107" s="88">
        <f>VLOOKUP(Table91213[[#This Row],[Date]],'DB Details'!$A:$L,5)</f>
        <v/>
      </c>
      <c r="F107" s="88">
        <f>VLOOKUP(Table91213[[#This Row],[Date]],'DB Details'!$A:$L,6)</f>
        <v/>
      </c>
      <c r="G107" s="119" t="n"/>
      <c r="H107" s="88">
        <f>VLOOKUP(Table91213[[#This Row],[Date]],'DB Details'!$A:$L,8)</f>
        <v/>
      </c>
      <c r="I107" s="88">
        <f>VLOOKUP(Table91213[[#This Row],[Date]],'DB Details'!$A:$L,9)</f>
        <v/>
      </c>
      <c r="J107" s="88">
        <f>VLOOKUP(Table91213[[#This Row],[Date]],'DB Details'!$A:$L,10)</f>
        <v/>
      </c>
      <c r="K107" s="119" t="n"/>
      <c r="L107" s="88">
        <f>VLOOKUP(Table91213[[#This Row],[Date]],'DB Details'!$A:$L,12)</f>
        <v/>
      </c>
    </row>
    <row r="108">
      <c r="A108" s="39" t="n">
        <v>20637</v>
      </c>
      <c r="B108" s="57">
        <f>VLOOKUP(Table91213[[#This Row],[Date]],'DB Details'!$A:$L,2)</f>
        <v/>
      </c>
      <c r="C108" s="55" t="n"/>
      <c r="D108" s="55" t="n"/>
      <c r="E108" s="88">
        <f>VLOOKUP(Table91213[[#This Row],[Date]],'DB Details'!$A:$L,5)</f>
        <v/>
      </c>
      <c r="F108" s="88">
        <f>VLOOKUP(Table91213[[#This Row],[Date]],'DB Details'!$A:$L,6)</f>
        <v/>
      </c>
      <c r="G108" s="119" t="n"/>
      <c r="H108" s="88">
        <f>VLOOKUP(Table91213[[#This Row],[Date]],'DB Details'!$A:$L,8)</f>
        <v/>
      </c>
      <c r="I108" s="88">
        <f>VLOOKUP(Table91213[[#This Row],[Date]],'DB Details'!$A:$L,9)</f>
        <v/>
      </c>
      <c r="J108" s="88">
        <f>VLOOKUP(Table91213[[#This Row],[Date]],'DB Details'!$A:$L,10)</f>
        <v/>
      </c>
      <c r="K108" s="119" t="n"/>
      <c r="L108" s="88">
        <f>VLOOKUP(Table91213[[#This Row],[Date]],'DB Details'!$A:$L,12)</f>
        <v/>
      </c>
    </row>
    <row r="109">
      <c r="A109" s="39" t="n">
        <v>20668</v>
      </c>
      <c r="B109" s="57">
        <f>VLOOKUP(Table91213[[#This Row],[Date]],'DB Details'!$A:$L,2)</f>
        <v/>
      </c>
      <c r="C109" s="55" t="n"/>
      <c r="D109" s="55" t="n"/>
      <c r="E109" s="88">
        <f>VLOOKUP(Table91213[[#This Row],[Date]],'DB Details'!$A:$L,5)</f>
        <v/>
      </c>
      <c r="F109" s="88">
        <f>VLOOKUP(Table91213[[#This Row],[Date]],'DB Details'!$A:$L,6)</f>
        <v/>
      </c>
      <c r="G109" s="119" t="n"/>
      <c r="H109" s="88">
        <f>VLOOKUP(Table91213[[#This Row],[Date]],'DB Details'!$A:$L,8)</f>
        <v/>
      </c>
      <c r="I109" s="88">
        <f>VLOOKUP(Table91213[[#This Row],[Date]],'DB Details'!$A:$L,9)</f>
        <v/>
      </c>
      <c r="J109" s="88">
        <f>VLOOKUP(Table91213[[#This Row],[Date]],'DB Details'!$A:$L,10)</f>
        <v/>
      </c>
      <c r="K109" s="119" t="n"/>
      <c r="L109" s="88">
        <f>VLOOKUP(Table91213[[#This Row],[Date]],'DB Details'!$A:$L,12)</f>
        <v/>
      </c>
    </row>
    <row r="110">
      <c r="A110" s="39" t="n">
        <v>20699</v>
      </c>
      <c r="B110" s="57">
        <f>VLOOKUP(Table91213[[#This Row],[Date]],'DB Details'!$A:$L,2)</f>
        <v/>
      </c>
      <c r="C110" s="55" t="n"/>
      <c r="D110" s="55" t="n"/>
      <c r="E110" s="88">
        <f>VLOOKUP(Table91213[[#This Row],[Date]],'DB Details'!$A:$L,5)</f>
        <v/>
      </c>
      <c r="F110" s="88">
        <f>VLOOKUP(Table91213[[#This Row],[Date]],'DB Details'!$A:$L,6)</f>
        <v/>
      </c>
      <c r="G110" s="119" t="n"/>
      <c r="H110" s="88">
        <f>VLOOKUP(Table91213[[#This Row],[Date]],'DB Details'!$A:$L,8)</f>
        <v/>
      </c>
      <c r="I110" s="88">
        <f>VLOOKUP(Table91213[[#This Row],[Date]],'DB Details'!$A:$L,9)</f>
        <v/>
      </c>
      <c r="J110" s="88">
        <f>VLOOKUP(Table91213[[#This Row],[Date]],'DB Details'!$A:$L,10)</f>
        <v/>
      </c>
      <c r="K110" s="119" t="n"/>
      <c r="L110" s="88">
        <f>VLOOKUP(Table91213[[#This Row],[Date]],'DB Details'!$A:$L,12)</f>
        <v/>
      </c>
    </row>
    <row r="111">
      <c r="A111" s="39" t="n">
        <v>20729</v>
      </c>
      <c r="B111" s="57">
        <f>VLOOKUP(Table91213[[#This Row],[Date]],'DB Details'!$A:$L,2)</f>
        <v/>
      </c>
      <c r="C111" s="55" t="n"/>
      <c r="D111" s="55" t="n"/>
      <c r="E111" s="88">
        <f>VLOOKUP(Table91213[[#This Row],[Date]],'DB Details'!$A:$L,5)</f>
        <v/>
      </c>
      <c r="F111" s="88">
        <f>VLOOKUP(Table91213[[#This Row],[Date]],'DB Details'!$A:$L,6)</f>
        <v/>
      </c>
      <c r="G111" s="119" t="n"/>
      <c r="H111" s="88">
        <f>VLOOKUP(Table91213[[#This Row],[Date]],'DB Details'!$A:$L,8)</f>
        <v/>
      </c>
      <c r="I111" s="88">
        <f>VLOOKUP(Table91213[[#This Row],[Date]],'DB Details'!$A:$L,9)</f>
        <v/>
      </c>
      <c r="J111" s="88">
        <f>VLOOKUP(Table91213[[#This Row],[Date]],'DB Details'!$A:$L,10)</f>
        <v/>
      </c>
      <c r="K111" s="119" t="n"/>
      <c r="L111" s="88">
        <f>VLOOKUP(Table91213[[#This Row],[Date]],'DB Details'!$A:$L,12)</f>
        <v/>
      </c>
    </row>
    <row r="112">
      <c r="A112" s="39" t="n">
        <v>20760</v>
      </c>
      <c r="B112" s="57">
        <f>VLOOKUP(Table91213[[#This Row],[Date]],'DB Details'!$A:$L,2)</f>
        <v/>
      </c>
      <c r="C112" s="55" t="n"/>
      <c r="D112" s="55" t="n"/>
      <c r="E112" s="88">
        <f>VLOOKUP(Table91213[[#This Row],[Date]],'DB Details'!$A:$L,5)</f>
        <v/>
      </c>
      <c r="F112" s="88">
        <f>VLOOKUP(Table91213[[#This Row],[Date]],'DB Details'!$A:$L,6)</f>
        <v/>
      </c>
      <c r="G112" s="119" t="n"/>
      <c r="H112" s="88">
        <f>VLOOKUP(Table91213[[#This Row],[Date]],'DB Details'!$A:$L,8)</f>
        <v/>
      </c>
      <c r="I112" s="88">
        <f>VLOOKUP(Table91213[[#This Row],[Date]],'DB Details'!$A:$L,9)</f>
        <v/>
      </c>
      <c r="J112" s="88">
        <f>VLOOKUP(Table91213[[#This Row],[Date]],'DB Details'!$A:$L,10)</f>
        <v/>
      </c>
      <c r="K112" s="119" t="n"/>
      <c r="L112" s="88">
        <f>VLOOKUP(Table91213[[#This Row],[Date]],'DB Details'!$A:$L,12)</f>
        <v/>
      </c>
    </row>
    <row r="113">
      <c r="A113" s="39" t="n">
        <v>20790</v>
      </c>
      <c r="B113" s="57">
        <f>VLOOKUP(Table91213[[#This Row],[Date]],'DB Details'!$A:$L,2)</f>
        <v/>
      </c>
      <c r="C113" s="55" t="n"/>
      <c r="D113" s="55" t="n"/>
      <c r="E113" s="88">
        <f>VLOOKUP(Table91213[[#This Row],[Date]],'DB Details'!$A:$L,5)</f>
        <v/>
      </c>
      <c r="F113" s="88">
        <f>VLOOKUP(Table91213[[#This Row],[Date]],'DB Details'!$A:$L,6)</f>
        <v/>
      </c>
      <c r="G113" s="119" t="n"/>
      <c r="H113" s="88">
        <f>VLOOKUP(Table91213[[#This Row],[Date]],'DB Details'!$A:$L,8)</f>
        <v/>
      </c>
      <c r="I113" s="88">
        <f>VLOOKUP(Table91213[[#This Row],[Date]],'DB Details'!$A:$L,9)</f>
        <v/>
      </c>
      <c r="J113" s="88">
        <f>VLOOKUP(Table91213[[#This Row],[Date]],'DB Details'!$A:$L,10)</f>
        <v/>
      </c>
      <c r="K113" s="119" t="n"/>
      <c r="L113" s="88">
        <f>VLOOKUP(Table91213[[#This Row],[Date]],'DB Details'!$A:$L,12)</f>
        <v/>
      </c>
    </row>
    <row r="114">
      <c r="A114" s="39" t="n">
        <v>20821</v>
      </c>
      <c r="B114" s="57">
        <f>VLOOKUP(Table91213[[#This Row],[Date]],'DB Details'!$A:$L,2)</f>
        <v/>
      </c>
      <c r="C114" s="55" t="n"/>
      <c r="D114" s="55" t="n"/>
      <c r="E114" s="88">
        <f>VLOOKUP(Table91213[[#This Row],[Date]],'DB Details'!$A:$L,5)</f>
        <v/>
      </c>
      <c r="F114" s="88">
        <f>VLOOKUP(Table91213[[#This Row],[Date]],'DB Details'!$A:$L,6)</f>
        <v/>
      </c>
      <c r="G114" s="119" t="n"/>
      <c r="H114" s="88">
        <f>VLOOKUP(Table91213[[#This Row],[Date]],'DB Details'!$A:$L,8)</f>
        <v/>
      </c>
      <c r="I114" s="88">
        <f>VLOOKUP(Table91213[[#This Row],[Date]],'DB Details'!$A:$L,9)</f>
        <v/>
      </c>
      <c r="J114" s="88">
        <f>VLOOKUP(Table91213[[#This Row],[Date]],'DB Details'!$A:$L,10)</f>
        <v/>
      </c>
      <c r="K114" s="119" t="n"/>
      <c r="L114" s="88">
        <f>VLOOKUP(Table91213[[#This Row],[Date]],'DB Details'!$A:$L,12)</f>
        <v/>
      </c>
    </row>
    <row r="115">
      <c r="A115" s="39" t="n">
        <v>20852</v>
      </c>
      <c r="B115" s="57">
        <f>VLOOKUP(Table91213[[#This Row],[Date]],'DB Details'!$A:$L,2)</f>
        <v/>
      </c>
      <c r="C115" s="55" t="n"/>
      <c r="D115" s="55" t="n"/>
      <c r="E115" s="88">
        <f>VLOOKUP(Table91213[[#This Row],[Date]],'DB Details'!$A:$L,5)</f>
        <v/>
      </c>
      <c r="F115" s="88">
        <f>VLOOKUP(Table91213[[#This Row],[Date]],'DB Details'!$A:$L,6)</f>
        <v/>
      </c>
      <c r="G115" s="119" t="n"/>
      <c r="H115" s="88">
        <f>VLOOKUP(Table91213[[#This Row],[Date]],'DB Details'!$A:$L,8)</f>
        <v/>
      </c>
      <c r="I115" s="88">
        <f>VLOOKUP(Table91213[[#This Row],[Date]],'DB Details'!$A:$L,9)</f>
        <v/>
      </c>
      <c r="J115" s="88">
        <f>VLOOKUP(Table91213[[#This Row],[Date]],'DB Details'!$A:$L,10)</f>
        <v/>
      </c>
      <c r="K115" s="119" t="n"/>
      <c r="L115" s="88">
        <f>VLOOKUP(Table91213[[#This Row],[Date]],'DB Details'!$A:$L,12)</f>
        <v/>
      </c>
    </row>
    <row r="116">
      <c r="A116" s="39" t="n">
        <v>20880</v>
      </c>
      <c r="B116" s="57">
        <f>VLOOKUP(Table91213[[#This Row],[Date]],'DB Details'!$A:$L,2)</f>
        <v/>
      </c>
      <c r="C116" s="55" t="n"/>
      <c r="D116" s="55" t="n"/>
      <c r="E116" s="88">
        <f>VLOOKUP(Table91213[[#This Row],[Date]],'DB Details'!$A:$L,5)</f>
        <v/>
      </c>
      <c r="F116" s="88">
        <f>VLOOKUP(Table91213[[#This Row],[Date]],'DB Details'!$A:$L,6)</f>
        <v/>
      </c>
      <c r="G116" s="119" t="n"/>
      <c r="H116" s="88">
        <f>VLOOKUP(Table91213[[#This Row],[Date]],'DB Details'!$A:$L,8)</f>
        <v/>
      </c>
      <c r="I116" s="88">
        <f>VLOOKUP(Table91213[[#This Row],[Date]],'DB Details'!$A:$L,9)</f>
        <v/>
      </c>
      <c r="J116" s="88">
        <f>VLOOKUP(Table91213[[#This Row],[Date]],'DB Details'!$A:$L,10)</f>
        <v/>
      </c>
      <c r="K116" s="119" t="n"/>
      <c r="L116" s="88">
        <f>VLOOKUP(Table91213[[#This Row],[Date]],'DB Details'!$A:$L,12)</f>
        <v/>
      </c>
    </row>
    <row r="117">
      <c r="A117" s="39" t="n">
        <v>20911</v>
      </c>
      <c r="B117" s="57">
        <f>VLOOKUP(Table91213[[#This Row],[Date]],'DB Details'!$A:$L,2)</f>
        <v/>
      </c>
      <c r="C117" s="55" t="n"/>
      <c r="D117" s="55" t="n"/>
      <c r="E117" s="88">
        <f>VLOOKUP(Table91213[[#This Row],[Date]],'DB Details'!$A:$L,5)</f>
        <v/>
      </c>
      <c r="F117" s="88">
        <f>VLOOKUP(Table91213[[#This Row],[Date]],'DB Details'!$A:$L,6)</f>
        <v/>
      </c>
      <c r="G117" s="119" t="n"/>
      <c r="H117" s="88">
        <f>VLOOKUP(Table91213[[#This Row],[Date]],'DB Details'!$A:$L,8)</f>
        <v/>
      </c>
      <c r="I117" s="88">
        <f>VLOOKUP(Table91213[[#This Row],[Date]],'DB Details'!$A:$L,9)</f>
        <v/>
      </c>
      <c r="J117" s="88">
        <f>VLOOKUP(Table91213[[#This Row],[Date]],'DB Details'!$A:$L,10)</f>
        <v/>
      </c>
      <c r="K117" s="119" t="n"/>
      <c r="L117" s="88">
        <f>VLOOKUP(Table91213[[#This Row],[Date]],'DB Details'!$A:$L,12)</f>
        <v/>
      </c>
    </row>
    <row r="118">
      <c r="A118" s="39" t="n">
        <v>20941</v>
      </c>
      <c r="B118" s="57">
        <f>VLOOKUP(Table91213[[#This Row],[Date]],'DB Details'!$A:$L,2)</f>
        <v/>
      </c>
      <c r="C118" s="55" t="n"/>
      <c r="D118" s="55" t="n"/>
      <c r="E118" s="88">
        <f>VLOOKUP(Table91213[[#This Row],[Date]],'DB Details'!$A:$L,5)</f>
        <v/>
      </c>
      <c r="F118" s="88">
        <f>VLOOKUP(Table91213[[#This Row],[Date]],'DB Details'!$A:$L,6)</f>
        <v/>
      </c>
      <c r="G118" s="119" t="n"/>
      <c r="H118" s="88">
        <f>VLOOKUP(Table91213[[#This Row],[Date]],'DB Details'!$A:$L,8)</f>
        <v/>
      </c>
      <c r="I118" s="88">
        <f>VLOOKUP(Table91213[[#This Row],[Date]],'DB Details'!$A:$L,9)</f>
        <v/>
      </c>
      <c r="J118" s="88">
        <f>VLOOKUP(Table91213[[#This Row],[Date]],'DB Details'!$A:$L,10)</f>
        <v/>
      </c>
      <c r="K118" s="119" t="n"/>
      <c r="L118" s="88">
        <f>VLOOKUP(Table91213[[#This Row],[Date]],'DB Details'!$A:$L,12)</f>
        <v/>
      </c>
    </row>
    <row r="119">
      <c r="A119" s="39" t="n">
        <v>20972</v>
      </c>
      <c r="B119" s="57">
        <f>VLOOKUP(Table91213[[#This Row],[Date]],'DB Details'!$A:$L,2)</f>
        <v/>
      </c>
      <c r="C119" s="55" t="n"/>
      <c r="D119" s="55" t="n"/>
      <c r="E119" s="88">
        <f>VLOOKUP(Table91213[[#This Row],[Date]],'DB Details'!$A:$L,5)</f>
        <v/>
      </c>
      <c r="F119" s="88">
        <f>VLOOKUP(Table91213[[#This Row],[Date]],'DB Details'!$A:$L,6)</f>
        <v/>
      </c>
      <c r="G119" s="119" t="n"/>
      <c r="H119" s="88">
        <f>VLOOKUP(Table91213[[#This Row],[Date]],'DB Details'!$A:$L,8)</f>
        <v/>
      </c>
      <c r="I119" s="88">
        <f>VLOOKUP(Table91213[[#This Row],[Date]],'DB Details'!$A:$L,9)</f>
        <v/>
      </c>
      <c r="J119" s="88">
        <f>VLOOKUP(Table91213[[#This Row],[Date]],'DB Details'!$A:$L,10)</f>
        <v/>
      </c>
      <c r="K119" s="119" t="n"/>
      <c r="L119" s="88">
        <f>VLOOKUP(Table91213[[#This Row],[Date]],'DB Details'!$A:$L,12)</f>
        <v/>
      </c>
    </row>
    <row r="120">
      <c r="A120" s="39" t="n">
        <v>21002</v>
      </c>
      <c r="B120" s="57">
        <f>VLOOKUP(Table91213[[#This Row],[Date]],'DB Details'!$A:$L,2)</f>
        <v/>
      </c>
      <c r="C120" s="55" t="n"/>
      <c r="D120" s="55" t="n"/>
      <c r="E120" s="88">
        <f>VLOOKUP(Table91213[[#This Row],[Date]],'DB Details'!$A:$L,5)</f>
        <v/>
      </c>
      <c r="F120" s="88">
        <f>VLOOKUP(Table91213[[#This Row],[Date]],'DB Details'!$A:$L,6)</f>
        <v/>
      </c>
      <c r="G120" s="119" t="n"/>
      <c r="H120" s="88">
        <f>VLOOKUP(Table91213[[#This Row],[Date]],'DB Details'!$A:$L,8)</f>
        <v/>
      </c>
      <c r="I120" s="88">
        <f>VLOOKUP(Table91213[[#This Row],[Date]],'DB Details'!$A:$L,9)</f>
        <v/>
      </c>
      <c r="J120" s="88">
        <f>VLOOKUP(Table91213[[#This Row],[Date]],'DB Details'!$A:$L,10)</f>
        <v/>
      </c>
      <c r="K120" s="119" t="n"/>
      <c r="L120" s="88">
        <f>VLOOKUP(Table91213[[#This Row],[Date]],'DB Details'!$A:$L,12)</f>
        <v/>
      </c>
    </row>
    <row r="121">
      <c r="A121" s="39" t="n">
        <v>21033</v>
      </c>
      <c r="B121" s="57">
        <f>VLOOKUP(Table91213[[#This Row],[Date]],'DB Details'!$A:$L,2)</f>
        <v/>
      </c>
      <c r="C121" s="55" t="n"/>
      <c r="D121" s="55" t="n"/>
      <c r="E121" s="88">
        <f>VLOOKUP(Table91213[[#This Row],[Date]],'DB Details'!$A:$L,5)</f>
        <v/>
      </c>
      <c r="F121" s="88">
        <f>VLOOKUP(Table91213[[#This Row],[Date]],'DB Details'!$A:$L,6)</f>
        <v/>
      </c>
      <c r="G121" s="119" t="n"/>
      <c r="H121" s="88">
        <f>VLOOKUP(Table91213[[#This Row],[Date]],'DB Details'!$A:$L,8)</f>
        <v/>
      </c>
      <c r="I121" s="88">
        <f>VLOOKUP(Table91213[[#This Row],[Date]],'DB Details'!$A:$L,9)</f>
        <v/>
      </c>
      <c r="J121" s="88">
        <f>VLOOKUP(Table91213[[#This Row],[Date]],'DB Details'!$A:$L,10)</f>
        <v/>
      </c>
      <c r="K121" s="119" t="n"/>
      <c r="L121" s="88">
        <f>VLOOKUP(Table91213[[#This Row],[Date]],'DB Details'!$A:$L,12)</f>
        <v/>
      </c>
    </row>
    <row r="122">
      <c r="A122" s="39" t="n">
        <v>21064</v>
      </c>
      <c r="B122" s="57">
        <f>VLOOKUP(Table91213[[#This Row],[Date]],'DB Details'!$A:$L,2)</f>
        <v/>
      </c>
      <c r="C122" s="55" t="n"/>
      <c r="D122" s="55" t="n"/>
      <c r="E122" s="88">
        <f>VLOOKUP(Table91213[[#This Row],[Date]],'DB Details'!$A:$L,5)</f>
        <v/>
      </c>
      <c r="F122" s="88">
        <f>VLOOKUP(Table91213[[#This Row],[Date]],'DB Details'!$A:$L,6)</f>
        <v/>
      </c>
      <c r="G122" s="119" t="n"/>
      <c r="H122" s="88">
        <f>VLOOKUP(Table91213[[#This Row],[Date]],'DB Details'!$A:$L,8)</f>
        <v/>
      </c>
      <c r="I122" s="88">
        <f>VLOOKUP(Table91213[[#This Row],[Date]],'DB Details'!$A:$L,9)</f>
        <v/>
      </c>
      <c r="J122" s="88">
        <f>VLOOKUP(Table91213[[#This Row],[Date]],'DB Details'!$A:$L,10)</f>
        <v/>
      </c>
      <c r="K122" s="119" t="n"/>
      <c r="L122" s="88">
        <f>VLOOKUP(Table91213[[#This Row],[Date]],'DB Details'!$A:$L,12)</f>
        <v/>
      </c>
    </row>
    <row r="123">
      <c r="A123" s="39" t="n">
        <v>21094</v>
      </c>
      <c r="B123" s="57">
        <f>VLOOKUP(Table91213[[#This Row],[Date]],'DB Details'!$A:$L,2)</f>
        <v/>
      </c>
      <c r="C123" s="55" t="n"/>
      <c r="D123" s="55" t="n"/>
      <c r="E123" s="88">
        <f>VLOOKUP(Table91213[[#This Row],[Date]],'DB Details'!$A:$L,5)</f>
        <v/>
      </c>
      <c r="F123" s="88">
        <f>VLOOKUP(Table91213[[#This Row],[Date]],'DB Details'!$A:$L,6)</f>
        <v/>
      </c>
      <c r="G123" s="119" t="n"/>
      <c r="H123" s="88">
        <f>VLOOKUP(Table91213[[#This Row],[Date]],'DB Details'!$A:$L,8)</f>
        <v/>
      </c>
      <c r="I123" s="88">
        <f>VLOOKUP(Table91213[[#This Row],[Date]],'DB Details'!$A:$L,9)</f>
        <v/>
      </c>
      <c r="J123" s="88">
        <f>VLOOKUP(Table91213[[#This Row],[Date]],'DB Details'!$A:$L,10)</f>
        <v/>
      </c>
      <c r="K123" s="119" t="n"/>
      <c r="L123" s="88">
        <f>VLOOKUP(Table91213[[#This Row],[Date]],'DB Details'!$A:$L,12)</f>
        <v/>
      </c>
    </row>
    <row r="124">
      <c r="A124" s="39" t="n">
        <v>21125</v>
      </c>
      <c r="B124" s="57">
        <f>VLOOKUP(Table91213[[#This Row],[Date]],'DB Details'!$A:$L,2)</f>
        <v/>
      </c>
      <c r="C124" s="55" t="n"/>
      <c r="D124" s="55" t="n"/>
      <c r="E124" s="88">
        <f>VLOOKUP(Table91213[[#This Row],[Date]],'DB Details'!$A:$L,5)</f>
        <v/>
      </c>
      <c r="F124" s="88">
        <f>VLOOKUP(Table91213[[#This Row],[Date]],'DB Details'!$A:$L,6)</f>
        <v/>
      </c>
      <c r="G124" s="119" t="n"/>
      <c r="H124" s="88">
        <f>VLOOKUP(Table91213[[#This Row],[Date]],'DB Details'!$A:$L,8)</f>
        <v/>
      </c>
      <c r="I124" s="88">
        <f>VLOOKUP(Table91213[[#This Row],[Date]],'DB Details'!$A:$L,9)</f>
        <v/>
      </c>
      <c r="J124" s="88">
        <f>VLOOKUP(Table91213[[#This Row],[Date]],'DB Details'!$A:$L,10)</f>
        <v/>
      </c>
      <c r="K124" s="119" t="n"/>
      <c r="L124" s="88">
        <f>VLOOKUP(Table91213[[#This Row],[Date]],'DB Details'!$A:$L,12)</f>
        <v/>
      </c>
    </row>
    <row r="125">
      <c r="A125" s="39" t="n">
        <v>21155</v>
      </c>
      <c r="B125" s="57">
        <f>VLOOKUP(Table91213[[#This Row],[Date]],'DB Details'!$A:$L,2)</f>
        <v/>
      </c>
      <c r="C125" s="55" t="n"/>
      <c r="D125" s="55" t="n"/>
      <c r="E125" s="88">
        <f>VLOOKUP(Table91213[[#This Row],[Date]],'DB Details'!$A:$L,5)</f>
        <v/>
      </c>
      <c r="F125" s="88">
        <f>VLOOKUP(Table91213[[#This Row],[Date]],'DB Details'!$A:$L,6)</f>
        <v/>
      </c>
      <c r="G125" s="119" t="n"/>
      <c r="H125" s="88">
        <f>VLOOKUP(Table91213[[#This Row],[Date]],'DB Details'!$A:$L,8)</f>
        <v/>
      </c>
      <c r="I125" s="88">
        <f>VLOOKUP(Table91213[[#This Row],[Date]],'DB Details'!$A:$L,9)</f>
        <v/>
      </c>
      <c r="J125" s="88">
        <f>VLOOKUP(Table91213[[#This Row],[Date]],'DB Details'!$A:$L,10)</f>
        <v/>
      </c>
      <c r="K125" s="119" t="n"/>
      <c r="L125" s="88">
        <f>VLOOKUP(Table91213[[#This Row],[Date]],'DB Details'!$A:$L,12)</f>
        <v/>
      </c>
    </row>
    <row r="126">
      <c r="A126" s="39" t="n">
        <v>21186</v>
      </c>
      <c r="B126" s="57">
        <f>VLOOKUP(Table91213[[#This Row],[Date]],'DB Details'!$A:$L,2)</f>
        <v/>
      </c>
      <c r="C126" s="55" t="n"/>
      <c r="D126" s="55" t="n"/>
      <c r="E126" s="88">
        <f>VLOOKUP(Table91213[[#This Row],[Date]],'DB Details'!$A:$L,5)</f>
        <v/>
      </c>
      <c r="F126" s="88">
        <f>VLOOKUP(Table91213[[#This Row],[Date]],'DB Details'!$A:$L,6)</f>
        <v/>
      </c>
      <c r="G126" s="119" t="n"/>
      <c r="H126" s="88">
        <f>VLOOKUP(Table91213[[#This Row],[Date]],'DB Details'!$A:$L,8)</f>
        <v/>
      </c>
      <c r="I126" s="88">
        <f>VLOOKUP(Table91213[[#This Row],[Date]],'DB Details'!$A:$L,9)</f>
        <v/>
      </c>
      <c r="J126" s="88">
        <f>VLOOKUP(Table91213[[#This Row],[Date]],'DB Details'!$A:$L,10)</f>
        <v/>
      </c>
      <c r="K126" s="119" t="n"/>
      <c r="L126" s="88">
        <f>VLOOKUP(Table91213[[#This Row],[Date]],'DB Details'!$A:$L,12)</f>
        <v/>
      </c>
    </row>
    <row r="127">
      <c r="A127" s="39" t="n">
        <v>21217</v>
      </c>
      <c r="B127" s="57">
        <f>VLOOKUP(Table91213[[#This Row],[Date]],'DB Details'!$A:$L,2)</f>
        <v/>
      </c>
      <c r="C127" s="55" t="n"/>
      <c r="D127" s="55" t="n"/>
      <c r="E127" s="88">
        <f>VLOOKUP(Table91213[[#This Row],[Date]],'DB Details'!$A:$L,5)</f>
        <v/>
      </c>
      <c r="F127" s="88">
        <f>VLOOKUP(Table91213[[#This Row],[Date]],'DB Details'!$A:$L,6)</f>
        <v/>
      </c>
      <c r="G127" s="119" t="n"/>
      <c r="H127" s="88">
        <f>VLOOKUP(Table91213[[#This Row],[Date]],'DB Details'!$A:$L,8)</f>
        <v/>
      </c>
      <c r="I127" s="88">
        <f>VLOOKUP(Table91213[[#This Row],[Date]],'DB Details'!$A:$L,9)</f>
        <v/>
      </c>
      <c r="J127" s="88">
        <f>VLOOKUP(Table91213[[#This Row],[Date]],'DB Details'!$A:$L,10)</f>
        <v/>
      </c>
      <c r="K127" s="119" t="n"/>
      <c r="L127" s="88">
        <f>VLOOKUP(Table91213[[#This Row],[Date]],'DB Details'!$A:$L,12)</f>
        <v/>
      </c>
    </row>
    <row r="128">
      <c r="A128" s="39" t="n">
        <v>21245</v>
      </c>
      <c r="B128" s="57">
        <f>VLOOKUP(Table91213[[#This Row],[Date]],'DB Details'!$A:$L,2)</f>
        <v/>
      </c>
      <c r="C128" s="55" t="n"/>
      <c r="D128" s="55" t="n"/>
      <c r="E128" s="88">
        <f>VLOOKUP(Table91213[[#This Row],[Date]],'DB Details'!$A:$L,5)</f>
        <v/>
      </c>
      <c r="F128" s="88">
        <f>VLOOKUP(Table91213[[#This Row],[Date]],'DB Details'!$A:$L,6)</f>
        <v/>
      </c>
      <c r="G128" s="119" t="n"/>
      <c r="H128" s="88">
        <f>VLOOKUP(Table91213[[#This Row],[Date]],'DB Details'!$A:$L,8)</f>
        <v/>
      </c>
      <c r="I128" s="88">
        <f>VLOOKUP(Table91213[[#This Row],[Date]],'DB Details'!$A:$L,9)</f>
        <v/>
      </c>
      <c r="J128" s="88">
        <f>VLOOKUP(Table91213[[#This Row],[Date]],'DB Details'!$A:$L,10)</f>
        <v/>
      </c>
      <c r="K128" s="119" t="n"/>
      <c r="L128" s="88">
        <f>VLOOKUP(Table91213[[#This Row],[Date]],'DB Details'!$A:$L,12)</f>
        <v/>
      </c>
    </row>
    <row r="129">
      <c r="A129" s="39" t="n">
        <v>21276</v>
      </c>
      <c r="B129" s="57">
        <f>VLOOKUP(Table91213[[#This Row],[Date]],'DB Details'!$A:$L,2)</f>
        <v/>
      </c>
      <c r="C129" s="55" t="n"/>
      <c r="D129" s="55" t="n"/>
      <c r="E129" s="88">
        <f>VLOOKUP(Table91213[[#This Row],[Date]],'DB Details'!$A:$L,5)</f>
        <v/>
      </c>
      <c r="F129" s="88">
        <f>VLOOKUP(Table91213[[#This Row],[Date]],'DB Details'!$A:$L,6)</f>
        <v/>
      </c>
      <c r="G129" s="119" t="n"/>
      <c r="H129" s="88">
        <f>VLOOKUP(Table91213[[#This Row],[Date]],'DB Details'!$A:$L,8)</f>
        <v/>
      </c>
      <c r="I129" s="88">
        <f>VLOOKUP(Table91213[[#This Row],[Date]],'DB Details'!$A:$L,9)</f>
        <v/>
      </c>
      <c r="J129" s="88">
        <f>VLOOKUP(Table91213[[#This Row],[Date]],'DB Details'!$A:$L,10)</f>
        <v/>
      </c>
      <c r="K129" s="119" t="n"/>
      <c r="L129" s="88">
        <f>VLOOKUP(Table91213[[#This Row],[Date]],'DB Details'!$A:$L,12)</f>
        <v/>
      </c>
    </row>
    <row r="130">
      <c r="A130" s="39" t="n">
        <v>21306</v>
      </c>
      <c r="B130" s="57">
        <f>VLOOKUP(Table91213[[#This Row],[Date]],'DB Details'!$A:$L,2)</f>
        <v/>
      </c>
      <c r="C130" s="55" t="n"/>
      <c r="D130" s="55" t="n"/>
      <c r="E130" s="88">
        <f>VLOOKUP(Table91213[[#This Row],[Date]],'DB Details'!$A:$L,5)</f>
        <v/>
      </c>
      <c r="F130" s="88">
        <f>VLOOKUP(Table91213[[#This Row],[Date]],'DB Details'!$A:$L,6)</f>
        <v/>
      </c>
      <c r="G130" s="119" t="n"/>
      <c r="H130" s="88">
        <f>VLOOKUP(Table91213[[#This Row],[Date]],'DB Details'!$A:$L,8)</f>
        <v/>
      </c>
      <c r="I130" s="88">
        <f>VLOOKUP(Table91213[[#This Row],[Date]],'DB Details'!$A:$L,9)</f>
        <v/>
      </c>
      <c r="J130" s="88">
        <f>VLOOKUP(Table91213[[#This Row],[Date]],'DB Details'!$A:$L,10)</f>
        <v/>
      </c>
      <c r="K130" s="119" t="n"/>
      <c r="L130" s="88">
        <f>VLOOKUP(Table91213[[#This Row],[Date]],'DB Details'!$A:$L,12)</f>
        <v/>
      </c>
    </row>
    <row r="131">
      <c r="A131" s="39" t="n">
        <v>21337</v>
      </c>
      <c r="B131" s="57">
        <f>VLOOKUP(Table91213[[#This Row],[Date]],'DB Details'!$A:$L,2)</f>
        <v/>
      </c>
      <c r="C131" s="55" t="n"/>
      <c r="D131" s="55" t="n"/>
      <c r="E131" s="88">
        <f>VLOOKUP(Table91213[[#This Row],[Date]],'DB Details'!$A:$L,5)</f>
        <v/>
      </c>
      <c r="F131" s="88">
        <f>VLOOKUP(Table91213[[#This Row],[Date]],'DB Details'!$A:$L,6)</f>
        <v/>
      </c>
      <c r="G131" s="119" t="n"/>
      <c r="H131" s="88">
        <f>VLOOKUP(Table91213[[#This Row],[Date]],'DB Details'!$A:$L,8)</f>
        <v/>
      </c>
      <c r="I131" s="88">
        <f>VLOOKUP(Table91213[[#This Row],[Date]],'DB Details'!$A:$L,9)</f>
        <v/>
      </c>
      <c r="J131" s="88">
        <f>VLOOKUP(Table91213[[#This Row],[Date]],'DB Details'!$A:$L,10)</f>
        <v/>
      </c>
      <c r="K131" s="119" t="n"/>
      <c r="L131" s="88">
        <f>VLOOKUP(Table91213[[#This Row],[Date]],'DB Details'!$A:$L,12)</f>
        <v/>
      </c>
    </row>
    <row r="132">
      <c r="A132" s="39" t="n">
        <v>21367</v>
      </c>
      <c r="B132" s="57">
        <f>VLOOKUP(Table91213[[#This Row],[Date]],'DB Details'!$A:$L,2)</f>
        <v/>
      </c>
      <c r="C132" s="55" t="n"/>
      <c r="D132" s="55" t="n"/>
      <c r="E132" s="88">
        <f>VLOOKUP(Table91213[[#This Row],[Date]],'DB Details'!$A:$L,5)</f>
        <v/>
      </c>
      <c r="F132" s="88">
        <f>VLOOKUP(Table91213[[#This Row],[Date]],'DB Details'!$A:$L,6)</f>
        <v/>
      </c>
      <c r="G132" s="119" t="n"/>
      <c r="H132" s="88">
        <f>VLOOKUP(Table91213[[#This Row],[Date]],'DB Details'!$A:$L,8)</f>
        <v/>
      </c>
      <c r="I132" s="88">
        <f>VLOOKUP(Table91213[[#This Row],[Date]],'DB Details'!$A:$L,9)</f>
        <v/>
      </c>
      <c r="J132" s="88">
        <f>VLOOKUP(Table91213[[#This Row],[Date]],'DB Details'!$A:$L,10)</f>
        <v/>
      </c>
      <c r="K132" s="119" t="n"/>
      <c r="L132" s="88">
        <f>VLOOKUP(Table91213[[#This Row],[Date]],'DB Details'!$A:$L,12)</f>
        <v/>
      </c>
    </row>
    <row r="133">
      <c r="A133" s="39" t="n">
        <v>21398</v>
      </c>
      <c r="B133" s="57">
        <f>VLOOKUP(Table91213[[#This Row],[Date]],'DB Details'!$A:$L,2)</f>
        <v/>
      </c>
      <c r="C133" s="55" t="n"/>
      <c r="D133" s="55" t="n"/>
      <c r="E133" s="88">
        <f>VLOOKUP(Table91213[[#This Row],[Date]],'DB Details'!$A:$L,5)</f>
        <v/>
      </c>
      <c r="F133" s="88">
        <f>VLOOKUP(Table91213[[#This Row],[Date]],'DB Details'!$A:$L,6)</f>
        <v/>
      </c>
      <c r="G133" s="119" t="n"/>
      <c r="H133" s="88">
        <f>VLOOKUP(Table91213[[#This Row],[Date]],'DB Details'!$A:$L,8)</f>
        <v/>
      </c>
      <c r="I133" s="88">
        <f>VLOOKUP(Table91213[[#This Row],[Date]],'DB Details'!$A:$L,9)</f>
        <v/>
      </c>
      <c r="J133" s="88">
        <f>VLOOKUP(Table91213[[#This Row],[Date]],'DB Details'!$A:$L,10)</f>
        <v/>
      </c>
      <c r="K133" s="119" t="n"/>
      <c r="L133" s="88">
        <f>VLOOKUP(Table91213[[#This Row],[Date]],'DB Details'!$A:$L,12)</f>
        <v/>
      </c>
    </row>
    <row r="134">
      <c r="A134" s="39" t="n">
        <v>21429</v>
      </c>
      <c r="B134" s="57">
        <f>VLOOKUP(Table91213[[#This Row],[Date]],'DB Details'!$A:$L,2)</f>
        <v/>
      </c>
      <c r="C134" s="55" t="n"/>
      <c r="D134" s="55" t="n"/>
      <c r="E134" s="88">
        <f>VLOOKUP(Table91213[[#This Row],[Date]],'DB Details'!$A:$L,5)</f>
        <v/>
      </c>
      <c r="F134" s="88">
        <f>VLOOKUP(Table91213[[#This Row],[Date]],'DB Details'!$A:$L,6)</f>
        <v/>
      </c>
      <c r="G134" s="119" t="n"/>
      <c r="H134" s="88">
        <f>VLOOKUP(Table91213[[#This Row],[Date]],'DB Details'!$A:$L,8)</f>
        <v/>
      </c>
      <c r="I134" s="88">
        <f>VLOOKUP(Table91213[[#This Row],[Date]],'DB Details'!$A:$L,9)</f>
        <v/>
      </c>
      <c r="J134" s="88">
        <f>VLOOKUP(Table91213[[#This Row],[Date]],'DB Details'!$A:$L,10)</f>
        <v/>
      </c>
      <c r="K134" s="119" t="n"/>
      <c r="L134" s="88">
        <f>VLOOKUP(Table91213[[#This Row],[Date]],'DB Details'!$A:$L,12)</f>
        <v/>
      </c>
    </row>
    <row r="135">
      <c r="A135" s="39" t="n">
        <v>21459</v>
      </c>
      <c r="B135" s="57">
        <f>VLOOKUP(Table91213[[#This Row],[Date]],'DB Details'!$A:$L,2)</f>
        <v/>
      </c>
      <c r="C135" s="55" t="n"/>
      <c r="D135" s="55" t="n"/>
      <c r="E135" s="88">
        <f>VLOOKUP(Table91213[[#This Row],[Date]],'DB Details'!$A:$L,5)</f>
        <v/>
      </c>
      <c r="F135" s="88">
        <f>VLOOKUP(Table91213[[#This Row],[Date]],'DB Details'!$A:$L,6)</f>
        <v/>
      </c>
      <c r="G135" s="119" t="n"/>
      <c r="H135" s="88">
        <f>VLOOKUP(Table91213[[#This Row],[Date]],'DB Details'!$A:$L,8)</f>
        <v/>
      </c>
      <c r="I135" s="88">
        <f>VLOOKUP(Table91213[[#This Row],[Date]],'DB Details'!$A:$L,9)</f>
        <v/>
      </c>
      <c r="J135" s="88">
        <f>VLOOKUP(Table91213[[#This Row],[Date]],'DB Details'!$A:$L,10)</f>
        <v/>
      </c>
      <c r="K135" s="119" t="n"/>
      <c r="L135" s="88">
        <f>VLOOKUP(Table91213[[#This Row],[Date]],'DB Details'!$A:$L,12)</f>
        <v/>
      </c>
    </row>
    <row r="136">
      <c r="A136" s="39" t="n">
        <v>21490</v>
      </c>
      <c r="B136" s="57">
        <f>VLOOKUP(Table91213[[#This Row],[Date]],'DB Details'!$A:$L,2)</f>
        <v/>
      </c>
      <c r="C136" s="55" t="n"/>
      <c r="D136" s="55" t="n"/>
      <c r="E136" s="88">
        <f>VLOOKUP(Table91213[[#This Row],[Date]],'DB Details'!$A:$L,5)</f>
        <v/>
      </c>
      <c r="F136" s="88">
        <f>VLOOKUP(Table91213[[#This Row],[Date]],'DB Details'!$A:$L,6)</f>
        <v/>
      </c>
      <c r="G136" s="119" t="n"/>
      <c r="H136" s="88">
        <f>VLOOKUP(Table91213[[#This Row],[Date]],'DB Details'!$A:$L,8)</f>
        <v/>
      </c>
      <c r="I136" s="88">
        <f>VLOOKUP(Table91213[[#This Row],[Date]],'DB Details'!$A:$L,9)</f>
        <v/>
      </c>
      <c r="J136" s="88">
        <f>VLOOKUP(Table91213[[#This Row],[Date]],'DB Details'!$A:$L,10)</f>
        <v/>
      </c>
      <c r="K136" s="119" t="n"/>
      <c r="L136" s="88">
        <f>VLOOKUP(Table91213[[#This Row],[Date]],'DB Details'!$A:$L,12)</f>
        <v/>
      </c>
    </row>
    <row r="137">
      <c r="A137" s="39" t="n">
        <v>21520</v>
      </c>
      <c r="B137" s="57">
        <f>VLOOKUP(Table91213[[#This Row],[Date]],'DB Details'!$A:$L,2)</f>
        <v/>
      </c>
      <c r="C137" s="55" t="n"/>
      <c r="D137" s="55" t="n"/>
      <c r="E137" s="88">
        <f>VLOOKUP(Table91213[[#This Row],[Date]],'DB Details'!$A:$L,5)</f>
        <v/>
      </c>
      <c r="F137" s="88">
        <f>VLOOKUP(Table91213[[#This Row],[Date]],'DB Details'!$A:$L,6)</f>
        <v/>
      </c>
      <c r="G137" s="119" t="n"/>
      <c r="H137" s="88">
        <f>VLOOKUP(Table91213[[#This Row],[Date]],'DB Details'!$A:$L,8)</f>
        <v/>
      </c>
      <c r="I137" s="88">
        <f>VLOOKUP(Table91213[[#This Row],[Date]],'DB Details'!$A:$L,9)</f>
        <v/>
      </c>
      <c r="J137" s="88">
        <f>VLOOKUP(Table91213[[#This Row],[Date]],'DB Details'!$A:$L,10)</f>
        <v/>
      </c>
      <c r="K137" s="119" t="n"/>
      <c r="L137" s="88">
        <f>VLOOKUP(Table91213[[#This Row],[Date]],'DB Details'!$A:$L,12)</f>
        <v/>
      </c>
    </row>
    <row r="138">
      <c r="A138" s="39" t="n">
        <v>21551</v>
      </c>
      <c r="B138" s="57">
        <f>VLOOKUP(Table91213[[#This Row],[Date]],'DB Details'!$A:$L,2)</f>
        <v/>
      </c>
      <c r="C138" s="55" t="n"/>
      <c r="D138" s="55" t="n"/>
      <c r="E138" s="88">
        <f>VLOOKUP(Table91213[[#This Row],[Date]],'DB Details'!$A:$L,5)</f>
        <v/>
      </c>
      <c r="F138" s="88">
        <f>VLOOKUP(Table91213[[#This Row],[Date]],'DB Details'!$A:$L,6)</f>
        <v/>
      </c>
      <c r="G138" s="119" t="n"/>
      <c r="H138" s="88">
        <f>VLOOKUP(Table91213[[#This Row],[Date]],'DB Details'!$A:$L,8)</f>
        <v/>
      </c>
      <c r="I138" s="88">
        <f>VLOOKUP(Table91213[[#This Row],[Date]],'DB Details'!$A:$L,9)</f>
        <v/>
      </c>
      <c r="J138" s="88">
        <f>VLOOKUP(Table91213[[#This Row],[Date]],'DB Details'!$A:$L,10)</f>
        <v/>
      </c>
      <c r="K138" s="119" t="n"/>
      <c r="L138" s="88">
        <f>VLOOKUP(Table91213[[#This Row],[Date]],'DB Details'!$A:$L,12)</f>
        <v/>
      </c>
    </row>
    <row r="139">
      <c r="A139" s="39" t="n">
        <v>21582</v>
      </c>
      <c r="B139" s="57">
        <f>VLOOKUP(Table91213[[#This Row],[Date]],'DB Details'!$A:$L,2)</f>
        <v/>
      </c>
      <c r="C139" s="55" t="n"/>
      <c r="D139" s="55" t="n"/>
      <c r="E139" s="88">
        <f>VLOOKUP(Table91213[[#This Row],[Date]],'DB Details'!$A:$L,5)</f>
        <v/>
      </c>
      <c r="F139" s="88">
        <f>VLOOKUP(Table91213[[#This Row],[Date]],'DB Details'!$A:$L,6)</f>
        <v/>
      </c>
      <c r="G139" s="119" t="n"/>
      <c r="H139" s="88">
        <f>VLOOKUP(Table91213[[#This Row],[Date]],'DB Details'!$A:$L,8)</f>
        <v/>
      </c>
      <c r="I139" s="88">
        <f>VLOOKUP(Table91213[[#This Row],[Date]],'DB Details'!$A:$L,9)</f>
        <v/>
      </c>
      <c r="J139" s="88">
        <f>VLOOKUP(Table91213[[#This Row],[Date]],'DB Details'!$A:$L,10)</f>
        <v/>
      </c>
      <c r="K139" s="119" t="n"/>
      <c r="L139" s="88">
        <f>VLOOKUP(Table91213[[#This Row],[Date]],'DB Details'!$A:$L,12)</f>
        <v/>
      </c>
    </row>
    <row r="140">
      <c r="A140" s="39" t="n">
        <v>21610</v>
      </c>
      <c r="B140" s="57">
        <f>VLOOKUP(Table91213[[#This Row],[Date]],'DB Details'!$A:$L,2)</f>
        <v/>
      </c>
      <c r="C140" s="55" t="n"/>
      <c r="D140" s="55" t="n"/>
      <c r="E140" s="88">
        <f>VLOOKUP(Table91213[[#This Row],[Date]],'DB Details'!$A:$L,5)</f>
        <v/>
      </c>
      <c r="F140" s="88">
        <f>VLOOKUP(Table91213[[#This Row],[Date]],'DB Details'!$A:$L,6)</f>
        <v/>
      </c>
      <c r="G140" s="119" t="n"/>
      <c r="H140" s="88">
        <f>VLOOKUP(Table91213[[#This Row],[Date]],'DB Details'!$A:$L,8)</f>
        <v/>
      </c>
      <c r="I140" s="88">
        <f>VLOOKUP(Table91213[[#This Row],[Date]],'DB Details'!$A:$L,9)</f>
        <v/>
      </c>
      <c r="J140" s="88">
        <f>VLOOKUP(Table91213[[#This Row],[Date]],'DB Details'!$A:$L,10)</f>
        <v/>
      </c>
      <c r="K140" s="119" t="n"/>
      <c r="L140" s="88">
        <f>VLOOKUP(Table91213[[#This Row],[Date]],'DB Details'!$A:$L,12)</f>
        <v/>
      </c>
    </row>
    <row r="141">
      <c r="A141" s="39" t="n">
        <v>21641</v>
      </c>
      <c r="B141" s="57">
        <f>VLOOKUP(Table91213[[#This Row],[Date]],'DB Details'!$A:$L,2)</f>
        <v/>
      </c>
      <c r="C141" s="55" t="n"/>
      <c r="D141" s="55" t="n"/>
      <c r="E141" s="88">
        <f>VLOOKUP(Table91213[[#This Row],[Date]],'DB Details'!$A:$L,5)</f>
        <v/>
      </c>
      <c r="F141" s="88">
        <f>VLOOKUP(Table91213[[#This Row],[Date]],'DB Details'!$A:$L,6)</f>
        <v/>
      </c>
      <c r="G141" s="119" t="n"/>
      <c r="H141" s="88">
        <f>VLOOKUP(Table91213[[#This Row],[Date]],'DB Details'!$A:$L,8)</f>
        <v/>
      </c>
      <c r="I141" s="88">
        <f>VLOOKUP(Table91213[[#This Row],[Date]],'DB Details'!$A:$L,9)</f>
        <v/>
      </c>
      <c r="J141" s="88">
        <f>VLOOKUP(Table91213[[#This Row],[Date]],'DB Details'!$A:$L,10)</f>
        <v/>
      </c>
      <c r="K141" s="119" t="n"/>
      <c r="L141" s="88">
        <f>VLOOKUP(Table91213[[#This Row],[Date]],'DB Details'!$A:$L,12)</f>
        <v/>
      </c>
    </row>
    <row r="142">
      <c r="A142" s="39" t="n">
        <v>21671</v>
      </c>
      <c r="B142" s="57">
        <f>VLOOKUP(Table91213[[#This Row],[Date]],'DB Details'!$A:$L,2)</f>
        <v/>
      </c>
      <c r="C142" s="55" t="n"/>
      <c r="D142" s="55" t="n"/>
      <c r="E142" s="88">
        <f>VLOOKUP(Table91213[[#This Row],[Date]],'DB Details'!$A:$L,5)</f>
        <v/>
      </c>
      <c r="F142" s="88">
        <f>VLOOKUP(Table91213[[#This Row],[Date]],'DB Details'!$A:$L,6)</f>
        <v/>
      </c>
      <c r="G142" s="119" t="n"/>
      <c r="H142" s="88">
        <f>VLOOKUP(Table91213[[#This Row],[Date]],'DB Details'!$A:$L,8)</f>
        <v/>
      </c>
      <c r="I142" s="88">
        <f>VLOOKUP(Table91213[[#This Row],[Date]],'DB Details'!$A:$L,9)</f>
        <v/>
      </c>
      <c r="J142" s="88">
        <f>VLOOKUP(Table91213[[#This Row],[Date]],'DB Details'!$A:$L,10)</f>
        <v/>
      </c>
      <c r="K142" s="119" t="n"/>
      <c r="L142" s="88">
        <f>VLOOKUP(Table91213[[#This Row],[Date]],'DB Details'!$A:$L,12)</f>
        <v/>
      </c>
    </row>
    <row r="143">
      <c r="A143" s="39" t="n">
        <v>21702</v>
      </c>
      <c r="B143" s="57">
        <f>VLOOKUP(Table91213[[#This Row],[Date]],'DB Details'!$A:$L,2)</f>
        <v/>
      </c>
      <c r="C143" s="55" t="n"/>
      <c r="D143" s="55" t="n"/>
      <c r="E143" s="88">
        <f>VLOOKUP(Table91213[[#This Row],[Date]],'DB Details'!$A:$L,5)</f>
        <v/>
      </c>
      <c r="F143" s="88">
        <f>VLOOKUP(Table91213[[#This Row],[Date]],'DB Details'!$A:$L,6)</f>
        <v/>
      </c>
      <c r="G143" s="119" t="n"/>
      <c r="H143" s="88">
        <f>VLOOKUP(Table91213[[#This Row],[Date]],'DB Details'!$A:$L,8)</f>
        <v/>
      </c>
      <c r="I143" s="88">
        <f>VLOOKUP(Table91213[[#This Row],[Date]],'DB Details'!$A:$L,9)</f>
        <v/>
      </c>
      <c r="J143" s="88">
        <f>VLOOKUP(Table91213[[#This Row],[Date]],'DB Details'!$A:$L,10)</f>
        <v/>
      </c>
      <c r="K143" s="119" t="n"/>
      <c r="L143" s="88">
        <f>VLOOKUP(Table91213[[#This Row],[Date]],'DB Details'!$A:$L,12)</f>
        <v/>
      </c>
    </row>
    <row r="144">
      <c r="A144" s="39" t="n">
        <v>21732</v>
      </c>
      <c r="B144" s="57">
        <f>VLOOKUP(Table91213[[#This Row],[Date]],'DB Details'!$A:$L,2)</f>
        <v/>
      </c>
      <c r="C144" s="55" t="n"/>
      <c r="D144" s="55" t="n"/>
      <c r="E144" s="88">
        <f>VLOOKUP(Table91213[[#This Row],[Date]],'DB Details'!$A:$L,5)</f>
        <v/>
      </c>
      <c r="F144" s="88">
        <f>VLOOKUP(Table91213[[#This Row],[Date]],'DB Details'!$A:$L,6)</f>
        <v/>
      </c>
      <c r="G144" s="119" t="n"/>
      <c r="H144" s="88">
        <f>VLOOKUP(Table91213[[#This Row],[Date]],'DB Details'!$A:$L,8)</f>
        <v/>
      </c>
      <c r="I144" s="88">
        <f>VLOOKUP(Table91213[[#This Row],[Date]],'DB Details'!$A:$L,9)</f>
        <v/>
      </c>
      <c r="J144" s="88">
        <f>VLOOKUP(Table91213[[#This Row],[Date]],'DB Details'!$A:$L,10)</f>
        <v/>
      </c>
      <c r="K144" s="119" t="n"/>
      <c r="L144" s="88">
        <f>VLOOKUP(Table91213[[#This Row],[Date]],'DB Details'!$A:$L,12)</f>
        <v/>
      </c>
    </row>
    <row r="145">
      <c r="A145" s="39" t="n">
        <v>21763</v>
      </c>
      <c r="B145" s="57">
        <f>VLOOKUP(Table91213[[#This Row],[Date]],'DB Details'!$A:$L,2)</f>
        <v/>
      </c>
      <c r="C145" s="55" t="n"/>
      <c r="D145" s="55" t="n"/>
      <c r="E145" s="88">
        <f>VLOOKUP(Table91213[[#This Row],[Date]],'DB Details'!$A:$L,5)</f>
        <v/>
      </c>
      <c r="F145" s="88">
        <f>VLOOKUP(Table91213[[#This Row],[Date]],'DB Details'!$A:$L,6)</f>
        <v/>
      </c>
      <c r="G145" s="119" t="n"/>
      <c r="H145" s="88">
        <f>VLOOKUP(Table91213[[#This Row],[Date]],'DB Details'!$A:$L,8)</f>
        <v/>
      </c>
      <c r="I145" s="88">
        <f>VLOOKUP(Table91213[[#This Row],[Date]],'DB Details'!$A:$L,9)</f>
        <v/>
      </c>
      <c r="J145" s="88">
        <f>VLOOKUP(Table91213[[#This Row],[Date]],'DB Details'!$A:$L,10)</f>
        <v/>
      </c>
      <c r="K145" s="119" t="n"/>
      <c r="L145" s="88">
        <f>VLOOKUP(Table91213[[#This Row],[Date]],'DB Details'!$A:$L,12)</f>
        <v/>
      </c>
    </row>
    <row r="146">
      <c r="A146" s="39" t="n">
        <v>21794</v>
      </c>
      <c r="B146" s="57">
        <f>VLOOKUP(Table91213[[#This Row],[Date]],'DB Details'!$A:$L,2)</f>
        <v/>
      </c>
      <c r="C146" s="55" t="n"/>
      <c r="D146" s="55" t="n"/>
      <c r="E146" s="88">
        <f>VLOOKUP(Table91213[[#This Row],[Date]],'DB Details'!$A:$L,5)</f>
        <v/>
      </c>
      <c r="F146" s="88">
        <f>VLOOKUP(Table91213[[#This Row],[Date]],'DB Details'!$A:$L,6)</f>
        <v/>
      </c>
      <c r="G146" s="119" t="n"/>
      <c r="H146" s="88">
        <f>VLOOKUP(Table91213[[#This Row],[Date]],'DB Details'!$A:$L,8)</f>
        <v/>
      </c>
      <c r="I146" s="88">
        <f>VLOOKUP(Table91213[[#This Row],[Date]],'DB Details'!$A:$L,9)</f>
        <v/>
      </c>
      <c r="J146" s="88">
        <f>VLOOKUP(Table91213[[#This Row],[Date]],'DB Details'!$A:$L,10)</f>
        <v/>
      </c>
      <c r="K146" s="119" t="n"/>
      <c r="L146" s="88">
        <f>VLOOKUP(Table91213[[#This Row],[Date]],'DB Details'!$A:$L,12)</f>
        <v/>
      </c>
    </row>
    <row r="147">
      <c r="A147" s="39" t="n">
        <v>21824</v>
      </c>
      <c r="B147" s="57">
        <f>VLOOKUP(Table91213[[#This Row],[Date]],'DB Details'!$A:$L,2)</f>
        <v/>
      </c>
      <c r="C147" s="55" t="n"/>
      <c r="D147" s="55" t="n"/>
      <c r="E147" s="88">
        <f>VLOOKUP(Table91213[[#This Row],[Date]],'DB Details'!$A:$L,5)</f>
        <v/>
      </c>
      <c r="F147" s="88">
        <f>VLOOKUP(Table91213[[#This Row],[Date]],'DB Details'!$A:$L,6)</f>
        <v/>
      </c>
      <c r="G147" s="119" t="n"/>
      <c r="H147" s="88">
        <f>VLOOKUP(Table91213[[#This Row],[Date]],'DB Details'!$A:$L,8)</f>
        <v/>
      </c>
      <c r="I147" s="88">
        <f>VLOOKUP(Table91213[[#This Row],[Date]],'DB Details'!$A:$L,9)</f>
        <v/>
      </c>
      <c r="J147" s="88">
        <f>VLOOKUP(Table91213[[#This Row],[Date]],'DB Details'!$A:$L,10)</f>
        <v/>
      </c>
      <c r="K147" s="119" t="n"/>
      <c r="L147" s="88">
        <f>VLOOKUP(Table91213[[#This Row],[Date]],'DB Details'!$A:$L,12)</f>
        <v/>
      </c>
    </row>
    <row r="148">
      <c r="A148" s="39" t="n">
        <v>21855</v>
      </c>
      <c r="B148" s="57">
        <f>VLOOKUP(Table91213[[#This Row],[Date]],'DB Details'!$A:$L,2)</f>
        <v/>
      </c>
      <c r="C148" s="55" t="n"/>
      <c r="D148" s="55" t="n"/>
      <c r="E148" s="88">
        <f>VLOOKUP(Table91213[[#This Row],[Date]],'DB Details'!$A:$L,5)</f>
        <v/>
      </c>
      <c r="F148" s="88">
        <f>VLOOKUP(Table91213[[#This Row],[Date]],'DB Details'!$A:$L,6)</f>
        <v/>
      </c>
      <c r="G148" s="119" t="n"/>
      <c r="H148" s="88">
        <f>VLOOKUP(Table91213[[#This Row],[Date]],'DB Details'!$A:$L,8)</f>
        <v/>
      </c>
      <c r="I148" s="88">
        <f>VLOOKUP(Table91213[[#This Row],[Date]],'DB Details'!$A:$L,9)</f>
        <v/>
      </c>
      <c r="J148" s="88">
        <f>VLOOKUP(Table91213[[#This Row],[Date]],'DB Details'!$A:$L,10)</f>
        <v/>
      </c>
      <c r="K148" s="119" t="n"/>
      <c r="L148" s="88">
        <f>VLOOKUP(Table91213[[#This Row],[Date]],'DB Details'!$A:$L,12)</f>
        <v/>
      </c>
    </row>
    <row r="149">
      <c r="A149" s="39" t="n">
        <v>21885</v>
      </c>
      <c r="B149" s="57">
        <f>VLOOKUP(Table91213[[#This Row],[Date]],'DB Details'!$A:$L,2)</f>
        <v/>
      </c>
      <c r="C149" s="55" t="n"/>
      <c r="D149" s="55" t="n"/>
      <c r="E149" s="88">
        <f>VLOOKUP(Table91213[[#This Row],[Date]],'DB Details'!$A:$L,5)</f>
        <v/>
      </c>
      <c r="F149" s="88">
        <f>VLOOKUP(Table91213[[#This Row],[Date]],'DB Details'!$A:$L,6)</f>
        <v/>
      </c>
      <c r="G149" s="119" t="n"/>
      <c r="H149" s="88">
        <f>VLOOKUP(Table91213[[#This Row],[Date]],'DB Details'!$A:$L,8)</f>
        <v/>
      </c>
      <c r="I149" s="88">
        <f>VLOOKUP(Table91213[[#This Row],[Date]],'DB Details'!$A:$L,9)</f>
        <v/>
      </c>
      <c r="J149" s="88">
        <f>VLOOKUP(Table91213[[#This Row],[Date]],'DB Details'!$A:$L,10)</f>
        <v/>
      </c>
      <c r="K149" s="119" t="n"/>
      <c r="L149" s="88">
        <f>VLOOKUP(Table91213[[#This Row],[Date]],'DB Details'!$A:$L,12)</f>
        <v/>
      </c>
    </row>
    <row r="150">
      <c r="A150" s="39" t="n">
        <v>21916</v>
      </c>
      <c r="B150" s="57">
        <f>VLOOKUP(Table91213[[#This Row],[Date]],'DB Details'!$A:$L,2)</f>
        <v/>
      </c>
      <c r="C150" s="55" t="n"/>
      <c r="D150" s="55" t="n"/>
      <c r="E150" s="88">
        <f>VLOOKUP(Table91213[[#This Row],[Date]],'DB Details'!$A:$L,5)</f>
        <v/>
      </c>
      <c r="F150" s="88">
        <f>VLOOKUP(Table91213[[#This Row],[Date]],'DB Details'!$A:$L,6)</f>
        <v/>
      </c>
      <c r="G150" s="119" t="n"/>
      <c r="H150" s="88">
        <f>VLOOKUP(Table91213[[#This Row],[Date]],'DB Details'!$A:$L,8)</f>
        <v/>
      </c>
      <c r="I150" s="88">
        <f>VLOOKUP(Table91213[[#This Row],[Date]],'DB Details'!$A:$L,9)</f>
        <v/>
      </c>
      <c r="J150" s="88">
        <f>VLOOKUP(Table91213[[#This Row],[Date]],'DB Details'!$A:$L,10)</f>
        <v/>
      </c>
      <c r="K150" s="119" t="n"/>
      <c r="L150" s="88">
        <f>VLOOKUP(Table91213[[#This Row],[Date]],'DB Details'!$A:$L,12)</f>
        <v/>
      </c>
    </row>
    <row r="151">
      <c r="A151" s="39" t="n">
        <v>21947</v>
      </c>
      <c r="B151" s="57">
        <f>VLOOKUP(Table91213[[#This Row],[Date]],'DB Details'!$A:$L,2)</f>
        <v/>
      </c>
      <c r="C151" s="55" t="n"/>
      <c r="D151" s="55" t="n"/>
      <c r="E151" s="88">
        <f>VLOOKUP(Table91213[[#This Row],[Date]],'DB Details'!$A:$L,5)</f>
        <v/>
      </c>
      <c r="F151" s="88">
        <f>VLOOKUP(Table91213[[#This Row],[Date]],'DB Details'!$A:$L,6)</f>
        <v/>
      </c>
      <c r="G151" s="119" t="n"/>
      <c r="H151" s="88">
        <f>VLOOKUP(Table91213[[#This Row],[Date]],'DB Details'!$A:$L,8)</f>
        <v/>
      </c>
      <c r="I151" s="88">
        <f>VLOOKUP(Table91213[[#This Row],[Date]],'DB Details'!$A:$L,9)</f>
        <v/>
      </c>
      <c r="J151" s="88">
        <f>VLOOKUP(Table91213[[#This Row],[Date]],'DB Details'!$A:$L,10)</f>
        <v/>
      </c>
      <c r="K151" s="119" t="n"/>
      <c r="L151" s="88">
        <f>VLOOKUP(Table91213[[#This Row],[Date]],'DB Details'!$A:$L,12)</f>
        <v/>
      </c>
    </row>
    <row r="152">
      <c r="A152" s="39" t="n">
        <v>21976</v>
      </c>
      <c r="B152" s="57">
        <f>VLOOKUP(Table91213[[#This Row],[Date]],'DB Details'!$A:$L,2)</f>
        <v/>
      </c>
      <c r="C152" s="55" t="n"/>
      <c r="D152" s="55" t="n"/>
      <c r="E152" s="88">
        <f>VLOOKUP(Table91213[[#This Row],[Date]],'DB Details'!$A:$L,5)</f>
        <v/>
      </c>
      <c r="F152" s="88">
        <f>VLOOKUP(Table91213[[#This Row],[Date]],'DB Details'!$A:$L,6)</f>
        <v/>
      </c>
      <c r="G152" s="119" t="n"/>
      <c r="H152" s="88">
        <f>VLOOKUP(Table91213[[#This Row],[Date]],'DB Details'!$A:$L,8)</f>
        <v/>
      </c>
      <c r="I152" s="88">
        <f>VLOOKUP(Table91213[[#This Row],[Date]],'DB Details'!$A:$L,9)</f>
        <v/>
      </c>
      <c r="J152" s="88">
        <f>VLOOKUP(Table91213[[#This Row],[Date]],'DB Details'!$A:$L,10)</f>
        <v/>
      </c>
      <c r="K152" s="119" t="n"/>
      <c r="L152" s="88">
        <f>VLOOKUP(Table91213[[#This Row],[Date]],'DB Details'!$A:$L,12)</f>
        <v/>
      </c>
    </row>
    <row r="153">
      <c r="A153" s="39" t="n">
        <v>22007</v>
      </c>
      <c r="B153" s="57">
        <f>VLOOKUP(Table91213[[#This Row],[Date]],'DB Details'!$A:$L,2)</f>
        <v/>
      </c>
      <c r="C153" s="55" t="n"/>
      <c r="D153" s="55" t="n"/>
      <c r="E153" s="88">
        <f>VLOOKUP(Table91213[[#This Row],[Date]],'DB Details'!$A:$L,5)</f>
        <v/>
      </c>
      <c r="F153" s="88">
        <f>VLOOKUP(Table91213[[#This Row],[Date]],'DB Details'!$A:$L,6)</f>
        <v/>
      </c>
      <c r="G153" s="119" t="n"/>
      <c r="H153" s="88">
        <f>VLOOKUP(Table91213[[#This Row],[Date]],'DB Details'!$A:$L,8)</f>
        <v/>
      </c>
      <c r="I153" s="88">
        <f>VLOOKUP(Table91213[[#This Row],[Date]],'DB Details'!$A:$L,9)</f>
        <v/>
      </c>
      <c r="J153" s="88">
        <f>VLOOKUP(Table91213[[#This Row],[Date]],'DB Details'!$A:$L,10)</f>
        <v/>
      </c>
      <c r="K153" s="119" t="n"/>
      <c r="L153" s="88">
        <f>VLOOKUP(Table91213[[#This Row],[Date]],'DB Details'!$A:$L,12)</f>
        <v/>
      </c>
    </row>
    <row r="154">
      <c r="A154" s="39" t="n">
        <v>22037</v>
      </c>
      <c r="B154" s="57">
        <f>VLOOKUP(Table91213[[#This Row],[Date]],'DB Details'!$A:$L,2)</f>
        <v/>
      </c>
      <c r="C154" s="55" t="n"/>
      <c r="D154" s="55" t="n"/>
      <c r="E154" s="88">
        <f>VLOOKUP(Table91213[[#This Row],[Date]],'DB Details'!$A:$L,5)</f>
        <v/>
      </c>
      <c r="F154" s="88">
        <f>VLOOKUP(Table91213[[#This Row],[Date]],'DB Details'!$A:$L,6)</f>
        <v/>
      </c>
      <c r="G154" s="119" t="n"/>
      <c r="H154" s="88">
        <f>VLOOKUP(Table91213[[#This Row],[Date]],'DB Details'!$A:$L,8)</f>
        <v/>
      </c>
      <c r="I154" s="88">
        <f>VLOOKUP(Table91213[[#This Row],[Date]],'DB Details'!$A:$L,9)</f>
        <v/>
      </c>
      <c r="J154" s="88">
        <f>VLOOKUP(Table91213[[#This Row],[Date]],'DB Details'!$A:$L,10)</f>
        <v/>
      </c>
      <c r="K154" s="119" t="n"/>
      <c r="L154" s="88">
        <f>VLOOKUP(Table91213[[#This Row],[Date]],'DB Details'!$A:$L,12)</f>
        <v/>
      </c>
    </row>
    <row r="155">
      <c r="A155" s="39" t="n">
        <v>22068</v>
      </c>
      <c r="B155" s="57">
        <f>VLOOKUP(Table91213[[#This Row],[Date]],'DB Details'!$A:$L,2)</f>
        <v/>
      </c>
      <c r="C155" s="55" t="n"/>
      <c r="D155" s="55" t="n"/>
      <c r="E155" s="88">
        <f>VLOOKUP(Table91213[[#This Row],[Date]],'DB Details'!$A:$L,5)</f>
        <v/>
      </c>
      <c r="F155" s="88">
        <f>VLOOKUP(Table91213[[#This Row],[Date]],'DB Details'!$A:$L,6)</f>
        <v/>
      </c>
      <c r="G155" s="119" t="n"/>
      <c r="H155" s="88">
        <f>VLOOKUP(Table91213[[#This Row],[Date]],'DB Details'!$A:$L,8)</f>
        <v/>
      </c>
      <c r="I155" s="88">
        <f>VLOOKUP(Table91213[[#This Row],[Date]],'DB Details'!$A:$L,9)</f>
        <v/>
      </c>
      <c r="J155" s="88">
        <f>VLOOKUP(Table91213[[#This Row],[Date]],'DB Details'!$A:$L,10)</f>
        <v/>
      </c>
      <c r="K155" s="119" t="n"/>
      <c r="L155" s="88">
        <f>VLOOKUP(Table91213[[#This Row],[Date]],'DB Details'!$A:$L,12)</f>
        <v/>
      </c>
    </row>
    <row r="156">
      <c r="A156" s="39" t="n">
        <v>22098</v>
      </c>
      <c r="B156" s="57">
        <f>VLOOKUP(Table91213[[#This Row],[Date]],'DB Details'!$A:$L,2)</f>
        <v/>
      </c>
      <c r="C156" s="55" t="n"/>
      <c r="D156" s="55" t="n"/>
      <c r="E156" s="88">
        <f>VLOOKUP(Table91213[[#This Row],[Date]],'DB Details'!$A:$L,5)</f>
        <v/>
      </c>
      <c r="F156" s="88">
        <f>VLOOKUP(Table91213[[#This Row],[Date]],'DB Details'!$A:$L,6)</f>
        <v/>
      </c>
      <c r="G156" s="119" t="n"/>
      <c r="H156" s="88">
        <f>VLOOKUP(Table91213[[#This Row],[Date]],'DB Details'!$A:$L,8)</f>
        <v/>
      </c>
      <c r="I156" s="88">
        <f>VLOOKUP(Table91213[[#This Row],[Date]],'DB Details'!$A:$L,9)</f>
        <v/>
      </c>
      <c r="J156" s="88">
        <f>VLOOKUP(Table91213[[#This Row],[Date]],'DB Details'!$A:$L,10)</f>
        <v/>
      </c>
      <c r="K156" s="119" t="n"/>
      <c r="L156" s="88">
        <f>VLOOKUP(Table91213[[#This Row],[Date]],'DB Details'!$A:$L,12)</f>
        <v/>
      </c>
    </row>
    <row r="157">
      <c r="A157" s="39" t="n">
        <v>22129</v>
      </c>
      <c r="B157" s="57">
        <f>VLOOKUP(Table91213[[#This Row],[Date]],'DB Details'!$A:$L,2)</f>
        <v/>
      </c>
      <c r="C157" s="55" t="n"/>
      <c r="D157" s="55" t="n"/>
      <c r="E157" s="88">
        <f>VLOOKUP(Table91213[[#This Row],[Date]],'DB Details'!$A:$L,5)</f>
        <v/>
      </c>
      <c r="F157" s="88">
        <f>VLOOKUP(Table91213[[#This Row],[Date]],'DB Details'!$A:$L,6)</f>
        <v/>
      </c>
      <c r="G157" s="119" t="n"/>
      <c r="H157" s="88">
        <f>VLOOKUP(Table91213[[#This Row],[Date]],'DB Details'!$A:$L,8)</f>
        <v/>
      </c>
      <c r="I157" s="88">
        <f>VLOOKUP(Table91213[[#This Row],[Date]],'DB Details'!$A:$L,9)</f>
        <v/>
      </c>
      <c r="J157" s="88">
        <f>VLOOKUP(Table91213[[#This Row],[Date]],'DB Details'!$A:$L,10)</f>
        <v/>
      </c>
      <c r="K157" s="119" t="n"/>
      <c r="L157" s="88">
        <f>VLOOKUP(Table91213[[#This Row],[Date]],'DB Details'!$A:$L,12)</f>
        <v/>
      </c>
    </row>
    <row r="158">
      <c r="A158" s="39" t="n">
        <v>22160</v>
      </c>
      <c r="B158" s="57">
        <f>VLOOKUP(Table91213[[#This Row],[Date]],'DB Details'!$A:$L,2)</f>
        <v/>
      </c>
      <c r="C158" s="55" t="n"/>
      <c r="D158" s="55" t="n"/>
      <c r="E158" s="88">
        <f>VLOOKUP(Table91213[[#This Row],[Date]],'DB Details'!$A:$L,5)</f>
        <v/>
      </c>
      <c r="F158" s="88">
        <f>VLOOKUP(Table91213[[#This Row],[Date]],'DB Details'!$A:$L,6)</f>
        <v/>
      </c>
      <c r="G158" s="119" t="n"/>
      <c r="H158" s="88">
        <f>VLOOKUP(Table91213[[#This Row],[Date]],'DB Details'!$A:$L,8)</f>
        <v/>
      </c>
      <c r="I158" s="88">
        <f>VLOOKUP(Table91213[[#This Row],[Date]],'DB Details'!$A:$L,9)</f>
        <v/>
      </c>
      <c r="J158" s="88">
        <f>VLOOKUP(Table91213[[#This Row],[Date]],'DB Details'!$A:$L,10)</f>
        <v/>
      </c>
      <c r="K158" s="119" t="n"/>
      <c r="L158" s="88">
        <f>VLOOKUP(Table91213[[#This Row],[Date]],'DB Details'!$A:$L,12)</f>
        <v/>
      </c>
    </row>
    <row r="159">
      <c r="A159" s="39" t="n">
        <v>22190</v>
      </c>
      <c r="B159" s="57">
        <f>VLOOKUP(Table91213[[#This Row],[Date]],'DB Details'!$A:$L,2)</f>
        <v/>
      </c>
      <c r="C159" s="55" t="n"/>
      <c r="D159" s="55" t="n"/>
      <c r="E159" s="88">
        <f>VLOOKUP(Table91213[[#This Row],[Date]],'DB Details'!$A:$L,5)</f>
        <v/>
      </c>
      <c r="F159" s="88">
        <f>VLOOKUP(Table91213[[#This Row],[Date]],'DB Details'!$A:$L,6)</f>
        <v/>
      </c>
      <c r="G159" s="119" t="n"/>
      <c r="H159" s="88">
        <f>VLOOKUP(Table91213[[#This Row],[Date]],'DB Details'!$A:$L,8)</f>
        <v/>
      </c>
      <c r="I159" s="88">
        <f>VLOOKUP(Table91213[[#This Row],[Date]],'DB Details'!$A:$L,9)</f>
        <v/>
      </c>
      <c r="J159" s="88">
        <f>VLOOKUP(Table91213[[#This Row],[Date]],'DB Details'!$A:$L,10)</f>
        <v/>
      </c>
      <c r="K159" s="119" t="n"/>
      <c r="L159" s="88">
        <f>VLOOKUP(Table91213[[#This Row],[Date]],'DB Details'!$A:$L,12)</f>
        <v/>
      </c>
    </row>
    <row r="160">
      <c r="A160" s="39" t="n">
        <v>22221</v>
      </c>
      <c r="B160" s="57">
        <f>VLOOKUP(Table91213[[#This Row],[Date]],'DB Details'!$A:$L,2)</f>
        <v/>
      </c>
      <c r="C160" s="55" t="n"/>
      <c r="D160" s="55" t="n"/>
      <c r="E160" s="88">
        <f>VLOOKUP(Table91213[[#This Row],[Date]],'DB Details'!$A:$L,5)</f>
        <v/>
      </c>
      <c r="F160" s="88">
        <f>VLOOKUP(Table91213[[#This Row],[Date]],'DB Details'!$A:$L,6)</f>
        <v/>
      </c>
      <c r="G160" s="119" t="n"/>
      <c r="H160" s="88">
        <f>VLOOKUP(Table91213[[#This Row],[Date]],'DB Details'!$A:$L,8)</f>
        <v/>
      </c>
      <c r="I160" s="88">
        <f>VLOOKUP(Table91213[[#This Row],[Date]],'DB Details'!$A:$L,9)</f>
        <v/>
      </c>
      <c r="J160" s="88">
        <f>VLOOKUP(Table91213[[#This Row],[Date]],'DB Details'!$A:$L,10)</f>
        <v/>
      </c>
      <c r="K160" s="119" t="n"/>
      <c r="L160" s="88">
        <f>VLOOKUP(Table91213[[#This Row],[Date]],'DB Details'!$A:$L,12)</f>
        <v/>
      </c>
    </row>
    <row r="161">
      <c r="A161" s="39" t="n">
        <v>22251</v>
      </c>
      <c r="B161" s="57">
        <f>VLOOKUP(Table91213[[#This Row],[Date]],'DB Details'!$A:$L,2)</f>
        <v/>
      </c>
      <c r="C161" s="55" t="n"/>
      <c r="D161" s="55" t="n"/>
      <c r="E161" s="88">
        <f>VLOOKUP(Table91213[[#This Row],[Date]],'DB Details'!$A:$L,5)</f>
        <v/>
      </c>
      <c r="F161" s="88">
        <f>VLOOKUP(Table91213[[#This Row],[Date]],'DB Details'!$A:$L,6)</f>
        <v/>
      </c>
      <c r="G161" s="119" t="n"/>
      <c r="H161" s="88">
        <f>VLOOKUP(Table91213[[#This Row],[Date]],'DB Details'!$A:$L,8)</f>
        <v/>
      </c>
      <c r="I161" s="88">
        <f>VLOOKUP(Table91213[[#This Row],[Date]],'DB Details'!$A:$L,9)</f>
        <v/>
      </c>
      <c r="J161" s="88">
        <f>VLOOKUP(Table91213[[#This Row],[Date]],'DB Details'!$A:$L,10)</f>
        <v/>
      </c>
      <c r="K161" s="119" t="n"/>
      <c r="L161" s="88">
        <f>VLOOKUP(Table91213[[#This Row],[Date]],'DB Details'!$A:$L,12)</f>
        <v/>
      </c>
    </row>
    <row r="162">
      <c r="A162" s="39" t="n">
        <v>22282</v>
      </c>
      <c r="B162" s="57">
        <f>VLOOKUP(Table91213[[#This Row],[Date]],'DB Details'!$A:$L,2)</f>
        <v/>
      </c>
      <c r="C162" s="55" t="n"/>
      <c r="D162" s="55" t="n"/>
      <c r="E162" s="88">
        <f>VLOOKUP(Table91213[[#This Row],[Date]],'DB Details'!$A:$L,5)</f>
        <v/>
      </c>
      <c r="F162" s="88">
        <f>VLOOKUP(Table91213[[#This Row],[Date]],'DB Details'!$A:$L,6)</f>
        <v/>
      </c>
      <c r="G162" s="119" t="n"/>
      <c r="H162" s="88">
        <f>VLOOKUP(Table91213[[#This Row],[Date]],'DB Details'!$A:$L,8)</f>
        <v/>
      </c>
      <c r="I162" s="88">
        <f>VLOOKUP(Table91213[[#This Row],[Date]],'DB Details'!$A:$L,9)</f>
        <v/>
      </c>
      <c r="J162" s="88">
        <f>VLOOKUP(Table91213[[#This Row],[Date]],'DB Details'!$A:$L,10)</f>
        <v/>
      </c>
      <c r="K162" s="119" t="n"/>
      <c r="L162" s="88">
        <f>VLOOKUP(Table91213[[#This Row],[Date]],'DB Details'!$A:$L,12)</f>
        <v/>
      </c>
    </row>
    <row r="163">
      <c r="A163" s="39" t="n">
        <v>22313</v>
      </c>
      <c r="B163" s="57">
        <f>VLOOKUP(Table91213[[#This Row],[Date]],'DB Details'!$A:$L,2)</f>
        <v/>
      </c>
      <c r="C163" s="55" t="n"/>
      <c r="D163" s="55" t="n"/>
      <c r="E163" s="88">
        <f>VLOOKUP(Table91213[[#This Row],[Date]],'DB Details'!$A:$L,5)</f>
        <v/>
      </c>
      <c r="F163" s="88">
        <f>VLOOKUP(Table91213[[#This Row],[Date]],'DB Details'!$A:$L,6)</f>
        <v/>
      </c>
      <c r="G163" s="119" t="n"/>
      <c r="H163" s="88">
        <f>VLOOKUP(Table91213[[#This Row],[Date]],'DB Details'!$A:$L,8)</f>
        <v/>
      </c>
      <c r="I163" s="88">
        <f>VLOOKUP(Table91213[[#This Row],[Date]],'DB Details'!$A:$L,9)</f>
        <v/>
      </c>
      <c r="J163" s="88">
        <f>VLOOKUP(Table91213[[#This Row],[Date]],'DB Details'!$A:$L,10)</f>
        <v/>
      </c>
      <c r="K163" s="119" t="n"/>
      <c r="L163" s="88">
        <f>VLOOKUP(Table91213[[#This Row],[Date]],'DB Details'!$A:$L,12)</f>
        <v/>
      </c>
    </row>
    <row r="164">
      <c r="A164" s="39" t="n">
        <v>22341</v>
      </c>
      <c r="B164" s="57">
        <f>VLOOKUP(Table91213[[#This Row],[Date]],'DB Details'!$A:$L,2)</f>
        <v/>
      </c>
      <c r="C164" s="55" t="n"/>
      <c r="D164" s="55" t="n"/>
      <c r="E164" s="88">
        <f>VLOOKUP(Table91213[[#This Row],[Date]],'DB Details'!$A:$L,5)</f>
        <v/>
      </c>
      <c r="F164" s="88">
        <f>VLOOKUP(Table91213[[#This Row],[Date]],'DB Details'!$A:$L,6)</f>
        <v/>
      </c>
      <c r="G164" s="119" t="n"/>
      <c r="H164" s="88">
        <f>VLOOKUP(Table91213[[#This Row],[Date]],'DB Details'!$A:$L,8)</f>
        <v/>
      </c>
      <c r="I164" s="88">
        <f>VLOOKUP(Table91213[[#This Row],[Date]],'DB Details'!$A:$L,9)</f>
        <v/>
      </c>
      <c r="J164" s="88">
        <f>VLOOKUP(Table91213[[#This Row],[Date]],'DB Details'!$A:$L,10)</f>
        <v/>
      </c>
      <c r="K164" s="119" t="n"/>
      <c r="L164" s="88">
        <f>VLOOKUP(Table91213[[#This Row],[Date]],'DB Details'!$A:$L,12)</f>
        <v/>
      </c>
    </row>
    <row r="165">
      <c r="A165" s="39" t="n">
        <v>22372</v>
      </c>
      <c r="B165" s="57">
        <f>VLOOKUP(Table91213[[#This Row],[Date]],'DB Details'!$A:$L,2)</f>
        <v/>
      </c>
      <c r="C165" s="55" t="n"/>
      <c r="D165" s="55" t="n"/>
      <c r="E165" s="88">
        <f>VLOOKUP(Table91213[[#This Row],[Date]],'DB Details'!$A:$L,5)</f>
        <v/>
      </c>
      <c r="F165" s="88">
        <f>VLOOKUP(Table91213[[#This Row],[Date]],'DB Details'!$A:$L,6)</f>
        <v/>
      </c>
      <c r="G165" s="119" t="n"/>
      <c r="H165" s="88">
        <f>VLOOKUP(Table91213[[#This Row],[Date]],'DB Details'!$A:$L,8)</f>
        <v/>
      </c>
      <c r="I165" s="88">
        <f>VLOOKUP(Table91213[[#This Row],[Date]],'DB Details'!$A:$L,9)</f>
        <v/>
      </c>
      <c r="J165" s="88">
        <f>VLOOKUP(Table91213[[#This Row],[Date]],'DB Details'!$A:$L,10)</f>
        <v/>
      </c>
      <c r="K165" s="119" t="n"/>
      <c r="L165" s="88">
        <f>VLOOKUP(Table91213[[#This Row],[Date]],'DB Details'!$A:$L,12)</f>
        <v/>
      </c>
    </row>
    <row r="166">
      <c r="A166" s="39" t="n">
        <v>22402</v>
      </c>
      <c r="B166" s="57">
        <f>VLOOKUP(Table91213[[#This Row],[Date]],'DB Details'!$A:$L,2)</f>
        <v/>
      </c>
      <c r="C166" s="55" t="n"/>
      <c r="D166" s="55" t="n"/>
      <c r="E166" s="88">
        <f>VLOOKUP(Table91213[[#This Row],[Date]],'DB Details'!$A:$L,5)</f>
        <v/>
      </c>
      <c r="F166" s="88">
        <f>VLOOKUP(Table91213[[#This Row],[Date]],'DB Details'!$A:$L,6)</f>
        <v/>
      </c>
      <c r="G166" s="119" t="n"/>
      <c r="H166" s="88">
        <f>VLOOKUP(Table91213[[#This Row],[Date]],'DB Details'!$A:$L,8)</f>
        <v/>
      </c>
      <c r="I166" s="88">
        <f>VLOOKUP(Table91213[[#This Row],[Date]],'DB Details'!$A:$L,9)</f>
        <v/>
      </c>
      <c r="J166" s="88">
        <f>VLOOKUP(Table91213[[#This Row],[Date]],'DB Details'!$A:$L,10)</f>
        <v/>
      </c>
      <c r="K166" s="119" t="n"/>
      <c r="L166" s="88">
        <f>VLOOKUP(Table91213[[#This Row],[Date]],'DB Details'!$A:$L,12)</f>
        <v/>
      </c>
    </row>
    <row r="167">
      <c r="A167" s="39" t="n">
        <v>22433</v>
      </c>
      <c r="B167" s="57">
        <f>VLOOKUP(Table91213[[#This Row],[Date]],'DB Details'!$A:$L,2)</f>
        <v/>
      </c>
      <c r="C167" s="55" t="n"/>
      <c r="D167" s="55" t="n"/>
      <c r="E167" s="88">
        <f>VLOOKUP(Table91213[[#This Row],[Date]],'DB Details'!$A:$L,5)</f>
        <v/>
      </c>
      <c r="F167" s="88">
        <f>VLOOKUP(Table91213[[#This Row],[Date]],'DB Details'!$A:$L,6)</f>
        <v/>
      </c>
      <c r="G167" s="119" t="n"/>
      <c r="H167" s="88">
        <f>VLOOKUP(Table91213[[#This Row],[Date]],'DB Details'!$A:$L,8)</f>
        <v/>
      </c>
      <c r="I167" s="88">
        <f>VLOOKUP(Table91213[[#This Row],[Date]],'DB Details'!$A:$L,9)</f>
        <v/>
      </c>
      <c r="J167" s="88">
        <f>VLOOKUP(Table91213[[#This Row],[Date]],'DB Details'!$A:$L,10)</f>
        <v/>
      </c>
      <c r="K167" s="119" t="n"/>
      <c r="L167" s="88">
        <f>VLOOKUP(Table91213[[#This Row],[Date]],'DB Details'!$A:$L,12)</f>
        <v/>
      </c>
    </row>
    <row r="168">
      <c r="A168" s="39" t="n">
        <v>22463</v>
      </c>
      <c r="B168" s="57">
        <f>VLOOKUP(Table91213[[#This Row],[Date]],'DB Details'!$A:$L,2)</f>
        <v/>
      </c>
      <c r="C168" s="55" t="n"/>
      <c r="D168" s="55" t="n"/>
      <c r="E168" s="88">
        <f>VLOOKUP(Table91213[[#This Row],[Date]],'DB Details'!$A:$L,5)</f>
        <v/>
      </c>
      <c r="F168" s="88">
        <f>VLOOKUP(Table91213[[#This Row],[Date]],'DB Details'!$A:$L,6)</f>
        <v/>
      </c>
      <c r="G168" s="119" t="n"/>
      <c r="H168" s="88">
        <f>VLOOKUP(Table91213[[#This Row],[Date]],'DB Details'!$A:$L,8)</f>
        <v/>
      </c>
      <c r="I168" s="88">
        <f>VLOOKUP(Table91213[[#This Row],[Date]],'DB Details'!$A:$L,9)</f>
        <v/>
      </c>
      <c r="J168" s="88">
        <f>VLOOKUP(Table91213[[#This Row],[Date]],'DB Details'!$A:$L,10)</f>
        <v/>
      </c>
      <c r="K168" s="119" t="n"/>
      <c r="L168" s="88">
        <f>VLOOKUP(Table91213[[#This Row],[Date]],'DB Details'!$A:$L,12)</f>
        <v/>
      </c>
    </row>
    <row r="169">
      <c r="A169" s="39" t="n">
        <v>22494</v>
      </c>
      <c r="B169" s="57">
        <f>VLOOKUP(Table91213[[#This Row],[Date]],'DB Details'!$A:$L,2)</f>
        <v/>
      </c>
      <c r="C169" s="55" t="n"/>
      <c r="D169" s="55" t="n"/>
      <c r="E169" s="88">
        <f>VLOOKUP(Table91213[[#This Row],[Date]],'DB Details'!$A:$L,5)</f>
        <v/>
      </c>
      <c r="F169" s="88">
        <f>VLOOKUP(Table91213[[#This Row],[Date]],'DB Details'!$A:$L,6)</f>
        <v/>
      </c>
      <c r="G169" s="119" t="n"/>
      <c r="H169" s="88">
        <f>VLOOKUP(Table91213[[#This Row],[Date]],'DB Details'!$A:$L,8)</f>
        <v/>
      </c>
      <c r="I169" s="88">
        <f>VLOOKUP(Table91213[[#This Row],[Date]],'DB Details'!$A:$L,9)</f>
        <v/>
      </c>
      <c r="J169" s="88">
        <f>VLOOKUP(Table91213[[#This Row],[Date]],'DB Details'!$A:$L,10)</f>
        <v/>
      </c>
      <c r="K169" s="119" t="n"/>
      <c r="L169" s="88">
        <f>VLOOKUP(Table91213[[#This Row],[Date]],'DB Details'!$A:$L,12)</f>
        <v/>
      </c>
    </row>
    <row r="170">
      <c r="A170" s="39" t="n">
        <v>22525</v>
      </c>
      <c r="B170" s="57">
        <f>VLOOKUP(Table91213[[#This Row],[Date]],'DB Details'!$A:$L,2)</f>
        <v/>
      </c>
      <c r="C170" s="55" t="n"/>
      <c r="D170" s="55" t="n"/>
      <c r="E170" s="88">
        <f>VLOOKUP(Table91213[[#This Row],[Date]],'DB Details'!$A:$L,5)</f>
        <v/>
      </c>
      <c r="F170" s="88">
        <f>VLOOKUP(Table91213[[#This Row],[Date]],'DB Details'!$A:$L,6)</f>
        <v/>
      </c>
      <c r="G170" s="119" t="n"/>
      <c r="H170" s="88">
        <f>VLOOKUP(Table91213[[#This Row],[Date]],'DB Details'!$A:$L,8)</f>
        <v/>
      </c>
      <c r="I170" s="88">
        <f>VLOOKUP(Table91213[[#This Row],[Date]],'DB Details'!$A:$L,9)</f>
        <v/>
      </c>
      <c r="J170" s="88">
        <f>VLOOKUP(Table91213[[#This Row],[Date]],'DB Details'!$A:$L,10)</f>
        <v/>
      </c>
      <c r="K170" s="119" t="n"/>
      <c r="L170" s="88">
        <f>VLOOKUP(Table91213[[#This Row],[Date]],'DB Details'!$A:$L,12)</f>
        <v/>
      </c>
    </row>
    <row r="171">
      <c r="A171" s="39" t="n">
        <v>22555</v>
      </c>
      <c r="B171" s="57">
        <f>VLOOKUP(Table91213[[#This Row],[Date]],'DB Details'!$A:$L,2)</f>
        <v/>
      </c>
      <c r="C171" s="55" t="n"/>
      <c r="D171" s="55" t="n"/>
      <c r="E171" s="88">
        <f>VLOOKUP(Table91213[[#This Row],[Date]],'DB Details'!$A:$L,5)</f>
        <v/>
      </c>
      <c r="F171" s="88">
        <f>VLOOKUP(Table91213[[#This Row],[Date]],'DB Details'!$A:$L,6)</f>
        <v/>
      </c>
      <c r="G171" s="119" t="n"/>
      <c r="H171" s="88">
        <f>VLOOKUP(Table91213[[#This Row],[Date]],'DB Details'!$A:$L,8)</f>
        <v/>
      </c>
      <c r="I171" s="88">
        <f>VLOOKUP(Table91213[[#This Row],[Date]],'DB Details'!$A:$L,9)</f>
        <v/>
      </c>
      <c r="J171" s="88">
        <f>VLOOKUP(Table91213[[#This Row],[Date]],'DB Details'!$A:$L,10)</f>
        <v/>
      </c>
      <c r="K171" s="119" t="n"/>
      <c r="L171" s="88">
        <f>VLOOKUP(Table91213[[#This Row],[Date]],'DB Details'!$A:$L,12)</f>
        <v/>
      </c>
    </row>
    <row r="172">
      <c r="A172" s="39" t="n">
        <v>22586</v>
      </c>
      <c r="B172" s="57">
        <f>VLOOKUP(Table91213[[#This Row],[Date]],'DB Details'!$A:$L,2)</f>
        <v/>
      </c>
      <c r="C172" s="55" t="n"/>
      <c r="D172" s="55" t="n"/>
      <c r="E172" s="88">
        <f>VLOOKUP(Table91213[[#This Row],[Date]],'DB Details'!$A:$L,5)</f>
        <v/>
      </c>
      <c r="F172" s="88">
        <f>VLOOKUP(Table91213[[#This Row],[Date]],'DB Details'!$A:$L,6)</f>
        <v/>
      </c>
      <c r="G172" s="119" t="n"/>
      <c r="H172" s="88">
        <f>VLOOKUP(Table91213[[#This Row],[Date]],'DB Details'!$A:$L,8)</f>
        <v/>
      </c>
      <c r="I172" s="88">
        <f>VLOOKUP(Table91213[[#This Row],[Date]],'DB Details'!$A:$L,9)</f>
        <v/>
      </c>
      <c r="J172" s="88">
        <f>VLOOKUP(Table91213[[#This Row],[Date]],'DB Details'!$A:$L,10)</f>
        <v/>
      </c>
      <c r="K172" s="119" t="n"/>
      <c r="L172" s="88">
        <f>VLOOKUP(Table91213[[#This Row],[Date]],'DB Details'!$A:$L,12)</f>
        <v/>
      </c>
    </row>
    <row r="173">
      <c r="A173" s="39" t="n">
        <v>22616</v>
      </c>
      <c r="B173" s="57">
        <f>VLOOKUP(Table91213[[#This Row],[Date]],'DB Details'!$A:$L,2)</f>
        <v/>
      </c>
      <c r="C173" s="55" t="n"/>
      <c r="D173" s="55" t="n"/>
      <c r="E173" s="88">
        <f>VLOOKUP(Table91213[[#This Row],[Date]],'DB Details'!$A:$L,5)</f>
        <v/>
      </c>
      <c r="F173" s="88">
        <f>VLOOKUP(Table91213[[#This Row],[Date]],'DB Details'!$A:$L,6)</f>
        <v/>
      </c>
      <c r="G173" s="119" t="n"/>
      <c r="H173" s="88">
        <f>VLOOKUP(Table91213[[#This Row],[Date]],'DB Details'!$A:$L,8)</f>
        <v/>
      </c>
      <c r="I173" s="88">
        <f>VLOOKUP(Table91213[[#This Row],[Date]],'DB Details'!$A:$L,9)</f>
        <v/>
      </c>
      <c r="J173" s="88">
        <f>VLOOKUP(Table91213[[#This Row],[Date]],'DB Details'!$A:$L,10)</f>
        <v/>
      </c>
      <c r="K173" s="119" t="n"/>
      <c r="L173" s="88">
        <f>VLOOKUP(Table91213[[#This Row],[Date]],'DB Details'!$A:$L,12)</f>
        <v/>
      </c>
    </row>
    <row r="174">
      <c r="A174" s="39" t="n">
        <v>22647</v>
      </c>
      <c r="B174" s="57">
        <f>VLOOKUP(Table91213[[#This Row],[Date]],'DB Details'!$A:$L,2)</f>
        <v/>
      </c>
      <c r="C174" s="55" t="n"/>
      <c r="D174" s="55" t="n"/>
      <c r="E174" s="88">
        <f>VLOOKUP(Table91213[[#This Row],[Date]],'DB Details'!$A:$L,5)</f>
        <v/>
      </c>
      <c r="F174" s="88">
        <f>VLOOKUP(Table91213[[#This Row],[Date]],'DB Details'!$A:$L,6)</f>
        <v/>
      </c>
      <c r="G174" s="119" t="n"/>
      <c r="H174" s="88">
        <f>VLOOKUP(Table91213[[#This Row],[Date]],'DB Details'!$A:$L,8)</f>
        <v/>
      </c>
      <c r="I174" s="88">
        <f>VLOOKUP(Table91213[[#This Row],[Date]],'DB Details'!$A:$L,9)</f>
        <v/>
      </c>
      <c r="J174" s="88">
        <f>VLOOKUP(Table91213[[#This Row],[Date]],'DB Details'!$A:$L,10)</f>
        <v/>
      </c>
      <c r="K174" s="119" t="n"/>
      <c r="L174" s="88">
        <f>VLOOKUP(Table91213[[#This Row],[Date]],'DB Details'!$A:$L,12)</f>
        <v/>
      </c>
    </row>
    <row r="175">
      <c r="A175" s="39" t="n">
        <v>22678</v>
      </c>
      <c r="B175" s="57">
        <f>VLOOKUP(Table91213[[#This Row],[Date]],'DB Details'!$A:$L,2)</f>
        <v/>
      </c>
      <c r="C175" s="55" t="n"/>
      <c r="D175" s="55" t="n"/>
      <c r="E175" s="88">
        <f>VLOOKUP(Table91213[[#This Row],[Date]],'DB Details'!$A:$L,5)</f>
        <v/>
      </c>
      <c r="F175" s="88">
        <f>VLOOKUP(Table91213[[#This Row],[Date]],'DB Details'!$A:$L,6)</f>
        <v/>
      </c>
      <c r="G175" s="119" t="n"/>
      <c r="H175" s="88">
        <f>VLOOKUP(Table91213[[#This Row],[Date]],'DB Details'!$A:$L,8)</f>
        <v/>
      </c>
      <c r="I175" s="88">
        <f>VLOOKUP(Table91213[[#This Row],[Date]],'DB Details'!$A:$L,9)</f>
        <v/>
      </c>
      <c r="J175" s="88">
        <f>VLOOKUP(Table91213[[#This Row],[Date]],'DB Details'!$A:$L,10)</f>
        <v/>
      </c>
      <c r="K175" s="119" t="n"/>
      <c r="L175" s="88">
        <f>VLOOKUP(Table91213[[#This Row],[Date]],'DB Details'!$A:$L,12)</f>
        <v/>
      </c>
    </row>
    <row r="176">
      <c r="A176" s="39" t="n">
        <v>22706</v>
      </c>
      <c r="B176" s="57">
        <f>VLOOKUP(Table91213[[#This Row],[Date]],'DB Details'!$A:$L,2)</f>
        <v/>
      </c>
      <c r="C176" s="55" t="n"/>
      <c r="D176" s="55" t="n"/>
      <c r="E176" s="88">
        <f>VLOOKUP(Table91213[[#This Row],[Date]],'DB Details'!$A:$L,5)</f>
        <v/>
      </c>
      <c r="F176" s="88">
        <f>VLOOKUP(Table91213[[#This Row],[Date]],'DB Details'!$A:$L,6)</f>
        <v/>
      </c>
      <c r="G176" s="119" t="n"/>
      <c r="H176" s="88">
        <f>VLOOKUP(Table91213[[#This Row],[Date]],'DB Details'!$A:$L,8)</f>
        <v/>
      </c>
      <c r="I176" s="88">
        <f>VLOOKUP(Table91213[[#This Row],[Date]],'DB Details'!$A:$L,9)</f>
        <v/>
      </c>
      <c r="J176" s="88">
        <f>VLOOKUP(Table91213[[#This Row],[Date]],'DB Details'!$A:$L,10)</f>
        <v/>
      </c>
      <c r="K176" s="119" t="n"/>
      <c r="L176" s="88">
        <f>VLOOKUP(Table91213[[#This Row],[Date]],'DB Details'!$A:$L,12)</f>
        <v/>
      </c>
    </row>
    <row r="177">
      <c r="A177" s="39" t="n">
        <v>22737</v>
      </c>
      <c r="B177" s="57">
        <f>VLOOKUP(Table91213[[#This Row],[Date]],'DB Details'!$A:$L,2)</f>
        <v/>
      </c>
      <c r="C177" s="55" t="n"/>
      <c r="D177" s="55" t="n"/>
      <c r="E177" s="88">
        <f>VLOOKUP(Table91213[[#This Row],[Date]],'DB Details'!$A:$L,5)</f>
        <v/>
      </c>
      <c r="F177" s="88">
        <f>VLOOKUP(Table91213[[#This Row],[Date]],'DB Details'!$A:$L,6)</f>
        <v/>
      </c>
      <c r="G177" s="119" t="n"/>
      <c r="H177" s="88">
        <f>VLOOKUP(Table91213[[#This Row],[Date]],'DB Details'!$A:$L,8)</f>
        <v/>
      </c>
      <c r="I177" s="88">
        <f>VLOOKUP(Table91213[[#This Row],[Date]],'DB Details'!$A:$L,9)</f>
        <v/>
      </c>
      <c r="J177" s="88">
        <f>VLOOKUP(Table91213[[#This Row],[Date]],'DB Details'!$A:$L,10)</f>
        <v/>
      </c>
      <c r="K177" s="119" t="n"/>
      <c r="L177" s="88">
        <f>VLOOKUP(Table91213[[#This Row],[Date]],'DB Details'!$A:$L,12)</f>
        <v/>
      </c>
    </row>
    <row r="178">
      <c r="A178" s="39" t="n">
        <v>22767</v>
      </c>
      <c r="B178" s="57">
        <f>VLOOKUP(Table91213[[#This Row],[Date]],'DB Details'!$A:$L,2)</f>
        <v/>
      </c>
      <c r="C178" s="55" t="n"/>
      <c r="D178" s="55" t="n"/>
      <c r="E178" s="88">
        <f>VLOOKUP(Table91213[[#This Row],[Date]],'DB Details'!$A:$L,5)</f>
        <v/>
      </c>
      <c r="F178" s="88">
        <f>VLOOKUP(Table91213[[#This Row],[Date]],'DB Details'!$A:$L,6)</f>
        <v/>
      </c>
      <c r="G178" s="119" t="n"/>
      <c r="H178" s="88">
        <f>VLOOKUP(Table91213[[#This Row],[Date]],'DB Details'!$A:$L,8)</f>
        <v/>
      </c>
      <c r="I178" s="88">
        <f>VLOOKUP(Table91213[[#This Row],[Date]],'DB Details'!$A:$L,9)</f>
        <v/>
      </c>
      <c r="J178" s="88">
        <f>VLOOKUP(Table91213[[#This Row],[Date]],'DB Details'!$A:$L,10)</f>
        <v/>
      </c>
      <c r="K178" s="119" t="n"/>
      <c r="L178" s="88">
        <f>VLOOKUP(Table91213[[#This Row],[Date]],'DB Details'!$A:$L,12)</f>
        <v/>
      </c>
    </row>
    <row r="179">
      <c r="A179" s="39" t="n">
        <v>22798</v>
      </c>
      <c r="B179" s="57">
        <f>VLOOKUP(Table91213[[#This Row],[Date]],'DB Details'!$A:$L,2)</f>
        <v/>
      </c>
      <c r="C179" s="55" t="n"/>
      <c r="D179" s="55" t="n"/>
      <c r="E179" s="88">
        <f>VLOOKUP(Table91213[[#This Row],[Date]],'DB Details'!$A:$L,5)</f>
        <v/>
      </c>
      <c r="F179" s="88">
        <f>VLOOKUP(Table91213[[#This Row],[Date]],'DB Details'!$A:$L,6)</f>
        <v/>
      </c>
      <c r="G179" s="119" t="n"/>
      <c r="H179" s="88">
        <f>VLOOKUP(Table91213[[#This Row],[Date]],'DB Details'!$A:$L,8)</f>
        <v/>
      </c>
      <c r="I179" s="88">
        <f>VLOOKUP(Table91213[[#This Row],[Date]],'DB Details'!$A:$L,9)</f>
        <v/>
      </c>
      <c r="J179" s="88">
        <f>VLOOKUP(Table91213[[#This Row],[Date]],'DB Details'!$A:$L,10)</f>
        <v/>
      </c>
      <c r="K179" s="119" t="n"/>
      <c r="L179" s="88">
        <f>VLOOKUP(Table91213[[#This Row],[Date]],'DB Details'!$A:$L,12)</f>
        <v/>
      </c>
    </row>
    <row r="180">
      <c r="A180" s="39" t="n">
        <v>22828</v>
      </c>
      <c r="B180" s="57">
        <f>VLOOKUP(Table91213[[#This Row],[Date]],'DB Details'!$A:$L,2)</f>
        <v/>
      </c>
      <c r="C180" s="55" t="n"/>
      <c r="D180" s="55" t="n"/>
      <c r="E180" s="88">
        <f>VLOOKUP(Table91213[[#This Row],[Date]],'DB Details'!$A:$L,5)</f>
        <v/>
      </c>
      <c r="F180" s="88">
        <f>VLOOKUP(Table91213[[#This Row],[Date]],'DB Details'!$A:$L,6)</f>
        <v/>
      </c>
      <c r="G180" s="119" t="n"/>
      <c r="H180" s="88">
        <f>VLOOKUP(Table91213[[#This Row],[Date]],'DB Details'!$A:$L,8)</f>
        <v/>
      </c>
      <c r="I180" s="88">
        <f>VLOOKUP(Table91213[[#This Row],[Date]],'DB Details'!$A:$L,9)</f>
        <v/>
      </c>
      <c r="J180" s="88">
        <f>VLOOKUP(Table91213[[#This Row],[Date]],'DB Details'!$A:$L,10)</f>
        <v/>
      </c>
      <c r="K180" s="119" t="n"/>
      <c r="L180" s="88">
        <f>VLOOKUP(Table91213[[#This Row],[Date]],'DB Details'!$A:$L,12)</f>
        <v/>
      </c>
    </row>
    <row r="181">
      <c r="A181" s="39" t="n">
        <v>22859</v>
      </c>
      <c r="B181" s="57">
        <f>VLOOKUP(Table91213[[#This Row],[Date]],'DB Details'!$A:$L,2)</f>
        <v/>
      </c>
      <c r="C181" s="55" t="n"/>
      <c r="D181" s="55" t="n"/>
      <c r="E181" s="88">
        <f>VLOOKUP(Table91213[[#This Row],[Date]],'DB Details'!$A:$L,5)</f>
        <v/>
      </c>
      <c r="F181" s="88">
        <f>VLOOKUP(Table91213[[#This Row],[Date]],'DB Details'!$A:$L,6)</f>
        <v/>
      </c>
      <c r="G181" s="119" t="n"/>
      <c r="H181" s="88">
        <f>VLOOKUP(Table91213[[#This Row],[Date]],'DB Details'!$A:$L,8)</f>
        <v/>
      </c>
      <c r="I181" s="88">
        <f>VLOOKUP(Table91213[[#This Row],[Date]],'DB Details'!$A:$L,9)</f>
        <v/>
      </c>
      <c r="J181" s="88">
        <f>VLOOKUP(Table91213[[#This Row],[Date]],'DB Details'!$A:$L,10)</f>
        <v/>
      </c>
      <c r="K181" s="119" t="n"/>
      <c r="L181" s="88">
        <f>VLOOKUP(Table91213[[#This Row],[Date]],'DB Details'!$A:$L,12)</f>
        <v/>
      </c>
    </row>
    <row r="182">
      <c r="A182" s="39" t="n">
        <v>22890</v>
      </c>
      <c r="B182" s="57">
        <f>VLOOKUP(Table91213[[#This Row],[Date]],'DB Details'!$A:$L,2)</f>
        <v/>
      </c>
      <c r="C182" s="55" t="n"/>
      <c r="D182" s="55" t="n"/>
      <c r="E182" s="88">
        <f>VLOOKUP(Table91213[[#This Row],[Date]],'DB Details'!$A:$L,5)</f>
        <v/>
      </c>
      <c r="F182" s="88">
        <f>VLOOKUP(Table91213[[#This Row],[Date]],'DB Details'!$A:$L,6)</f>
        <v/>
      </c>
      <c r="G182" s="119" t="n"/>
      <c r="H182" s="88">
        <f>VLOOKUP(Table91213[[#This Row],[Date]],'DB Details'!$A:$L,8)</f>
        <v/>
      </c>
      <c r="I182" s="88">
        <f>VLOOKUP(Table91213[[#This Row],[Date]],'DB Details'!$A:$L,9)</f>
        <v/>
      </c>
      <c r="J182" s="88">
        <f>VLOOKUP(Table91213[[#This Row],[Date]],'DB Details'!$A:$L,10)</f>
        <v/>
      </c>
      <c r="K182" s="119" t="n"/>
      <c r="L182" s="88">
        <f>VLOOKUP(Table91213[[#This Row],[Date]],'DB Details'!$A:$L,12)</f>
        <v/>
      </c>
    </row>
    <row r="183">
      <c r="A183" s="39" t="n">
        <v>22920</v>
      </c>
      <c r="B183" s="57">
        <f>VLOOKUP(Table91213[[#This Row],[Date]],'DB Details'!$A:$L,2)</f>
        <v/>
      </c>
      <c r="C183" s="55" t="n"/>
      <c r="D183" s="55" t="n"/>
      <c r="E183" s="88">
        <f>VLOOKUP(Table91213[[#This Row],[Date]],'DB Details'!$A:$L,5)</f>
        <v/>
      </c>
      <c r="F183" s="88">
        <f>VLOOKUP(Table91213[[#This Row],[Date]],'DB Details'!$A:$L,6)</f>
        <v/>
      </c>
      <c r="G183" s="119" t="n"/>
      <c r="H183" s="88">
        <f>VLOOKUP(Table91213[[#This Row],[Date]],'DB Details'!$A:$L,8)</f>
        <v/>
      </c>
      <c r="I183" s="88">
        <f>VLOOKUP(Table91213[[#This Row],[Date]],'DB Details'!$A:$L,9)</f>
        <v/>
      </c>
      <c r="J183" s="88">
        <f>VLOOKUP(Table91213[[#This Row],[Date]],'DB Details'!$A:$L,10)</f>
        <v/>
      </c>
      <c r="K183" s="119" t="n"/>
      <c r="L183" s="88">
        <f>VLOOKUP(Table91213[[#This Row],[Date]],'DB Details'!$A:$L,12)</f>
        <v/>
      </c>
    </row>
    <row r="184">
      <c r="A184" s="39" t="n">
        <v>22951</v>
      </c>
      <c r="B184" s="57">
        <f>VLOOKUP(Table91213[[#This Row],[Date]],'DB Details'!$A:$L,2)</f>
        <v/>
      </c>
      <c r="C184" s="55" t="n"/>
      <c r="D184" s="55" t="n"/>
      <c r="E184" s="88">
        <f>VLOOKUP(Table91213[[#This Row],[Date]],'DB Details'!$A:$L,5)</f>
        <v/>
      </c>
      <c r="F184" s="88">
        <f>VLOOKUP(Table91213[[#This Row],[Date]],'DB Details'!$A:$L,6)</f>
        <v/>
      </c>
      <c r="G184" s="119" t="n"/>
      <c r="H184" s="88">
        <f>VLOOKUP(Table91213[[#This Row],[Date]],'DB Details'!$A:$L,8)</f>
        <v/>
      </c>
      <c r="I184" s="88">
        <f>VLOOKUP(Table91213[[#This Row],[Date]],'DB Details'!$A:$L,9)</f>
        <v/>
      </c>
      <c r="J184" s="88">
        <f>VLOOKUP(Table91213[[#This Row],[Date]],'DB Details'!$A:$L,10)</f>
        <v/>
      </c>
      <c r="K184" s="119" t="n"/>
      <c r="L184" s="88">
        <f>VLOOKUP(Table91213[[#This Row],[Date]],'DB Details'!$A:$L,12)</f>
        <v/>
      </c>
    </row>
    <row r="185">
      <c r="A185" s="39" t="n">
        <v>22981</v>
      </c>
      <c r="B185" s="57">
        <f>VLOOKUP(Table91213[[#This Row],[Date]],'DB Details'!$A:$L,2)</f>
        <v/>
      </c>
      <c r="C185" s="55" t="n"/>
      <c r="D185" s="55" t="n"/>
      <c r="E185" s="88">
        <f>VLOOKUP(Table91213[[#This Row],[Date]],'DB Details'!$A:$L,5)</f>
        <v/>
      </c>
      <c r="F185" s="88">
        <f>VLOOKUP(Table91213[[#This Row],[Date]],'DB Details'!$A:$L,6)</f>
        <v/>
      </c>
      <c r="G185" s="119" t="n"/>
      <c r="H185" s="88">
        <f>VLOOKUP(Table91213[[#This Row],[Date]],'DB Details'!$A:$L,8)</f>
        <v/>
      </c>
      <c r="I185" s="88">
        <f>VLOOKUP(Table91213[[#This Row],[Date]],'DB Details'!$A:$L,9)</f>
        <v/>
      </c>
      <c r="J185" s="88">
        <f>VLOOKUP(Table91213[[#This Row],[Date]],'DB Details'!$A:$L,10)</f>
        <v/>
      </c>
      <c r="K185" s="119" t="n"/>
      <c r="L185" s="88">
        <f>VLOOKUP(Table91213[[#This Row],[Date]],'DB Details'!$A:$L,12)</f>
        <v/>
      </c>
    </row>
    <row r="186">
      <c r="A186" s="39" t="n">
        <v>23012</v>
      </c>
      <c r="B186" s="57">
        <f>VLOOKUP(Table91213[[#This Row],[Date]],'DB Details'!$A:$L,2)</f>
        <v/>
      </c>
      <c r="C186" s="55" t="n"/>
      <c r="D186" s="55" t="n"/>
      <c r="E186" s="88">
        <f>VLOOKUP(Table91213[[#This Row],[Date]],'DB Details'!$A:$L,5)</f>
        <v/>
      </c>
      <c r="F186" s="88">
        <f>VLOOKUP(Table91213[[#This Row],[Date]],'DB Details'!$A:$L,6)</f>
        <v/>
      </c>
      <c r="G186" s="119" t="n"/>
      <c r="H186" s="88">
        <f>VLOOKUP(Table91213[[#This Row],[Date]],'DB Details'!$A:$L,8)</f>
        <v/>
      </c>
      <c r="I186" s="88">
        <f>VLOOKUP(Table91213[[#This Row],[Date]],'DB Details'!$A:$L,9)</f>
        <v/>
      </c>
      <c r="J186" s="88">
        <f>VLOOKUP(Table91213[[#This Row],[Date]],'DB Details'!$A:$L,10)</f>
        <v/>
      </c>
      <c r="K186" s="119" t="n"/>
      <c r="L186" s="88">
        <f>VLOOKUP(Table91213[[#This Row],[Date]],'DB Details'!$A:$L,12)</f>
        <v/>
      </c>
    </row>
    <row r="187">
      <c r="A187" s="39" t="n">
        <v>23043</v>
      </c>
      <c r="B187" s="57">
        <f>VLOOKUP(Table91213[[#This Row],[Date]],'DB Details'!$A:$L,2)</f>
        <v/>
      </c>
      <c r="C187" s="55" t="n"/>
      <c r="D187" s="55" t="n"/>
      <c r="E187" s="88">
        <f>VLOOKUP(Table91213[[#This Row],[Date]],'DB Details'!$A:$L,5)</f>
        <v/>
      </c>
      <c r="F187" s="88">
        <f>VLOOKUP(Table91213[[#This Row],[Date]],'DB Details'!$A:$L,6)</f>
        <v/>
      </c>
      <c r="G187" s="119" t="n"/>
      <c r="H187" s="88">
        <f>VLOOKUP(Table91213[[#This Row],[Date]],'DB Details'!$A:$L,8)</f>
        <v/>
      </c>
      <c r="I187" s="88">
        <f>VLOOKUP(Table91213[[#This Row],[Date]],'DB Details'!$A:$L,9)</f>
        <v/>
      </c>
      <c r="J187" s="88">
        <f>VLOOKUP(Table91213[[#This Row],[Date]],'DB Details'!$A:$L,10)</f>
        <v/>
      </c>
      <c r="K187" s="119" t="n"/>
      <c r="L187" s="88">
        <f>VLOOKUP(Table91213[[#This Row],[Date]],'DB Details'!$A:$L,12)</f>
        <v/>
      </c>
    </row>
    <row r="188">
      <c r="A188" s="39" t="n">
        <v>23071</v>
      </c>
      <c r="B188" s="57">
        <f>VLOOKUP(Table91213[[#This Row],[Date]],'DB Details'!$A:$L,2)</f>
        <v/>
      </c>
      <c r="C188" s="55" t="n"/>
      <c r="D188" s="55" t="n"/>
      <c r="E188" s="88">
        <f>VLOOKUP(Table91213[[#This Row],[Date]],'DB Details'!$A:$L,5)</f>
        <v/>
      </c>
      <c r="F188" s="88">
        <f>VLOOKUP(Table91213[[#This Row],[Date]],'DB Details'!$A:$L,6)</f>
        <v/>
      </c>
      <c r="G188" s="119" t="n"/>
      <c r="H188" s="88">
        <f>VLOOKUP(Table91213[[#This Row],[Date]],'DB Details'!$A:$L,8)</f>
        <v/>
      </c>
      <c r="I188" s="88">
        <f>VLOOKUP(Table91213[[#This Row],[Date]],'DB Details'!$A:$L,9)</f>
        <v/>
      </c>
      <c r="J188" s="88">
        <f>VLOOKUP(Table91213[[#This Row],[Date]],'DB Details'!$A:$L,10)</f>
        <v/>
      </c>
      <c r="K188" s="119" t="n"/>
      <c r="L188" s="88">
        <f>VLOOKUP(Table91213[[#This Row],[Date]],'DB Details'!$A:$L,12)</f>
        <v/>
      </c>
    </row>
    <row r="189">
      <c r="A189" s="39" t="n">
        <v>23102</v>
      </c>
      <c r="B189" s="57">
        <f>VLOOKUP(Table91213[[#This Row],[Date]],'DB Details'!$A:$L,2)</f>
        <v/>
      </c>
      <c r="C189" s="55" t="n"/>
      <c r="D189" s="55" t="n"/>
      <c r="E189" s="88">
        <f>VLOOKUP(Table91213[[#This Row],[Date]],'DB Details'!$A:$L,5)</f>
        <v/>
      </c>
      <c r="F189" s="88">
        <f>VLOOKUP(Table91213[[#This Row],[Date]],'DB Details'!$A:$L,6)</f>
        <v/>
      </c>
      <c r="G189" s="119" t="n"/>
      <c r="H189" s="88">
        <f>VLOOKUP(Table91213[[#This Row],[Date]],'DB Details'!$A:$L,8)</f>
        <v/>
      </c>
      <c r="I189" s="88">
        <f>VLOOKUP(Table91213[[#This Row],[Date]],'DB Details'!$A:$L,9)</f>
        <v/>
      </c>
      <c r="J189" s="88">
        <f>VLOOKUP(Table91213[[#This Row],[Date]],'DB Details'!$A:$L,10)</f>
        <v/>
      </c>
      <c r="K189" s="119" t="n"/>
      <c r="L189" s="88">
        <f>VLOOKUP(Table91213[[#This Row],[Date]],'DB Details'!$A:$L,12)</f>
        <v/>
      </c>
    </row>
    <row r="190">
      <c r="A190" s="39" t="n">
        <v>23132</v>
      </c>
      <c r="B190" s="57">
        <f>VLOOKUP(Table91213[[#This Row],[Date]],'DB Details'!$A:$L,2)</f>
        <v/>
      </c>
      <c r="C190" s="55" t="n"/>
      <c r="D190" s="55" t="n"/>
      <c r="E190" s="88">
        <f>VLOOKUP(Table91213[[#This Row],[Date]],'DB Details'!$A:$L,5)</f>
        <v/>
      </c>
      <c r="F190" s="88">
        <f>VLOOKUP(Table91213[[#This Row],[Date]],'DB Details'!$A:$L,6)</f>
        <v/>
      </c>
      <c r="G190" s="119" t="n"/>
      <c r="H190" s="88">
        <f>VLOOKUP(Table91213[[#This Row],[Date]],'DB Details'!$A:$L,8)</f>
        <v/>
      </c>
      <c r="I190" s="88">
        <f>VLOOKUP(Table91213[[#This Row],[Date]],'DB Details'!$A:$L,9)</f>
        <v/>
      </c>
      <c r="J190" s="88">
        <f>VLOOKUP(Table91213[[#This Row],[Date]],'DB Details'!$A:$L,10)</f>
        <v/>
      </c>
      <c r="K190" s="119" t="n"/>
      <c r="L190" s="88">
        <f>VLOOKUP(Table91213[[#This Row],[Date]],'DB Details'!$A:$L,12)</f>
        <v/>
      </c>
    </row>
    <row r="191">
      <c r="A191" s="39" t="n">
        <v>23163</v>
      </c>
      <c r="B191" s="57">
        <f>VLOOKUP(Table91213[[#This Row],[Date]],'DB Details'!$A:$L,2)</f>
        <v/>
      </c>
      <c r="C191" s="55" t="n"/>
      <c r="D191" s="55" t="n"/>
      <c r="E191" s="88">
        <f>VLOOKUP(Table91213[[#This Row],[Date]],'DB Details'!$A:$L,5)</f>
        <v/>
      </c>
      <c r="F191" s="88">
        <f>VLOOKUP(Table91213[[#This Row],[Date]],'DB Details'!$A:$L,6)</f>
        <v/>
      </c>
      <c r="G191" s="119" t="n"/>
      <c r="H191" s="88">
        <f>VLOOKUP(Table91213[[#This Row],[Date]],'DB Details'!$A:$L,8)</f>
        <v/>
      </c>
      <c r="I191" s="88">
        <f>VLOOKUP(Table91213[[#This Row],[Date]],'DB Details'!$A:$L,9)</f>
        <v/>
      </c>
      <c r="J191" s="88">
        <f>VLOOKUP(Table91213[[#This Row],[Date]],'DB Details'!$A:$L,10)</f>
        <v/>
      </c>
      <c r="K191" s="119" t="n"/>
      <c r="L191" s="88">
        <f>VLOOKUP(Table91213[[#This Row],[Date]],'DB Details'!$A:$L,12)</f>
        <v/>
      </c>
    </row>
    <row r="192">
      <c r="A192" s="39" t="n">
        <v>23193</v>
      </c>
      <c r="B192" s="57">
        <f>VLOOKUP(Table91213[[#This Row],[Date]],'DB Details'!$A:$L,2)</f>
        <v/>
      </c>
      <c r="C192" s="55" t="n"/>
      <c r="D192" s="55" t="n"/>
      <c r="E192" s="88">
        <f>VLOOKUP(Table91213[[#This Row],[Date]],'DB Details'!$A:$L,5)</f>
        <v/>
      </c>
      <c r="F192" s="88">
        <f>VLOOKUP(Table91213[[#This Row],[Date]],'DB Details'!$A:$L,6)</f>
        <v/>
      </c>
      <c r="G192" s="119" t="n"/>
      <c r="H192" s="88">
        <f>VLOOKUP(Table91213[[#This Row],[Date]],'DB Details'!$A:$L,8)</f>
        <v/>
      </c>
      <c r="I192" s="88">
        <f>VLOOKUP(Table91213[[#This Row],[Date]],'DB Details'!$A:$L,9)</f>
        <v/>
      </c>
      <c r="J192" s="88">
        <f>VLOOKUP(Table91213[[#This Row],[Date]],'DB Details'!$A:$L,10)</f>
        <v/>
      </c>
      <c r="K192" s="119" t="n"/>
      <c r="L192" s="88">
        <f>VLOOKUP(Table91213[[#This Row],[Date]],'DB Details'!$A:$L,12)</f>
        <v/>
      </c>
    </row>
    <row r="193">
      <c r="A193" s="39" t="n">
        <v>23224</v>
      </c>
      <c r="B193" s="57">
        <f>VLOOKUP(Table91213[[#This Row],[Date]],'DB Details'!$A:$L,2)</f>
        <v/>
      </c>
      <c r="C193" s="55" t="n"/>
      <c r="D193" s="55" t="n"/>
      <c r="E193" s="88">
        <f>VLOOKUP(Table91213[[#This Row],[Date]],'DB Details'!$A:$L,5)</f>
        <v/>
      </c>
      <c r="F193" s="88">
        <f>VLOOKUP(Table91213[[#This Row],[Date]],'DB Details'!$A:$L,6)</f>
        <v/>
      </c>
      <c r="G193" s="119" t="n"/>
      <c r="H193" s="88">
        <f>VLOOKUP(Table91213[[#This Row],[Date]],'DB Details'!$A:$L,8)</f>
        <v/>
      </c>
      <c r="I193" s="88">
        <f>VLOOKUP(Table91213[[#This Row],[Date]],'DB Details'!$A:$L,9)</f>
        <v/>
      </c>
      <c r="J193" s="88">
        <f>VLOOKUP(Table91213[[#This Row],[Date]],'DB Details'!$A:$L,10)</f>
        <v/>
      </c>
      <c r="K193" s="119" t="n"/>
      <c r="L193" s="88">
        <f>VLOOKUP(Table91213[[#This Row],[Date]],'DB Details'!$A:$L,12)</f>
        <v/>
      </c>
    </row>
    <row r="194">
      <c r="A194" s="39" t="n">
        <v>23255</v>
      </c>
      <c r="B194" s="57">
        <f>VLOOKUP(Table91213[[#This Row],[Date]],'DB Details'!$A:$L,2)</f>
        <v/>
      </c>
      <c r="C194" s="55" t="n"/>
      <c r="D194" s="55" t="n"/>
      <c r="E194" s="88">
        <f>VLOOKUP(Table91213[[#This Row],[Date]],'DB Details'!$A:$L,5)</f>
        <v/>
      </c>
      <c r="F194" s="88">
        <f>VLOOKUP(Table91213[[#This Row],[Date]],'DB Details'!$A:$L,6)</f>
        <v/>
      </c>
      <c r="G194" s="119" t="n"/>
      <c r="H194" s="88">
        <f>VLOOKUP(Table91213[[#This Row],[Date]],'DB Details'!$A:$L,8)</f>
        <v/>
      </c>
      <c r="I194" s="88">
        <f>VLOOKUP(Table91213[[#This Row],[Date]],'DB Details'!$A:$L,9)</f>
        <v/>
      </c>
      <c r="J194" s="88">
        <f>VLOOKUP(Table91213[[#This Row],[Date]],'DB Details'!$A:$L,10)</f>
        <v/>
      </c>
      <c r="K194" s="119" t="n"/>
      <c r="L194" s="88">
        <f>VLOOKUP(Table91213[[#This Row],[Date]],'DB Details'!$A:$L,12)</f>
        <v/>
      </c>
    </row>
    <row r="195">
      <c r="A195" s="39" t="n">
        <v>23285</v>
      </c>
      <c r="B195" s="57">
        <f>VLOOKUP(Table91213[[#This Row],[Date]],'DB Details'!$A:$L,2)</f>
        <v/>
      </c>
      <c r="C195" s="55" t="n"/>
      <c r="D195" s="55" t="n"/>
      <c r="E195" s="88">
        <f>VLOOKUP(Table91213[[#This Row],[Date]],'DB Details'!$A:$L,5)</f>
        <v/>
      </c>
      <c r="F195" s="88">
        <f>VLOOKUP(Table91213[[#This Row],[Date]],'DB Details'!$A:$L,6)</f>
        <v/>
      </c>
      <c r="G195" s="119" t="n"/>
      <c r="H195" s="88">
        <f>VLOOKUP(Table91213[[#This Row],[Date]],'DB Details'!$A:$L,8)</f>
        <v/>
      </c>
      <c r="I195" s="88">
        <f>VLOOKUP(Table91213[[#This Row],[Date]],'DB Details'!$A:$L,9)</f>
        <v/>
      </c>
      <c r="J195" s="88">
        <f>VLOOKUP(Table91213[[#This Row],[Date]],'DB Details'!$A:$L,10)</f>
        <v/>
      </c>
      <c r="K195" s="119" t="n"/>
      <c r="L195" s="88">
        <f>VLOOKUP(Table91213[[#This Row],[Date]],'DB Details'!$A:$L,12)</f>
        <v/>
      </c>
    </row>
    <row r="196">
      <c r="A196" s="39" t="n">
        <v>23316</v>
      </c>
      <c r="B196" s="57">
        <f>VLOOKUP(Table91213[[#This Row],[Date]],'DB Details'!$A:$L,2)</f>
        <v/>
      </c>
      <c r="C196" s="55" t="n"/>
      <c r="D196" s="55" t="n"/>
      <c r="E196" s="88">
        <f>VLOOKUP(Table91213[[#This Row],[Date]],'DB Details'!$A:$L,5)</f>
        <v/>
      </c>
      <c r="F196" s="88">
        <f>VLOOKUP(Table91213[[#This Row],[Date]],'DB Details'!$A:$L,6)</f>
        <v/>
      </c>
      <c r="G196" s="119" t="n"/>
      <c r="H196" s="88">
        <f>VLOOKUP(Table91213[[#This Row],[Date]],'DB Details'!$A:$L,8)</f>
        <v/>
      </c>
      <c r="I196" s="88">
        <f>VLOOKUP(Table91213[[#This Row],[Date]],'DB Details'!$A:$L,9)</f>
        <v/>
      </c>
      <c r="J196" s="88">
        <f>VLOOKUP(Table91213[[#This Row],[Date]],'DB Details'!$A:$L,10)</f>
        <v/>
      </c>
      <c r="K196" s="119" t="n"/>
      <c r="L196" s="88">
        <f>VLOOKUP(Table91213[[#This Row],[Date]],'DB Details'!$A:$L,12)</f>
        <v/>
      </c>
    </row>
    <row r="197">
      <c r="A197" s="39" t="n">
        <v>23346</v>
      </c>
      <c r="B197" s="57">
        <f>VLOOKUP(Table91213[[#This Row],[Date]],'DB Details'!$A:$L,2)</f>
        <v/>
      </c>
      <c r="C197" s="55" t="n"/>
      <c r="D197" s="55" t="n"/>
      <c r="E197" s="88">
        <f>VLOOKUP(Table91213[[#This Row],[Date]],'DB Details'!$A:$L,5)</f>
        <v/>
      </c>
      <c r="F197" s="88">
        <f>VLOOKUP(Table91213[[#This Row],[Date]],'DB Details'!$A:$L,6)</f>
        <v/>
      </c>
      <c r="G197" s="119" t="n"/>
      <c r="H197" s="88">
        <f>VLOOKUP(Table91213[[#This Row],[Date]],'DB Details'!$A:$L,8)</f>
        <v/>
      </c>
      <c r="I197" s="88">
        <f>VLOOKUP(Table91213[[#This Row],[Date]],'DB Details'!$A:$L,9)</f>
        <v/>
      </c>
      <c r="J197" s="88">
        <f>VLOOKUP(Table91213[[#This Row],[Date]],'DB Details'!$A:$L,10)</f>
        <v/>
      </c>
      <c r="K197" s="119" t="n"/>
      <c r="L197" s="88">
        <f>VLOOKUP(Table91213[[#This Row],[Date]],'DB Details'!$A:$L,12)</f>
        <v/>
      </c>
    </row>
    <row r="198">
      <c r="A198" s="39" t="n">
        <v>23377</v>
      </c>
      <c r="B198" s="57">
        <f>VLOOKUP(Table91213[[#This Row],[Date]],'DB Details'!$A:$L,2)</f>
        <v/>
      </c>
      <c r="C198" s="55" t="n"/>
      <c r="D198" s="55" t="n"/>
      <c r="E198" s="88">
        <f>VLOOKUP(Table91213[[#This Row],[Date]],'DB Details'!$A:$L,5)</f>
        <v/>
      </c>
      <c r="F198" s="88">
        <f>VLOOKUP(Table91213[[#This Row],[Date]],'DB Details'!$A:$L,6)</f>
        <v/>
      </c>
      <c r="G198" s="119" t="n"/>
      <c r="H198" s="88">
        <f>VLOOKUP(Table91213[[#This Row],[Date]],'DB Details'!$A:$L,8)</f>
        <v/>
      </c>
      <c r="I198" s="88">
        <f>VLOOKUP(Table91213[[#This Row],[Date]],'DB Details'!$A:$L,9)</f>
        <v/>
      </c>
      <c r="J198" s="88">
        <f>VLOOKUP(Table91213[[#This Row],[Date]],'DB Details'!$A:$L,10)</f>
        <v/>
      </c>
      <c r="K198" s="119" t="n"/>
      <c r="L198" s="88">
        <f>VLOOKUP(Table91213[[#This Row],[Date]],'DB Details'!$A:$L,12)</f>
        <v/>
      </c>
    </row>
    <row r="199">
      <c r="A199" s="39" t="n">
        <v>23408</v>
      </c>
      <c r="B199" s="57">
        <f>VLOOKUP(Table91213[[#This Row],[Date]],'DB Details'!$A:$L,2)</f>
        <v/>
      </c>
      <c r="C199" s="55" t="n"/>
      <c r="D199" s="55" t="n"/>
      <c r="E199" s="88">
        <f>VLOOKUP(Table91213[[#This Row],[Date]],'DB Details'!$A:$L,5)</f>
        <v/>
      </c>
      <c r="F199" s="88">
        <f>VLOOKUP(Table91213[[#This Row],[Date]],'DB Details'!$A:$L,6)</f>
        <v/>
      </c>
      <c r="G199" s="119" t="n"/>
      <c r="H199" s="88">
        <f>VLOOKUP(Table91213[[#This Row],[Date]],'DB Details'!$A:$L,8)</f>
        <v/>
      </c>
      <c r="I199" s="88">
        <f>VLOOKUP(Table91213[[#This Row],[Date]],'DB Details'!$A:$L,9)</f>
        <v/>
      </c>
      <c r="J199" s="88">
        <f>VLOOKUP(Table91213[[#This Row],[Date]],'DB Details'!$A:$L,10)</f>
        <v/>
      </c>
      <c r="K199" s="119" t="n"/>
      <c r="L199" s="88">
        <f>VLOOKUP(Table91213[[#This Row],[Date]],'DB Details'!$A:$L,12)</f>
        <v/>
      </c>
    </row>
    <row r="200">
      <c r="A200" s="39" t="n">
        <v>23437</v>
      </c>
      <c r="B200" s="57">
        <f>VLOOKUP(Table91213[[#This Row],[Date]],'DB Details'!$A:$L,2)</f>
        <v/>
      </c>
      <c r="C200" s="55" t="n"/>
      <c r="D200" s="55" t="n"/>
      <c r="E200" s="88">
        <f>VLOOKUP(Table91213[[#This Row],[Date]],'DB Details'!$A:$L,5)</f>
        <v/>
      </c>
      <c r="F200" s="88">
        <f>VLOOKUP(Table91213[[#This Row],[Date]],'DB Details'!$A:$L,6)</f>
        <v/>
      </c>
      <c r="G200" s="119" t="n"/>
      <c r="H200" s="88">
        <f>VLOOKUP(Table91213[[#This Row],[Date]],'DB Details'!$A:$L,8)</f>
        <v/>
      </c>
      <c r="I200" s="88">
        <f>VLOOKUP(Table91213[[#This Row],[Date]],'DB Details'!$A:$L,9)</f>
        <v/>
      </c>
      <c r="J200" s="88">
        <f>VLOOKUP(Table91213[[#This Row],[Date]],'DB Details'!$A:$L,10)</f>
        <v/>
      </c>
      <c r="K200" s="119" t="n"/>
      <c r="L200" s="88">
        <f>VLOOKUP(Table91213[[#This Row],[Date]],'DB Details'!$A:$L,12)</f>
        <v/>
      </c>
    </row>
    <row r="201">
      <c r="A201" s="39" t="n">
        <v>23468</v>
      </c>
      <c r="B201" s="57">
        <f>VLOOKUP(Table91213[[#This Row],[Date]],'DB Details'!$A:$L,2)</f>
        <v/>
      </c>
      <c r="C201" s="55" t="n"/>
      <c r="D201" s="55" t="n"/>
      <c r="E201" s="88">
        <f>VLOOKUP(Table91213[[#This Row],[Date]],'DB Details'!$A:$L,5)</f>
        <v/>
      </c>
      <c r="F201" s="88">
        <f>VLOOKUP(Table91213[[#This Row],[Date]],'DB Details'!$A:$L,6)</f>
        <v/>
      </c>
      <c r="G201" s="119" t="n"/>
      <c r="H201" s="88">
        <f>VLOOKUP(Table91213[[#This Row],[Date]],'DB Details'!$A:$L,8)</f>
        <v/>
      </c>
      <c r="I201" s="88">
        <f>VLOOKUP(Table91213[[#This Row],[Date]],'DB Details'!$A:$L,9)</f>
        <v/>
      </c>
      <c r="J201" s="88">
        <f>VLOOKUP(Table91213[[#This Row],[Date]],'DB Details'!$A:$L,10)</f>
        <v/>
      </c>
      <c r="K201" s="119" t="n"/>
      <c r="L201" s="88">
        <f>VLOOKUP(Table91213[[#This Row],[Date]],'DB Details'!$A:$L,12)</f>
        <v/>
      </c>
    </row>
    <row r="202">
      <c r="A202" s="39" t="n">
        <v>23498</v>
      </c>
      <c r="B202" s="57">
        <f>VLOOKUP(Table91213[[#This Row],[Date]],'DB Details'!$A:$L,2)</f>
        <v/>
      </c>
      <c r="C202" s="55" t="n"/>
      <c r="D202" s="55" t="n"/>
      <c r="E202" s="88">
        <f>VLOOKUP(Table91213[[#This Row],[Date]],'DB Details'!$A:$L,5)</f>
        <v/>
      </c>
      <c r="F202" s="88">
        <f>VLOOKUP(Table91213[[#This Row],[Date]],'DB Details'!$A:$L,6)</f>
        <v/>
      </c>
      <c r="G202" s="119" t="n"/>
      <c r="H202" s="88">
        <f>VLOOKUP(Table91213[[#This Row],[Date]],'DB Details'!$A:$L,8)</f>
        <v/>
      </c>
      <c r="I202" s="88">
        <f>VLOOKUP(Table91213[[#This Row],[Date]],'DB Details'!$A:$L,9)</f>
        <v/>
      </c>
      <c r="J202" s="88">
        <f>VLOOKUP(Table91213[[#This Row],[Date]],'DB Details'!$A:$L,10)</f>
        <v/>
      </c>
      <c r="K202" s="119" t="n"/>
      <c r="L202" s="88">
        <f>VLOOKUP(Table91213[[#This Row],[Date]],'DB Details'!$A:$L,12)</f>
        <v/>
      </c>
    </row>
    <row r="203">
      <c r="A203" s="39" t="n">
        <v>23529</v>
      </c>
      <c r="B203" s="57">
        <f>VLOOKUP(Table91213[[#This Row],[Date]],'DB Details'!$A:$L,2)</f>
        <v/>
      </c>
      <c r="C203" s="55" t="n"/>
      <c r="D203" s="55" t="n"/>
      <c r="E203" s="88">
        <f>VLOOKUP(Table91213[[#This Row],[Date]],'DB Details'!$A:$L,5)</f>
        <v/>
      </c>
      <c r="F203" s="88">
        <f>VLOOKUP(Table91213[[#This Row],[Date]],'DB Details'!$A:$L,6)</f>
        <v/>
      </c>
      <c r="G203" s="119" t="n"/>
      <c r="H203" s="88">
        <f>VLOOKUP(Table91213[[#This Row],[Date]],'DB Details'!$A:$L,8)</f>
        <v/>
      </c>
      <c r="I203" s="88">
        <f>VLOOKUP(Table91213[[#This Row],[Date]],'DB Details'!$A:$L,9)</f>
        <v/>
      </c>
      <c r="J203" s="88">
        <f>VLOOKUP(Table91213[[#This Row],[Date]],'DB Details'!$A:$L,10)</f>
        <v/>
      </c>
      <c r="K203" s="119" t="n"/>
      <c r="L203" s="88">
        <f>VLOOKUP(Table91213[[#This Row],[Date]],'DB Details'!$A:$L,12)</f>
        <v/>
      </c>
    </row>
    <row r="204">
      <c r="A204" s="39" t="n">
        <v>23559</v>
      </c>
      <c r="B204" s="57">
        <f>VLOOKUP(Table91213[[#This Row],[Date]],'DB Details'!$A:$L,2)</f>
        <v/>
      </c>
      <c r="C204" s="55" t="n"/>
      <c r="D204" s="55" t="n"/>
      <c r="E204" s="88">
        <f>VLOOKUP(Table91213[[#This Row],[Date]],'DB Details'!$A:$L,5)</f>
        <v/>
      </c>
      <c r="F204" s="88">
        <f>VLOOKUP(Table91213[[#This Row],[Date]],'DB Details'!$A:$L,6)</f>
        <v/>
      </c>
      <c r="G204" s="119" t="n"/>
      <c r="H204" s="88">
        <f>VLOOKUP(Table91213[[#This Row],[Date]],'DB Details'!$A:$L,8)</f>
        <v/>
      </c>
      <c r="I204" s="88">
        <f>VLOOKUP(Table91213[[#This Row],[Date]],'DB Details'!$A:$L,9)</f>
        <v/>
      </c>
      <c r="J204" s="88">
        <f>VLOOKUP(Table91213[[#This Row],[Date]],'DB Details'!$A:$L,10)</f>
        <v/>
      </c>
      <c r="K204" s="119" t="n"/>
      <c r="L204" s="88">
        <f>VLOOKUP(Table91213[[#This Row],[Date]],'DB Details'!$A:$L,12)</f>
        <v/>
      </c>
    </row>
    <row r="205">
      <c r="A205" s="39" t="n">
        <v>23590</v>
      </c>
      <c r="B205" s="57">
        <f>VLOOKUP(Table91213[[#This Row],[Date]],'DB Details'!$A:$L,2)</f>
        <v/>
      </c>
      <c r="C205" s="55" t="n"/>
      <c r="D205" s="55" t="n"/>
      <c r="E205" s="88">
        <f>VLOOKUP(Table91213[[#This Row],[Date]],'DB Details'!$A:$L,5)</f>
        <v/>
      </c>
      <c r="F205" s="88">
        <f>VLOOKUP(Table91213[[#This Row],[Date]],'DB Details'!$A:$L,6)</f>
        <v/>
      </c>
      <c r="G205" s="119" t="n"/>
      <c r="H205" s="88">
        <f>VLOOKUP(Table91213[[#This Row],[Date]],'DB Details'!$A:$L,8)</f>
        <v/>
      </c>
      <c r="I205" s="88">
        <f>VLOOKUP(Table91213[[#This Row],[Date]],'DB Details'!$A:$L,9)</f>
        <v/>
      </c>
      <c r="J205" s="88">
        <f>VLOOKUP(Table91213[[#This Row],[Date]],'DB Details'!$A:$L,10)</f>
        <v/>
      </c>
      <c r="K205" s="119" t="n"/>
      <c r="L205" s="88">
        <f>VLOOKUP(Table91213[[#This Row],[Date]],'DB Details'!$A:$L,12)</f>
        <v/>
      </c>
    </row>
    <row r="206">
      <c r="A206" s="39" t="n">
        <v>23621</v>
      </c>
      <c r="B206" s="57">
        <f>VLOOKUP(Table91213[[#This Row],[Date]],'DB Details'!$A:$L,2)</f>
        <v/>
      </c>
      <c r="C206" s="55" t="n"/>
      <c r="D206" s="55" t="n"/>
      <c r="E206" s="88">
        <f>VLOOKUP(Table91213[[#This Row],[Date]],'DB Details'!$A:$L,5)</f>
        <v/>
      </c>
      <c r="F206" s="88">
        <f>VLOOKUP(Table91213[[#This Row],[Date]],'DB Details'!$A:$L,6)</f>
        <v/>
      </c>
      <c r="G206" s="119" t="n"/>
      <c r="H206" s="88">
        <f>VLOOKUP(Table91213[[#This Row],[Date]],'DB Details'!$A:$L,8)</f>
        <v/>
      </c>
      <c r="I206" s="88">
        <f>VLOOKUP(Table91213[[#This Row],[Date]],'DB Details'!$A:$L,9)</f>
        <v/>
      </c>
      <c r="J206" s="88">
        <f>VLOOKUP(Table91213[[#This Row],[Date]],'DB Details'!$A:$L,10)</f>
        <v/>
      </c>
      <c r="K206" s="119" t="n"/>
      <c r="L206" s="88">
        <f>VLOOKUP(Table91213[[#This Row],[Date]],'DB Details'!$A:$L,12)</f>
        <v/>
      </c>
    </row>
    <row r="207">
      <c r="A207" s="39" t="n">
        <v>23651</v>
      </c>
      <c r="B207" s="57">
        <f>VLOOKUP(Table91213[[#This Row],[Date]],'DB Details'!$A:$L,2)</f>
        <v/>
      </c>
      <c r="C207" s="55" t="n"/>
      <c r="D207" s="55" t="n"/>
      <c r="E207" s="88">
        <f>VLOOKUP(Table91213[[#This Row],[Date]],'DB Details'!$A:$L,5)</f>
        <v/>
      </c>
      <c r="F207" s="88">
        <f>VLOOKUP(Table91213[[#This Row],[Date]],'DB Details'!$A:$L,6)</f>
        <v/>
      </c>
      <c r="G207" s="119" t="n"/>
      <c r="H207" s="88">
        <f>VLOOKUP(Table91213[[#This Row],[Date]],'DB Details'!$A:$L,8)</f>
        <v/>
      </c>
      <c r="I207" s="88">
        <f>VLOOKUP(Table91213[[#This Row],[Date]],'DB Details'!$A:$L,9)</f>
        <v/>
      </c>
      <c r="J207" s="88">
        <f>VLOOKUP(Table91213[[#This Row],[Date]],'DB Details'!$A:$L,10)</f>
        <v/>
      </c>
      <c r="K207" s="119" t="n"/>
      <c r="L207" s="88">
        <f>VLOOKUP(Table91213[[#This Row],[Date]],'DB Details'!$A:$L,12)</f>
        <v/>
      </c>
    </row>
    <row r="208">
      <c r="A208" s="39" t="n">
        <v>23682</v>
      </c>
      <c r="B208" s="57">
        <f>VLOOKUP(Table91213[[#This Row],[Date]],'DB Details'!$A:$L,2)</f>
        <v/>
      </c>
      <c r="C208" s="55" t="n"/>
      <c r="D208" s="55" t="n"/>
      <c r="E208" s="88">
        <f>VLOOKUP(Table91213[[#This Row],[Date]],'DB Details'!$A:$L,5)</f>
        <v/>
      </c>
      <c r="F208" s="88">
        <f>VLOOKUP(Table91213[[#This Row],[Date]],'DB Details'!$A:$L,6)</f>
        <v/>
      </c>
      <c r="G208" s="119" t="n"/>
      <c r="H208" s="88">
        <f>VLOOKUP(Table91213[[#This Row],[Date]],'DB Details'!$A:$L,8)</f>
        <v/>
      </c>
      <c r="I208" s="88">
        <f>VLOOKUP(Table91213[[#This Row],[Date]],'DB Details'!$A:$L,9)</f>
        <v/>
      </c>
      <c r="J208" s="88">
        <f>VLOOKUP(Table91213[[#This Row],[Date]],'DB Details'!$A:$L,10)</f>
        <v/>
      </c>
      <c r="K208" s="119" t="n"/>
      <c r="L208" s="88">
        <f>VLOOKUP(Table91213[[#This Row],[Date]],'DB Details'!$A:$L,12)</f>
        <v/>
      </c>
    </row>
    <row r="209">
      <c r="A209" s="39" t="n">
        <v>23712</v>
      </c>
      <c r="B209" s="57">
        <f>VLOOKUP(Table91213[[#This Row],[Date]],'DB Details'!$A:$L,2)</f>
        <v/>
      </c>
      <c r="C209" s="55" t="n"/>
      <c r="D209" s="55" t="n"/>
      <c r="E209" s="88">
        <f>VLOOKUP(Table91213[[#This Row],[Date]],'DB Details'!$A:$L,5)</f>
        <v/>
      </c>
      <c r="F209" s="88">
        <f>VLOOKUP(Table91213[[#This Row],[Date]],'DB Details'!$A:$L,6)</f>
        <v/>
      </c>
      <c r="G209" s="119" t="n"/>
      <c r="H209" s="88">
        <f>VLOOKUP(Table91213[[#This Row],[Date]],'DB Details'!$A:$L,8)</f>
        <v/>
      </c>
      <c r="I209" s="88">
        <f>VLOOKUP(Table91213[[#This Row],[Date]],'DB Details'!$A:$L,9)</f>
        <v/>
      </c>
      <c r="J209" s="88">
        <f>VLOOKUP(Table91213[[#This Row],[Date]],'DB Details'!$A:$L,10)</f>
        <v/>
      </c>
      <c r="K209" s="119" t="n"/>
      <c r="L209" s="88">
        <f>VLOOKUP(Table91213[[#This Row],[Date]],'DB Details'!$A:$L,12)</f>
        <v/>
      </c>
    </row>
    <row r="210">
      <c r="A210" s="39" t="n">
        <v>23743</v>
      </c>
      <c r="B210" s="57">
        <f>VLOOKUP(Table91213[[#This Row],[Date]],'DB Details'!$A:$L,2)</f>
        <v/>
      </c>
      <c r="C210" s="55" t="n"/>
      <c r="D210" s="55" t="n"/>
      <c r="E210" s="88">
        <f>VLOOKUP(Table91213[[#This Row],[Date]],'DB Details'!$A:$L,5)</f>
        <v/>
      </c>
      <c r="F210" s="88">
        <f>VLOOKUP(Table91213[[#This Row],[Date]],'DB Details'!$A:$L,6)</f>
        <v/>
      </c>
      <c r="G210" s="119" t="n"/>
      <c r="H210" s="88">
        <f>VLOOKUP(Table91213[[#This Row],[Date]],'DB Details'!$A:$L,8)</f>
        <v/>
      </c>
      <c r="I210" s="88">
        <f>VLOOKUP(Table91213[[#This Row],[Date]],'DB Details'!$A:$L,9)</f>
        <v/>
      </c>
      <c r="J210" s="88">
        <f>VLOOKUP(Table91213[[#This Row],[Date]],'DB Details'!$A:$L,10)</f>
        <v/>
      </c>
      <c r="K210" s="119" t="n"/>
      <c r="L210" s="88">
        <f>VLOOKUP(Table91213[[#This Row],[Date]],'DB Details'!$A:$L,12)</f>
        <v/>
      </c>
    </row>
    <row r="211">
      <c r="A211" s="39" t="n">
        <v>23774</v>
      </c>
      <c r="B211" s="57">
        <f>VLOOKUP(Table91213[[#This Row],[Date]],'DB Details'!$A:$L,2)</f>
        <v/>
      </c>
      <c r="C211" s="55" t="n"/>
      <c r="D211" s="55" t="n"/>
      <c r="E211" s="88">
        <f>VLOOKUP(Table91213[[#This Row],[Date]],'DB Details'!$A:$L,5)</f>
        <v/>
      </c>
      <c r="F211" s="88">
        <f>VLOOKUP(Table91213[[#This Row],[Date]],'DB Details'!$A:$L,6)</f>
        <v/>
      </c>
      <c r="G211" s="119" t="n"/>
      <c r="H211" s="88">
        <f>VLOOKUP(Table91213[[#This Row],[Date]],'DB Details'!$A:$L,8)</f>
        <v/>
      </c>
      <c r="I211" s="88">
        <f>VLOOKUP(Table91213[[#This Row],[Date]],'DB Details'!$A:$L,9)</f>
        <v/>
      </c>
      <c r="J211" s="88">
        <f>VLOOKUP(Table91213[[#This Row],[Date]],'DB Details'!$A:$L,10)</f>
        <v/>
      </c>
      <c r="K211" s="119" t="n"/>
      <c r="L211" s="88">
        <f>VLOOKUP(Table91213[[#This Row],[Date]],'DB Details'!$A:$L,12)</f>
        <v/>
      </c>
    </row>
    <row r="212">
      <c r="A212" s="39" t="n">
        <v>23802</v>
      </c>
      <c r="B212" s="57">
        <f>VLOOKUP(Table91213[[#This Row],[Date]],'DB Details'!$A:$L,2)</f>
        <v/>
      </c>
      <c r="C212" s="55" t="n"/>
      <c r="D212" s="55" t="n"/>
      <c r="E212" s="88">
        <f>VLOOKUP(Table91213[[#This Row],[Date]],'DB Details'!$A:$L,5)</f>
        <v/>
      </c>
      <c r="F212" s="88">
        <f>VLOOKUP(Table91213[[#This Row],[Date]],'DB Details'!$A:$L,6)</f>
        <v/>
      </c>
      <c r="G212" s="119" t="n"/>
      <c r="H212" s="88">
        <f>VLOOKUP(Table91213[[#This Row],[Date]],'DB Details'!$A:$L,8)</f>
        <v/>
      </c>
      <c r="I212" s="88">
        <f>VLOOKUP(Table91213[[#This Row],[Date]],'DB Details'!$A:$L,9)</f>
        <v/>
      </c>
      <c r="J212" s="88">
        <f>VLOOKUP(Table91213[[#This Row],[Date]],'DB Details'!$A:$L,10)</f>
        <v/>
      </c>
      <c r="K212" s="119" t="n"/>
      <c r="L212" s="88">
        <f>VLOOKUP(Table91213[[#This Row],[Date]],'DB Details'!$A:$L,12)</f>
        <v/>
      </c>
    </row>
    <row r="213">
      <c r="A213" s="39" t="n">
        <v>23833</v>
      </c>
      <c r="B213" s="57">
        <f>VLOOKUP(Table91213[[#This Row],[Date]],'DB Details'!$A:$L,2)</f>
        <v/>
      </c>
      <c r="C213" s="41" t="n"/>
      <c r="D213" s="55" t="n"/>
      <c r="E213" s="88">
        <f>VLOOKUP(Table91213[[#This Row],[Date]],'DB Details'!$A:$L,5)</f>
        <v/>
      </c>
      <c r="F213" s="88">
        <f>VLOOKUP(Table91213[[#This Row],[Date]],'DB Details'!$A:$L,6)</f>
        <v/>
      </c>
      <c r="G213" s="119" t="n"/>
      <c r="H213" s="88">
        <f>VLOOKUP(Table91213[[#This Row],[Date]],'DB Details'!$A:$L,8)</f>
        <v/>
      </c>
      <c r="I213" s="88">
        <f>VLOOKUP(Table91213[[#This Row],[Date]],'DB Details'!$A:$L,9)</f>
        <v/>
      </c>
      <c r="J213" s="88">
        <f>VLOOKUP(Table91213[[#This Row],[Date]],'DB Details'!$A:$L,10)</f>
        <v/>
      </c>
      <c r="K213" s="119" t="n"/>
      <c r="L213" s="88">
        <f>VLOOKUP(Table91213[[#This Row],[Date]],'DB Details'!$A:$L,12)</f>
        <v/>
      </c>
    </row>
    <row r="214">
      <c r="A214" s="39" t="n">
        <v>23863</v>
      </c>
      <c r="B214" s="57">
        <f>VLOOKUP(Table91213[[#This Row],[Date]],'DB Details'!$A:$L,2)</f>
        <v/>
      </c>
      <c r="C214" s="41" t="n"/>
      <c r="D214" s="55" t="n"/>
      <c r="E214" s="88">
        <f>VLOOKUP(Table91213[[#This Row],[Date]],'DB Details'!$A:$L,5)</f>
        <v/>
      </c>
      <c r="F214" s="88">
        <f>VLOOKUP(Table91213[[#This Row],[Date]],'DB Details'!$A:$L,6)</f>
        <v/>
      </c>
      <c r="G214" s="119" t="n"/>
      <c r="H214" s="88">
        <f>VLOOKUP(Table91213[[#This Row],[Date]],'DB Details'!$A:$L,8)</f>
        <v/>
      </c>
      <c r="I214" s="88">
        <f>VLOOKUP(Table91213[[#This Row],[Date]],'DB Details'!$A:$L,9)</f>
        <v/>
      </c>
      <c r="J214" s="88">
        <f>VLOOKUP(Table91213[[#This Row],[Date]],'DB Details'!$A:$L,10)</f>
        <v/>
      </c>
      <c r="K214" s="119" t="n"/>
      <c r="L214" s="88">
        <f>VLOOKUP(Table91213[[#This Row],[Date]],'DB Details'!$A:$L,12)</f>
        <v/>
      </c>
    </row>
    <row r="215">
      <c r="A215" s="39" t="n">
        <v>23894</v>
      </c>
      <c r="B215" s="57">
        <f>VLOOKUP(Table91213[[#This Row],[Date]],'DB Details'!$A:$L,2)</f>
        <v/>
      </c>
      <c r="C215" s="41" t="n"/>
      <c r="D215" s="55" t="n"/>
      <c r="E215" s="88">
        <f>VLOOKUP(Table91213[[#This Row],[Date]],'DB Details'!$A:$L,5)</f>
        <v/>
      </c>
      <c r="F215" s="88">
        <f>VLOOKUP(Table91213[[#This Row],[Date]],'DB Details'!$A:$L,6)</f>
        <v/>
      </c>
      <c r="G215" s="119" t="n"/>
      <c r="H215" s="88">
        <f>VLOOKUP(Table91213[[#This Row],[Date]],'DB Details'!$A:$L,8)</f>
        <v/>
      </c>
      <c r="I215" s="88">
        <f>VLOOKUP(Table91213[[#This Row],[Date]],'DB Details'!$A:$L,9)</f>
        <v/>
      </c>
      <c r="J215" s="88">
        <f>VLOOKUP(Table91213[[#This Row],[Date]],'DB Details'!$A:$L,10)</f>
        <v/>
      </c>
      <c r="K215" s="119" t="n"/>
      <c r="L215" s="88">
        <f>VLOOKUP(Table91213[[#This Row],[Date]],'DB Details'!$A:$L,12)</f>
        <v/>
      </c>
    </row>
    <row r="216">
      <c r="A216" s="39" t="n">
        <v>23924</v>
      </c>
      <c r="B216" s="57">
        <f>VLOOKUP(Table91213[[#This Row],[Date]],'DB Details'!$A:$L,2)</f>
        <v/>
      </c>
      <c r="C216" s="41" t="n"/>
      <c r="D216" s="55" t="n"/>
      <c r="E216" s="88">
        <f>VLOOKUP(Table91213[[#This Row],[Date]],'DB Details'!$A:$L,5)</f>
        <v/>
      </c>
      <c r="F216" s="88">
        <f>VLOOKUP(Table91213[[#This Row],[Date]],'DB Details'!$A:$L,6)</f>
        <v/>
      </c>
      <c r="G216" s="119" t="n"/>
      <c r="H216" s="88">
        <f>VLOOKUP(Table91213[[#This Row],[Date]],'DB Details'!$A:$L,8)</f>
        <v/>
      </c>
      <c r="I216" s="88">
        <f>VLOOKUP(Table91213[[#This Row],[Date]],'DB Details'!$A:$L,9)</f>
        <v/>
      </c>
      <c r="J216" s="88">
        <f>VLOOKUP(Table91213[[#This Row],[Date]],'DB Details'!$A:$L,10)</f>
        <v/>
      </c>
      <c r="K216" s="119" t="n"/>
      <c r="L216" s="88">
        <f>VLOOKUP(Table91213[[#This Row],[Date]],'DB Details'!$A:$L,12)</f>
        <v/>
      </c>
    </row>
    <row r="217">
      <c r="A217" s="39" t="n">
        <v>23955</v>
      </c>
      <c r="B217" s="57">
        <f>VLOOKUP(Table91213[[#This Row],[Date]],'DB Details'!$A:$L,2)</f>
        <v/>
      </c>
      <c r="C217" s="41" t="n"/>
      <c r="D217" s="55" t="n"/>
      <c r="E217" s="88">
        <f>VLOOKUP(Table91213[[#This Row],[Date]],'DB Details'!$A:$L,5)</f>
        <v/>
      </c>
      <c r="F217" s="88">
        <f>VLOOKUP(Table91213[[#This Row],[Date]],'DB Details'!$A:$L,6)</f>
        <v/>
      </c>
      <c r="G217" s="119" t="n"/>
      <c r="H217" s="88">
        <f>VLOOKUP(Table91213[[#This Row],[Date]],'DB Details'!$A:$L,8)</f>
        <v/>
      </c>
      <c r="I217" s="88">
        <f>VLOOKUP(Table91213[[#This Row],[Date]],'DB Details'!$A:$L,9)</f>
        <v/>
      </c>
      <c r="J217" s="88">
        <f>VLOOKUP(Table91213[[#This Row],[Date]],'DB Details'!$A:$L,10)</f>
        <v/>
      </c>
      <c r="K217" s="119" t="n"/>
      <c r="L217" s="88">
        <f>VLOOKUP(Table91213[[#This Row],[Date]],'DB Details'!$A:$L,12)</f>
        <v/>
      </c>
    </row>
    <row r="218">
      <c r="A218" s="39" t="n">
        <v>23986</v>
      </c>
      <c r="B218" s="57">
        <f>VLOOKUP(Table91213[[#This Row],[Date]],'DB Details'!$A:$L,2)</f>
        <v/>
      </c>
      <c r="C218" s="41" t="n"/>
      <c r="D218" s="55" t="n"/>
      <c r="E218" s="88">
        <f>VLOOKUP(Table91213[[#This Row],[Date]],'DB Details'!$A:$L,5)</f>
        <v/>
      </c>
      <c r="F218" s="88">
        <f>VLOOKUP(Table91213[[#This Row],[Date]],'DB Details'!$A:$L,6)</f>
        <v/>
      </c>
      <c r="G218" s="119" t="n"/>
      <c r="H218" s="88">
        <f>VLOOKUP(Table91213[[#This Row],[Date]],'DB Details'!$A:$L,8)</f>
        <v/>
      </c>
      <c r="I218" s="88">
        <f>VLOOKUP(Table91213[[#This Row],[Date]],'DB Details'!$A:$L,9)</f>
        <v/>
      </c>
      <c r="J218" s="88">
        <f>VLOOKUP(Table91213[[#This Row],[Date]],'DB Details'!$A:$L,10)</f>
        <v/>
      </c>
      <c r="K218" s="119" t="n"/>
      <c r="L218" s="88">
        <f>VLOOKUP(Table91213[[#This Row],[Date]],'DB Details'!$A:$L,12)</f>
        <v/>
      </c>
    </row>
    <row r="219">
      <c r="A219" s="39" t="n">
        <v>24016</v>
      </c>
      <c r="B219" s="57">
        <f>VLOOKUP(Table91213[[#This Row],[Date]],'DB Details'!$A:$L,2)</f>
        <v/>
      </c>
      <c r="C219" s="41" t="n"/>
      <c r="D219" s="55" t="n"/>
      <c r="E219" s="88">
        <f>VLOOKUP(Table91213[[#This Row],[Date]],'DB Details'!$A:$L,5)</f>
        <v/>
      </c>
      <c r="F219" s="88">
        <f>VLOOKUP(Table91213[[#This Row],[Date]],'DB Details'!$A:$L,6)</f>
        <v/>
      </c>
      <c r="G219" s="119" t="n"/>
      <c r="H219" s="88">
        <f>VLOOKUP(Table91213[[#This Row],[Date]],'DB Details'!$A:$L,8)</f>
        <v/>
      </c>
      <c r="I219" s="88">
        <f>VLOOKUP(Table91213[[#This Row],[Date]],'DB Details'!$A:$L,9)</f>
        <v/>
      </c>
      <c r="J219" s="88">
        <f>VLOOKUP(Table91213[[#This Row],[Date]],'DB Details'!$A:$L,10)</f>
        <v/>
      </c>
      <c r="K219" s="119" t="n"/>
      <c r="L219" s="88">
        <f>VLOOKUP(Table91213[[#This Row],[Date]],'DB Details'!$A:$L,12)</f>
        <v/>
      </c>
    </row>
    <row r="220">
      <c r="A220" s="39" t="n">
        <v>24047</v>
      </c>
      <c r="B220" s="57">
        <f>VLOOKUP(Table91213[[#This Row],[Date]],'DB Details'!$A:$L,2)</f>
        <v/>
      </c>
      <c r="C220" s="41" t="n"/>
      <c r="D220" s="55" t="n"/>
      <c r="E220" s="88">
        <f>VLOOKUP(Table91213[[#This Row],[Date]],'DB Details'!$A:$L,5)</f>
        <v/>
      </c>
      <c r="F220" s="88">
        <f>VLOOKUP(Table91213[[#This Row],[Date]],'DB Details'!$A:$L,6)</f>
        <v/>
      </c>
      <c r="G220" s="119" t="n"/>
      <c r="H220" s="88">
        <f>VLOOKUP(Table91213[[#This Row],[Date]],'DB Details'!$A:$L,8)</f>
        <v/>
      </c>
      <c r="I220" s="88">
        <f>VLOOKUP(Table91213[[#This Row],[Date]],'DB Details'!$A:$L,9)</f>
        <v/>
      </c>
      <c r="J220" s="88">
        <f>VLOOKUP(Table91213[[#This Row],[Date]],'DB Details'!$A:$L,10)</f>
        <v/>
      </c>
      <c r="K220" s="119" t="n"/>
      <c r="L220" s="88">
        <f>VLOOKUP(Table91213[[#This Row],[Date]],'DB Details'!$A:$L,12)</f>
        <v/>
      </c>
    </row>
    <row r="221">
      <c r="A221" s="39" t="n">
        <v>24077</v>
      </c>
      <c r="B221" s="57">
        <f>VLOOKUP(Table91213[[#This Row],[Date]],'DB Details'!$A:$L,2)</f>
        <v/>
      </c>
      <c r="C221" s="41" t="n"/>
      <c r="D221" s="55" t="n"/>
      <c r="E221" s="88">
        <f>VLOOKUP(Table91213[[#This Row],[Date]],'DB Details'!$A:$L,5)</f>
        <v/>
      </c>
      <c r="F221" s="88">
        <f>VLOOKUP(Table91213[[#This Row],[Date]],'DB Details'!$A:$L,6)</f>
        <v/>
      </c>
      <c r="G221" s="119" t="n"/>
      <c r="H221" s="88">
        <f>VLOOKUP(Table91213[[#This Row],[Date]],'DB Details'!$A:$L,8)</f>
        <v/>
      </c>
      <c r="I221" s="88">
        <f>VLOOKUP(Table91213[[#This Row],[Date]],'DB Details'!$A:$L,9)</f>
        <v/>
      </c>
      <c r="J221" s="88">
        <f>VLOOKUP(Table91213[[#This Row],[Date]],'DB Details'!$A:$L,10)</f>
        <v/>
      </c>
      <c r="K221" s="119" t="n"/>
      <c r="L221" s="88">
        <f>VLOOKUP(Table91213[[#This Row],[Date]],'DB Details'!$A:$L,12)</f>
        <v/>
      </c>
    </row>
    <row r="222">
      <c r="A222" s="39" t="n">
        <v>24108</v>
      </c>
      <c r="B222" s="57">
        <f>VLOOKUP(Table91213[[#This Row],[Date]],'DB Details'!$A:$L,2)</f>
        <v/>
      </c>
      <c r="C222" s="41" t="n"/>
      <c r="D222" s="55" t="n"/>
      <c r="E222" s="88">
        <f>VLOOKUP(Table91213[[#This Row],[Date]],'DB Details'!$A:$L,5)</f>
        <v/>
      </c>
      <c r="F222" s="88">
        <f>VLOOKUP(Table91213[[#This Row],[Date]],'DB Details'!$A:$L,6)</f>
        <v/>
      </c>
      <c r="G222" s="119" t="n"/>
      <c r="H222" s="88">
        <f>VLOOKUP(Table91213[[#This Row],[Date]],'DB Details'!$A:$L,8)</f>
        <v/>
      </c>
      <c r="I222" s="88">
        <f>VLOOKUP(Table91213[[#This Row],[Date]],'DB Details'!$A:$L,9)</f>
        <v/>
      </c>
      <c r="J222" s="88">
        <f>VLOOKUP(Table91213[[#This Row],[Date]],'DB Details'!$A:$L,10)</f>
        <v/>
      </c>
      <c r="K222" s="119" t="n"/>
      <c r="L222" s="88">
        <f>VLOOKUP(Table91213[[#This Row],[Date]],'DB Details'!$A:$L,12)</f>
        <v/>
      </c>
    </row>
    <row r="223">
      <c r="A223" s="39" t="n">
        <v>24139</v>
      </c>
      <c r="B223" s="57">
        <f>VLOOKUP(Table91213[[#This Row],[Date]],'DB Details'!$A:$L,2)</f>
        <v/>
      </c>
      <c r="C223" s="41" t="n"/>
      <c r="D223" s="55" t="n"/>
      <c r="E223" s="88">
        <f>VLOOKUP(Table91213[[#This Row],[Date]],'DB Details'!$A:$L,5)</f>
        <v/>
      </c>
      <c r="F223" s="88">
        <f>VLOOKUP(Table91213[[#This Row],[Date]],'DB Details'!$A:$L,6)</f>
        <v/>
      </c>
      <c r="G223" s="119" t="n"/>
      <c r="H223" s="88">
        <f>VLOOKUP(Table91213[[#This Row],[Date]],'DB Details'!$A:$L,8)</f>
        <v/>
      </c>
      <c r="I223" s="88">
        <f>VLOOKUP(Table91213[[#This Row],[Date]],'DB Details'!$A:$L,9)</f>
        <v/>
      </c>
      <c r="J223" s="88">
        <f>VLOOKUP(Table91213[[#This Row],[Date]],'DB Details'!$A:$L,10)</f>
        <v/>
      </c>
      <c r="K223" s="119" t="n"/>
      <c r="L223" s="88">
        <f>VLOOKUP(Table91213[[#This Row],[Date]],'DB Details'!$A:$L,12)</f>
        <v/>
      </c>
    </row>
    <row r="224">
      <c r="A224" s="39" t="n">
        <v>24167</v>
      </c>
      <c r="B224" s="57">
        <f>VLOOKUP(Table91213[[#This Row],[Date]],'DB Details'!$A:$L,2)</f>
        <v/>
      </c>
      <c r="C224" s="41" t="n"/>
      <c r="D224" s="55" t="n"/>
      <c r="E224" s="88">
        <f>VLOOKUP(Table91213[[#This Row],[Date]],'DB Details'!$A:$L,5)</f>
        <v/>
      </c>
      <c r="F224" s="88">
        <f>VLOOKUP(Table91213[[#This Row],[Date]],'DB Details'!$A:$L,6)</f>
        <v/>
      </c>
      <c r="G224" s="119" t="n"/>
      <c r="H224" s="88">
        <f>VLOOKUP(Table91213[[#This Row],[Date]],'DB Details'!$A:$L,8)</f>
        <v/>
      </c>
      <c r="I224" s="88">
        <f>VLOOKUP(Table91213[[#This Row],[Date]],'DB Details'!$A:$L,9)</f>
        <v/>
      </c>
      <c r="J224" s="88">
        <f>VLOOKUP(Table91213[[#This Row],[Date]],'DB Details'!$A:$L,10)</f>
        <v/>
      </c>
      <c r="K224" s="119" t="n"/>
      <c r="L224" s="88">
        <f>VLOOKUP(Table91213[[#This Row],[Date]],'DB Details'!$A:$L,12)</f>
        <v/>
      </c>
    </row>
    <row r="225">
      <c r="A225" s="39" t="n">
        <v>24198</v>
      </c>
      <c r="B225" s="57">
        <f>VLOOKUP(Table91213[[#This Row],[Date]],'DB Details'!$A:$L,2)</f>
        <v/>
      </c>
      <c r="C225" s="41" t="n"/>
      <c r="D225" s="55" t="n"/>
      <c r="E225" s="88">
        <f>VLOOKUP(Table91213[[#This Row],[Date]],'DB Details'!$A:$L,5)</f>
        <v/>
      </c>
      <c r="F225" s="88">
        <f>VLOOKUP(Table91213[[#This Row],[Date]],'DB Details'!$A:$L,6)</f>
        <v/>
      </c>
      <c r="G225" s="119" t="n"/>
      <c r="H225" s="88">
        <f>VLOOKUP(Table91213[[#This Row],[Date]],'DB Details'!$A:$L,8)</f>
        <v/>
      </c>
      <c r="I225" s="88">
        <f>VLOOKUP(Table91213[[#This Row],[Date]],'DB Details'!$A:$L,9)</f>
        <v/>
      </c>
      <c r="J225" s="88">
        <f>VLOOKUP(Table91213[[#This Row],[Date]],'DB Details'!$A:$L,10)</f>
        <v/>
      </c>
      <c r="K225" s="119" t="n"/>
      <c r="L225" s="88">
        <f>VLOOKUP(Table91213[[#This Row],[Date]],'DB Details'!$A:$L,12)</f>
        <v/>
      </c>
    </row>
    <row r="226">
      <c r="A226" s="39" t="n">
        <v>24228</v>
      </c>
      <c r="B226" s="57">
        <f>VLOOKUP(Table91213[[#This Row],[Date]],'DB Details'!$A:$L,2)</f>
        <v/>
      </c>
      <c r="C226" s="41" t="n"/>
      <c r="D226" s="55" t="n"/>
      <c r="E226" s="88">
        <f>VLOOKUP(Table91213[[#This Row],[Date]],'DB Details'!$A:$L,5)</f>
        <v/>
      </c>
      <c r="F226" s="88">
        <f>VLOOKUP(Table91213[[#This Row],[Date]],'DB Details'!$A:$L,6)</f>
        <v/>
      </c>
      <c r="G226" s="119" t="n"/>
      <c r="H226" s="88">
        <f>VLOOKUP(Table91213[[#This Row],[Date]],'DB Details'!$A:$L,8)</f>
        <v/>
      </c>
      <c r="I226" s="88">
        <f>VLOOKUP(Table91213[[#This Row],[Date]],'DB Details'!$A:$L,9)</f>
        <v/>
      </c>
      <c r="J226" s="88">
        <f>VLOOKUP(Table91213[[#This Row],[Date]],'DB Details'!$A:$L,10)</f>
        <v/>
      </c>
      <c r="K226" s="119" t="n"/>
      <c r="L226" s="88">
        <f>VLOOKUP(Table91213[[#This Row],[Date]],'DB Details'!$A:$L,12)</f>
        <v/>
      </c>
    </row>
    <row r="227">
      <c r="A227" s="39" t="n">
        <v>24259</v>
      </c>
      <c r="B227" s="57">
        <f>VLOOKUP(Table91213[[#This Row],[Date]],'DB Details'!$A:$L,2)</f>
        <v/>
      </c>
      <c r="C227" s="41" t="n"/>
      <c r="D227" s="55" t="n"/>
      <c r="E227" s="88">
        <f>VLOOKUP(Table91213[[#This Row],[Date]],'DB Details'!$A:$L,5)</f>
        <v/>
      </c>
      <c r="F227" s="88">
        <f>VLOOKUP(Table91213[[#This Row],[Date]],'DB Details'!$A:$L,6)</f>
        <v/>
      </c>
      <c r="G227" s="119" t="n"/>
      <c r="H227" s="88">
        <f>VLOOKUP(Table91213[[#This Row],[Date]],'DB Details'!$A:$L,8)</f>
        <v/>
      </c>
      <c r="I227" s="88">
        <f>VLOOKUP(Table91213[[#This Row],[Date]],'DB Details'!$A:$L,9)</f>
        <v/>
      </c>
      <c r="J227" s="88">
        <f>VLOOKUP(Table91213[[#This Row],[Date]],'DB Details'!$A:$L,10)</f>
        <v/>
      </c>
      <c r="K227" s="119" t="n"/>
      <c r="L227" s="88">
        <f>VLOOKUP(Table91213[[#This Row],[Date]],'DB Details'!$A:$L,12)</f>
        <v/>
      </c>
    </row>
    <row r="228">
      <c r="A228" s="39" t="n">
        <v>24289</v>
      </c>
      <c r="B228" s="57">
        <f>VLOOKUP(Table91213[[#This Row],[Date]],'DB Details'!$A:$L,2)</f>
        <v/>
      </c>
      <c r="C228" s="41" t="n"/>
      <c r="D228" s="55" t="n"/>
      <c r="E228" s="88">
        <f>VLOOKUP(Table91213[[#This Row],[Date]],'DB Details'!$A:$L,5)</f>
        <v/>
      </c>
      <c r="F228" s="88">
        <f>VLOOKUP(Table91213[[#This Row],[Date]],'DB Details'!$A:$L,6)</f>
        <v/>
      </c>
      <c r="G228" s="119" t="n"/>
      <c r="H228" s="88">
        <f>VLOOKUP(Table91213[[#This Row],[Date]],'DB Details'!$A:$L,8)</f>
        <v/>
      </c>
      <c r="I228" s="88">
        <f>VLOOKUP(Table91213[[#This Row],[Date]],'DB Details'!$A:$L,9)</f>
        <v/>
      </c>
      <c r="J228" s="88">
        <f>VLOOKUP(Table91213[[#This Row],[Date]],'DB Details'!$A:$L,10)</f>
        <v/>
      </c>
      <c r="K228" s="119" t="n"/>
      <c r="L228" s="88">
        <f>VLOOKUP(Table91213[[#This Row],[Date]],'DB Details'!$A:$L,12)</f>
        <v/>
      </c>
    </row>
    <row r="229">
      <c r="A229" s="39" t="n">
        <v>24320</v>
      </c>
      <c r="B229" s="57">
        <f>VLOOKUP(Table91213[[#This Row],[Date]],'DB Details'!$A:$L,2)</f>
        <v/>
      </c>
      <c r="C229" s="41" t="n"/>
      <c r="D229" s="55" t="n"/>
      <c r="E229" s="88">
        <f>VLOOKUP(Table91213[[#This Row],[Date]],'DB Details'!$A:$L,5)</f>
        <v/>
      </c>
      <c r="F229" s="88">
        <f>VLOOKUP(Table91213[[#This Row],[Date]],'DB Details'!$A:$L,6)</f>
        <v/>
      </c>
      <c r="G229" s="119" t="n"/>
      <c r="H229" s="88">
        <f>VLOOKUP(Table91213[[#This Row],[Date]],'DB Details'!$A:$L,8)</f>
        <v/>
      </c>
      <c r="I229" s="88">
        <f>VLOOKUP(Table91213[[#This Row],[Date]],'DB Details'!$A:$L,9)</f>
        <v/>
      </c>
      <c r="J229" s="88">
        <f>VLOOKUP(Table91213[[#This Row],[Date]],'DB Details'!$A:$L,10)</f>
        <v/>
      </c>
      <c r="K229" s="119" t="n"/>
      <c r="L229" s="88">
        <f>VLOOKUP(Table91213[[#This Row],[Date]],'DB Details'!$A:$L,12)</f>
        <v/>
      </c>
    </row>
    <row r="230">
      <c r="A230" s="39" t="n">
        <v>24351</v>
      </c>
      <c r="B230" s="57">
        <f>VLOOKUP(Table91213[[#This Row],[Date]],'DB Details'!$A:$L,2)</f>
        <v/>
      </c>
      <c r="C230" s="41" t="n"/>
      <c r="D230" s="55" t="n"/>
      <c r="E230" s="88">
        <f>VLOOKUP(Table91213[[#This Row],[Date]],'DB Details'!$A:$L,5)</f>
        <v/>
      </c>
      <c r="F230" s="88">
        <f>VLOOKUP(Table91213[[#This Row],[Date]],'DB Details'!$A:$L,6)</f>
        <v/>
      </c>
      <c r="G230" s="119" t="n"/>
      <c r="H230" s="88">
        <f>VLOOKUP(Table91213[[#This Row],[Date]],'DB Details'!$A:$L,8)</f>
        <v/>
      </c>
      <c r="I230" s="88">
        <f>VLOOKUP(Table91213[[#This Row],[Date]],'DB Details'!$A:$L,9)</f>
        <v/>
      </c>
      <c r="J230" s="88">
        <f>VLOOKUP(Table91213[[#This Row],[Date]],'DB Details'!$A:$L,10)</f>
        <v/>
      </c>
      <c r="K230" s="119" t="n"/>
      <c r="L230" s="88">
        <f>VLOOKUP(Table91213[[#This Row],[Date]],'DB Details'!$A:$L,12)</f>
        <v/>
      </c>
    </row>
    <row r="231">
      <c r="A231" s="39" t="n">
        <v>24381</v>
      </c>
      <c r="B231" s="57">
        <f>VLOOKUP(Table91213[[#This Row],[Date]],'DB Details'!$A:$L,2)</f>
        <v/>
      </c>
      <c r="C231" s="41" t="n"/>
      <c r="D231" s="55" t="n"/>
      <c r="E231" s="88">
        <f>VLOOKUP(Table91213[[#This Row],[Date]],'DB Details'!$A:$L,5)</f>
        <v/>
      </c>
      <c r="F231" s="88">
        <f>VLOOKUP(Table91213[[#This Row],[Date]],'DB Details'!$A:$L,6)</f>
        <v/>
      </c>
      <c r="G231" s="119" t="n"/>
      <c r="H231" s="88">
        <f>VLOOKUP(Table91213[[#This Row],[Date]],'DB Details'!$A:$L,8)</f>
        <v/>
      </c>
      <c r="I231" s="88">
        <f>VLOOKUP(Table91213[[#This Row],[Date]],'DB Details'!$A:$L,9)</f>
        <v/>
      </c>
      <c r="J231" s="88">
        <f>VLOOKUP(Table91213[[#This Row],[Date]],'DB Details'!$A:$L,10)</f>
        <v/>
      </c>
      <c r="K231" s="119" t="n"/>
      <c r="L231" s="88">
        <f>VLOOKUP(Table91213[[#This Row],[Date]],'DB Details'!$A:$L,12)</f>
        <v/>
      </c>
    </row>
    <row r="232">
      <c r="A232" s="39" t="n">
        <v>24412</v>
      </c>
      <c r="B232" s="57">
        <f>VLOOKUP(Table91213[[#This Row],[Date]],'DB Details'!$A:$L,2)</f>
        <v/>
      </c>
      <c r="C232" s="41" t="n"/>
      <c r="D232" s="55" t="n"/>
      <c r="E232" s="88">
        <f>VLOOKUP(Table91213[[#This Row],[Date]],'DB Details'!$A:$L,5)</f>
        <v/>
      </c>
      <c r="F232" s="88">
        <f>VLOOKUP(Table91213[[#This Row],[Date]],'DB Details'!$A:$L,6)</f>
        <v/>
      </c>
      <c r="G232" s="119" t="n"/>
      <c r="H232" s="88">
        <f>VLOOKUP(Table91213[[#This Row],[Date]],'DB Details'!$A:$L,8)</f>
        <v/>
      </c>
      <c r="I232" s="88">
        <f>VLOOKUP(Table91213[[#This Row],[Date]],'DB Details'!$A:$L,9)</f>
        <v/>
      </c>
      <c r="J232" s="88">
        <f>VLOOKUP(Table91213[[#This Row],[Date]],'DB Details'!$A:$L,10)</f>
        <v/>
      </c>
      <c r="K232" s="119" t="n"/>
      <c r="L232" s="88">
        <f>VLOOKUP(Table91213[[#This Row],[Date]],'DB Details'!$A:$L,12)</f>
        <v/>
      </c>
    </row>
    <row r="233">
      <c r="A233" s="39" t="n">
        <v>24442</v>
      </c>
      <c r="B233" s="57">
        <f>VLOOKUP(Table91213[[#This Row],[Date]],'DB Details'!$A:$L,2)</f>
        <v/>
      </c>
      <c r="C233" s="41" t="n"/>
      <c r="D233" s="55" t="n"/>
      <c r="E233" s="88">
        <f>VLOOKUP(Table91213[[#This Row],[Date]],'DB Details'!$A:$L,5)</f>
        <v/>
      </c>
      <c r="F233" s="88">
        <f>VLOOKUP(Table91213[[#This Row],[Date]],'DB Details'!$A:$L,6)</f>
        <v/>
      </c>
      <c r="G233" s="119" t="n"/>
      <c r="H233" s="88">
        <f>VLOOKUP(Table91213[[#This Row],[Date]],'DB Details'!$A:$L,8)</f>
        <v/>
      </c>
      <c r="I233" s="88">
        <f>VLOOKUP(Table91213[[#This Row],[Date]],'DB Details'!$A:$L,9)</f>
        <v/>
      </c>
      <c r="J233" s="88">
        <f>VLOOKUP(Table91213[[#This Row],[Date]],'DB Details'!$A:$L,10)</f>
        <v/>
      </c>
      <c r="K233" s="119" t="n"/>
      <c r="L233" s="88">
        <f>VLOOKUP(Table91213[[#This Row],[Date]],'DB Details'!$A:$L,12)</f>
        <v/>
      </c>
    </row>
    <row r="234">
      <c r="A234" s="39" t="n">
        <v>24473</v>
      </c>
      <c r="B234" s="57">
        <f>VLOOKUP(Table91213[[#This Row],[Date]],'DB Details'!$A:$L,2)</f>
        <v/>
      </c>
      <c r="C234" s="41" t="n"/>
      <c r="D234" s="55" t="n"/>
      <c r="E234" s="88">
        <f>VLOOKUP(Table91213[[#This Row],[Date]],'DB Details'!$A:$L,5)</f>
        <v/>
      </c>
      <c r="F234" s="88">
        <f>VLOOKUP(Table91213[[#This Row],[Date]],'DB Details'!$A:$L,6)</f>
        <v/>
      </c>
      <c r="G234" s="119" t="n"/>
      <c r="H234" s="88">
        <f>VLOOKUP(Table91213[[#This Row],[Date]],'DB Details'!$A:$L,8)</f>
        <v/>
      </c>
      <c r="I234" s="88">
        <f>VLOOKUP(Table91213[[#This Row],[Date]],'DB Details'!$A:$L,9)</f>
        <v/>
      </c>
      <c r="J234" s="88">
        <f>VLOOKUP(Table91213[[#This Row],[Date]],'DB Details'!$A:$L,10)</f>
        <v/>
      </c>
      <c r="K234" s="119" t="n"/>
      <c r="L234" s="88">
        <f>VLOOKUP(Table91213[[#This Row],[Date]],'DB Details'!$A:$L,12)</f>
        <v/>
      </c>
    </row>
    <row r="235">
      <c r="A235" s="39" t="n">
        <v>24504</v>
      </c>
      <c r="B235" s="57">
        <f>VLOOKUP(Table91213[[#This Row],[Date]],'DB Details'!$A:$L,2)</f>
        <v/>
      </c>
      <c r="C235" s="41" t="n"/>
      <c r="D235" s="55" t="n"/>
      <c r="E235" s="88">
        <f>VLOOKUP(Table91213[[#This Row],[Date]],'DB Details'!$A:$L,5)</f>
        <v/>
      </c>
      <c r="F235" s="88">
        <f>VLOOKUP(Table91213[[#This Row],[Date]],'DB Details'!$A:$L,6)</f>
        <v/>
      </c>
      <c r="G235" s="119" t="n"/>
      <c r="H235" s="88">
        <f>VLOOKUP(Table91213[[#This Row],[Date]],'DB Details'!$A:$L,8)</f>
        <v/>
      </c>
      <c r="I235" s="88">
        <f>VLOOKUP(Table91213[[#This Row],[Date]],'DB Details'!$A:$L,9)</f>
        <v/>
      </c>
      <c r="J235" s="88">
        <f>VLOOKUP(Table91213[[#This Row],[Date]],'DB Details'!$A:$L,10)</f>
        <v/>
      </c>
      <c r="K235" s="119" t="n"/>
      <c r="L235" s="88">
        <f>VLOOKUP(Table91213[[#This Row],[Date]],'DB Details'!$A:$L,12)</f>
        <v/>
      </c>
    </row>
    <row r="236">
      <c r="A236" s="39" t="n">
        <v>24532</v>
      </c>
      <c r="B236" s="57">
        <f>VLOOKUP(Table91213[[#This Row],[Date]],'DB Details'!$A:$L,2)</f>
        <v/>
      </c>
      <c r="C236" s="41" t="n"/>
      <c r="D236" s="55" t="n"/>
      <c r="E236" s="88">
        <f>VLOOKUP(Table91213[[#This Row],[Date]],'DB Details'!$A:$L,5)</f>
        <v/>
      </c>
      <c r="F236" s="88">
        <f>VLOOKUP(Table91213[[#This Row],[Date]],'DB Details'!$A:$L,6)</f>
        <v/>
      </c>
      <c r="G236" s="119" t="n"/>
      <c r="H236" s="88">
        <f>VLOOKUP(Table91213[[#This Row],[Date]],'DB Details'!$A:$L,8)</f>
        <v/>
      </c>
      <c r="I236" s="88">
        <f>VLOOKUP(Table91213[[#This Row],[Date]],'DB Details'!$A:$L,9)</f>
        <v/>
      </c>
      <c r="J236" s="88">
        <f>VLOOKUP(Table91213[[#This Row],[Date]],'DB Details'!$A:$L,10)</f>
        <v/>
      </c>
      <c r="K236" s="119" t="n"/>
      <c r="L236" s="88">
        <f>VLOOKUP(Table91213[[#This Row],[Date]],'DB Details'!$A:$L,12)</f>
        <v/>
      </c>
    </row>
    <row r="237">
      <c r="A237" s="39" t="n">
        <v>24563</v>
      </c>
      <c r="B237" s="57">
        <f>VLOOKUP(Table91213[[#This Row],[Date]],'DB Details'!$A:$L,2)</f>
        <v/>
      </c>
      <c r="C237" s="41" t="n"/>
      <c r="D237" s="55" t="n"/>
      <c r="E237" s="88">
        <f>VLOOKUP(Table91213[[#This Row],[Date]],'DB Details'!$A:$L,5)</f>
        <v/>
      </c>
      <c r="F237" s="88">
        <f>VLOOKUP(Table91213[[#This Row],[Date]],'DB Details'!$A:$L,6)</f>
        <v/>
      </c>
      <c r="G237" s="119" t="n"/>
      <c r="H237" s="88">
        <f>VLOOKUP(Table91213[[#This Row],[Date]],'DB Details'!$A:$L,8)</f>
        <v/>
      </c>
      <c r="I237" s="88">
        <f>VLOOKUP(Table91213[[#This Row],[Date]],'DB Details'!$A:$L,9)</f>
        <v/>
      </c>
      <c r="J237" s="88">
        <f>VLOOKUP(Table91213[[#This Row],[Date]],'DB Details'!$A:$L,10)</f>
        <v/>
      </c>
      <c r="K237" s="119" t="n"/>
      <c r="L237" s="88">
        <f>VLOOKUP(Table91213[[#This Row],[Date]],'DB Details'!$A:$L,12)</f>
        <v/>
      </c>
    </row>
    <row r="238">
      <c r="A238" s="39" t="n">
        <v>24593</v>
      </c>
      <c r="B238" s="57">
        <f>VLOOKUP(Table91213[[#This Row],[Date]],'DB Details'!$A:$L,2)</f>
        <v/>
      </c>
      <c r="C238" s="41" t="n"/>
      <c r="D238" s="55" t="n"/>
      <c r="E238" s="88">
        <f>VLOOKUP(Table91213[[#This Row],[Date]],'DB Details'!$A:$L,5)</f>
        <v/>
      </c>
      <c r="F238" s="88">
        <f>VLOOKUP(Table91213[[#This Row],[Date]],'DB Details'!$A:$L,6)</f>
        <v/>
      </c>
      <c r="G238" s="119" t="n"/>
      <c r="H238" s="88">
        <f>VLOOKUP(Table91213[[#This Row],[Date]],'DB Details'!$A:$L,8)</f>
        <v/>
      </c>
      <c r="I238" s="88">
        <f>VLOOKUP(Table91213[[#This Row],[Date]],'DB Details'!$A:$L,9)</f>
        <v/>
      </c>
      <c r="J238" s="88">
        <f>VLOOKUP(Table91213[[#This Row],[Date]],'DB Details'!$A:$L,10)</f>
        <v/>
      </c>
      <c r="K238" s="119" t="n"/>
      <c r="L238" s="88">
        <f>VLOOKUP(Table91213[[#This Row],[Date]],'DB Details'!$A:$L,12)</f>
        <v/>
      </c>
    </row>
    <row r="239">
      <c r="A239" s="39" t="n">
        <v>24624</v>
      </c>
      <c r="B239" s="57">
        <f>VLOOKUP(Table91213[[#This Row],[Date]],'DB Details'!$A:$L,2)</f>
        <v/>
      </c>
      <c r="C239" s="41" t="n"/>
      <c r="D239" s="55" t="n"/>
      <c r="E239" s="88">
        <f>VLOOKUP(Table91213[[#This Row],[Date]],'DB Details'!$A:$L,5)</f>
        <v/>
      </c>
      <c r="F239" s="88">
        <f>VLOOKUP(Table91213[[#This Row],[Date]],'DB Details'!$A:$L,6)</f>
        <v/>
      </c>
      <c r="G239" s="119" t="n"/>
      <c r="H239" s="88">
        <f>VLOOKUP(Table91213[[#This Row],[Date]],'DB Details'!$A:$L,8)</f>
        <v/>
      </c>
      <c r="I239" s="88">
        <f>VLOOKUP(Table91213[[#This Row],[Date]],'DB Details'!$A:$L,9)</f>
        <v/>
      </c>
      <c r="J239" s="88">
        <f>VLOOKUP(Table91213[[#This Row],[Date]],'DB Details'!$A:$L,10)</f>
        <v/>
      </c>
      <c r="K239" s="119" t="n"/>
      <c r="L239" s="88">
        <f>VLOOKUP(Table91213[[#This Row],[Date]],'DB Details'!$A:$L,12)</f>
        <v/>
      </c>
    </row>
    <row r="240">
      <c r="A240" s="39" t="n">
        <v>24654</v>
      </c>
      <c r="B240" s="57">
        <f>VLOOKUP(Table91213[[#This Row],[Date]],'DB Details'!$A:$L,2)</f>
        <v/>
      </c>
      <c r="C240" s="41" t="n"/>
      <c r="D240" s="55" t="n"/>
      <c r="E240" s="88">
        <f>VLOOKUP(Table91213[[#This Row],[Date]],'DB Details'!$A:$L,5)</f>
        <v/>
      </c>
      <c r="F240" s="88">
        <f>VLOOKUP(Table91213[[#This Row],[Date]],'DB Details'!$A:$L,6)</f>
        <v/>
      </c>
      <c r="G240" s="119" t="n"/>
      <c r="H240" s="88">
        <f>VLOOKUP(Table91213[[#This Row],[Date]],'DB Details'!$A:$L,8)</f>
        <v/>
      </c>
      <c r="I240" s="88">
        <f>VLOOKUP(Table91213[[#This Row],[Date]],'DB Details'!$A:$L,9)</f>
        <v/>
      </c>
      <c r="J240" s="88">
        <f>VLOOKUP(Table91213[[#This Row],[Date]],'DB Details'!$A:$L,10)</f>
        <v/>
      </c>
      <c r="K240" s="119" t="n"/>
      <c r="L240" s="88">
        <f>VLOOKUP(Table91213[[#This Row],[Date]],'DB Details'!$A:$L,12)</f>
        <v/>
      </c>
    </row>
    <row r="241">
      <c r="A241" s="39" t="n">
        <v>24685</v>
      </c>
      <c r="B241" s="57">
        <f>VLOOKUP(Table91213[[#This Row],[Date]],'DB Details'!$A:$L,2)</f>
        <v/>
      </c>
      <c r="C241" s="41" t="n"/>
      <c r="D241" s="55" t="n"/>
      <c r="E241" s="88">
        <f>VLOOKUP(Table91213[[#This Row],[Date]],'DB Details'!$A:$L,5)</f>
        <v/>
      </c>
      <c r="F241" s="88">
        <f>VLOOKUP(Table91213[[#This Row],[Date]],'DB Details'!$A:$L,6)</f>
        <v/>
      </c>
      <c r="G241" s="119" t="n"/>
      <c r="H241" s="88">
        <f>VLOOKUP(Table91213[[#This Row],[Date]],'DB Details'!$A:$L,8)</f>
        <v/>
      </c>
      <c r="I241" s="88">
        <f>VLOOKUP(Table91213[[#This Row],[Date]],'DB Details'!$A:$L,9)</f>
        <v/>
      </c>
      <c r="J241" s="88">
        <f>VLOOKUP(Table91213[[#This Row],[Date]],'DB Details'!$A:$L,10)</f>
        <v/>
      </c>
      <c r="K241" s="119" t="n"/>
      <c r="L241" s="88">
        <f>VLOOKUP(Table91213[[#This Row],[Date]],'DB Details'!$A:$L,12)</f>
        <v/>
      </c>
    </row>
    <row r="242">
      <c r="A242" s="39" t="n">
        <v>24716</v>
      </c>
      <c r="B242" s="57">
        <f>VLOOKUP(Table91213[[#This Row],[Date]],'DB Details'!$A:$L,2)</f>
        <v/>
      </c>
      <c r="C242" s="41" t="n"/>
      <c r="D242" s="55" t="n"/>
      <c r="E242" s="88">
        <f>VLOOKUP(Table91213[[#This Row],[Date]],'DB Details'!$A:$L,5)</f>
        <v/>
      </c>
      <c r="F242" s="88">
        <f>VLOOKUP(Table91213[[#This Row],[Date]],'DB Details'!$A:$L,6)</f>
        <v/>
      </c>
      <c r="G242" s="119" t="n"/>
      <c r="H242" s="88">
        <f>VLOOKUP(Table91213[[#This Row],[Date]],'DB Details'!$A:$L,8)</f>
        <v/>
      </c>
      <c r="I242" s="88">
        <f>VLOOKUP(Table91213[[#This Row],[Date]],'DB Details'!$A:$L,9)</f>
        <v/>
      </c>
      <c r="J242" s="88">
        <f>VLOOKUP(Table91213[[#This Row],[Date]],'DB Details'!$A:$L,10)</f>
        <v/>
      </c>
      <c r="K242" s="119" t="n"/>
      <c r="L242" s="88">
        <f>VLOOKUP(Table91213[[#This Row],[Date]],'DB Details'!$A:$L,12)</f>
        <v/>
      </c>
    </row>
    <row r="243">
      <c r="A243" s="39" t="n">
        <v>24746</v>
      </c>
      <c r="B243" s="57">
        <f>VLOOKUP(Table91213[[#This Row],[Date]],'DB Details'!$A:$L,2)</f>
        <v/>
      </c>
      <c r="C243" s="41" t="n"/>
      <c r="D243" s="55" t="n"/>
      <c r="E243" s="88">
        <f>VLOOKUP(Table91213[[#This Row],[Date]],'DB Details'!$A:$L,5)</f>
        <v/>
      </c>
      <c r="F243" s="88">
        <f>VLOOKUP(Table91213[[#This Row],[Date]],'DB Details'!$A:$L,6)</f>
        <v/>
      </c>
      <c r="G243" s="119" t="n"/>
      <c r="H243" s="88">
        <f>VLOOKUP(Table91213[[#This Row],[Date]],'DB Details'!$A:$L,8)</f>
        <v/>
      </c>
      <c r="I243" s="88">
        <f>VLOOKUP(Table91213[[#This Row],[Date]],'DB Details'!$A:$L,9)</f>
        <v/>
      </c>
      <c r="J243" s="88">
        <f>VLOOKUP(Table91213[[#This Row],[Date]],'DB Details'!$A:$L,10)</f>
        <v/>
      </c>
      <c r="K243" s="119" t="n"/>
      <c r="L243" s="88">
        <f>VLOOKUP(Table91213[[#This Row],[Date]],'DB Details'!$A:$L,12)</f>
        <v/>
      </c>
    </row>
    <row r="244">
      <c r="A244" s="39" t="n">
        <v>24777</v>
      </c>
      <c r="B244" s="57">
        <f>VLOOKUP(Table91213[[#This Row],[Date]],'DB Details'!$A:$L,2)</f>
        <v/>
      </c>
      <c r="C244" s="41" t="n"/>
      <c r="D244" s="55" t="n"/>
      <c r="E244" s="88">
        <f>VLOOKUP(Table91213[[#This Row],[Date]],'DB Details'!$A:$L,5)</f>
        <v/>
      </c>
      <c r="F244" s="88">
        <f>VLOOKUP(Table91213[[#This Row],[Date]],'DB Details'!$A:$L,6)</f>
        <v/>
      </c>
      <c r="G244" s="119" t="n"/>
      <c r="H244" s="88">
        <f>VLOOKUP(Table91213[[#This Row],[Date]],'DB Details'!$A:$L,8)</f>
        <v/>
      </c>
      <c r="I244" s="88">
        <f>VLOOKUP(Table91213[[#This Row],[Date]],'DB Details'!$A:$L,9)</f>
        <v/>
      </c>
      <c r="J244" s="88">
        <f>VLOOKUP(Table91213[[#This Row],[Date]],'DB Details'!$A:$L,10)</f>
        <v/>
      </c>
      <c r="K244" s="119" t="n"/>
      <c r="L244" s="88">
        <f>VLOOKUP(Table91213[[#This Row],[Date]],'DB Details'!$A:$L,12)</f>
        <v/>
      </c>
    </row>
    <row r="245">
      <c r="A245" s="39" t="n">
        <v>24807</v>
      </c>
      <c r="B245" s="57">
        <f>VLOOKUP(Table91213[[#This Row],[Date]],'DB Details'!$A:$L,2)</f>
        <v/>
      </c>
      <c r="C245" s="41" t="n"/>
      <c r="D245" s="55" t="n"/>
      <c r="E245" s="88">
        <f>VLOOKUP(Table91213[[#This Row],[Date]],'DB Details'!$A:$L,5)</f>
        <v/>
      </c>
      <c r="F245" s="88">
        <f>VLOOKUP(Table91213[[#This Row],[Date]],'DB Details'!$A:$L,6)</f>
        <v/>
      </c>
      <c r="G245" s="119" t="n"/>
      <c r="H245" s="88">
        <f>VLOOKUP(Table91213[[#This Row],[Date]],'DB Details'!$A:$L,8)</f>
        <v/>
      </c>
      <c r="I245" s="88">
        <f>VLOOKUP(Table91213[[#This Row],[Date]],'DB Details'!$A:$L,9)</f>
        <v/>
      </c>
      <c r="J245" s="88">
        <f>VLOOKUP(Table91213[[#This Row],[Date]],'DB Details'!$A:$L,10)</f>
        <v/>
      </c>
      <c r="K245" s="119" t="n"/>
      <c r="L245" s="88">
        <f>VLOOKUP(Table91213[[#This Row],[Date]],'DB Details'!$A:$L,12)</f>
        <v/>
      </c>
    </row>
    <row r="246">
      <c r="A246" s="39" t="n">
        <v>24838</v>
      </c>
      <c r="B246" s="57">
        <f>VLOOKUP(Table91213[[#This Row],[Date]],'DB Details'!$A:$L,2)</f>
        <v/>
      </c>
      <c r="C246" s="41" t="n"/>
      <c r="D246" s="55" t="n"/>
      <c r="E246" s="88">
        <f>VLOOKUP(Table91213[[#This Row],[Date]],'DB Details'!$A:$L,5)</f>
        <v/>
      </c>
      <c r="F246" s="88">
        <f>VLOOKUP(Table91213[[#This Row],[Date]],'DB Details'!$A:$L,6)</f>
        <v/>
      </c>
      <c r="G246" s="119" t="n"/>
      <c r="H246" s="88">
        <f>VLOOKUP(Table91213[[#This Row],[Date]],'DB Details'!$A:$L,8)</f>
        <v/>
      </c>
      <c r="I246" s="88">
        <f>VLOOKUP(Table91213[[#This Row],[Date]],'DB Details'!$A:$L,9)</f>
        <v/>
      </c>
      <c r="J246" s="88">
        <f>VLOOKUP(Table91213[[#This Row],[Date]],'DB Details'!$A:$L,10)</f>
        <v/>
      </c>
      <c r="K246" s="119" t="n"/>
      <c r="L246" s="88">
        <f>VLOOKUP(Table91213[[#This Row],[Date]],'DB Details'!$A:$L,12)</f>
        <v/>
      </c>
    </row>
    <row r="247">
      <c r="A247" s="39" t="n">
        <v>24869</v>
      </c>
      <c r="B247" s="57">
        <f>VLOOKUP(Table91213[[#This Row],[Date]],'DB Details'!$A:$L,2)</f>
        <v/>
      </c>
      <c r="C247" s="41" t="n"/>
      <c r="D247" s="55" t="n"/>
      <c r="E247" s="88">
        <f>VLOOKUP(Table91213[[#This Row],[Date]],'DB Details'!$A:$L,5)</f>
        <v/>
      </c>
      <c r="F247" s="88">
        <f>VLOOKUP(Table91213[[#This Row],[Date]],'DB Details'!$A:$L,6)</f>
        <v/>
      </c>
      <c r="G247" s="119" t="n"/>
      <c r="H247" s="88">
        <f>VLOOKUP(Table91213[[#This Row],[Date]],'DB Details'!$A:$L,8)</f>
        <v/>
      </c>
      <c r="I247" s="88">
        <f>VLOOKUP(Table91213[[#This Row],[Date]],'DB Details'!$A:$L,9)</f>
        <v/>
      </c>
      <c r="J247" s="88">
        <f>VLOOKUP(Table91213[[#This Row],[Date]],'DB Details'!$A:$L,10)</f>
        <v/>
      </c>
      <c r="K247" s="119" t="n"/>
      <c r="L247" s="88">
        <f>VLOOKUP(Table91213[[#This Row],[Date]],'DB Details'!$A:$L,12)</f>
        <v/>
      </c>
    </row>
    <row r="248">
      <c r="A248" s="39" t="n">
        <v>24898</v>
      </c>
      <c r="B248" s="57">
        <f>VLOOKUP(Table91213[[#This Row],[Date]],'DB Details'!$A:$L,2)</f>
        <v/>
      </c>
      <c r="C248" s="41" t="n"/>
      <c r="D248" s="55" t="n"/>
      <c r="E248" s="88">
        <f>VLOOKUP(Table91213[[#This Row],[Date]],'DB Details'!$A:$L,5)</f>
        <v/>
      </c>
      <c r="F248" s="88">
        <f>VLOOKUP(Table91213[[#This Row],[Date]],'DB Details'!$A:$L,6)</f>
        <v/>
      </c>
      <c r="G248" s="119" t="n"/>
      <c r="H248" s="88">
        <f>VLOOKUP(Table91213[[#This Row],[Date]],'DB Details'!$A:$L,8)</f>
        <v/>
      </c>
      <c r="I248" s="88">
        <f>VLOOKUP(Table91213[[#This Row],[Date]],'DB Details'!$A:$L,9)</f>
        <v/>
      </c>
      <c r="J248" s="88">
        <f>VLOOKUP(Table91213[[#This Row],[Date]],'DB Details'!$A:$L,10)</f>
        <v/>
      </c>
      <c r="K248" s="119" t="n"/>
      <c r="L248" s="88">
        <f>VLOOKUP(Table91213[[#This Row],[Date]],'DB Details'!$A:$L,12)</f>
        <v/>
      </c>
    </row>
    <row r="249">
      <c r="A249" s="39" t="n">
        <v>24929</v>
      </c>
      <c r="B249" s="57">
        <f>VLOOKUP(Table91213[[#This Row],[Date]],'DB Details'!$A:$L,2)</f>
        <v/>
      </c>
      <c r="C249" s="41" t="n"/>
      <c r="D249" s="55" t="n"/>
      <c r="E249" s="88">
        <f>VLOOKUP(Table91213[[#This Row],[Date]],'DB Details'!$A:$L,5)</f>
        <v/>
      </c>
      <c r="F249" s="88">
        <f>VLOOKUP(Table91213[[#This Row],[Date]],'DB Details'!$A:$L,6)</f>
        <v/>
      </c>
      <c r="G249" s="119" t="n"/>
      <c r="H249" s="88">
        <f>VLOOKUP(Table91213[[#This Row],[Date]],'DB Details'!$A:$L,8)</f>
        <v/>
      </c>
      <c r="I249" s="88">
        <f>VLOOKUP(Table91213[[#This Row],[Date]],'DB Details'!$A:$L,9)</f>
        <v/>
      </c>
      <c r="J249" s="88">
        <f>VLOOKUP(Table91213[[#This Row],[Date]],'DB Details'!$A:$L,10)</f>
        <v/>
      </c>
      <c r="K249" s="119" t="n"/>
      <c r="L249" s="88">
        <f>VLOOKUP(Table91213[[#This Row],[Date]],'DB Details'!$A:$L,12)</f>
        <v/>
      </c>
    </row>
    <row r="250">
      <c r="A250" s="39" t="n">
        <v>24959</v>
      </c>
      <c r="B250" s="57">
        <f>VLOOKUP(Table91213[[#This Row],[Date]],'DB Details'!$A:$L,2)</f>
        <v/>
      </c>
      <c r="C250" s="41" t="n"/>
      <c r="D250" s="55" t="n"/>
      <c r="E250" s="88">
        <f>VLOOKUP(Table91213[[#This Row],[Date]],'DB Details'!$A:$L,5)</f>
        <v/>
      </c>
      <c r="F250" s="88">
        <f>VLOOKUP(Table91213[[#This Row],[Date]],'DB Details'!$A:$L,6)</f>
        <v/>
      </c>
      <c r="G250" s="119" t="n"/>
      <c r="H250" s="88">
        <f>VLOOKUP(Table91213[[#This Row],[Date]],'DB Details'!$A:$L,8)</f>
        <v/>
      </c>
      <c r="I250" s="88">
        <f>VLOOKUP(Table91213[[#This Row],[Date]],'DB Details'!$A:$L,9)</f>
        <v/>
      </c>
      <c r="J250" s="88">
        <f>VLOOKUP(Table91213[[#This Row],[Date]],'DB Details'!$A:$L,10)</f>
        <v/>
      </c>
      <c r="K250" s="119" t="n"/>
      <c r="L250" s="88">
        <f>VLOOKUP(Table91213[[#This Row],[Date]],'DB Details'!$A:$L,12)</f>
        <v/>
      </c>
    </row>
    <row r="251">
      <c r="A251" s="39" t="n">
        <v>24990</v>
      </c>
      <c r="B251" s="57">
        <f>VLOOKUP(Table91213[[#This Row],[Date]],'DB Details'!$A:$L,2)</f>
        <v/>
      </c>
      <c r="C251" s="41" t="n"/>
      <c r="D251" s="55" t="n"/>
      <c r="E251" s="88">
        <f>VLOOKUP(Table91213[[#This Row],[Date]],'DB Details'!$A:$L,5)</f>
        <v/>
      </c>
      <c r="F251" s="88">
        <f>VLOOKUP(Table91213[[#This Row],[Date]],'DB Details'!$A:$L,6)</f>
        <v/>
      </c>
      <c r="G251" s="119" t="n"/>
      <c r="H251" s="88">
        <f>VLOOKUP(Table91213[[#This Row],[Date]],'DB Details'!$A:$L,8)</f>
        <v/>
      </c>
      <c r="I251" s="88">
        <f>VLOOKUP(Table91213[[#This Row],[Date]],'DB Details'!$A:$L,9)</f>
        <v/>
      </c>
      <c r="J251" s="88">
        <f>VLOOKUP(Table91213[[#This Row],[Date]],'DB Details'!$A:$L,10)</f>
        <v/>
      </c>
      <c r="K251" s="119" t="n"/>
      <c r="L251" s="88">
        <f>VLOOKUP(Table91213[[#This Row],[Date]],'DB Details'!$A:$L,12)</f>
        <v/>
      </c>
    </row>
    <row r="252">
      <c r="A252" s="39" t="n">
        <v>25020</v>
      </c>
      <c r="B252" s="57">
        <f>VLOOKUP(Table91213[[#This Row],[Date]],'DB Details'!$A:$L,2)</f>
        <v/>
      </c>
      <c r="C252" s="41" t="n"/>
      <c r="D252" s="55" t="n"/>
      <c r="E252" s="88">
        <f>VLOOKUP(Table91213[[#This Row],[Date]],'DB Details'!$A:$L,5)</f>
        <v/>
      </c>
      <c r="F252" s="88">
        <f>VLOOKUP(Table91213[[#This Row],[Date]],'DB Details'!$A:$L,6)</f>
        <v/>
      </c>
      <c r="G252" s="119" t="n"/>
      <c r="H252" s="88">
        <f>VLOOKUP(Table91213[[#This Row],[Date]],'DB Details'!$A:$L,8)</f>
        <v/>
      </c>
      <c r="I252" s="88">
        <f>VLOOKUP(Table91213[[#This Row],[Date]],'DB Details'!$A:$L,9)</f>
        <v/>
      </c>
      <c r="J252" s="88">
        <f>VLOOKUP(Table91213[[#This Row],[Date]],'DB Details'!$A:$L,10)</f>
        <v/>
      </c>
      <c r="K252" s="119" t="n"/>
      <c r="L252" s="88">
        <f>VLOOKUP(Table91213[[#This Row],[Date]],'DB Details'!$A:$L,12)</f>
        <v/>
      </c>
    </row>
    <row r="253">
      <c r="A253" s="39" t="n">
        <v>25051</v>
      </c>
      <c r="B253" s="57">
        <f>VLOOKUP(Table91213[[#This Row],[Date]],'DB Details'!$A:$L,2)</f>
        <v/>
      </c>
      <c r="C253" s="41" t="n"/>
      <c r="D253" s="55" t="n"/>
      <c r="E253" s="88">
        <f>VLOOKUP(Table91213[[#This Row],[Date]],'DB Details'!$A:$L,5)</f>
        <v/>
      </c>
      <c r="F253" s="88">
        <f>VLOOKUP(Table91213[[#This Row],[Date]],'DB Details'!$A:$L,6)</f>
        <v/>
      </c>
      <c r="G253" s="119" t="n"/>
      <c r="H253" s="88">
        <f>VLOOKUP(Table91213[[#This Row],[Date]],'DB Details'!$A:$L,8)</f>
        <v/>
      </c>
      <c r="I253" s="88">
        <f>VLOOKUP(Table91213[[#This Row],[Date]],'DB Details'!$A:$L,9)</f>
        <v/>
      </c>
      <c r="J253" s="88">
        <f>VLOOKUP(Table91213[[#This Row],[Date]],'DB Details'!$A:$L,10)</f>
        <v/>
      </c>
      <c r="K253" s="119" t="n"/>
      <c r="L253" s="88">
        <f>VLOOKUP(Table91213[[#This Row],[Date]],'DB Details'!$A:$L,12)</f>
        <v/>
      </c>
    </row>
    <row r="254">
      <c r="A254" s="39" t="n">
        <v>25082</v>
      </c>
      <c r="B254" s="57">
        <f>VLOOKUP(Table91213[[#This Row],[Date]],'DB Details'!$A:$L,2)</f>
        <v/>
      </c>
      <c r="C254" s="41" t="n"/>
      <c r="D254" s="55" t="n"/>
      <c r="E254" s="88">
        <f>VLOOKUP(Table91213[[#This Row],[Date]],'DB Details'!$A:$L,5)</f>
        <v/>
      </c>
      <c r="F254" s="88">
        <f>VLOOKUP(Table91213[[#This Row],[Date]],'DB Details'!$A:$L,6)</f>
        <v/>
      </c>
      <c r="G254" s="119" t="n"/>
      <c r="H254" s="88">
        <f>VLOOKUP(Table91213[[#This Row],[Date]],'DB Details'!$A:$L,8)</f>
        <v/>
      </c>
      <c r="I254" s="88">
        <f>VLOOKUP(Table91213[[#This Row],[Date]],'DB Details'!$A:$L,9)</f>
        <v/>
      </c>
      <c r="J254" s="88">
        <f>VLOOKUP(Table91213[[#This Row],[Date]],'DB Details'!$A:$L,10)</f>
        <v/>
      </c>
      <c r="K254" s="119" t="n"/>
      <c r="L254" s="88">
        <f>VLOOKUP(Table91213[[#This Row],[Date]],'DB Details'!$A:$L,12)</f>
        <v/>
      </c>
    </row>
    <row r="255">
      <c r="A255" s="39" t="n">
        <v>25112</v>
      </c>
      <c r="B255" s="57">
        <f>VLOOKUP(Table91213[[#This Row],[Date]],'DB Details'!$A:$L,2)</f>
        <v/>
      </c>
      <c r="C255" s="41" t="n"/>
      <c r="D255" s="55" t="n"/>
      <c r="E255" s="88">
        <f>VLOOKUP(Table91213[[#This Row],[Date]],'DB Details'!$A:$L,5)</f>
        <v/>
      </c>
      <c r="F255" s="88">
        <f>VLOOKUP(Table91213[[#This Row],[Date]],'DB Details'!$A:$L,6)</f>
        <v/>
      </c>
      <c r="G255" s="119" t="n"/>
      <c r="H255" s="88">
        <f>VLOOKUP(Table91213[[#This Row],[Date]],'DB Details'!$A:$L,8)</f>
        <v/>
      </c>
      <c r="I255" s="88">
        <f>VLOOKUP(Table91213[[#This Row],[Date]],'DB Details'!$A:$L,9)</f>
        <v/>
      </c>
      <c r="J255" s="88">
        <f>VLOOKUP(Table91213[[#This Row],[Date]],'DB Details'!$A:$L,10)</f>
        <v/>
      </c>
      <c r="K255" s="119" t="n"/>
      <c r="L255" s="88">
        <f>VLOOKUP(Table91213[[#This Row],[Date]],'DB Details'!$A:$L,12)</f>
        <v/>
      </c>
    </row>
    <row r="256">
      <c r="A256" s="39" t="n">
        <v>25143</v>
      </c>
      <c r="B256" s="57">
        <f>VLOOKUP(Table91213[[#This Row],[Date]],'DB Details'!$A:$L,2)</f>
        <v/>
      </c>
      <c r="C256" s="41" t="n"/>
      <c r="D256" s="55" t="n"/>
      <c r="E256" s="88">
        <f>VLOOKUP(Table91213[[#This Row],[Date]],'DB Details'!$A:$L,5)</f>
        <v/>
      </c>
      <c r="F256" s="88">
        <f>VLOOKUP(Table91213[[#This Row],[Date]],'DB Details'!$A:$L,6)</f>
        <v/>
      </c>
      <c r="G256" s="119" t="n"/>
      <c r="H256" s="88">
        <f>VLOOKUP(Table91213[[#This Row],[Date]],'DB Details'!$A:$L,8)</f>
        <v/>
      </c>
      <c r="I256" s="88">
        <f>VLOOKUP(Table91213[[#This Row],[Date]],'DB Details'!$A:$L,9)</f>
        <v/>
      </c>
      <c r="J256" s="88">
        <f>VLOOKUP(Table91213[[#This Row],[Date]],'DB Details'!$A:$L,10)</f>
        <v/>
      </c>
      <c r="K256" s="119" t="n"/>
      <c r="L256" s="88">
        <f>VLOOKUP(Table91213[[#This Row],[Date]],'DB Details'!$A:$L,12)</f>
        <v/>
      </c>
    </row>
    <row r="257">
      <c r="A257" s="39" t="n">
        <v>25173</v>
      </c>
      <c r="B257" s="57">
        <f>VLOOKUP(Table91213[[#This Row],[Date]],'DB Details'!$A:$L,2)</f>
        <v/>
      </c>
      <c r="C257" s="41" t="n"/>
      <c r="D257" s="55" t="n"/>
      <c r="E257" s="88">
        <f>VLOOKUP(Table91213[[#This Row],[Date]],'DB Details'!$A:$L,5)</f>
        <v/>
      </c>
      <c r="F257" s="88">
        <f>VLOOKUP(Table91213[[#This Row],[Date]],'DB Details'!$A:$L,6)</f>
        <v/>
      </c>
      <c r="G257" s="119" t="n"/>
      <c r="H257" s="88">
        <f>VLOOKUP(Table91213[[#This Row],[Date]],'DB Details'!$A:$L,8)</f>
        <v/>
      </c>
      <c r="I257" s="88">
        <f>VLOOKUP(Table91213[[#This Row],[Date]],'DB Details'!$A:$L,9)</f>
        <v/>
      </c>
      <c r="J257" s="88">
        <f>VLOOKUP(Table91213[[#This Row],[Date]],'DB Details'!$A:$L,10)</f>
        <v/>
      </c>
      <c r="K257" s="119" t="n"/>
      <c r="L257" s="88">
        <f>VLOOKUP(Table91213[[#This Row],[Date]],'DB Details'!$A:$L,12)</f>
        <v/>
      </c>
    </row>
    <row r="258">
      <c r="A258" s="39" t="n">
        <v>25204</v>
      </c>
      <c r="B258" s="57">
        <f>VLOOKUP(Table91213[[#This Row],[Date]],'DB Details'!$A:$L,2)</f>
        <v/>
      </c>
      <c r="C258" s="41" t="n"/>
      <c r="D258" s="55" t="n"/>
      <c r="E258" s="88">
        <f>VLOOKUP(Table91213[[#This Row],[Date]],'DB Details'!$A:$L,5)</f>
        <v/>
      </c>
      <c r="F258" s="88">
        <f>VLOOKUP(Table91213[[#This Row],[Date]],'DB Details'!$A:$L,6)</f>
        <v/>
      </c>
      <c r="G258" s="119" t="n"/>
      <c r="H258" s="88">
        <f>VLOOKUP(Table91213[[#This Row],[Date]],'DB Details'!$A:$L,8)</f>
        <v/>
      </c>
      <c r="I258" s="88">
        <f>VLOOKUP(Table91213[[#This Row],[Date]],'DB Details'!$A:$L,9)</f>
        <v/>
      </c>
      <c r="J258" s="88">
        <f>VLOOKUP(Table91213[[#This Row],[Date]],'DB Details'!$A:$L,10)</f>
        <v/>
      </c>
      <c r="K258" s="119" t="n"/>
      <c r="L258" s="88">
        <f>VLOOKUP(Table91213[[#This Row],[Date]],'DB Details'!$A:$L,12)</f>
        <v/>
      </c>
    </row>
    <row r="259">
      <c r="A259" s="39" t="n">
        <v>25235</v>
      </c>
      <c r="B259" s="57">
        <f>VLOOKUP(Table91213[[#This Row],[Date]],'DB Details'!$A:$L,2)</f>
        <v/>
      </c>
      <c r="C259" s="41" t="n"/>
      <c r="D259" s="55" t="n"/>
      <c r="E259" s="88">
        <f>VLOOKUP(Table91213[[#This Row],[Date]],'DB Details'!$A:$L,5)</f>
        <v/>
      </c>
      <c r="F259" s="88">
        <f>VLOOKUP(Table91213[[#This Row],[Date]],'DB Details'!$A:$L,6)</f>
        <v/>
      </c>
      <c r="G259" s="119" t="n"/>
      <c r="H259" s="88">
        <f>VLOOKUP(Table91213[[#This Row],[Date]],'DB Details'!$A:$L,8)</f>
        <v/>
      </c>
      <c r="I259" s="88">
        <f>VLOOKUP(Table91213[[#This Row],[Date]],'DB Details'!$A:$L,9)</f>
        <v/>
      </c>
      <c r="J259" s="88">
        <f>VLOOKUP(Table91213[[#This Row],[Date]],'DB Details'!$A:$L,10)</f>
        <v/>
      </c>
      <c r="K259" s="119" t="n"/>
      <c r="L259" s="88">
        <f>VLOOKUP(Table91213[[#This Row],[Date]],'DB Details'!$A:$L,12)</f>
        <v/>
      </c>
    </row>
    <row r="260">
      <c r="A260" s="39" t="n">
        <v>25263</v>
      </c>
      <c r="B260" s="57">
        <f>VLOOKUP(Table91213[[#This Row],[Date]],'DB Details'!$A:$L,2)</f>
        <v/>
      </c>
      <c r="C260" s="41" t="n"/>
      <c r="D260" s="55" t="n"/>
      <c r="E260" s="88">
        <f>VLOOKUP(Table91213[[#This Row],[Date]],'DB Details'!$A:$L,5)</f>
        <v/>
      </c>
      <c r="F260" s="88">
        <f>VLOOKUP(Table91213[[#This Row],[Date]],'DB Details'!$A:$L,6)</f>
        <v/>
      </c>
      <c r="G260" s="119" t="n"/>
      <c r="H260" s="88">
        <f>VLOOKUP(Table91213[[#This Row],[Date]],'DB Details'!$A:$L,8)</f>
        <v/>
      </c>
      <c r="I260" s="88">
        <f>VLOOKUP(Table91213[[#This Row],[Date]],'DB Details'!$A:$L,9)</f>
        <v/>
      </c>
      <c r="J260" s="88">
        <f>VLOOKUP(Table91213[[#This Row],[Date]],'DB Details'!$A:$L,10)</f>
        <v/>
      </c>
      <c r="K260" s="119" t="n"/>
      <c r="L260" s="88">
        <f>VLOOKUP(Table91213[[#This Row],[Date]],'DB Details'!$A:$L,12)</f>
        <v/>
      </c>
    </row>
    <row r="261">
      <c r="A261" s="39" t="n">
        <v>25294</v>
      </c>
      <c r="B261" s="57">
        <f>VLOOKUP(Table91213[[#This Row],[Date]],'DB Details'!$A:$L,2)</f>
        <v/>
      </c>
      <c r="C261" s="41" t="n"/>
      <c r="D261" s="55" t="n"/>
      <c r="E261" s="88">
        <f>VLOOKUP(Table91213[[#This Row],[Date]],'DB Details'!$A:$L,5)</f>
        <v/>
      </c>
      <c r="F261" s="88">
        <f>VLOOKUP(Table91213[[#This Row],[Date]],'DB Details'!$A:$L,6)</f>
        <v/>
      </c>
      <c r="G261" s="119" t="n"/>
      <c r="H261" s="88">
        <f>VLOOKUP(Table91213[[#This Row],[Date]],'DB Details'!$A:$L,8)</f>
        <v/>
      </c>
      <c r="I261" s="88">
        <f>VLOOKUP(Table91213[[#This Row],[Date]],'DB Details'!$A:$L,9)</f>
        <v/>
      </c>
      <c r="J261" s="88">
        <f>VLOOKUP(Table91213[[#This Row],[Date]],'DB Details'!$A:$L,10)</f>
        <v/>
      </c>
      <c r="K261" s="119" t="n"/>
      <c r="L261" s="88">
        <f>VLOOKUP(Table91213[[#This Row],[Date]],'DB Details'!$A:$L,12)</f>
        <v/>
      </c>
    </row>
    <row r="262">
      <c r="A262" s="39" t="n">
        <v>25324</v>
      </c>
      <c r="B262" s="57">
        <f>VLOOKUP(Table91213[[#This Row],[Date]],'DB Details'!$A:$L,2)</f>
        <v/>
      </c>
      <c r="C262" s="41" t="n"/>
      <c r="D262" s="55" t="n"/>
      <c r="E262" s="88">
        <f>VLOOKUP(Table91213[[#This Row],[Date]],'DB Details'!$A:$L,5)</f>
        <v/>
      </c>
      <c r="F262" s="88">
        <f>VLOOKUP(Table91213[[#This Row],[Date]],'DB Details'!$A:$L,6)</f>
        <v/>
      </c>
      <c r="G262" s="119" t="n"/>
      <c r="H262" s="88">
        <f>VLOOKUP(Table91213[[#This Row],[Date]],'DB Details'!$A:$L,8)</f>
        <v/>
      </c>
      <c r="I262" s="88">
        <f>VLOOKUP(Table91213[[#This Row],[Date]],'DB Details'!$A:$L,9)</f>
        <v/>
      </c>
      <c r="J262" s="88">
        <f>VLOOKUP(Table91213[[#This Row],[Date]],'DB Details'!$A:$L,10)</f>
        <v/>
      </c>
      <c r="K262" s="119" t="n"/>
      <c r="L262" s="88">
        <f>VLOOKUP(Table91213[[#This Row],[Date]],'DB Details'!$A:$L,12)</f>
        <v/>
      </c>
    </row>
    <row r="263">
      <c r="A263" s="39" t="n">
        <v>25355</v>
      </c>
      <c r="B263" s="57">
        <f>VLOOKUP(Table91213[[#This Row],[Date]],'DB Details'!$A:$L,2)</f>
        <v/>
      </c>
      <c r="C263" s="41" t="n"/>
      <c r="D263" s="55" t="n"/>
      <c r="E263" s="88">
        <f>VLOOKUP(Table91213[[#This Row],[Date]],'DB Details'!$A:$L,5)</f>
        <v/>
      </c>
      <c r="F263" s="88">
        <f>VLOOKUP(Table91213[[#This Row],[Date]],'DB Details'!$A:$L,6)</f>
        <v/>
      </c>
      <c r="G263" s="119" t="n"/>
      <c r="H263" s="88">
        <f>VLOOKUP(Table91213[[#This Row],[Date]],'DB Details'!$A:$L,8)</f>
        <v/>
      </c>
      <c r="I263" s="88">
        <f>VLOOKUP(Table91213[[#This Row],[Date]],'DB Details'!$A:$L,9)</f>
        <v/>
      </c>
      <c r="J263" s="88">
        <f>VLOOKUP(Table91213[[#This Row],[Date]],'DB Details'!$A:$L,10)</f>
        <v/>
      </c>
      <c r="K263" s="119" t="n"/>
      <c r="L263" s="88">
        <f>VLOOKUP(Table91213[[#This Row],[Date]],'DB Details'!$A:$L,12)</f>
        <v/>
      </c>
    </row>
    <row r="264">
      <c r="A264" s="39" t="n">
        <v>25385</v>
      </c>
      <c r="B264" s="57">
        <f>VLOOKUP(Table91213[[#This Row],[Date]],'DB Details'!$A:$L,2)</f>
        <v/>
      </c>
      <c r="C264" s="41" t="n"/>
      <c r="D264" s="55" t="n"/>
      <c r="E264" s="88">
        <f>VLOOKUP(Table91213[[#This Row],[Date]],'DB Details'!$A:$L,5)</f>
        <v/>
      </c>
      <c r="F264" s="88">
        <f>VLOOKUP(Table91213[[#This Row],[Date]],'DB Details'!$A:$L,6)</f>
        <v/>
      </c>
      <c r="G264" s="119" t="n"/>
      <c r="H264" s="88">
        <f>VLOOKUP(Table91213[[#This Row],[Date]],'DB Details'!$A:$L,8)</f>
        <v/>
      </c>
      <c r="I264" s="88">
        <f>VLOOKUP(Table91213[[#This Row],[Date]],'DB Details'!$A:$L,9)</f>
        <v/>
      </c>
      <c r="J264" s="88">
        <f>VLOOKUP(Table91213[[#This Row],[Date]],'DB Details'!$A:$L,10)</f>
        <v/>
      </c>
      <c r="K264" s="119" t="n"/>
      <c r="L264" s="88">
        <f>VLOOKUP(Table91213[[#This Row],[Date]],'DB Details'!$A:$L,12)</f>
        <v/>
      </c>
    </row>
    <row r="265">
      <c r="A265" s="39" t="n">
        <v>25416</v>
      </c>
      <c r="B265" s="57">
        <f>VLOOKUP(Table91213[[#This Row],[Date]],'DB Details'!$A:$L,2)</f>
        <v/>
      </c>
      <c r="C265" s="41" t="n"/>
      <c r="D265" s="55" t="n"/>
      <c r="E265" s="88">
        <f>VLOOKUP(Table91213[[#This Row],[Date]],'DB Details'!$A:$L,5)</f>
        <v/>
      </c>
      <c r="F265" s="88">
        <f>VLOOKUP(Table91213[[#This Row],[Date]],'DB Details'!$A:$L,6)</f>
        <v/>
      </c>
      <c r="G265" s="119" t="n"/>
      <c r="H265" s="88">
        <f>VLOOKUP(Table91213[[#This Row],[Date]],'DB Details'!$A:$L,8)</f>
        <v/>
      </c>
      <c r="I265" s="88">
        <f>VLOOKUP(Table91213[[#This Row],[Date]],'DB Details'!$A:$L,9)</f>
        <v/>
      </c>
      <c r="J265" s="88">
        <f>VLOOKUP(Table91213[[#This Row],[Date]],'DB Details'!$A:$L,10)</f>
        <v/>
      </c>
      <c r="K265" s="119" t="n"/>
      <c r="L265" s="88">
        <f>VLOOKUP(Table91213[[#This Row],[Date]],'DB Details'!$A:$L,12)</f>
        <v/>
      </c>
    </row>
    <row r="266">
      <c r="A266" s="39" t="n">
        <v>25447</v>
      </c>
      <c r="B266" s="57">
        <f>VLOOKUP(Table91213[[#This Row],[Date]],'DB Details'!$A:$L,2)</f>
        <v/>
      </c>
      <c r="C266" s="41" t="n"/>
      <c r="D266" s="55" t="n"/>
      <c r="E266" s="88">
        <f>VLOOKUP(Table91213[[#This Row],[Date]],'DB Details'!$A:$L,5)</f>
        <v/>
      </c>
      <c r="F266" s="88">
        <f>VLOOKUP(Table91213[[#This Row],[Date]],'DB Details'!$A:$L,6)</f>
        <v/>
      </c>
      <c r="G266" s="119" t="n"/>
      <c r="H266" s="88">
        <f>VLOOKUP(Table91213[[#This Row],[Date]],'DB Details'!$A:$L,8)</f>
        <v/>
      </c>
      <c r="I266" s="88">
        <f>VLOOKUP(Table91213[[#This Row],[Date]],'DB Details'!$A:$L,9)</f>
        <v/>
      </c>
      <c r="J266" s="88">
        <f>VLOOKUP(Table91213[[#This Row],[Date]],'DB Details'!$A:$L,10)</f>
        <v/>
      </c>
      <c r="K266" s="119" t="n"/>
      <c r="L266" s="88">
        <f>VLOOKUP(Table91213[[#This Row],[Date]],'DB Details'!$A:$L,12)</f>
        <v/>
      </c>
    </row>
    <row r="267">
      <c r="A267" s="39" t="n">
        <v>25477</v>
      </c>
      <c r="B267" s="57">
        <f>VLOOKUP(Table91213[[#This Row],[Date]],'DB Details'!$A:$L,2)</f>
        <v/>
      </c>
      <c r="C267" s="41" t="n"/>
      <c r="D267" s="55" t="n"/>
      <c r="E267" s="88">
        <f>VLOOKUP(Table91213[[#This Row],[Date]],'DB Details'!$A:$L,5)</f>
        <v/>
      </c>
      <c r="F267" s="88">
        <f>VLOOKUP(Table91213[[#This Row],[Date]],'DB Details'!$A:$L,6)</f>
        <v/>
      </c>
      <c r="G267" s="119" t="n"/>
      <c r="H267" s="88">
        <f>VLOOKUP(Table91213[[#This Row],[Date]],'DB Details'!$A:$L,8)</f>
        <v/>
      </c>
      <c r="I267" s="88">
        <f>VLOOKUP(Table91213[[#This Row],[Date]],'DB Details'!$A:$L,9)</f>
        <v/>
      </c>
      <c r="J267" s="88">
        <f>VLOOKUP(Table91213[[#This Row],[Date]],'DB Details'!$A:$L,10)</f>
        <v/>
      </c>
      <c r="K267" s="119" t="n"/>
      <c r="L267" s="88">
        <f>VLOOKUP(Table91213[[#This Row],[Date]],'DB Details'!$A:$L,12)</f>
        <v/>
      </c>
    </row>
    <row r="268">
      <c r="A268" s="39" t="n">
        <v>25508</v>
      </c>
      <c r="B268" s="57">
        <f>VLOOKUP(Table91213[[#This Row],[Date]],'DB Details'!$A:$L,2)</f>
        <v/>
      </c>
      <c r="C268" s="41" t="n"/>
      <c r="D268" s="55" t="n"/>
      <c r="E268" s="88">
        <f>VLOOKUP(Table91213[[#This Row],[Date]],'DB Details'!$A:$L,5)</f>
        <v/>
      </c>
      <c r="F268" s="88">
        <f>VLOOKUP(Table91213[[#This Row],[Date]],'DB Details'!$A:$L,6)</f>
        <v/>
      </c>
      <c r="G268" s="119" t="n"/>
      <c r="H268" s="88">
        <f>VLOOKUP(Table91213[[#This Row],[Date]],'DB Details'!$A:$L,8)</f>
        <v/>
      </c>
      <c r="I268" s="88">
        <f>VLOOKUP(Table91213[[#This Row],[Date]],'DB Details'!$A:$L,9)</f>
        <v/>
      </c>
      <c r="J268" s="88">
        <f>VLOOKUP(Table91213[[#This Row],[Date]],'DB Details'!$A:$L,10)</f>
        <v/>
      </c>
      <c r="K268" s="119" t="n"/>
      <c r="L268" s="88">
        <f>VLOOKUP(Table91213[[#This Row],[Date]],'DB Details'!$A:$L,12)</f>
        <v/>
      </c>
    </row>
    <row r="269">
      <c r="A269" s="39" t="n">
        <v>25538</v>
      </c>
      <c r="B269" s="57">
        <f>VLOOKUP(Table91213[[#This Row],[Date]],'DB Details'!$A:$L,2)</f>
        <v/>
      </c>
      <c r="C269" s="41" t="n"/>
      <c r="D269" s="55" t="n"/>
      <c r="E269" s="88">
        <f>VLOOKUP(Table91213[[#This Row],[Date]],'DB Details'!$A:$L,5)</f>
        <v/>
      </c>
      <c r="F269" s="88">
        <f>VLOOKUP(Table91213[[#This Row],[Date]],'DB Details'!$A:$L,6)</f>
        <v/>
      </c>
      <c r="G269" s="119" t="n"/>
      <c r="H269" s="88">
        <f>VLOOKUP(Table91213[[#This Row],[Date]],'DB Details'!$A:$L,8)</f>
        <v/>
      </c>
      <c r="I269" s="88">
        <f>VLOOKUP(Table91213[[#This Row],[Date]],'DB Details'!$A:$L,9)</f>
        <v/>
      </c>
      <c r="J269" s="88">
        <f>VLOOKUP(Table91213[[#This Row],[Date]],'DB Details'!$A:$L,10)</f>
        <v/>
      </c>
      <c r="K269" s="119" t="n"/>
      <c r="L269" s="88">
        <f>VLOOKUP(Table91213[[#This Row],[Date]],'DB Details'!$A:$L,12)</f>
        <v/>
      </c>
    </row>
    <row r="270">
      <c r="A270" s="39" t="n">
        <v>25569</v>
      </c>
      <c r="B270" s="57">
        <f>VLOOKUP(Table91213[[#This Row],[Date]],'DB Details'!$A:$L,2)</f>
        <v/>
      </c>
      <c r="C270" s="41" t="n"/>
      <c r="D270" s="55" t="n"/>
      <c r="E270" s="88">
        <f>VLOOKUP(Table91213[[#This Row],[Date]],'DB Details'!$A:$L,5)</f>
        <v/>
      </c>
      <c r="F270" s="88">
        <f>VLOOKUP(Table91213[[#This Row],[Date]],'DB Details'!$A:$L,6)</f>
        <v/>
      </c>
      <c r="G270" s="119" t="n"/>
      <c r="H270" s="88">
        <f>VLOOKUP(Table91213[[#This Row],[Date]],'DB Details'!$A:$L,8)</f>
        <v/>
      </c>
      <c r="I270" s="88">
        <f>VLOOKUP(Table91213[[#This Row],[Date]],'DB Details'!$A:$L,9)</f>
        <v/>
      </c>
      <c r="J270" s="88">
        <f>VLOOKUP(Table91213[[#This Row],[Date]],'DB Details'!$A:$L,10)</f>
        <v/>
      </c>
      <c r="K270" s="119" t="n"/>
      <c r="L270" s="88">
        <f>VLOOKUP(Table91213[[#This Row],[Date]],'DB Details'!$A:$L,12)</f>
        <v/>
      </c>
    </row>
    <row r="271">
      <c r="A271" s="39" t="n">
        <v>25600</v>
      </c>
      <c r="B271" s="57">
        <f>VLOOKUP(Table91213[[#This Row],[Date]],'DB Details'!$A:$L,2)</f>
        <v/>
      </c>
      <c r="C271" s="41" t="n"/>
      <c r="D271" s="55" t="n"/>
      <c r="E271" s="88">
        <f>VLOOKUP(Table91213[[#This Row],[Date]],'DB Details'!$A:$L,5)</f>
        <v/>
      </c>
      <c r="F271" s="88">
        <f>VLOOKUP(Table91213[[#This Row],[Date]],'DB Details'!$A:$L,6)</f>
        <v/>
      </c>
      <c r="G271" s="119" t="n"/>
      <c r="H271" s="88">
        <f>VLOOKUP(Table91213[[#This Row],[Date]],'DB Details'!$A:$L,8)</f>
        <v/>
      </c>
      <c r="I271" s="88">
        <f>VLOOKUP(Table91213[[#This Row],[Date]],'DB Details'!$A:$L,9)</f>
        <v/>
      </c>
      <c r="J271" s="88">
        <f>VLOOKUP(Table91213[[#This Row],[Date]],'DB Details'!$A:$L,10)</f>
        <v/>
      </c>
      <c r="K271" s="119" t="n"/>
      <c r="L271" s="88">
        <f>VLOOKUP(Table91213[[#This Row],[Date]],'DB Details'!$A:$L,12)</f>
        <v/>
      </c>
    </row>
    <row r="272">
      <c r="A272" s="39" t="n">
        <v>25628</v>
      </c>
      <c r="B272" s="57">
        <f>VLOOKUP(Table91213[[#This Row],[Date]],'DB Details'!$A:$L,2)</f>
        <v/>
      </c>
      <c r="C272" s="41" t="n"/>
      <c r="D272" s="55" t="n"/>
      <c r="E272" s="88">
        <f>VLOOKUP(Table91213[[#This Row],[Date]],'DB Details'!$A:$L,5)</f>
        <v/>
      </c>
      <c r="F272" s="88">
        <f>VLOOKUP(Table91213[[#This Row],[Date]],'DB Details'!$A:$L,6)</f>
        <v/>
      </c>
      <c r="G272" s="119" t="n"/>
      <c r="H272" s="88">
        <f>VLOOKUP(Table91213[[#This Row],[Date]],'DB Details'!$A:$L,8)</f>
        <v/>
      </c>
      <c r="I272" s="88">
        <f>VLOOKUP(Table91213[[#This Row],[Date]],'DB Details'!$A:$L,9)</f>
        <v/>
      </c>
      <c r="J272" s="88">
        <f>VLOOKUP(Table91213[[#This Row],[Date]],'DB Details'!$A:$L,10)</f>
        <v/>
      </c>
      <c r="K272" s="119" t="n"/>
      <c r="L272" s="88">
        <f>VLOOKUP(Table91213[[#This Row],[Date]],'DB Details'!$A:$L,12)</f>
        <v/>
      </c>
    </row>
    <row r="273">
      <c r="A273" s="39" t="n">
        <v>25659</v>
      </c>
      <c r="B273" s="57">
        <f>VLOOKUP(Table91213[[#This Row],[Date]],'DB Details'!$A:$L,2)</f>
        <v/>
      </c>
      <c r="C273" s="41" t="n"/>
      <c r="D273" s="55" t="n"/>
      <c r="E273" s="88">
        <f>VLOOKUP(Table91213[[#This Row],[Date]],'DB Details'!$A:$L,5)</f>
        <v/>
      </c>
      <c r="F273" s="88">
        <f>VLOOKUP(Table91213[[#This Row],[Date]],'DB Details'!$A:$L,6)</f>
        <v/>
      </c>
      <c r="G273" s="119" t="n"/>
      <c r="H273" s="88">
        <f>VLOOKUP(Table91213[[#This Row],[Date]],'DB Details'!$A:$L,8)</f>
        <v/>
      </c>
      <c r="I273" s="88">
        <f>VLOOKUP(Table91213[[#This Row],[Date]],'DB Details'!$A:$L,9)</f>
        <v/>
      </c>
      <c r="J273" s="88">
        <f>VLOOKUP(Table91213[[#This Row],[Date]],'DB Details'!$A:$L,10)</f>
        <v/>
      </c>
      <c r="K273" s="119" t="n"/>
      <c r="L273" s="88">
        <f>VLOOKUP(Table91213[[#This Row],[Date]],'DB Details'!$A:$L,12)</f>
        <v/>
      </c>
    </row>
    <row r="274">
      <c r="A274" s="39" t="n">
        <v>25689</v>
      </c>
      <c r="B274" s="57">
        <f>VLOOKUP(Table91213[[#This Row],[Date]],'DB Details'!$A:$L,2)</f>
        <v/>
      </c>
      <c r="C274" s="41" t="n"/>
      <c r="D274" s="55" t="n"/>
      <c r="E274" s="88">
        <f>VLOOKUP(Table91213[[#This Row],[Date]],'DB Details'!$A:$L,5)</f>
        <v/>
      </c>
      <c r="F274" s="88">
        <f>VLOOKUP(Table91213[[#This Row],[Date]],'DB Details'!$A:$L,6)</f>
        <v/>
      </c>
      <c r="G274" s="119" t="n"/>
      <c r="H274" s="88">
        <f>VLOOKUP(Table91213[[#This Row],[Date]],'DB Details'!$A:$L,8)</f>
        <v/>
      </c>
      <c r="I274" s="88">
        <f>VLOOKUP(Table91213[[#This Row],[Date]],'DB Details'!$A:$L,9)</f>
        <v/>
      </c>
      <c r="J274" s="88">
        <f>VLOOKUP(Table91213[[#This Row],[Date]],'DB Details'!$A:$L,10)</f>
        <v/>
      </c>
      <c r="K274" s="119" t="n"/>
      <c r="L274" s="88">
        <f>VLOOKUP(Table91213[[#This Row],[Date]],'DB Details'!$A:$L,12)</f>
        <v/>
      </c>
    </row>
    <row r="275">
      <c r="A275" s="39" t="n">
        <v>25720</v>
      </c>
      <c r="B275" s="57">
        <f>VLOOKUP(Table91213[[#This Row],[Date]],'DB Details'!$A:$L,2)</f>
        <v/>
      </c>
      <c r="C275" s="41" t="n"/>
      <c r="D275" s="55" t="n"/>
      <c r="E275" s="88">
        <f>VLOOKUP(Table91213[[#This Row],[Date]],'DB Details'!$A:$L,5)</f>
        <v/>
      </c>
      <c r="F275" s="88">
        <f>VLOOKUP(Table91213[[#This Row],[Date]],'DB Details'!$A:$L,6)</f>
        <v/>
      </c>
      <c r="G275" s="119" t="n"/>
      <c r="H275" s="88">
        <f>VLOOKUP(Table91213[[#This Row],[Date]],'DB Details'!$A:$L,8)</f>
        <v/>
      </c>
      <c r="I275" s="88">
        <f>VLOOKUP(Table91213[[#This Row],[Date]],'DB Details'!$A:$L,9)</f>
        <v/>
      </c>
      <c r="J275" s="88">
        <f>VLOOKUP(Table91213[[#This Row],[Date]],'DB Details'!$A:$L,10)</f>
        <v/>
      </c>
      <c r="K275" s="119" t="n"/>
      <c r="L275" s="88">
        <f>VLOOKUP(Table91213[[#This Row],[Date]],'DB Details'!$A:$L,12)</f>
        <v/>
      </c>
    </row>
    <row r="276">
      <c r="A276" s="39" t="n">
        <v>25750</v>
      </c>
      <c r="B276" s="57">
        <f>VLOOKUP(Table91213[[#This Row],[Date]],'DB Details'!$A:$L,2)</f>
        <v/>
      </c>
      <c r="C276" s="41" t="n"/>
      <c r="D276" s="55" t="n"/>
      <c r="E276" s="88">
        <f>VLOOKUP(Table91213[[#This Row],[Date]],'DB Details'!$A:$L,5)</f>
        <v/>
      </c>
      <c r="F276" s="88">
        <f>VLOOKUP(Table91213[[#This Row],[Date]],'DB Details'!$A:$L,6)</f>
        <v/>
      </c>
      <c r="G276" s="119" t="n"/>
      <c r="H276" s="88">
        <f>VLOOKUP(Table91213[[#This Row],[Date]],'DB Details'!$A:$L,8)</f>
        <v/>
      </c>
      <c r="I276" s="88">
        <f>VLOOKUP(Table91213[[#This Row],[Date]],'DB Details'!$A:$L,9)</f>
        <v/>
      </c>
      <c r="J276" s="88">
        <f>VLOOKUP(Table91213[[#This Row],[Date]],'DB Details'!$A:$L,10)</f>
        <v/>
      </c>
      <c r="K276" s="119" t="n"/>
      <c r="L276" s="88">
        <f>VLOOKUP(Table91213[[#This Row],[Date]],'DB Details'!$A:$L,12)</f>
        <v/>
      </c>
    </row>
    <row r="277">
      <c r="A277" s="39" t="n">
        <v>25781</v>
      </c>
      <c r="B277" s="57">
        <f>VLOOKUP(Table91213[[#This Row],[Date]],'DB Details'!$A:$L,2)</f>
        <v/>
      </c>
      <c r="C277" s="41" t="n"/>
      <c r="D277" s="55" t="n"/>
      <c r="E277" s="88">
        <f>VLOOKUP(Table91213[[#This Row],[Date]],'DB Details'!$A:$L,5)</f>
        <v/>
      </c>
      <c r="F277" s="88">
        <f>VLOOKUP(Table91213[[#This Row],[Date]],'DB Details'!$A:$L,6)</f>
        <v/>
      </c>
      <c r="G277" s="119" t="n"/>
      <c r="H277" s="88">
        <f>VLOOKUP(Table91213[[#This Row],[Date]],'DB Details'!$A:$L,8)</f>
        <v/>
      </c>
      <c r="I277" s="88">
        <f>VLOOKUP(Table91213[[#This Row],[Date]],'DB Details'!$A:$L,9)</f>
        <v/>
      </c>
      <c r="J277" s="88">
        <f>VLOOKUP(Table91213[[#This Row],[Date]],'DB Details'!$A:$L,10)</f>
        <v/>
      </c>
      <c r="K277" s="119" t="n"/>
      <c r="L277" s="88">
        <f>VLOOKUP(Table91213[[#This Row],[Date]],'DB Details'!$A:$L,12)</f>
        <v/>
      </c>
    </row>
    <row r="278">
      <c r="A278" s="39" t="n">
        <v>25812</v>
      </c>
      <c r="B278" s="57">
        <f>VLOOKUP(Table91213[[#This Row],[Date]],'DB Details'!$A:$L,2)</f>
        <v/>
      </c>
      <c r="C278" s="41" t="n"/>
      <c r="D278" s="55" t="n"/>
      <c r="E278" s="88">
        <f>VLOOKUP(Table91213[[#This Row],[Date]],'DB Details'!$A:$L,5)</f>
        <v/>
      </c>
      <c r="F278" s="88">
        <f>VLOOKUP(Table91213[[#This Row],[Date]],'DB Details'!$A:$L,6)</f>
        <v/>
      </c>
      <c r="G278" s="119" t="n"/>
      <c r="H278" s="88">
        <f>VLOOKUP(Table91213[[#This Row],[Date]],'DB Details'!$A:$L,8)</f>
        <v/>
      </c>
      <c r="I278" s="88">
        <f>VLOOKUP(Table91213[[#This Row],[Date]],'DB Details'!$A:$L,9)</f>
        <v/>
      </c>
      <c r="J278" s="88">
        <f>VLOOKUP(Table91213[[#This Row],[Date]],'DB Details'!$A:$L,10)</f>
        <v/>
      </c>
      <c r="K278" s="119" t="n"/>
      <c r="L278" s="88">
        <f>VLOOKUP(Table91213[[#This Row],[Date]],'DB Details'!$A:$L,12)</f>
        <v/>
      </c>
    </row>
    <row r="279">
      <c r="A279" s="39" t="n">
        <v>25842</v>
      </c>
      <c r="B279" s="57">
        <f>VLOOKUP(Table91213[[#This Row],[Date]],'DB Details'!$A:$L,2)</f>
        <v/>
      </c>
      <c r="C279" s="41" t="n"/>
      <c r="D279" s="55" t="n"/>
      <c r="E279" s="88">
        <f>VLOOKUP(Table91213[[#This Row],[Date]],'DB Details'!$A:$L,5)</f>
        <v/>
      </c>
      <c r="F279" s="88">
        <f>VLOOKUP(Table91213[[#This Row],[Date]],'DB Details'!$A:$L,6)</f>
        <v/>
      </c>
      <c r="G279" s="119" t="n"/>
      <c r="H279" s="88">
        <f>VLOOKUP(Table91213[[#This Row],[Date]],'DB Details'!$A:$L,8)</f>
        <v/>
      </c>
      <c r="I279" s="88">
        <f>VLOOKUP(Table91213[[#This Row],[Date]],'DB Details'!$A:$L,9)</f>
        <v/>
      </c>
      <c r="J279" s="88">
        <f>VLOOKUP(Table91213[[#This Row],[Date]],'DB Details'!$A:$L,10)</f>
        <v/>
      </c>
      <c r="K279" s="119" t="n"/>
      <c r="L279" s="88">
        <f>VLOOKUP(Table91213[[#This Row],[Date]],'DB Details'!$A:$L,12)</f>
        <v/>
      </c>
    </row>
    <row r="280">
      <c r="A280" s="39" t="n">
        <v>25873</v>
      </c>
      <c r="B280" s="57">
        <f>VLOOKUP(Table91213[[#This Row],[Date]],'DB Details'!$A:$L,2)</f>
        <v/>
      </c>
      <c r="C280" s="41" t="n"/>
      <c r="D280" s="55" t="n"/>
      <c r="E280" s="88">
        <f>VLOOKUP(Table91213[[#This Row],[Date]],'DB Details'!$A:$L,5)</f>
        <v/>
      </c>
      <c r="F280" s="88">
        <f>VLOOKUP(Table91213[[#This Row],[Date]],'DB Details'!$A:$L,6)</f>
        <v/>
      </c>
      <c r="G280" s="119" t="n"/>
      <c r="H280" s="88">
        <f>VLOOKUP(Table91213[[#This Row],[Date]],'DB Details'!$A:$L,8)</f>
        <v/>
      </c>
      <c r="I280" s="88">
        <f>VLOOKUP(Table91213[[#This Row],[Date]],'DB Details'!$A:$L,9)</f>
        <v/>
      </c>
      <c r="J280" s="88">
        <f>VLOOKUP(Table91213[[#This Row],[Date]],'DB Details'!$A:$L,10)</f>
        <v/>
      </c>
      <c r="K280" s="119" t="n"/>
      <c r="L280" s="88">
        <f>VLOOKUP(Table91213[[#This Row],[Date]],'DB Details'!$A:$L,12)</f>
        <v/>
      </c>
    </row>
    <row r="281">
      <c r="A281" s="39" t="n">
        <v>25903</v>
      </c>
      <c r="B281" s="57">
        <f>VLOOKUP(Table91213[[#This Row],[Date]],'DB Details'!$A:$L,2)</f>
        <v/>
      </c>
      <c r="C281" s="41" t="n"/>
      <c r="D281" s="55" t="n"/>
      <c r="E281" s="88">
        <f>VLOOKUP(Table91213[[#This Row],[Date]],'DB Details'!$A:$L,5)</f>
        <v/>
      </c>
      <c r="F281" s="88">
        <f>VLOOKUP(Table91213[[#This Row],[Date]],'DB Details'!$A:$L,6)</f>
        <v/>
      </c>
      <c r="G281" s="119" t="n"/>
      <c r="H281" s="88">
        <f>VLOOKUP(Table91213[[#This Row],[Date]],'DB Details'!$A:$L,8)</f>
        <v/>
      </c>
      <c r="I281" s="88">
        <f>VLOOKUP(Table91213[[#This Row],[Date]],'DB Details'!$A:$L,9)</f>
        <v/>
      </c>
      <c r="J281" s="88">
        <f>VLOOKUP(Table91213[[#This Row],[Date]],'DB Details'!$A:$L,10)</f>
        <v/>
      </c>
      <c r="K281" s="119" t="n"/>
      <c r="L281" s="88">
        <f>VLOOKUP(Table91213[[#This Row],[Date]],'DB Details'!$A:$L,12)</f>
        <v/>
      </c>
    </row>
    <row r="282">
      <c r="A282" s="39" t="n">
        <v>25934</v>
      </c>
      <c r="B282" s="57">
        <f>VLOOKUP(Table91213[[#This Row],[Date]],'DB Details'!$A:$L,2)</f>
        <v/>
      </c>
      <c r="C282" s="41" t="n"/>
      <c r="D282" s="55" t="n"/>
      <c r="E282" s="88">
        <f>VLOOKUP(Table91213[[#This Row],[Date]],'DB Details'!$A:$L,5)</f>
        <v/>
      </c>
      <c r="F282" s="88">
        <f>VLOOKUP(Table91213[[#This Row],[Date]],'DB Details'!$A:$L,6)</f>
        <v/>
      </c>
      <c r="G282" s="119" t="n"/>
      <c r="H282" s="88">
        <f>VLOOKUP(Table91213[[#This Row],[Date]],'DB Details'!$A:$L,8)</f>
        <v/>
      </c>
      <c r="I282" s="88">
        <f>VLOOKUP(Table91213[[#This Row],[Date]],'DB Details'!$A:$L,9)</f>
        <v/>
      </c>
      <c r="J282" s="88">
        <f>VLOOKUP(Table91213[[#This Row],[Date]],'DB Details'!$A:$L,10)</f>
        <v/>
      </c>
      <c r="K282" s="119" t="n"/>
      <c r="L282" s="88">
        <f>VLOOKUP(Table91213[[#This Row],[Date]],'DB Details'!$A:$L,12)</f>
        <v/>
      </c>
    </row>
    <row r="283">
      <c r="A283" s="39" t="n">
        <v>25965</v>
      </c>
      <c r="B283" s="57">
        <f>VLOOKUP(Table91213[[#This Row],[Date]],'DB Details'!$A:$L,2)</f>
        <v/>
      </c>
      <c r="C283" s="41" t="n"/>
      <c r="D283" s="55" t="n"/>
      <c r="E283" s="88">
        <f>VLOOKUP(Table91213[[#This Row],[Date]],'DB Details'!$A:$L,5)</f>
        <v/>
      </c>
      <c r="F283" s="88">
        <f>VLOOKUP(Table91213[[#This Row],[Date]],'DB Details'!$A:$L,6)</f>
        <v/>
      </c>
      <c r="G283" s="119" t="n"/>
      <c r="H283" s="88">
        <f>VLOOKUP(Table91213[[#This Row],[Date]],'DB Details'!$A:$L,8)</f>
        <v/>
      </c>
      <c r="I283" s="88">
        <f>VLOOKUP(Table91213[[#This Row],[Date]],'DB Details'!$A:$L,9)</f>
        <v/>
      </c>
      <c r="J283" s="88">
        <f>VLOOKUP(Table91213[[#This Row],[Date]],'DB Details'!$A:$L,10)</f>
        <v/>
      </c>
      <c r="K283" s="119" t="n"/>
      <c r="L283" s="88">
        <f>VLOOKUP(Table91213[[#This Row],[Date]],'DB Details'!$A:$L,12)</f>
        <v/>
      </c>
    </row>
    <row r="284">
      <c r="A284" s="39" t="n">
        <v>25993</v>
      </c>
      <c r="B284" s="57">
        <f>VLOOKUP(Table91213[[#This Row],[Date]],'DB Details'!$A:$L,2)</f>
        <v/>
      </c>
      <c r="C284" s="41" t="n"/>
      <c r="D284" s="55" t="n"/>
      <c r="E284" s="88">
        <f>VLOOKUP(Table91213[[#This Row],[Date]],'DB Details'!$A:$L,5)</f>
        <v/>
      </c>
      <c r="F284" s="88">
        <f>VLOOKUP(Table91213[[#This Row],[Date]],'DB Details'!$A:$L,6)</f>
        <v/>
      </c>
      <c r="G284" s="119" t="n"/>
      <c r="H284" s="88">
        <f>VLOOKUP(Table91213[[#This Row],[Date]],'DB Details'!$A:$L,8)</f>
        <v/>
      </c>
      <c r="I284" s="88">
        <f>VLOOKUP(Table91213[[#This Row],[Date]],'DB Details'!$A:$L,9)</f>
        <v/>
      </c>
      <c r="J284" s="88">
        <f>VLOOKUP(Table91213[[#This Row],[Date]],'DB Details'!$A:$L,10)</f>
        <v/>
      </c>
      <c r="K284" s="119" t="n"/>
      <c r="L284" s="88">
        <f>VLOOKUP(Table91213[[#This Row],[Date]],'DB Details'!$A:$L,12)</f>
        <v/>
      </c>
    </row>
    <row r="285">
      <c r="A285" s="39" t="n">
        <v>26024</v>
      </c>
      <c r="B285" s="57">
        <f>VLOOKUP(Table91213[[#This Row],[Date]],'DB Details'!$A:$L,2)</f>
        <v/>
      </c>
      <c r="C285" s="41" t="n"/>
      <c r="D285" s="55" t="n"/>
      <c r="E285" s="88">
        <f>VLOOKUP(Table91213[[#This Row],[Date]],'DB Details'!$A:$L,5)</f>
        <v/>
      </c>
      <c r="F285" s="88">
        <f>VLOOKUP(Table91213[[#This Row],[Date]],'DB Details'!$A:$L,6)</f>
        <v/>
      </c>
      <c r="G285" s="119" t="n"/>
      <c r="H285" s="88">
        <f>VLOOKUP(Table91213[[#This Row],[Date]],'DB Details'!$A:$L,8)</f>
        <v/>
      </c>
      <c r="I285" s="88">
        <f>VLOOKUP(Table91213[[#This Row],[Date]],'DB Details'!$A:$L,9)</f>
        <v/>
      </c>
      <c r="J285" s="88">
        <f>VLOOKUP(Table91213[[#This Row],[Date]],'DB Details'!$A:$L,10)</f>
        <v/>
      </c>
      <c r="K285" s="119" t="n"/>
      <c r="L285" s="88">
        <f>VLOOKUP(Table91213[[#This Row],[Date]],'DB Details'!$A:$L,12)</f>
        <v/>
      </c>
    </row>
    <row r="286">
      <c r="A286" s="39" t="n">
        <v>26054</v>
      </c>
      <c r="B286" s="57">
        <f>VLOOKUP(Table91213[[#This Row],[Date]],'DB Details'!$A:$L,2)</f>
        <v/>
      </c>
      <c r="C286" s="41" t="n"/>
      <c r="D286" s="55" t="n"/>
      <c r="E286" s="88">
        <f>VLOOKUP(Table91213[[#This Row],[Date]],'DB Details'!$A:$L,5)</f>
        <v/>
      </c>
      <c r="F286" s="88">
        <f>VLOOKUP(Table91213[[#This Row],[Date]],'DB Details'!$A:$L,6)</f>
        <v/>
      </c>
      <c r="G286" s="119" t="n"/>
      <c r="H286" s="88">
        <f>VLOOKUP(Table91213[[#This Row],[Date]],'DB Details'!$A:$L,8)</f>
        <v/>
      </c>
      <c r="I286" s="88">
        <f>VLOOKUP(Table91213[[#This Row],[Date]],'DB Details'!$A:$L,9)</f>
        <v/>
      </c>
      <c r="J286" s="88">
        <f>VLOOKUP(Table91213[[#This Row],[Date]],'DB Details'!$A:$L,10)</f>
        <v/>
      </c>
      <c r="K286" s="119" t="n"/>
      <c r="L286" s="88">
        <f>VLOOKUP(Table91213[[#This Row],[Date]],'DB Details'!$A:$L,12)</f>
        <v/>
      </c>
    </row>
    <row r="287">
      <c r="A287" s="39" t="n">
        <v>26085</v>
      </c>
      <c r="B287" s="57">
        <f>VLOOKUP(Table91213[[#This Row],[Date]],'DB Details'!$A:$L,2)</f>
        <v/>
      </c>
      <c r="C287" s="41" t="n"/>
      <c r="D287" s="55" t="n"/>
      <c r="E287" s="88">
        <f>VLOOKUP(Table91213[[#This Row],[Date]],'DB Details'!$A:$L,5)</f>
        <v/>
      </c>
      <c r="F287" s="88">
        <f>VLOOKUP(Table91213[[#This Row],[Date]],'DB Details'!$A:$L,6)</f>
        <v/>
      </c>
      <c r="G287" s="119" t="n"/>
      <c r="H287" s="88">
        <f>VLOOKUP(Table91213[[#This Row],[Date]],'DB Details'!$A:$L,8)</f>
        <v/>
      </c>
      <c r="I287" s="88">
        <f>VLOOKUP(Table91213[[#This Row],[Date]],'DB Details'!$A:$L,9)</f>
        <v/>
      </c>
      <c r="J287" s="88">
        <f>VLOOKUP(Table91213[[#This Row],[Date]],'DB Details'!$A:$L,10)</f>
        <v/>
      </c>
      <c r="K287" s="119" t="n"/>
      <c r="L287" s="88">
        <f>VLOOKUP(Table91213[[#This Row],[Date]],'DB Details'!$A:$L,12)</f>
        <v/>
      </c>
    </row>
    <row r="288">
      <c r="A288" s="39" t="n">
        <v>26115</v>
      </c>
      <c r="B288" s="57">
        <f>VLOOKUP(Table91213[[#This Row],[Date]],'DB Details'!$A:$L,2)</f>
        <v/>
      </c>
      <c r="C288" s="41" t="n"/>
      <c r="D288" s="55" t="n"/>
      <c r="E288" s="88">
        <f>VLOOKUP(Table91213[[#This Row],[Date]],'DB Details'!$A:$L,5)</f>
        <v/>
      </c>
      <c r="F288" s="88">
        <f>VLOOKUP(Table91213[[#This Row],[Date]],'DB Details'!$A:$L,6)</f>
        <v/>
      </c>
      <c r="G288" s="119" t="n"/>
      <c r="H288" s="88">
        <f>VLOOKUP(Table91213[[#This Row],[Date]],'DB Details'!$A:$L,8)</f>
        <v/>
      </c>
      <c r="I288" s="88">
        <f>VLOOKUP(Table91213[[#This Row],[Date]],'DB Details'!$A:$L,9)</f>
        <v/>
      </c>
      <c r="J288" s="88">
        <f>VLOOKUP(Table91213[[#This Row],[Date]],'DB Details'!$A:$L,10)</f>
        <v/>
      </c>
      <c r="K288" s="119" t="n"/>
      <c r="L288" s="88">
        <f>VLOOKUP(Table91213[[#This Row],[Date]],'DB Details'!$A:$L,12)</f>
        <v/>
      </c>
    </row>
    <row r="289">
      <c r="A289" s="39" t="n">
        <v>26146</v>
      </c>
      <c r="B289" s="57">
        <f>VLOOKUP(Table91213[[#This Row],[Date]],'DB Details'!$A:$L,2)</f>
        <v/>
      </c>
      <c r="C289" s="41" t="n"/>
      <c r="D289" s="55" t="n"/>
      <c r="E289" s="88">
        <f>VLOOKUP(Table91213[[#This Row],[Date]],'DB Details'!$A:$L,5)</f>
        <v/>
      </c>
      <c r="F289" s="88">
        <f>VLOOKUP(Table91213[[#This Row],[Date]],'DB Details'!$A:$L,6)</f>
        <v/>
      </c>
      <c r="G289" s="119" t="n"/>
      <c r="H289" s="88">
        <f>VLOOKUP(Table91213[[#This Row],[Date]],'DB Details'!$A:$L,8)</f>
        <v/>
      </c>
      <c r="I289" s="88">
        <f>VLOOKUP(Table91213[[#This Row],[Date]],'DB Details'!$A:$L,9)</f>
        <v/>
      </c>
      <c r="J289" s="88">
        <f>VLOOKUP(Table91213[[#This Row],[Date]],'DB Details'!$A:$L,10)</f>
        <v/>
      </c>
      <c r="K289" s="119" t="n"/>
      <c r="L289" s="88">
        <f>VLOOKUP(Table91213[[#This Row],[Date]],'DB Details'!$A:$L,12)</f>
        <v/>
      </c>
    </row>
    <row r="290">
      <c r="A290" s="39" t="n">
        <v>26177</v>
      </c>
      <c r="B290" s="57">
        <f>VLOOKUP(Table91213[[#This Row],[Date]],'DB Details'!$A:$L,2)</f>
        <v/>
      </c>
      <c r="C290" s="41" t="n"/>
      <c r="D290" s="55" t="n"/>
      <c r="E290" s="88">
        <f>VLOOKUP(Table91213[[#This Row],[Date]],'DB Details'!$A:$L,5)</f>
        <v/>
      </c>
      <c r="F290" s="88">
        <f>VLOOKUP(Table91213[[#This Row],[Date]],'DB Details'!$A:$L,6)</f>
        <v/>
      </c>
      <c r="G290" s="119" t="n"/>
      <c r="H290" s="88">
        <f>VLOOKUP(Table91213[[#This Row],[Date]],'DB Details'!$A:$L,8)</f>
        <v/>
      </c>
      <c r="I290" s="88">
        <f>VLOOKUP(Table91213[[#This Row],[Date]],'DB Details'!$A:$L,9)</f>
        <v/>
      </c>
      <c r="J290" s="88">
        <f>VLOOKUP(Table91213[[#This Row],[Date]],'DB Details'!$A:$L,10)</f>
        <v/>
      </c>
      <c r="K290" s="119" t="n"/>
      <c r="L290" s="88">
        <f>VLOOKUP(Table91213[[#This Row],[Date]],'DB Details'!$A:$L,12)</f>
        <v/>
      </c>
    </row>
    <row r="291">
      <c r="A291" s="39" t="n">
        <v>26207</v>
      </c>
      <c r="B291" s="57">
        <f>VLOOKUP(Table91213[[#This Row],[Date]],'DB Details'!$A:$L,2)</f>
        <v/>
      </c>
      <c r="C291" s="41" t="n"/>
      <c r="D291" s="55" t="n"/>
      <c r="E291" s="88">
        <f>VLOOKUP(Table91213[[#This Row],[Date]],'DB Details'!$A:$L,5)</f>
        <v/>
      </c>
      <c r="F291" s="88">
        <f>VLOOKUP(Table91213[[#This Row],[Date]],'DB Details'!$A:$L,6)</f>
        <v/>
      </c>
      <c r="G291" s="119" t="n"/>
      <c r="H291" s="88">
        <f>VLOOKUP(Table91213[[#This Row],[Date]],'DB Details'!$A:$L,8)</f>
        <v/>
      </c>
      <c r="I291" s="88">
        <f>VLOOKUP(Table91213[[#This Row],[Date]],'DB Details'!$A:$L,9)</f>
        <v/>
      </c>
      <c r="J291" s="88">
        <f>VLOOKUP(Table91213[[#This Row],[Date]],'DB Details'!$A:$L,10)</f>
        <v/>
      </c>
      <c r="K291" s="119" t="n"/>
      <c r="L291" s="88">
        <f>VLOOKUP(Table91213[[#This Row],[Date]],'DB Details'!$A:$L,12)</f>
        <v/>
      </c>
    </row>
    <row r="292">
      <c r="A292" s="39" t="n">
        <v>26238</v>
      </c>
      <c r="B292" s="57">
        <f>VLOOKUP(Table91213[[#This Row],[Date]],'DB Details'!$A:$L,2)</f>
        <v/>
      </c>
      <c r="C292" s="41" t="n"/>
      <c r="D292" s="55" t="n"/>
      <c r="E292" s="88">
        <f>VLOOKUP(Table91213[[#This Row],[Date]],'DB Details'!$A:$L,5)</f>
        <v/>
      </c>
      <c r="F292" s="88">
        <f>VLOOKUP(Table91213[[#This Row],[Date]],'DB Details'!$A:$L,6)</f>
        <v/>
      </c>
      <c r="G292" s="119" t="n"/>
      <c r="H292" s="88">
        <f>VLOOKUP(Table91213[[#This Row],[Date]],'DB Details'!$A:$L,8)</f>
        <v/>
      </c>
      <c r="I292" s="88">
        <f>VLOOKUP(Table91213[[#This Row],[Date]],'DB Details'!$A:$L,9)</f>
        <v/>
      </c>
      <c r="J292" s="88">
        <f>VLOOKUP(Table91213[[#This Row],[Date]],'DB Details'!$A:$L,10)</f>
        <v/>
      </c>
      <c r="K292" s="119" t="n"/>
      <c r="L292" s="88">
        <f>VLOOKUP(Table91213[[#This Row],[Date]],'DB Details'!$A:$L,12)</f>
        <v/>
      </c>
    </row>
    <row r="293">
      <c r="A293" s="39" t="n">
        <v>26268</v>
      </c>
      <c r="B293" s="57">
        <f>VLOOKUP(Table91213[[#This Row],[Date]],'DB Details'!$A:$L,2)</f>
        <v/>
      </c>
      <c r="C293" s="41" t="n"/>
      <c r="D293" s="55" t="n"/>
      <c r="E293" s="88">
        <f>VLOOKUP(Table91213[[#This Row],[Date]],'DB Details'!$A:$L,5)</f>
        <v/>
      </c>
      <c r="F293" s="88">
        <f>VLOOKUP(Table91213[[#This Row],[Date]],'DB Details'!$A:$L,6)</f>
        <v/>
      </c>
      <c r="G293" s="119" t="n"/>
      <c r="H293" s="88">
        <f>VLOOKUP(Table91213[[#This Row],[Date]],'DB Details'!$A:$L,8)</f>
        <v/>
      </c>
      <c r="I293" s="88">
        <f>VLOOKUP(Table91213[[#This Row],[Date]],'DB Details'!$A:$L,9)</f>
        <v/>
      </c>
      <c r="J293" s="88">
        <f>VLOOKUP(Table91213[[#This Row],[Date]],'DB Details'!$A:$L,10)</f>
        <v/>
      </c>
      <c r="K293" s="119" t="n"/>
      <c r="L293" s="88">
        <f>VLOOKUP(Table91213[[#This Row],[Date]],'DB Details'!$A:$L,12)</f>
        <v/>
      </c>
    </row>
    <row r="294">
      <c r="A294" s="39" t="n">
        <v>26299</v>
      </c>
      <c r="B294" s="57">
        <f>VLOOKUP(Table91213[[#This Row],[Date]],'DB Details'!$A:$L,2)</f>
        <v/>
      </c>
      <c r="C294" s="41" t="n"/>
      <c r="D294" s="55" t="n"/>
      <c r="E294" s="88">
        <f>VLOOKUP(Table91213[[#This Row],[Date]],'DB Details'!$A:$L,5)</f>
        <v/>
      </c>
      <c r="F294" s="88">
        <f>VLOOKUP(Table91213[[#This Row],[Date]],'DB Details'!$A:$L,6)</f>
        <v/>
      </c>
      <c r="G294" s="119" t="n"/>
      <c r="H294" s="88">
        <f>VLOOKUP(Table91213[[#This Row],[Date]],'DB Details'!$A:$L,8)</f>
        <v/>
      </c>
      <c r="I294" s="88">
        <f>VLOOKUP(Table91213[[#This Row],[Date]],'DB Details'!$A:$L,9)</f>
        <v/>
      </c>
      <c r="J294" s="88">
        <f>VLOOKUP(Table91213[[#This Row],[Date]],'DB Details'!$A:$L,10)</f>
        <v/>
      </c>
      <c r="K294" s="119" t="n"/>
      <c r="L294" s="88">
        <f>VLOOKUP(Table91213[[#This Row],[Date]],'DB Details'!$A:$L,12)</f>
        <v/>
      </c>
    </row>
    <row r="295">
      <c r="A295" s="39" t="n">
        <v>26330</v>
      </c>
      <c r="B295" s="57">
        <f>VLOOKUP(Table91213[[#This Row],[Date]],'DB Details'!$A:$L,2)</f>
        <v/>
      </c>
      <c r="C295" s="41" t="n"/>
      <c r="D295" s="55" t="n"/>
      <c r="E295" s="88">
        <f>VLOOKUP(Table91213[[#This Row],[Date]],'DB Details'!$A:$L,5)</f>
        <v/>
      </c>
      <c r="F295" s="88">
        <f>VLOOKUP(Table91213[[#This Row],[Date]],'DB Details'!$A:$L,6)</f>
        <v/>
      </c>
      <c r="G295" s="119" t="n"/>
      <c r="H295" s="88">
        <f>VLOOKUP(Table91213[[#This Row],[Date]],'DB Details'!$A:$L,8)</f>
        <v/>
      </c>
      <c r="I295" s="88">
        <f>VLOOKUP(Table91213[[#This Row],[Date]],'DB Details'!$A:$L,9)</f>
        <v/>
      </c>
      <c r="J295" s="88">
        <f>VLOOKUP(Table91213[[#This Row],[Date]],'DB Details'!$A:$L,10)</f>
        <v/>
      </c>
      <c r="K295" s="119" t="n"/>
      <c r="L295" s="88">
        <f>VLOOKUP(Table91213[[#This Row],[Date]],'DB Details'!$A:$L,12)</f>
        <v/>
      </c>
    </row>
    <row r="296">
      <c r="A296" s="39" t="n">
        <v>26359</v>
      </c>
      <c r="B296" s="57">
        <f>VLOOKUP(Table91213[[#This Row],[Date]],'DB Details'!$A:$L,2)</f>
        <v/>
      </c>
      <c r="C296" s="41" t="n"/>
      <c r="D296" s="55" t="n"/>
      <c r="E296" s="88">
        <f>VLOOKUP(Table91213[[#This Row],[Date]],'DB Details'!$A:$L,5)</f>
        <v/>
      </c>
      <c r="F296" s="88">
        <f>VLOOKUP(Table91213[[#This Row],[Date]],'DB Details'!$A:$L,6)</f>
        <v/>
      </c>
      <c r="G296" s="119" t="n"/>
      <c r="H296" s="88">
        <f>VLOOKUP(Table91213[[#This Row],[Date]],'DB Details'!$A:$L,8)</f>
        <v/>
      </c>
      <c r="I296" s="88">
        <f>VLOOKUP(Table91213[[#This Row],[Date]],'DB Details'!$A:$L,9)</f>
        <v/>
      </c>
      <c r="J296" s="88">
        <f>VLOOKUP(Table91213[[#This Row],[Date]],'DB Details'!$A:$L,10)</f>
        <v/>
      </c>
      <c r="K296" s="119" t="n"/>
      <c r="L296" s="88">
        <f>VLOOKUP(Table91213[[#This Row],[Date]],'DB Details'!$A:$L,12)</f>
        <v/>
      </c>
    </row>
    <row r="297">
      <c r="A297" s="39" t="n">
        <v>26390</v>
      </c>
      <c r="B297" s="57">
        <f>VLOOKUP(Table91213[[#This Row],[Date]],'DB Details'!$A:$L,2)</f>
        <v/>
      </c>
      <c r="C297" s="41" t="n"/>
      <c r="D297" s="55" t="n"/>
      <c r="E297" s="88">
        <f>VLOOKUP(Table91213[[#This Row],[Date]],'DB Details'!$A:$L,5)</f>
        <v/>
      </c>
      <c r="F297" s="88">
        <f>VLOOKUP(Table91213[[#This Row],[Date]],'DB Details'!$A:$L,6)</f>
        <v/>
      </c>
      <c r="G297" s="119" t="n"/>
      <c r="H297" s="88">
        <f>VLOOKUP(Table91213[[#This Row],[Date]],'DB Details'!$A:$L,8)</f>
        <v/>
      </c>
      <c r="I297" s="88">
        <f>VLOOKUP(Table91213[[#This Row],[Date]],'DB Details'!$A:$L,9)</f>
        <v/>
      </c>
      <c r="J297" s="88">
        <f>VLOOKUP(Table91213[[#This Row],[Date]],'DB Details'!$A:$L,10)</f>
        <v/>
      </c>
      <c r="K297" s="119" t="n"/>
      <c r="L297" s="88">
        <f>VLOOKUP(Table91213[[#This Row],[Date]],'DB Details'!$A:$L,12)</f>
        <v/>
      </c>
    </row>
    <row r="298">
      <c r="A298" s="39" t="n">
        <v>26420</v>
      </c>
      <c r="B298" s="57">
        <f>VLOOKUP(Table91213[[#This Row],[Date]],'DB Details'!$A:$L,2)</f>
        <v/>
      </c>
      <c r="C298" s="41" t="n"/>
      <c r="D298" s="55" t="n"/>
      <c r="E298" s="88">
        <f>VLOOKUP(Table91213[[#This Row],[Date]],'DB Details'!$A:$L,5)</f>
        <v/>
      </c>
      <c r="F298" s="88">
        <f>VLOOKUP(Table91213[[#This Row],[Date]],'DB Details'!$A:$L,6)</f>
        <v/>
      </c>
      <c r="G298" s="119" t="n"/>
      <c r="H298" s="88">
        <f>VLOOKUP(Table91213[[#This Row],[Date]],'DB Details'!$A:$L,8)</f>
        <v/>
      </c>
      <c r="I298" s="88">
        <f>VLOOKUP(Table91213[[#This Row],[Date]],'DB Details'!$A:$L,9)</f>
        <v/>
      </c>
      <c r="J298" s="88">
        <f>VLOOKUP(Table91213[[#This Row],[Date]],'DB Details'!$A:$L,10)</f>
        <v/>
      </c>
      <c r="K298" s="119" t="n"/>
      <c r="L298" s="88">
        <f>VLOOKUP(Table91213[[#This Row],[Date]],'DB Details'!$A:$L,12)</f>
        <v/>
      </c>
    </row>
    <row r="299">
      <c r="A299" s="39" t="n">
        <v>26451</v>
      </c>
      <c r="B299" s="57">
        <f>VLOOKUP(Table91213[[#This Row],[Date]],'DB Details'!$A:$L,2)</f>
        <v/>
      </c>
      <c r="C299" s="41" t="n"/>
      <c r="D299" s="55" t="n"/>
      <c r="E299" s="88">
        <f>VLOOKUP(Table91213[[#This Row],[Date]],'DB Details'!$A:$L,5)</f>
        <v/>
      </c>
      <c r="F299" s="88">
        <f>VLOOKUP(Table91213[[#This Row],[Date]],'DB Details'!$A:$L,6)</f>
        <v/>
      </c>
      <c r="G299" s="119" t="n"/>
      <c r="H299" s="88">
        <f>VLOOKUP(Table91213[[#This Row],[Date]],'DB Details'!$A:$L,8)</f>
        <v/>
      </c>
      <c r="I299" s="88">
        <f>VLOOKUP(Table91213[[#This Row],[Date]],'DB Details'!$A:$L,9)</f>
        <v/>
      </c>
      <c r="J299" s="88">
        <f>VLOOKUP(Table91213[[#This Row],[Date]],'DB Details'!$A:$L,10)</f>
        <v/>
      </c>
      <c r="K299" s="119" t="n"/>
      <c r="L299" s="88">
        <f>VLOOKUP(Table91213[[#This Row],[Date]],'DB Details'!$A:$L,12)</f>
        <v/>
      </c>
    </row>
    <row r="300">
      <c r="A300" s="39" t="n">
        <v>26481</v>
      </c>
      <c r="B300" s="57">
        <f>VLOOKUP(Table91213[[#This Row],[Date]],'DB Details'!$A:$L,2)</f>
        <v/>
      </c>
      <c r="C300" s="41" t="n"/>
      <c r="D300" s="55" t="n"/>
      <c r="E300" s="88">
        <f>VLOOKUP(Table91213[[#This Row],[Date]],'DB Details'!$A:$L,5)</f>
        <v/>
      </c>
      <c r="F300" s="88">
        <f>VLOOKUP(Table91213[[#This Row],[Date]],'DB Details'!$A:$L,6)</f>
        <v/>
      </c>
      <c r="G300" s="119" t="n"/>
      <c r="H300" s="88">
        <f>VLOOKUP(Table91213[[#This Row],[Date]],'DB Details'!$A:$L,8)</f>
        <v/>
      </c>
      <c r="I300" s="88">
        <f>VLOOKUP(Table91213[[#This Row],[Date]],'DB Details'!$A:$L,9)</f>
        <v/>
      </c>
      <c r="J300" s="88">
        <f>VLOOKUP(Table91213[[#This Row],[Date]],'DB Details'!$A:$L,10)</f>
        <v/>
      </c>
      <c r="K300" s="119" t="n"/>
      <c r="L300" s="88">
        <f>VLOOKUP(Table91213[[#This Row],[Date]],'DB Details'!$A:$L,12)</f>
        <v/>
      </c>
    </row>
    <row r="301">
      <c r="A301" s="39" t="n">
        <v>26512</v>
      </c>
      <c r="B301" s="57">
        <f>VLOOKUP(Table91213[[#This Row],[Date]],'DB Details'!$A:$L,2)</f>
        <v/>
      </c>
      <c r="C301" s="41" t="n"/>
      <c r="D301" s="55" t="n"/>
      <c r="E301" s="88">
        <f>VLOOKUP(Table91213[[#This Row],[Date]],'DB Details'!$A:$L,5)</f>
        <v/>
      </c>
      <c r="F301" s="88">
        <f>VLOOKUP(Table91213[[#This Row],[Date]],'DB Details'!$A:$L,6)</f>
        <v/>
      </c>
      <c r="G301" s="119" t="n"/>
      <c r="H301" s="88">
        <f>VLOOKUP(Table91213[[#This Row],[Date]],'DB Details'!$A:$L,8)</f>
        <v/>
      </c>
      <c r="I301" s="88">
        <f>VLOOKUP(Table91213[[#This Row],[Date]],'DB Details'!$A:$L,9)</f>
        <v/>
      </c>
      <c r="J301" s="88">
        <f>VLOOKUP(Table91213[[#This Row],[Date]],'DB Details'!$A:$L,10)</f>
        <v/>
      </c>
      <c r="K301" s="119" t="n"/>
      <c r="L301" s="88">
        <f>VLOOKUP(Table91213[[#This Row],[Date]],'DB Details'!$A:$L,12)</f>
        <v/>
      </c>
    </row>
    <row r="302">
      <c r="A302" s="39" t="n">
        <v>26543</v>
      </c>
      <c r="B302" s="57">
        <f>VLOOKUP(Table91213[[#This Row],[Date]],'DB Details'!$A:$L,2)</f>
        <v/>
      </c>
      <c r="C302" s="41" t="n"/>
      <c r="D302" s="55" t="n"/>
      <c r="E302" s="88">
        <f>VLOOKUP(Table91213[[#This Row],[Date]],'DB Details'!$A:$L,5)</f>
        <v/>
      </c>
      <c r="F302" s="88">
        <f>VLOOKUP(Table91213[[#This Row],[Date]],'DB Details'!$A:$L,6)</f>
        <v/>
      </c>
      <c r="G302" s="119" t="n"/>
      <c r="H302" s="88">
        <f>VLOOKUP(Table91213[[#This Row],[Date]],'DB Details'!$A:$L,8)</f>
        <v/>
      </c>
      <c r="I302" s="88">
        <f>VLOOKUP(Table91213[[#This Row],[Date]],'DB Details'!$A:$L,9)</f>
        <v/>
      </c>
      <c r="J302" s="88">
        <f>VLOOKUP(Table91213[[#This Row],[Date]],'DB Details'!$A:$L,10)</f>
        <v/>
      </c>
      <c r="K302" s="119" t="n"/>
      <c r="L302" s="88">
        <f>VLOOKUP(Table91213[[#This Row],[Date]],'DB Details'!$A:$L,12)</f>
        <v/>
      </c>
    </row>
    <row r="303">
      <c r="A303" s="39" t="n">
        <v>26573</v>
      </c>
      <c r="B303" s="57">
        <f>VLOOKUP(Table91213[[#This Row],[Date]],'DB Details'!$A:$L,2)</f>
        <v/>
      </c>
      <c r="C303" s="41" t="n"/>
      <c r="D303" s="55" t="n"/>
      <c r="E303" s="88">
        <f>VLOOKUP(Table91213[[#This Row],[Date]],'DB Details'!$A:$L,5)</f>
        <v/>
      </c>
      <c r="F303" s="88">
        <f>VLOOKUP(Table91213[[#This Row],[Date]],'DB Details'!$A:$L,6)</f>
        <v/>
      </c>
      <c r="G303" s="119" t="n"/>
      <c r="H303" s="88">
        <f>VLOOKUP(Table91213[[#This Row],[Date]],'DB Details'!$A:$L,8)</f>
        <v/>
      </c>
      <c r="I303" s="88">
        <f>VLOOKUP(Table91213[[#This Row],[Date]],'DB Details'!$A:$L,9)</f>
        <v/>
      </c>
      <c r="J303" s="88">
        <f>VLOOKUP(Table91213[[#This Row],[Date]],'DB Details'!$A:$L,10)</f>
        <v/>
      </c>
      <c r="K303" s="119" t="n"/>
      <c r="L303" s="88">
        <f>VLOOKUP(Table91213[[#This Row],[Date]],'DB Details'!$A:$L,12)</f>
        <v/>
      </c>
    </row>
    <row r="304">
      <c r="A304" s="39" t="n">
        <v>26604</v>
      </c>
      <c r="B304" s="57">
        <f>VLOOKUP(Table91213[[#This Row],[Date]],'DB Details'!$A:$L,2)</f>
        <v/>
      </c>
      <c r="C304" s="41" t="n"/>
      <c r="D304" s="55" t="n"/>
      <c r="E304" s="88">
        <f>VLOOKUP(Table91213[[#This Row],[Date]],'DB Details'!$A:$L,5)</f>
        <v/>
      </c>
      <c r="F304" s="88">
        <f>VLOOKUP(Table91213[[#This Row],[Date]],'DB Details'!$A:$L,6)</f>
        <v/>
      </c>
      <c r="G304" s="119" t="n"/>
      <c r="H304" s="88">
        <f>VLOOKUP(Table91213[[#This Row],[Date]],'DB Details'!$A:$L,8)</f>
        <v/>
      </c>
      <c r="I304" s="88">
        <f>VLOOKUP(Table91213[[#This Row],[Date]],'DB Details'!$A:$L,9)</f>
        <v/>
      </c>
      <c r="J304" s="88">
        <f>VLOOKUP(Table91213[[#This Row],[Date]],'DB Details'!$A:$L,10)</f>
        <v/>
      </c>
      <c r="K304" s="119" t="n"/>
      <c r="L304" s="88">
        <f>VLOOKUP(Table91213[[#This Row],[Date]],'DB Details'!$A:$L,12)</f>
        <v/>
      </c>
    </row>
    <row r="305">
      <c r="A305" s="39" t="n">
        <v>26634</v>
      </c>
      <c r="B305" s="57">
        <f>VLOOKUP(Table91213[[#This Row],[Date]],'DB Details'!$A:$L,2)</f>
        <v/>
      </c>
      <c r="C305" s="41" t="n"/>
      <c r="D305" s="55" t="n"/>
      <c r="E305" s="88">
        <f>VLOOKUP(Table91213[[#This Row],[Date]],'DB Details'!$A:$L,5)</f>
        <v/>
      </c>
      <c r="F305" s="88">
        <f>VLOOKUP(Table91213[[#This Row],[Date]],'DB Details'!$A:$L,6)</f>
        <v/>
      </c>
      <c r="G305" s="119" t="n"/>
      <c r="H305" s="88">
        <f>VLOOKUP(Table91213[[#This Row],[Date]],'DB Details'!$A:$L,8)</f>
        <v/>
      </c>
      <c r="I305" s="88">
        <f>VLOOKUP(Table91213[[#This Row],[Date]],'DB Details'!$A:$L,9)</f>
        <v/>
      </c>
      <c r="J305" s="88">
        <f>VLOOKUP(Table91213[[#This Row],[Date]],'DB Details'!$A:$L,10)</f>
        <v/>
      </c>
      <c r="K305" s="119" t="n"/>
      <c r="L305" s="88">
        <f>VLOOKUP(Table91213[[#This Row],[Date]],'DB Details'!$A:$L,12)</f>
        <v/>
      </c>
    </row>
    <row r="306">
      <c r="A306" s="39" t="n">
        <v>26665</v>
      </c>
      <c r="B306" s="57">
        <f>VLOOKUP(Table91213[[#This Row],[Date]],'DB Details'!$A:$L,2)</f>
        <v/>
      </c>
      <c r="C306" s="41" t="n"/>
      <c r="D306" s="55" t="n"/>
      <c r="E306" s="88">
        <f>VLOOKUP(Table91213[[#This Row],[Date]],'DB Details'!$A:$L,5)</f>
        <v/>
      </c>
      <c r="F306" s="88">
        <f>VLOOKUP(Table91213[[#This Row],[Date]],'DB Details'!$A:$L,6)</f>
        <v/>
      </c>
      <c r="G306" s="119" t="n"/>
      <c r="H306" s="88">
        <f>VLOOKUP(Table91213[[#This Row],[Date]],'DB Details'!$A:$L,8)</f>
        <v/>
      </c>
      <c r="I306" s="88">
        <f>VLOOKUP(Table91213[[#This Row],[Date]],'DB Details'!$A:$L,9)</f>
        <v/>
      </c>
      <c r="J306" s="88">
        <f>VLOOKUP(Table91213[[#This Row],[Date]],'DB Details'!$A:$L,10)</f>
        <v/>
      </c>
      <c r="K306" s="119" t="n"/>
      <c r="L306" s="88">
        <f>VLOOKUP(Table91213[[#This Row],[Date]],'DB Details'!$A:$L,12)</f>
        <v/>
      </c>
    </row>
    <row r="307">
      <c r="A307" s="39" t="n">
        <v>26696</v>
      </c>
      <c r="B307" s="57">
        <f>VLOOKUP(Table91213[[#This Row],[Date]],'DB Details'!$A:$L,2)</f>
        <v/>
      </c>
      <c r="C307" s="41" t="n"/>
      <c r="D307" s="55" t="n"/>
      <c r="E307" s="88">
        <f>VLOOKUP(Table91213[[#This Row],[Date]],'DB Details'!$A:$L,5)</f>
        <v/>
      </c>
      <c r="F307" s="88">
        <f>VLOOKUP(Table91213[[#This Row],[Date]],'DB Details'!$A:$L,6)</f>
        <v/>
      </c>
      <c r="G307" s="119" t="n"/>
      <c r="H307" s="88">
        <f>VLOOKUP(Table91213[[#This Row],[Date]],'DB Details'!$A:$L,8)</f>
        <v/>
      </c>
      <c r="I307" s="88">
        <f>VLOOKUP(Table91213[[#This Row],[Date]],'DB Details'!$A:$L,9)</f>
        <v/>
      </c>
      <c r="J307" s="88">
        <f>VLOOKUP(Table91213[[#This Row],[Date]],'DB Details'!$A:$L,10)</f>
        <v/>
      </c>
      <c r="K307" s="119" t="n"/>
      <c r="L307" s="88">
        <f>VLOOKUP(Table91213[[#This Row],[Date]],'DB Details'!$A:$L,12)</f>
        <v/>
      </c>
    </row>
    <row r="308">
      <c r="A308" s="39" t="n">
        <v>26724</v>
      </c>
      <c r="B308" s="57">
        <f>VLOOKUP(Table91213[[#This Row],[Date]],'DB Details'!$A:$L,2)</f>
        <v/>
      </c>
      <c r="C308" s="41" t="n"/>
      <c r="D308" s="55" t="n"/>
      <c r="E308" s="88">
        <f>VLOOKUP(Table91213[[#This Row],[Date]],'DB Details'!$A:$L,5)</f>
        <v/>
      </c>
      <c r="F308" s="88">
        <f>VLOOKUP(Table91213[[#This Row],[Date]],'DB Details'!$A:$L,6)</f>
        <v/>
      </c>
      <c r="G308" s="119" t="n"/>
      <c r="H308" s="88">
        <f>VLOOKUP(Table91213[[#This Row],[Date]],'DB Details'!$A:$L,8)</f>
        <v/>
      </c>
      <c r="I308" s="88">
        <f>VLOOKUP(Table91213[[#This Row],[Date]],'DB Details'!$A:$L,9)</f>
        <v/>
      </c>
      <c r="J308" s="88">
        <f>VLOOKUP(Table91213[[#This Row],[Date]],'DB Details'!$A:$L,10)</f>
        <v/>
      </c>
      <c r="K308" s="119" t="n"/>
      <c r="L308" s="88">
        <f>VLOOKUP(Table91213[[#This Row],[Date]],'DB Details'!$A:$L,12)</f>
        <v/>
      </c>
    </row>
    <row r="309">
      <c r="A309" s="39" t="n">
        <v>26755</v>
      </c>
      <c r="B309" s="57">
        <f>VLOOKUP(Table91213[[#This Row],[Date]],'DB Details'!$A:$L,2)</f>
        <v/>
      </c>
      <c r="C309" s="41" t="n"/>
      <c r="D309" s="55" t="n"/>
      <c r="E309" s="88">
        <f>VLOOKUP(Table91213[[#This Row],[Date]],'DB Details'!$A:$L,5)</f>
        <v/>
      </c>
      <c r="F309" s="88">
        <f>VLOOKUP(Table91213[[#This Row],[Date]],'DB Details'!$A:$L,6)</f>
        <v/>
      </c>
      <c r="G309" s="119" t="n"/>
      <c r="H309" s="88">
        <f>VLOOKUP(Table91213[[#This Row],[Date]],'DB Details'!$A:$L,8)</f>
        <v/>
      </c>
      <c r="I309" s="88">
        <f>VLOOKUP(Table91213[[#This Row],[Date]],'DB Details'!$A:$L,9)</f>
        <v/>
      </c>
      <c r="J309" s="88">
        <f>VLOOKUP(Table91213[[#This Row],[Date]],'DB Details'!$A:$L,10)</f>
        <v/>
      </c>
      <c r="K309" s="119" t="n"/>
      <c r="L309" s="88">
        <f>VLOOKUP(Table91213[[#This Row],[Date]],'DB Details'!$A:$L,12)</f>
        <v/>
      </c>
    </row>
    <row r="310">
      <c r="A310" s="39" t="n">
        <v>26785</v>
      </c>
      <c r="B310" s="57">
        <f>VLOOKUP(Table91213[[#This Row],[Date]],'DB Details'!$A:$L,2)</f>
        <v/>
      </c>
      <c r="C310" s="41" t="n"/>
      <c r="D310" s="55" t="n"/>
      <c r="E310" s="88">
        <f>VLOOKUP(Table91213[[#This Row],[Date]],'DB Details'!$A:$L,5)</f>
        <v/>
      </c>
      <c r="F310" s="88">
        <f>VLOOKUP(Table91213[[#This Row],[Date]],'DB Details'!$A:$L,6)</f>
        <v/>
      </c>
      <c r="G310" s="119" t="n"/>
      <c r="H310" s="88">
        <f>VLOOKUP(Table91213[[#This Row],[Date]],'DB Details'!$A:$L,8)</f>
        <v/>
      </c>
      <c r="I310" s="88">
        <f>VLOOKUP(Table91213[[#This Row],[Date]],'DB Details'!$A:$L,9)</f>
        <v/>
      </c>
      <c r="J310" s="88">
        <f>VLOOKUP(Table91213[[#This Row],[Date]],'DB Details'!$A:$L,10)</f>
        <v/>
      </c>
      <c r="K310" s="119" t="n"/>
      <c r="L310" s="88">
        <f>VLOOKUP(Table91213[[#This Row],[Date]],'DB Details'!$A:$L,12)</f>
        <v/>
      </c>
    </row>
    <row r="311">
      <c r="A311" s="39" t="n">
        <v>26816</v>
      </c>
      <c r="B311" s="57">
        <f>VLOOKUP(Table91213[[#This Row],[Date]],'DB Details'!$A:$L,2)</f>
        <v/>
      </c>
      <c r="C311" s="41" t="n"/>
      <c r="D311" s="55" t="n"/>
      <c r="E311" s="88">
        <f>VLOOKUP(Table91213[[#This Row],[Date]],'DB Details'!$A:$L,5)</f>
        <v/>
      </c>
      <c r="F311" s="88">
        <f>VLOOKUP(Table91213[[#This Row],[Date]],'DB Details'!$A:$L,6)</f>
        <v/>
      </c>
      <c r="G311" s="119" t="n"/>
      <c r="H311" s="88">
        <f>VLOOKUP(Table91213[[#This Row],[Date]],'DB Details'!$A:$L,8)</f>
        <v/>
      </c>
      <c r="I311" s="88">
        <f>VLOOKUP(Table91213[[#This Row],[Date]],'DB Details'!$A:$L,9)</f>
        <v/>
      </c>
      <c r="J311" s="88">
        <f>VLOOKUP(Table91213[[#This Row],[Date]],'DB Details'!$A:$L,10)</f>
        <v/>
      </c>
      <c r="K311" s="119" t="n"/>
      <c r="L311" s="88">
        <f>VLOOKUP(Table91213[[#This Row],[Date]],'DB Details'!$A:$L,12)</f>
        <v/>
      </c>
    </row>
    <row r="312">
      <c r="A312" s="39" t="n">
        <v>26846</v>
      </c>
      <c r="B312" s="57">
        <f>VLOOKUP(Table91213[[#This Row],[Date]],'DB Details'!$A:$L,2)</f>
        <v/>
      </c>
      <c r="C312" s="41" t="n"/>
      <c r="D312" s="55" t="n"/>
      <c r="E312" s="88">
        <f>VLOOKUP(Table91213[[#This Row],[Date]],'DB Details'!$A:$L,5)</f>
        <v/>
      </c>
      <c r="F312" s="88">
        <f>VLOOKUP(Table91213[[#This Row],[Date]],'DB Details'!$A:$L,6)</f>
        <v/>
      </c>
      <c r="G312" s="119" t="n"/>
      <c r="H312" s="88">
        <f>VLOOKUP(Table91213[[#This Row],[Date]],'DB Details'!$A:$L,8)</f>
        <v/>
      </c>
      <c r="I312" s="88">
        <f>VLOOKUP(Table91213[[#This Row],[Date]],'DB Details'!$A:$L,9)</f>
        <v/>
      </c>
      <c r="J312" s="88">
        <f>VLOOKUP(Table91213[[#This Row],[Date]],'DB Details'!$A:$L,10)</f>
        <v/>
      </c>
      <c r="K312" s="119" t="n"/>
      <c r="L312" s="88">
        <f>VLOOKUP(Table91213[[#This Row],[Date]],'DB Details'!$A:$L,12)</f>
        <v/>
      </c>
    </row>
    <row r="313">
      <c r="A313" s="39" t="n">
        <v>26877</v>
      </c>
      <c r="B313" s="57">
        <f>VLOOKUP(Table91213[[#This Row],[Date]],'DB Details'!$A:$L,2)</f>
        <v/>
      </c>
      <c r="C313" s="41" t="n"/>
      <c r="D313" s="55" t="n"/>
      <c r="E313" s="88">
        <f>VLOOKUP(Table91213[[#This Row],[Date]],'DB Details'!$A:$L,5)</f>
        <v/>
      </c>
      <c r="F313" s="88">
        <f>VLOOKUP(Table91213[[#This Row],[Date]],'DB Details'!$A:$L,6)</f>
        <v/>
      </c>
      <c r="G313" s="119" t="n"/>
      <c r="H313" s="88">
        <f>VLOOKUP(Table91213[[#This Row],[Date]],'DB Details'!$A:$L,8)</f>
        <v/>
      </c>
      <c r="I313" s="88">
        <f>VLOOKUP(Table91213[[#This Row],[Date]],'DB Details'!$A:$L,9)</f>
        <v/>
      </c>
      <c r="J313" s="88">
        <f>VLOOKUP(Table91213[[#This Row],[Date]],'DB Details'!$A:$L,10)</f>
        <v/>
      </c>
      <c r="K313" s="119" t="n"/>
      <c r="L313" s="88">
        <f>VLOOKUP(Table91213[[#This Row],[Date]],'DB Details'!$A:$L,12)</f>
        <v/>
      </c>
    </row>
    <row r="314">
      <c r="A314" s="39" t="n">
        <v>26908</v>
      </c>
      <c r="B314" s="57">
        <f>VLOOKUP(Table91213[[#This Row],[Date]],'DB Details'!$A:$L,2)</f>
        <v/>
      </c>
      <c r="C314" s="41" t="n"/>
      <c r="D314" s="55" t="n"/>
      <c r="E314" s="88">
        <f>VLOOKUP(Table91213[[#This Row],[Date]],'DB Details'!$A:$L,5)</f>
        <v/>
      </c>
      <c r="F314" s="88">
        <f>VLOOKUP(Table91213[[#This Row],[Date]],'DB Details'!$A:$L,6)</f>
        <v/>
      </c>
      <c r="G314" s="119" t="n"/>
      <c r="H314" s="88">
        <f>VLOOKUP(Table91213[[#This Row],[Date]],'DB Details'!$A:$L,8)</f>
        <v/>
      </c>
      <c r="I314" s="88">
        <f>VLOOKUP(Table91213[[#This Row],[Date]],'DB Details'!$A:$L,9)</f>
        <v/>
      </c>
      <c r="J314" s="88">
        <f>VLOOKUP(Table91213[[#This Row],[Date]],'DB Details'!$A:$L,10)</f>
        <v/>
      </c>
      <c r="K314" s="119" t="n"/>
      <c r="L314" s="88">
        <f>VLOOKUP(Table91213[[#This Row],[Date]],'DB Details'!$A:$L,12)</f>
        <v/>
      </c>
    </row>
    <row r="315">
      <c r="A315" s="39" t="n">
        <v>26938</v>
      </c>
      <c r="B315" s="57">
        <f>VLOOKUP(Table91213[[#This Row],[Date]],'DB Details'!$A:$L,2)</f>
        <v/>
      </c>
      <c r="C315" s="41" t="n"/>
      <c r="D315" s="55" t="n"/>
      <c r="E315" s="88">
        <f>VLOOKUP(Table91213[[#This Row],[Date]],'DB Details'!$A:$L,5)</f>
        <v/>
      </c>
      <c r="F315" s="88">
        <f>VLOOKUP(Table91213[[#This Row],[Date]],'DB Details'!$A:$L,6)</f>
        <v/>
      </c>
      <c r="G315" s="119" t="n"/>
      <c r="H315" s="88">
        <f>VLOOKUP(Table91213[[#This Row],[Date]],'DB Details'!$A:$L,8)</f>
        <v/>
      </c>
      <c r="I315" s="88">
        <f>VLOOKUP(Table91213[[#This Row],[Date]],'DB Details'!$A:$L,9)</f>
        <v/>
      </c>
      <c r="J315" s="88">
        <f>VLOOKUP(Table91213[[#This Row],[Date]],'DB Details'!$A:$L,10)</f>
        <v/>
      </c>
      <c r="K315" s="119" t="n"/>
      <c r="L315" s="88">
        <f>VLOOKUP(Table91213[[#This Row],[Date]],'DB Details'!$A:$L,12)</f>
        <v/>
      </c>
    </row>
    <row r="316">
      <c r="A316" s="39" t="n">
        <v>26969</v>
      </c>
      <c r="B316" s="57">
        <f>VLOOKUP(Table91213[[#This Row],[Date]],'DB Details'!$A:$L,2)</f>
        <v/>
      </c>
      <c r="C316" s="41" t="n"/>
      <c r="D316" s="55" t="n"/>
      <c r="E316" s="88">
        <f>VLOOKUP(Table91213[[#This Row],[Date]],'DB Details'!$A:$L,5)</f>
        <v/>
      </c>
      <c r="F316" s="88">
        <f>VLOOKUP(Table91213[[#This Row],[Date]],'DB Details'!$A:$L,6)</f>
        <v/>
      </c>
      <c r="G316" s="119" t="n"/>
      <c r="H316" s="88">
        <f>VLOOKUP(Table91213[[#This Row],[Date]],'DB Details'!$A:$L,8)</f>
        <v/>
      </c>
      <c r="I316" s="88">
        <f>VLOOKUP(Table91213[[#This Row],[Date]],'DB Details'!$A:$L,9)</f>
        <v/>
      </c>
      <c r="J316" s="88">
        <f>VLOOKUP(Table91213[[#This Row],[Date]],'DB Details'!$A:$L,10)</f>
        <v/>
      </c>
      <c r="K316" s="119" t="n"/>
      <c r="L316" s="88">
        <f>VLOOKUP(Table91213[[#This Row],[Date]],'DB Details'!$A:$L,12)</f>
        <v/>
      </c>
    </row>
    <row r="317">
      <c r="A317" s="39" t="n">
        <v>26999</v>
      </c>
      <c r="B317" s="57">
        <f>VLOOKUP(Table91213[[#This Row],[Date]],'DB Details'!$A:$L,2)</f>
        <v/>
      </c>
      <c r="C317" s="41" t="n"/>
      <c r="D317" s="55" t="n"/>
      <c r="E317" s="88">
        <f>VLOOKUP(Table91213[[#This Row],[Date]],'DB Details'!$A:$L,5)</f>
        <v/>
      </c>
      <c r="F317" s="88">
        <f>VLOOKUP(Table91213[[#This Row],[Date]],'DB Details'!$A:$L,6)</f>
        <v/>
      </c>
      <c r="G317" s="119" t="n"/>
      <c r="H317" s="88">
        <f>VLOOKUP(Table91213[[#This Row],[Date]],'DB Details'!$A:$L,8)</f>
        <v/>
      </c>
      <c r="I317" s="88">
        <f>VLOOKUP(Table91213[[#This Row],[Date]],'DB Details'!$A:$L,9)</f>
        <v/>
      </c>
      <c r="J317" s="88">
        <f>VLOOKUP(Table91213[[#This Row],[Date]],'DB Details'!$A:$L,10)</f>
        <v/>
      </c>
      <c r="K317" s="119" t="n"/>
      <c r="L317" s="88">
        <f>VLOOKUP(Table91213[[#This Row],[Date]],'DB Details'!$A:$L,12)</f>
        <v/>
      </c>
    </row>
    <row r="318">
      <c r="A318" s="39" t="n">
        <v>27030</v>
      </c>
      <c r="B318" s="57">
        <f>VLOOKUP(Table91213[[#This Row],[Date]],'DB Details'!$A:$L,2)</f>
        <v/>
      </c>
      <c r="C318" s="41" t="n"/>
      <c r="D318" s="55" t="n"/>
      <c r="E318" s="88">
        <f>VLOOKUP(Table91213[[#This Row],[Date]],'DB Details'!$A:$L,5)</f>
        <v/>
      </c>
      <c r="F318" s="88">
        <f>VLOOKUP(Table91213[[#This Row],[Date]],'DB Details'!$A:$L,6)</f>
        <v/>
      </c>
      <c r="G318" s="119" t="n"/>
      <c r="H318" s="88">
        <f>VLOOKUP(Table91213[[#This Row],[Date]],'DB Details'!$A:$L,8)</f>
        <v/>
      </c>
      <c r="I318" s="88">
        <f>VLOOKUP(Table91213[[#This Row],[Date]],'DB Details'!$A:$L,9)</f>
        <v/>
      </c>
      <c r="J318" s="88">
        <f>VLOOKUP(Table91213[[#This Row],[Date]],'DB Details'!$A:$L,10)</f>
        <v/>
      </c>
      <c r="K318" s="119" t="n"/>
      <c r="L318" s="88">
        <f>VLOOKUP(Table91213[[#This Row],[Date]],'DB Details'!$A:$L,12)</f>
        <v/>
      </c>
    </row>
    <row r="319">
      <c r="A319" s="39" t="n">
        <v>27061</v>
      </c>
      <c r="B319" s="57">
        <f>VLOOKUP(Table91213[[#This Row],[Date]],'DB Details'!$A:$L,2)</f>
        <v/>
      </c>
      <c r="C319" s="41" t="n"/>
      <c r="D319" s="55" t="n"/>
      <c r="E319" s="88">
        <f>VLOOKUP(Table91213[[#This Row],[Date]],'DB Details'!$A:$L,5)</f>
        <v/>
      </c>
      <c r="F319" s="88">
        <f>VLOOKUP(Table91213[[#This Row],[Date]],'DB Details'!$A:$L,6)</f>
        <v/>
      </c>
      <c r="G319" s="119" t="n"/>
      <c r="H319" s="88">
        <f>VLOOKUP(Table91213[[#This Row],[Date]],'DB Details'!$A:$L,8)</f>
        <v/>
      </c>
      <c r="I319" s="88">
        <f>VLOOKUP(Table91213[[#This Row],[Date]],'DB Details'!$A:$L,9)</f>
        <v/>
      </c>
      <c r="J319" s="88">
        <f>VLOOKUP(Table91213[[#This Row],[Date]],'DB Details'!$A:$L,10)</f>
        <v/>
      </c>
      <c r="K319" s="119" t="n"/>
      <c r="L319" s="88">
        <f>VLOOKUP(Table91213[[#This Row],[Date]],'DB Details'!$A:$L,12)</f>
        <v/>
      </c>
    </row>
    <row r="320">
      <c r="A320" s="39" t="n">
        <v>27089</v>
      </c>
      <c r="B320" s="57">
        <f>VLOOKUP(Table91213[[#This Row],[Date]],'DB Details'!$A:$L,2)</f>
        <v/>
      </c>
      <c r="C320" s="41" t="n"/>
      <c r="D320" s="55" t="n"/>
      <c r="E320" s="88">
        <f>VLOOKUP(Table91213[[#This Row],[Date]],'DB Details'!$A:$L,5)</f>
        <v/>
      </c>
      <c r="F320" s="88">
        <f>VLOOKUP(Table91213[[#This Row],[Date]],'DB Details'!$A:$L,6)</f>
        <v/>
      </c>
      <c r="G320" s="119" t="n"/>
      <c r="H320" s="88">
        <f>VLOOKUP(Table91213[[#This Row],[Date]],'DB Details'!$A:$L,8)</f>
        <v/>
      </c>
      <c r="I320" s="88">
        <f>VLOOKUP(Table91213[[#This Row],[Date]],'DB Details'!$A:$L,9)</f>
        <v/>
      </c>
      <c r="J320" s="88">
        <f>VLOOKUP(Table91213[[#This Row],[Date]],'DB Details'!$A:$L,10)</f>
        <v/>
      </c>
      <c r="K320" s="119" t="n"/>
      <c r="L320" s="88">
        <f>VLOOKUP(Table91213[[#This Row],[Date]],'DB Details'!$A:$L,12)</f>
        <v/>
      </c>
    </row>
    <row r="321">
      <c r="A321" s="39" t="n">
        <v>27120</v>
      </c>
      <c r="B321" s="57">
        <f>VLOOKUP(Table91213[[#This Row],[Date]],'DB Details'!$A:$L,2)</f>
        <v/>
      </c>
      <c r="C321" s="41" t="n"/>
      <c r="D321" s="55" t="n"/>
      <c r="E321" s="88">
        <f>VLOOKUP(Table91213[[#This Row],[Date]],'DB Details'!$A:$L,5)</f>
        <v/>
      </c>
      <c r="F321" s="88">
        <f>VLOOKUP(Table91213[[#This Row],[Date]],'DB Details'!$A:$L,6)</f>
        <v/>
      </c>
      <c r="G321" s="119" t="n"/>
      <c r="H321" s="88">
        <f>VLOOKUP(Table91213[[#This Row],[Date]],'DB Details'!$A:$L,8)</f>
        <v/>
      </c>
      <c r="I321" s="88">
        <f>VLOOKUP(Table91213[[#This Row],[Date]],'DB Details'!$A:$L,9)</f>
        <v/>
      </c>
      <c r="J321" s="88">
        <f>VLOOKUP(Table91213[[#This Row],[Date]],'DB Details'!$A:$L,10)</f>
        <v/>
      </c>
      <c r="K321" s="119" t="n"/>
      <c r="L321" s="88">
        <f>VLOOKUP(Table91213[[#This Row],[Date]],'DB Details'!$A:$L,12)</f>
        <v/>
      </c>
    </row>
    <row r="322">
      <c r="A322" s="39" t="n">
        <v>27150</v>
      </c>
      <c r="B322" s="57">
        <f>VLOOKUP(Table91213[[#This Row],[Date]],'DB Details'!$A:$L,2)</f>
        <v/>
      </c>
      <c r="C322" s="41" t="n"/>
      <c r="D322" s="55" t="n"/>
      <c r="E322" s="88">
        <f>VLOOKUP(Table91213[[#This Row],[Date]],'DB Details'!$A:$L,5)</f>
        <v/>
      </c>
      <c r="F322" s="88">
        <f>VLOOKUP(Table91213[[#This Row],[Date]],'DB Details'!$A:$L,6)</f>
        <v/>
      </c>
      <c r="G322" s="119" t="n"/>
      <c r="H322" s="88">
        <f>VLOOKUP(Table91213[[#This Row],[Date]],'DB Details'!$A:$L,8)</f>
        <v/>
      </c>
      <c r="I322" s="88">
        <f>VLOOKUP(Table91213[[#This Row],[Date]],'DB Details'!$A:$L,9)</f>
        <v/>
      </c>
      <c r="J322" s="88">
        <f>VLOOKUP(Table91213[[#This Row],[Date]],'DB Details'!$A:$L,10)</f>
        <v/>
      </c>
      <c r="K322" s="119" t="n"/>
      <c r="L322" s="88">
        <f>VLOOKUP(Table91213[[#This Row],[Date]],'DB Details'!$A:$L,12)</f>
        <v/>
      </c>
    </row>
    <row r="323">
      <c r="A323" s="39" t="n">
        <v>27181</v>
      </c>
      <c r="B323" s="57">
        <f>VLOOKUP(Table91213[[#This Row],[Date]],'DB Details'!$A:$L,2)</f>
        <v/>
      </c>
      <c r="C323" s="41" t="n"/>
      <c r="D323" s="55" t="n"/>
      <c r="E323" s="88">
        <f>VLOOKUP(Table91213[[#This Row],[Date]],'DB Details'!$A:$L,5)</f>
        <v/>
      </c>
      <c r="F323" s="88">
        <f>VLOOKUP(Table91213[[#This Row],[Date]],'DB Details'!$A:$L,6)</f>
        <v/>
      </c>
      <c r="G323" s="119" t="n"/>
      <c r="H323" s="88">
        <f>VLOOKUP(Table91213[[#This Row],[Date]],'DB Details'!$A:$L,8)</f>
        <v/>
      </c>
      <c r="I323" s="88">
        <f>VLOOKUP(Table91213[[#This Row],[Date]],'DB Details'!$A:$L,9)</f>
        <v/>
      </c>
      <c r="J323" s="88">
        <f>VLOOKUP(Table91213[[#This Row],[Date]],'DB Details'!$A:$L,10)</f>
        <v/>
      </c>
      <c r="K323" s="119" t="n"/>
      <c r="L323" s="88">
        <f>VLOOKUP(Table91213[[#This Row],[Date]],'DB Details'!$A:$L,12)</f>
        <v/>
      </c>
    </row>
    <row r="324">
      <c r="A324" s="39" t="n">
        <v>27211</v>
      </c>
      <c r="B324" s="57">
        <f>VLOOKUP(Table91213[[#This Row],[Date]],'DB Details'!$A:$L,2)</f>
        <v/>
      </c>
      <c r="C324" s="41" t="n"/>
      <c r="D324" s="55" t="n"/>
      <c r="E324" s="88">
        <f>VLOOKUP(Table91213[[#This Row],[Date]],'DB Details'!$A:$L,5)</f>
        <v/>
      </c>
      <c r="F324" s="88">
        <f>VLOOKUP(Table91213[[#This Row],[Date]],'DB Details'!$A:$L,6)</f>
        <v/>
      </c>
      <c r="G324" s="119" t="n"/>
      <c r="H324" s="88">
        <f>VLOOKUP(Table91213[[#This Row],[Date]],'DB Details'!$A:$L,8)</f>
        <v/>
      </c>
      <c r="I324" s="88">
        <f>VLOOKUP(Table91213[[#This Row],[Date]],'DB Details'!$A:$L,9)</f>
        <v/>
      </c>
      <c r="J324" s="88">
        <f>VLOOKUP(Table91213[[#This Row],[Date]],'DB Details'!$A:$L,10)</f>
        <v/>
      </c>
      <c r="K324" s="119" t="n"/>
      <c r="L324" s="88">
        <f>VLOOKUP(Table91213[[#This Row],[Date]],'DB Details'!$A:$L,12)</f>
        <v/>
      </c>
    </row>
    <row r="325">
      <c r="A325" s="39" t="n">
        <v>27242</v>
      </c>
      <c r="B325" s="57">
        <f>VLOOKUP(Table91213[[#This Row],[Date]],'DB Details'!$A:$L,2)</f>
        <v/>
      </c>
      <c r="C325" s="41" t="n"/>
      <c r="D325" s="55" t="n"/>
      <c r="E325" s="88">
        <f>VLOOKUP(Table91213[[#This Row],[Date]],'DB Details'!$A:$L,5)</f>
        <v/>
      </c>
      <c r="F325" s="88">
        <f>VLOOKUP(Table91213[[#This Row],[Date]],'DB Details'!$A:$L,6)</f>
        <v/>
      </c>
      <c r="G325" s="119" t="n"/>
      <c r="H325" s="88">
        <f>VLOOKUP(Table91213[[#This Row],[Date]],'DB Details'!$A:$L,8)</f>
        <v/>
      </c>
      <c r="I325" s="88">
        <f>VLOOKUP(Table91213[[#This Row],[Date]],'DB Details'!$A:$L,9)</f>
        <v/>
      </c>
      <c r="J325" s="88">
        <f>VLOOKUP(Table91213[[#This Row],[Date]],'DB Details'!$A:$L,10)</f>
        <v/>
      </c>
      <c r="K325" s="119" t="n"/>
      <c r="L325" s="88">
        <f>VLOOKUP(Table91213[[#This Row],[Date]],'DB Details'!$A:$L,12)</f>
        <v/>
      </c>
    </row>
    <row r="326">
      <c r="A326" s="39" t="n">
        <v>27273</v>
      </c>
      <c r="B326" s="57">
        <f>VLOOKUP(Table91213[[#This Row],[Date]],'DB Details'!$A:$L,2)</f>
        <v/>
      </c>
      <c r="C326" s="41" t="n"/>
      <c r="D326" s="55" t="n"/>
      <c r="E326" s="88">
        <f>VLOOKUP(Table91213[[#This Row],[Date]],'DB Details'!$A:$L,5)</f>
        <v/>
      </c>
      <c r="F326" s="88">
        <f>VLOOKUP(Table91213[[#This Row],[Date]],'DB Details'!$A:$L,6)</f>
        <v/>
      </c>
      <c r="G326" s="119" t="n"/>
      <c r="H326" s="88">
        <f>VLOOKUP(Table91213[[#This Row],[Date]],'DB Details'!$A:$L,8)</f>
        <v/>
      </c>
      <c r="I326" s="88">
        <f>VLOOKUP(Table91213[[#This Row],[Date]],'DB Details'!$A:$L,9)</f>
        <v/>
      </c>
      <c r="J326" s="88">
        <f>VLOOKUP(Table91213[[#This Row],[Date]],'DB Details'!$A:$L,10)</f>
        <v/>
      </c>
      <c r="K326" s="119" t="n"/>
      <c r="L326" s="88">
        <f>VLOOKUP(Table91213[[#This Row],[Date]],'DB Details'!$A:$L,12)</f>
        <v/>
      </c>
    </row>
    <row r="327">
      <c r="A327" s="39" t="n">
        <v>27303</v>
      </c>
      <c r="B327" s="57">
        <f>VLOOKUP(Table91213[[#This Row],[Date]],'DB Details'!$A:$L,2)</f>
        <v/>
      </c>
      <c r="C327" s="41" t="n"/>
      <c r="D327" s="55" t="n"/>
      <c r="E327" s="88">
        <f>VLOOKUP(Table91213[[#This Row],[Date]],'DB Details'!$A:$L,5)</f>
        <v/>
      </c>
      <c r="F327" s="88">
        <f>VLOOKUP(Table91213[[#This Row],[Date]],'DB Details'!$A:$L,6)</f>
        <v/>
      </c>
      <c r="G327" s="119" t="n"/>
      <c r="H327" s="88">
        <f>VLOOKUP(Table91213[[#This Row],[Date]],'DB Details'!$A:$L,8)</f>
        <v/>
      </c>
      <c r="I327" s="88">
        <f>VLOOKUP(Table91213[[#This Row],[Date]],'DB Details'!$A:$L,9)</f>
        <v/>
      </c>
      <c r="J327" s="88">
        <f>VLOOKUP(Table91213[[#This Row],[Date]],'DB Details'!$A:$L,10)</f>
        <v/>
      </c>
      <c r="K327" s="119" t="n"/>
      <c r="L327" s="88">
        <f>VLOOKUP(Table91213[[#This Row],[Date]],'DB Details'!$A:$L,12)</f>
        <v/>
      </c>
    </row>
    <row r="328">
      <c r="A328" s="39" t="n">
        <v>27334</v>
      </c>
      <c r="B328" s="57">
        <f>VLOOKUP(Table91213[[#This Row],[Date]],'DB Details'!$A:$L,2)</f>
        <v/>
      </c>
      <c r="C328" s="41" t="n"/>
      <c r="D328" s="55" t="n"/>
      <c r="E328" s="88">
        <f>VLOOKUP(Table91213[[#This Row],[Date]],'DB Details'!$A:$L,5)</f>
        <v/>
      </c>
      <c r="F328" s="88">
        <f>VLOOKUP(Table91213[[#This Row],[Date]],'DB Details'!$A:$L,6)</f>
        <v/>
      </c>
      <c r="G328" s="119" t="n"/>
      <c r="H328" s="88">
        <f>VLOOKUP(Table91213[[#This Row],[Date]],'DB Details'!$A:$L,8)</f>
        <v/>
      </c>
      <c r="I328" s="88">
        <f>VLOOKUP(Table91213[[#This Row],[Date]],'DB Details'!$A:$L,9)</f>
        <v/>
      </c>
      <c r="J328" s="88">
        <f>VLOOKUP(Table91213[[#This Row],[Date]],'DB Details'!$A:$L,10)</f>
        <v/>
      </c>
      <c r="K328" s="119" t="n"/>
      <c r="L328" s="88">
        <f>VLOOKUP(Table91213[[#This Row],[Date]],'DB Details'!$A:$L,12)</f>
        <v/>
      </c>
    </row>
    <row r="329">
      <c r="A329" s="39" t="n">
        <v>27364</v>
      </c>
      <c r="B329" s="57">
        <f>VLOOKUP(Table91213[[#This Row],[Date]],'DB Details'!$A:$L,2)</f>
        <v/>
      </c>
      <c r="C329" s="41" t="n"/>
      <c r="D329" s="55" t="n"/>
      <c r="E329" s="88">
        <f>VLOOKUP(Table91213[[#This Row],[Date]],'DB Details'!$A:$L,5)</f>
        <v/>
      </c>
      <c r="F329" s="88">
        <f>VLOOKUP(Table91213[[#This Row],[Date]],'DB Details'!$A:$L,6)</f>
        <v/>
      </c>
      <c r="G329" s="119" t="n"/>
      <c r="H329" s="88">
        <f>VLOOKUP(Table91213[[#This Row],[Date]],'DB Details'!$A:$L,8)</f>
        <v/>
      </c>
      <c r="I329" s="88">
        <f>VLOOKUP(Table91213[[#This Row],[Date]],'DB Details'!$A:$L,9)</f>
        <v/>
      </c>
      <c r="J329" s="88">
        <f>VLOOKUP(Table91213[[#This Row],[Date]],'DB Details'!$A:$L,10)</f>
        <v/>
      </c>
      <c r="K329" s="119" t="n"/>
      <c r="L329" s="88">
        <f>VLOOKUP(Table91213[[#This Row],[Date]],'DB Details'!$A:$L,12)</f>
        <v/>
      </c>
    </row>
    <row r="330">
      <c r="A330" s="39" t="n">
        <v>27395</v>
      </c>
      <c r="B330" s="57">
        <f>VLOOKUP(Table91213[[#This Row],[Date]],'DB Details'!$A:$L,2)</f>
        <v/>
      </c>
      <c r="C330" s="41" t="n"/>
      <c r="D330" s="55" t="n"/>
      <c r="E330" s="88">
        <f>VLOOKUP(Table91213[[#This Row],[Date]],'DB Details'!$A:$L,5)</f>
        <v/>
      </c>
      <c r="F330" s="88">
        <f>VLOOKUP(Table91213[[#This Row],[Date]],'DB Details'!$A:$L,6)</f>
        <v/>
      </c>
      <c r="G330" s="119" t="n"/>
      <c r="H330" s="88">
        <f>VLOOKUP(Table91213[[#This Row],[Date]],'DB Details'!$A:$L,8)</f>
        <v/>
      </c>
      <c r="I330" s="88">
        <f>VLOOKUP(Table91213[[#This Row],[Date]],'DB Details'!$A:$L,9)</f>
        <v/>
      </c>
      <c r="J330" s="88">
        <f>VLOOKUP(Table91213[[#This Row],[Date]],'DB Details'!$A:$L,10)</f>
        <v/>
      </c>
      <c r="K330" s="119" t="n"/>
      <c r="L330" s="88">
        <f>VLOOKUP(Table91213[[#This Row],[Date]],'DB Details'!$A:$L,12)</f>
        <v/>
      </c>
    </row>
    <row r="331">
      <c r="A331" s="39" t="n">
        <v>27426</v>
      </c>
      <c r="B331" s="57">
        <f>VLOOKUP(Table91213[[#This Row],[Date]],'DB Details'!$A:$L,2)</f>
        <v/>
      </c>
      <c r="C331" s="41" t="n"/>
      <c r="D331" s="55" t="n"/>
      <c r="E331" s="88">
        <f>VLOOKUP(Table91213[[#This Row],[Date]],'DB Details'!$A:$L,5)</f>
        <v/>
      </c>
      <c r="F331" s="88">
        <f>VLOOKUP(Table91213[[#This Row],[Date]],'DB Details'!$A:$L,6)</f>
        <v/>
      </c>
      <c r="G331" s="119" t="n"/>
      <c r="H331" s="88">
        <f>VLOOKUP(Table91213[[#This Row],[Date]],'DB Details'!$A:$L,8)</f>
        <v/>
      </c>
      <c r="I331" s="88">
        <f>VLOOKUP(Table91213[[#This Row],[Date]],'DB Details'!$A:$L,9)</f>
        <v/>
      </c>
      <c r="J331" s="88">
        <f>VLOOKUP(Table91213[[#This Row],[Date]],'DB Details'!$A:$L,10)</f>
        <v/>
      </c>
      <c r="K331" s="119" t="n"/>
      <c r="L331" s="88">
        <f>VLOOKUP(Table91213[[#This Row],[Date]],'DB Details'!$A:$L,12)</f>
        <v/>
      </c>
    </row>
    <row r="332">
      <c r="A332" s="39" t="n">
        <v>27454</v>
      </c>
      <c r="B332" s="57">
        <f>VLOOKUP(Table91213[[#This Row],[Date]],'DB Details'!$A:$L,2)</f>
        <v/>
      </c>
      <c r="C332" s="41" t="n"/>
      <c r="D332" s="55" t="n"/>
      <c r="E332" s="88">
        <f>VLOOKUP(Table91213[[#This Row],[Date]],'DB Details'!$A:$L,5)</f>
        <v/>
      </c>
      <c r="F332" s="88">
        <f>VLOOKUP(Table91213[[#This Row],[Date]],'DB Details'!$A:$L,6)</f>
        <v/>
      </c>
      <c r="G332" s="119" t="n"/>
      <c r="H332" s="88">
        <f>VLOOKUP(Table91213[[#This Row],[Date]],'DB Details'!$A:$L,8)</f>
        <v/>
      </c>
      <c r="I332" s="88">
        <f>VLOOKUP(Table91213[[#This Row],[Date]],'DB Details'!$A:$L,9)</f>
        <v/>
      </c>
      <c r="J332" s="88">
        <f>VLOOKUP(Table91213[[#This Row],[Date]],'DB Details'!$A:$L,10)</f>
        <v/>
      </c>
      <c r="K332" s="119" t="n"/>
      <c r="L332" s="88">
        <f>VLOOKUP(Table91213[[#This Row],[Date]],'DB Details'!$A:$L,12)</f>
        <v/>
      </c>
    </row>
    <row r="333">
      <c r="A333" s="39" t="n">
        <v>27485</v>
      </c>
      <c r="B333" s="57">
        <f>VLOOKUP(Table91213[[#This Row],[Date]],'DB Details'!$A:$L,2)</f>
        <v/>
      </c>
      <c r="C333" s="41" t="n"/>
      <c r="D333" s="55" t="n"/>
      <c r="E333" s="88">
        <f>VLOOKUP(Table91213[[#This Row],[Date]],'DB Details'!$A:$L,5)</f>
        <v/>
      </c>
      <c r="F333" s="88">
        <f>VLOOKUP(Table91213[[#This Row],[Date]],'DB Details'!$A:$L,6)</f>
        <v/>
      </c>
      <c r="G333" s="119" t="n"/>
      <c r="H333" s="88">
        <f>VLOOKUP(Table91213[[#This Row],[Date]],'DB Details'!$A:$L,8)</f>
        <v/>
      </c>
      <c r="I333" s="88">
        <f>VLOOKUP(Table91213[[#This Row],[Date]],'DB Details'!$A:$L,9)</f>
        <v/>
      </c>
      <c r="J333" s="88">
        <f>VLOOKUP(Table91213[[#This Row],[Date]],'DB Details'!$A:$L,10)</f>
        <v/>
      </c>
      <c r="K333" s="119" t="n"/>
      <c r="L333" s="88">
        <f>VLOOKUP(Table91213[[#This Row],[Date]],'DB Details'!$A:$L,12)</f>
        <v/>
      </c>
    </row>
    <row r="334">
      <c r="A334" s="39" t="n">
        <v>27515</v>
      </c>
      <c r="B334" s="57">
        <f>VLOOKUP(Table91213[[#This Row],[Date]],'DB Details'!$A:$L,2)</f>
        <v/>
      </c>
      <c r="C334" s="41" t="n"/>
      <c r="D334" s="55" t="n"/>
      <c r="E334" s="88">
        <f>VLOOKUP(Table91213[[#This Row],[Date]],'DB Details'!$A:$L,5)</f>
        <v/>
      </c>
      <c r="F334" s="88">
        <f>VLOOKUP(Table91213[[#This Row],[Date]],'DB Details'!$A:$L,6)</f>
        <v/>
      </c>
      <c r="G334" s="119" t="n"/>
      <c r="H334" s="88">
        <f>VLOOKUP(Table91213[[#This Row],[Date]],'DB Details'!$A:$L,8)</f>
        <v/>
      </c>
      <c r="I334" s="88">
        <f>VLOOKUP(Table91213[[#This Row],[Date]],'DB Details'!$A:$L,9)</f>
        <v/>
      </c>
      <c r="J334" s="88">
        <f>VLOOKUP(Table91213[[#This Row],[Date]],'DB Details'!$A:$L,10)</f>
        <v/>
      </c>
      <c r="K334" s="119" t="n"/>
      <c r="L334" s="88">
        <f>VLOOKUP(Table91213[[#This Row],[Date]],'DB Details'!$A:$L,12)</f>
        <v/>
      </c>
    </row>
    <row r="335">
      <c r="A335" s="39" t="n">
        <v>27546</v>
      </c>
      <c r="B335" s="57">
        <f>VLOOKUP(Table91213[[#This Row],[Date]],'DB Details'!$A:$L,2)</f>
        <v/>
      </c>
      <c r="C335" s="41" t="n"/>
      <c r="D335" s="55" t="n"/>
      <c r="E335" s="88">
        <f>VLOOKUP(Table91213[[#This Row],[Date]],'DB Details'!$A:$L,5)</f>
        <v/>
      </c>
      <c r="F335" s="88">
        <f>VLOOKUP(Table91213[[#This Row],[Date]],'DB Details'!$A:$L,6)</f>
        <v/>
      </c>
      <c r="G335" s="119" t="n"/>
      <c r="H335" s="88">
        <f>VLOOKUP(Table91213[[#This Row],[Date]],'DB Details'!$A:$L,8)</f>
        <v/>
      </c>
      <c r="I335" s="88">
        <f>VLOOKUP(Table91213[[#This Row],[Date]],'DB Details'!$A:$L,9)</f>
        <v/>
      </c>
      <c r="J335" s="88">
        <f>VLOOKUP(Table91213[[#This Row],[Date]],'DB Details'!$A:$L,10)</f>
        <v/>
      </c>
      <c r="K335" s="119" t="n"/>
      <c r="L335" s="88">
        <f>VLOOKUP(Table91213[[#This Row],[Date]],'DB Details'!$A:$L,12)</f>
        <v/>
      </c>
    </row>
    <row r="336">
      <c r="A336" s="39" t="n">
        <v>27576</v>
      </c>
      <c r="B336" s="57">
        <f>VLOOKUP(Table91213[[#This Row],[Date]],'DB Details'!$A:$L,2)</f>
        <v/>
      </c>
      <c r="C336" s="41" t="n"/>
      <c r="D336" s="55" t="n"/>
      <c r="E336" s="88">
        <f>VLOOKUP(Table91213[[#This Row],[Date]],'DB Details'!$A:$L,5)</f>
        <v/>
      </c>
      <c r="F336" s="88">
        <f>VLOOKUP(Table91213[[#This Row],[Date]],'DB Details'!$A:$L,6)</f>
        <v/>
      </c>
      <c r="G336" s="119" t="n"/>
      <c r="H336" s="88">
        <f>VLOOKUP(Table91213[[#This Row],[Date]],'DB Details'!$A:$L,8)</f>
        <v/>
      </c>
      <c r="I336" s="88">
        <f>VLOOKUP(Table91213[[#This Row],[Date]],'DB Details'!$A:$L,9)</f>
        <v/>
      </c>
      <c r="J336" s="88">
        <f>VLOOKUP(Table91213[[#This Row],[Date]],'DB Details'!$A:$L,10)</f>
        <v/>
      </c>
      <c r="K336" s="119" t="n"/>
      <c r="L336" s="88">
        <f>VLOOKUP(Table91213[[#This Row],[Date]],'DB Details'!$A:$L,12)</f>
        <v/>
      </c>
    </row>
    <row r="337">
      <c r="A337" s="39" t="n">
        <v>27607</v>
      </c>
      <c r="B337" s="57">
        <f>VLOOKUP(Table91213[[#This Row],[Date]],'DB Details'!$A:$L,2)</f>
        <v/>
      </c>
      <c r="C337" s="41" t="n"/>
      <c r="D337" s="55" t="n"/>
      <c r="E337" s="88">
        <f>VLOOKUP(Table91213[[#This Row],[Date]],'DB Details'!$A:$L,5)</f>
        <v/>
      </c>
      <c r="F337" s="88">
        <f>VLOOKUP(Table91213[[#This Row],[Date]],'DB Details'!$A:$L,6)</f>
        <v/>
      </c>
      <c r="G337" s="119" t="n"/>
      <c r="H337" s="88">
        <f>VLOOKUP(Table91213[[#This Row],[Date]],'DB Details'!$A:$L,8)</f>
        <v/>
      </c>
      <c r="I337" s="88">
        <f>VLOOKUP(Table91213[[#This Row],[Date]],'DB Details'!$A:$L,9)</f>
        <v/>
      </c>
      <c r="J337" s="88">
        <f>VLOOKUP(Table91213[[#This Row],[Date]],'DB Details'!$A:$L,10)</f>
        <v/>
      </c>
      <c r="K337" s="119" t="n"/>
      <c r="L337" s="88">
        <f>VLOOKUP(Table91213[[#This Row],[Date]],'DB Details'!$A:$L,12)</f>
        <v/>
      </c>
    </row>
    <row r="338">
      <c r="A338" s="39" t="n">
        <v>27638</v>
      </c>
      <c r="B338" s="57">
        <f>VLOOKUP(Table91213[[#This Row],[Date]],'DB Details'!$A:$L,2)</f>
        <v/>
      </c>
      <c r="C338" s="41" t="n"/>
      <c r="D338" s="55" t="n"/>
      <c r="E338" s="88">
        <f>VLOOKUP(Table91213[[#This Row],[Date]],'DB Details'!$A:$L,5)</f>
        <v/>
      </c>
      <c r="F338" s="88">
        <f>VLOOKUP(Table91213[[#This Row],[Date]],'DB Details'!$A:$L,6)</f>
        <v/>
      </c>
      <c r="G338" s="119" t="n"/>
      <c r="H338" s="88">
        <f>VLOOKUP(Table91213[[#This Row],[Date]],'DB Details'!$A:$L,8)</f>
        <v/>
      </c>
      <c r="I338" s="88">
        <f>VLOOKUP(Table91213[[#This Row],[Date]],'DB Details'!$A:$L,9)</f>
        <v/>
      </c>
      <c r="J338" s="88">
        <f>VLOOKUP(Table91213[[#This Row],[Date]],'DB Details'!$A:$L,10)</f>
        <v/>
      </c>
      <c r="K338" s="119" t="n"/>
      <c r="L338" s="88">
        <f>VLOOKUP(Table91213[[#This Row],[Date]],'DB Details'!$A:$L,12)</f>
        <v/>
      </c>
    </row>
    <row r="339">
      <c r="A339" s="39" t="n">
        <v>27668</v>
      </c>
      <c r="B339" s="57">
        <f>VLOOKUP(Table91213[[#This Row],[Date]],'DB Details'!$A:$L,2)</f>
        <v/>
      </c>
      <c r="C339" s="41" t="n"/>
      <c r="D339" s="55" t="n"/>
      <c r="E339" s="88">
        <f>VLOOKUP(Table91213[[#This Row],[Date]],'DB Details'!$A:$L,5)</f>
        <v/>
      </c>
      <c r="F339" s="88">
        <f>VLOOKUP(Table91213[[#This Row],[Date]],'DB Details'!$A:$L,6)</f>
        <v/>
      </c>
      <c r="G339" s="119" t="n"/>
      <c r="H339" s="88">
        <f>VLOOKUP(Table91213[[#This Row],[Date]],'DB Details'!$A:$L,8)</f>
        <v/>
      </c>
      <c r="I339" s="88">
        <f>VLOOKUP(Table91213[[#This Row],[Date]],'DB Details'!$A:$L,9)</f>
        <v/>
      </c>
      <c r="J339" s="88">
        <f>VLOOKUP(Table91213[[#This Row],[Date]],'DB Details'!$A:$L,10)</f>
        <v/>
      </c>
      <c r="K339" s="119" t="n"/>
      <c r="L339" s="88">
        <f>VLOOKUP(Table91213[[#This Row],[Date]],'DB Details'!$A:$L,12)</f>
        <v/>
      </c>
    </row>
    <row r="340">
      <c r="A340" s="39" t="n">
        <v>27699</v>
      </c>
      <c r="B340" s="57">
        <f>VLOOKUP(Table91213[[#This Row],[Date]],'DB Details'!$A:$L,2)</f>
        <v/>
      </c>
      <c r="C340" s="41" t="n"/>
      <c r="D340" s="55" t="n"/>
      <c r="E340" s="88">
        <f>VLOOKUP(Table91213[[#This Row],[Date]],'DB Details'!$A:$L,5)</f>
        <v/>
      </c>
      <c r="F340" s="88">
        <f>VLOOKUP(Table91213[[#This Row],[Date]],'DB Details'!$A:$L,6)</f>
        <v/>
      </c>
      <c r="G340" s="119" t="n"/>
      <c r="H340" s="88">
        <f>VLOOKUP(Table91213[[#This Row],[Date]],'DB Details'!$A:$L,8)</f>
        <v/>
      </c>
      <c r="I340" s="88">
        <f>VLOOKUP(Table91213[[#This Row],[Date]],'DB Details'!$A:$L,9)</f>
        <v/>
      </c>
      <c r="J340" s="88">
        <f>VLOOKUP(Table91213[[#This Row],[Date]],'DB Details'!$A:$L,10)</f>
        <v/>
      </c>
      <c r="K340" s="119" t="n"/>
      <c r="L340" s="88">
        <f>VLOOKUP(Table91213[[#This Row],[Date]],'DB Details'!$A:$L,12)</f>
        <v/>
      </c>
    </row>
    <row r="341">
      <c r="A341" s="39" t="n">
        <v>27729</v>
      </c>
      <c r="B341" s="57">
        <f>VLOOKUP(Table91213[[#This Row],[Date]],'DB Details'!$A:$L,2)</f>
        <v/>
      </c>
      <c r="C341" s="41" t="n"/>
      <c r="D341" s="55" t="n"/>
      <c r="E341" s="88">
        <f>VLOOKUP(Table91213[[#This Row],[Date]],'DB Details'!$A:$L,5)</f>
        <v/>
      </c>
      <c r="F341" s="88">
        <f>VLOOKUP(Table91213[[#This Row],[Date]],'DB Details'!$A:$L,6)</f>
        <v/>
      </c>
      <c r="G341" s="119" t="n"/>
      <c r="H341" s="88">
        <f>VLOOKUP(Table91213[[#This Row],[Date]],'DB Details'!$A:$L,8)</f>
        <v/>
      </c>
      <c r="I341" s="88">
        <f>VLOOKUP(Table91213[[#This Row],[Date]],'DB Details'!$A:$L,9)</f>
        <v/>
      </c>
      <c r="J341" s="88">
        <f>VLOOKUP(Table91213[[#This Row],[Date]],'DB Details'!$A:$L,10)</f>
        <v/>
      </c>
      <c r="K341" s="119" t="n"/>
      <c r="L341" s="88">
        <f>VLOOKUP(Table91213[[#This Row],[Date]],'DB Details'!$A:$L,12)</f>
        <v/>
      </c>
    </row>
    <row r="342">
      <c r="A342" s="39" t="n">
        <v>27760</v>
      </c>
      <c r="B342" s="57">
        <f>VLOOKUP(Table91213[[#This Row],[Date]],'DB Details'!$A:$L,2)</f>
        <v/>
      </c>
      <c r="C342" s="41" t="n"/>
      <c r="D342" s="55" t="n"/>
      <c r="E342" s="88">
        <f>VLOOKUP(Table91213[[#This Row],[Date]],'DB Details'!$A:$L,5)</f>
        <v/>
      </c>
      <c r="F342" s="88">
        <f>VLOOKUP(Table91213[[#This Row],[Date]],'DB Details'!$A:$L,6)</f>
        <v/>
      </c>
      <c r="G342" s="119" t="n"/>
      <c r="H342" s="88">
        <f>VLOOKUP(Table91213[[#This Row],[Date]],'DB Details'!$A:$L,8)</f>
        <v/>
      </c>
      <c r="I342" s="88">
        <f>VLOOKUP(Table91213[[#This Row],[Date]],'DB Details'!$A:$L,9)</f>
        <v/>
      </c>
      <c r="J342" s="88">
        <f>VLOOKUP(Table91213[[#This Row],[Date]],'DB Details'!$A:$L,10)</f>
        <v/>
      </c>
      <c r="K342" s="119" t="n"/>
      <c r="L342" s="88">
        <f>VLOOKUP(Table91213[[#This Row],[Date]],'DB Details'!$A:$L,12)</f>
        <v/>
      </c>
    </row>
    <row r="343">
      <c r="A343" s="39" t="n">
        <v>27791</v>
      </c>
      <c r="B343" s="57">
        <f>VLOOKUP(Table91213[[#This Row],[Date]],'DB Details'!$A:$L,2)</f>
        <v/>
      </c>
      <c r="C343" s="41" t="n"/>
      <c r="D343" s="55" t="n"/>
      <c r="E343" s="88">
        <f>VLOOKUP(Table91213[[#This Row],[Date]],'DB Details'!$A:$L,5)</f>
        <v/>
      </c>
      <c r="F343" s="88">
        <f>VLOOKUP(Table91213[[#This Row],[Date]],'DB Details'!$A:$L,6)</f>
        <v/>
      </c>
      <c r="G343" s="119" t="n"/>
      <c r="H343" s="88">
        <f>VLOOKUP(Table91213[[#This Row],[Date]],'DB Details'!$A:$L,8)</f>
        <v/>
      </c>
      <c r="I343" s="88">
        <f>VLOOKUP(Table91213[[#This Row],[Date]],'DB Details'!$A:$L,9)</f>
        <v/>
      </c>
      <c r="J343" s="88">
        <f>VLOOKUP(Table91213[[#This Row],[Date]],'DB Details'!$A:$L,10)</f>
        <v/>
      </c>
      <c r="K343" s="119" t="n"/>
      <c r="L343" s="88">
        <f>VLOOKUP(Table91213[[#This Row],[Date]],'DB Details'!$A:$L,12)</f>
        <v/>
      </c>
    </row>
    <row r="344">
      <c r="A344" s="39" t="n">
        <v>27820</v>
      </c>
      <c r="B344" s="57">
        <f>VLOOKUP(Table91213[[#This Row],[Date]],'DB Details'!$A:$L,2)</f>
        <v/>
      </c>
      <c r="C344" s="41" t="n"/>
      <c r="D344" s="55" t="n"/>
      <c r="E344" s="88">
        <f>VLOOKUP(Table91213[[#This Row],[Date]],'DB Details'!$A:$L,5)</f>
        <v/>
      </c>
      <c r="F344" s="88">
        <f>VLOOKUP(Table91213[[#This Row],[Date]],'DB Details'!$A:$L,6)</f>
        <v/>
      </c>
      <c r="G344" s="119" t="n"/>
      <c r="H344" s="88">
        <f>VLOOKUP(Table91213[[#This Row],[Date]],'DB Details'!$A:$L,8)</f>
        <v/>
      </c>
      <c r="I344" s="88">
        <f>VLOOKUP(Table91213[[#This Row],[Date]],'DB Details'!$A:$L,9)</f>
        <v/>
      </c>
      <c r="J344" s="88">
        <f>VLOOKUP(Table91213[[#This Row],[Date]],'DB Details'!$A:$L,10)</f>
        <v/>
      </c>
      <c r="K344" s="119" t="n"/>
      <c r="L344" s="88">
        <f>VLOOKUP(Table91213[[#This Row],[Date]],'DB Details'!$A:$L,12)</f>
        <v/>
      </c>
    </row>
    <row r="345">
      <c r="A345" s="39" t="n">
        <v>27851</v>
      </c>
      <c r="B345" s="57">
        <f>VLOOKUP(Table91213[[#This Row],[Date]],'DB Details'!$A:$L,2)</f>
        <v/>
      </c>
      <c r="C345" s="41" t="n"/>
      <c r="D345" s="55" t="n"/>
      <c r="E345" s="88">
        <f>VLOOKUP(Table91213[[#This Row],[Date]],'DB Details'!$A:$L,5)</f>
        <v/>
      </c>
      <c r="F345" s="88">
        <f>VLOOKUP(Table91213[[#This Row],[Date]],'DB Details'!$A:$L,6)</f>
        <v/>
      </c>
      <c r="G345" s="119" t="n"/>
      <c r="H345" s="88">
        <f>VLOOKUP(Table91213[[#This Row],[Date]],'DB Details'!$A:$L,8)</f>
        <v/>
      </c>
      <c r="I345" s="88">
        <f>VLOOKUP(Table91213[[#This Row],[Date]],'DB Details'!$A:$L,9)</f>
        <v/>
      </c>
      <c r="J345" s="88">
        <f>VLOOKUP(Table91213[[#This Row],[Date]],'DB Details'!$A:$L,10)</f>
        <v/>
      </c>
      <c r="K345" s="119" t="n"/>
      <c r="L345" s="88">
        <f>VLOOKUP(Table91213[[#This Row],[Date]],'DB Details'!$A:$L,12)</f>
        <v/>
      </c>
    </row>
    <row r="346">
      <c r="A346" s="39" t="n">
        <v>27881</v>
      </c>
      <c r="B346" s="57">
        <f>VLOOKUP(Table91213[[#This Row],[Date]],'DB Details'!$A:$L,2)</f>
        <v/>
      </c>
      <c r="C346" s="41" t="n"/>
      <c r="D346" s="55" t="n"/>
      <c r="E346" s="88">
        <f>VLOOKUP(Table91213[[#This Row],[Date]],'DB Details'!$A:$L,5)</f>
        <v/>
      </c>
      <c r="F346" s="88">
        <f>VLOOKUP(Table91213[[#This Row],[Date]],'DB Details'!$A:$L,6)</f>
        <v/>
      </c>
      <c r="G346" s="119" t="n"/>
      <c r="H346" s="88">
        <f>VLOOKUP(Table91213[[#This Row],[Date]],'DB Details'!$A:$L,8)</f>
        <v/>
      </c>
      <c r="I346" s="88">
        <f>VLOOKUP(Table91213[[#This Row],[Date]],'DB Details'!$A:$L,9)</f>
        <v/>
      </c>
      <c r="J346" s="88">
        <f>VLOOKUP(Table91213[[#This Row],[Date]],'DB Details'!$A:$L,10)</f>
        <v/>
      </c>
      <c r="K346" s="119" t="n"/>
      <c r="L346" s="88">
        <f>VLOOKUP(Table91213[[#This Row],[Date]],'DB Details'!$A:$L,12)</f>
        <v/>
      </c>
    </row>
    <row r="347">
      <c r="A347" s="39" t="n">
        <v>27912</v>
      </c>
      <c r="B347" s="57">
        <f>VLOOKUP(Table91213[[#This Row],[Date]],'DB Details'!$A:$L,2)</f>
        <v/>
      </c>
      <c r="C347" s="41" t="n"/>
      <c r="D347" s="55" t="n"/>
      <c r="E347" s="88">
        <f>VLOOKUP(Table91213[[#This Row],[Date]],'DB Details'!$A:$L,5)</f>
        <v/>
      </c>
      <c r="F347" s="88">
        <f>VLOOKUP(Table91213[[#This Row],[Date]],'DB Details'!$A:$L,6)</f>
        <v/>
      </c>
      <c r="G347" s="119" t="n"/>
      <c r="H347" s="88">
        <f>VLOOKUP(Table91213[[#This Row],[Date]],'DB Details'!$A:$L,8)</f>
        <v/>
      </c>
      <c r="I347" s="88">
        <f>VLOOKUP(Table91213[[#This Row],[Date]],'DB Details'!$A:$L,9)</f>
        <v/>
      </c>
      <c r="J347" s="88">
        <f>VLOOKUP(Table91213[[#This Row],[Date]],'DB Details'!$A:$L,10)</f>
        <v/>
      </c>
      <c r="K347" s="119" t="n"/>
      <c r="L347" s="88">
        <f>VLOOKUP(Table91213[[#This Row],[Date]],'DB Details'!$A:$L,12)</f>
        <v/>
      </c>
    </row>
    <row r="348">
      <c r="A348" s="39" t="n">
        <v>27942</v>
      </c>
      <c r="B348" s="57">
        <f>VLOOKUP(Table91213[[#This Row],[Date]],'DB Details'!$A:$L,2)</f>
        <v/>
      </c>
      <c r="C348" s="41" t="n"/>
      <c r="D348" s="55" t="n"/>
      <c r="E348" s="88">
        <f>VLOOKUP(Table91213[[#This Row],[Date]],'DB Details'!$A:$L,5)</f>
        <v/>
      </c>
      <c r="F348" s="88">
        <f>VLOOKUP(Table91213[[#This Row],[Date]],'DB Details'!$A:$L,6)</f>
        <v/>
      </c>
      <c r="G348" s="119" t="n"/>
      <c r="H348" s="88">
        <f>VLOOKUP(Table91213[[#This Row],[Date]],'DB Details'!$A:$L,8)</f>
        <v/>
      </c>
      <c r="I348" s="88">
        <f>VLOOKUP(Table91213[[#This Row],[Date]],'DB Details'!$A:$L,9)</f>
        <v/>
      </c>
      <c r="J348" s="88">
        <f>VLOOKUP(Table91213[[#This Row],[Date]],'DB Details'!$A:$L,10)</f>
        <v/>
      </c>
      <c r="K348" s="119" t="n"/>
      <c r="L348" s="88">
        <f>VLOOKUP(Table91213[[#This Row],[Date]],'DB Details'!$A:$L,12)</f>
        <v/>
      </c>
    </row>
    <row r="349">
      <c r="A349" s="39" t="n">
        <v>27973</v>
      </c>
      <c r="B349" s="57">
        <f>VLOOKUP(Table91213[[#This Row],[Date]],'DB Details'!$A:$L,2)</f>
        <v/>
      </c>
      <c r="C349" s="41" t="n"/>
      <c r="D349" s="55" t="n"/>
      <c r="E349" s="88">
        <f>VLOOKUP(Table91213[[#This Row],[Date]],'DB Details'!$A:$L,5)</f>
        <v/>
      </c>
      <c r="F349" s="88">
        <f>VLOOKUP(Table91213[[#This Row],[Date]],'DB Details'!$A:$L,6)</f>
        <v/>
      </c>
      <c r="G349" s="119" t="n"/>
      <c r="H349" s="88">
        <f>VLOOKUP(Table91213[[#This Row],[Date]],'DB Details'!$A:$L,8)</f>
        <v/>
      </c>
      <c r="I349" s="88">
        <f>VLOOKUP(Table91213[[#This Row],[Date]],'DB Details'!$A:$L,9)</f>
        <v/>
      </c>
      <c r="J349" s="88">
        <f>VLOOKUP(Table91213[[#This Row],[Date]],'DB Details'!$A:$L,10)</f>
        <v/>
      </c>
      <c r="K349" s="119" t="n"/>
      <c r="L349" s="88">
        <f>VLOOKUP(Table91213[[#This Row],[Date]],'DB Details'!$A:$L,12)</f>
        <v/>
      </c>
    </row>
    <row r="350">
      <c r="A350" s="39" t="n">
        <v>28004</v>
      </c>
      <c r="B350" s="57">
        <f>VLOOKUP(Table91213[[#This Row],[Date]],'DB Details'!$A:$L,2)</f>
        <v/>
      </c>
      <c r="C350" s="41" t="n"/>
      <c r="D350" s="55" t="n"/>
      <c r="E350" s="88">
        <f>VLOOKUP(Table91213[[#This Row],[Date]],'DB Details'!$A:$L,5)</f>
        <v/>
      </c>
      <c r="F350" s="88">
        <f>VLOOKUP(Table91213[[#This Row],[Date]],'DB Details'!$A:$L,6)</f>
        <v/>
      </c>
      <c r="G350" s="119" t="n"/>
      <c r="H350" s="88">
        <f>VLOOKUP(Table91213[[#This Row],[Date]],'DB Details'!$A:$L,8)</f>
        <v/>
      </c>
      <c r="I350" s="88">
        <f>VLOOKUP(Table91213[[#This Row],[Date]],'DB Details'!$A:$L,9)</f>
        <v/>
      </c>
      <c r="J350" s="88">
        <f>VLOOKUP(Table91213[[#This Row],[Date]],'DB Details'!$A:$L,10)</f>
        <v/>
      </c>
      <c r="K350" s="119" t="n"/>
      <c r="L350" s="88">
        <f>VLOOKUP(Table91213[[#This Row],[Date]],'DB Details'!$A:$L,12)</f>
        <v/>
      </c>
    </row>
    <row r="351">
      <c r="A351" s="39" t="n">
        <v>28034</v>
      </c>
      <c r="B351" s="57">
        <f>VLOOKUP(Table91213[[#This Row],[Date]],'DB Details'!$A:$L,2)</f>
        <v/>
      </c>
      <c r="C351" s="41" t="n"/>
      <c r="D351" s="55" t="n"/>
      <c r="E351" s="88">
        <f>VLOOKUP(Table91213[[#This Row],[Date]],'DB Details'!$A:$L,5)</f>
        <v/>
      </c>
      <c r="F351" s="88">
        <f>VLOOKUP(Table91213[[#This Row],[Date]],'DB Details'!$A:$L,6)</f>
        <v/>
      </c>
      <c r="G351" s="119" t="n"/>
      <c r="H351" s="88">
        <f>VLOOKUP(Table91213[[#This Row],[Date]],'DB Details'!$A:$L,8)</f>
        <v/>
      </c>
      <c r="I351" s="88">
        <f>VLOOKUP(Table91213[[#This Row],[Date]],'DB Details'!$A:$L,9)</f>
        <v/>
      </c>
      <c r="J351" s="88">
        <f>VLOOKUP(Table91213[[#This Row],[Date]],'DB Details'!$A:$L,10)</f>
        <v/>
      </c>
      <c r="K351" s="119" t="n"/>
      <c r="L351" s="88">
        <f>VLOOKUP(Table91213[[#This Row],[Date]],'DB Details'!$A:$L,12)</f>
        <v/>
      </c>
    </row>
    <row r="352">
      <c r="A352" s="39" t="n">
        <v>28065</v>
      </c>
      <c r="B352" s="57">
        <f>VLOOKUP(Table91213[[#This Row],[Date]],'DB Details'!$A:$L,2)</f>
        <v/>
      </c>
      <c r="C352" s="41" t="n"/>
      <c r="D352" s="55" t="n"/>
      <c r="E352" s="88">
        <f>VLOOKUP(Table91213[[#This Row],[Date]],'DB Details'!$A:$L,5)</f>
        <v/>
      </c>
      <c r="F352" s="88">
        <f>VLOOKUP(Table91213[[#This Row],[Date]],'DB Details'!$A:$L,6)</f>
        <v/>
      </c>
      <c r="G352" s="119" t="n"/>
      <c r="H352" s="88">
        <f>VLOOKUP(Table91213[[#This Row],[Date]],'DB Details'!$A:$L,8)</f>
        <v/>
      </c>
      <c r="I352" s="88">
        <f>VLOOKUP(Table91213[[#This Row],[Date]],'DB Details'!$A:$L,9)</f>
        <v/>
      </c>
      <c r="J352" s="88">
        <f>VLOOKUP(Table91213[[#This Row],[Date]],'DB Details'!$A:$L,10)</f>
        <v/>
      </c>
      <c r="K352" s="119" t="n"/>
      <c r="L352" s="88">
        <f>VLOOKUP(Table91213[[#This Row],[Date]],'DB Details'!$A:$L,12)</f>
        <v/>
      </c>
    </row>
    <row r="353">
      <c r="A353" s="39" t="n">
        <v>28095</v>
      </c>
      <c r="B353" s="57">
        <f>VLOOKUP(Table91213[[#This Row],[Date]],'DB Details'!$A:$L,2)</f>
        <v/>
      </c>
      <c r="C353" s="41" t="n"/>
      <c r="D353" s="55" t="n"/>
      <c r="E353" s="88">
        <f>VLOOKUP(Table91213[[#This Row],[Date]],'DB Details'!$A:$L,5)</f>
        <v/>
      </c>
      <c r="F353" s="88">
        <f>VLOOKUP(Table91213[[#This Row],[Date]],'DB Details'!$A:$L,6)</f>
        <v/>
      </c>
      <c r="G353" s="119" t="n"/>
      <c r="H353" s="88">
        <f>VLOOKUP(Table91213[[#This Row],[Date]],'DB Details'!$A:$L,8)</f>
        <v/>
      </c>
      <c r="I353" s="88">
        <f>VLOOKUP(Table91213[[#This Row],[Date]],'DB Details'!$A:$L,9)</f>
        <v/>
      </c>
      <c r="J353" s="88">
        <f>VLOOKUP(Table91213[[#This Row],[Date]],'DB Details'!$A:$L,10)</f>
        <v/>
      </c>
      <c r="K353" s="119" t="n"/>
      <c r="L353" s="88">
        <f>VLOOKUP(Table91213[[#This Row],[Date]],'DB Details'!$A:$L,12)</f>
        <v/>
      </c>
    </row>
    <row r="354">
      <c r="A354" s="39" t="n">
        <v>28126</v>
      </c>
      <c r="B354" s="57">
        <f>VLOOKUP(Table91213[[#This Row],[Date]],'DB Details'!$A:$L,2)</f>
        <v/>
      </c>
      <c r="C354" s="41" t="n"/>
      <c r="D354" s="55" t="n"/>
      <c r="E354" s="88">
        <f>VLOOKUP(Table91213[[#This Row],[Date]],'DB Details'!$A:$L,5)</f>
        <v/>
      </c>
      <c r="F354" s="88">
        <f>VLOOKUP(Table91213[[#This Row],[Date]],'DB Details'!$A:$L,6)</f>
        <v/>
      </c>
      <c r="G354" s="119" t="n"/>
      <c r="H354" s="88">
        <f>VLOOKUP(Table91213[[#This Row],[Date]],'DB Details'!$A:$L,8)</f>
        <v/>
      </c>
      <c r="I354" s="88">
        <f>VLOOKUP(Table91213[[#This Row],[Date]],'DB Details'!$A:$L,9)</f>
        <v/>
      </c>
      <c r="J354" s="88">
        <f>VLOOKUP(Table91213[[#This Row],[Date]],'DB Details'!$A:$L,10)</f>
        <v/>
      </c>
      <c r="K354" s="119" t="n"/>
      <c r="L354" s="88">
        <f>VLOOKUP(Table91213[[#This Row],[Date]],'DB Details'!$A:$L,12)</f>
        <v/>
      </c>
    </row>
    <row r="355">
      <c r="A355" s="39" t="n">
        <v>28157</v>
      </c>
      <c r="B355" s="57">
        <f>VLOOKUP(Table91213[[#This Row],[Date]],'DB Details'!$A:$L,2)</f>
        <v/>
      </c>
      <c r="C355" s="41" t="n"/>
      <c r="D355" s="55" t="n"/>
      <c r="E355" s="88">
        <f>VLOOKUP(Table91213[[#This Row],[Date]],'DB Details'!$A:$L,5)</f>
        <v/>
      </c>
      <c r="F355" s="88">
        <f>VLOOKUP(Table91213[[#This Row],[Date]],'DB Details'!$A:$L,6)</f>
        <v/>
      </c>
      <c r="G355" s="119" t="n"/>
      <c r="H355" s="88">
        <f>VLOOKUP(Table91213[[#This Row],[Date]],'DB Details'!$A:$L,8)</f>
        <v/>
      </c>
      <c r="I355" s="88">
        <f>VLOOKUP(Table91213[[#This Row],[Date]],'DB Details'!$A:$L,9)</f>
        <v/>
      </c>
      <c r="J355" s="88">
        <f>VLOOKUP(Table91213[[#This Row],[Date]],'DB Details'!$A:$L,10)</f>
        <v/>
      </c>
      <c r="K355" s="119" t="n"/>
      <c r="L355" s="88">
        <f>VLOOKUP(Table91213[[#This Row],[Date]],'DB Details'!$A:$L,12)</f>
        <v/>
      </c>
    </row>
    <row r="356">
      <c r="A356" s="39" t="n">
        <v>28185</v>
      </c>
      <c r="B356" s="57">
        <f>VLOOKUP(Table91213[[#This Row],[Date]],'DB Details'!$A:$L,2)</f>
        <v/>
      </c>
      <c r="C356" s="41" t="n"/>
      <c r="D356" s="55" t="n"/>
      <c r="E356" s="88">
        <f>VLOOKUP(Table91213[[#This Row],[Date]],'DB Details'!$A:$L,5)</f>
        <v/>
      </c>
      <c r="F356" s="88">
        <f>VLOOKUP(Table91213[[#This Row],[Date]],'DB Details'!$A:$L,6)</f>
        <v/>
      </c>
      <c r="G356" s="119" t="n"/>
      <c r="H356" s="88">
        <f>VLOOKUP(Table91213[[#This Row],[Date]],'DB Details'!$A:$L,8)</f>
        <v/>
      </c>
      <c r="I356" s="88">
        <f>VLOOKUP(Table91213[[#This Row],[Date]],'DB Details'!$A:$L,9)</f>
        <v/>
      </c>
      <c r="J356" s="88">
        <f>VLOOKUP(Table91213[[#This Row],[Date]],'DB Details'!$A:$L,10)</f>
        <v/>
      </c>
      <c r="K356" s="119" t="n"/>
      <c r="L356" s="88">
        <f>VLOOKUP(Table91213[[#This Row],[Date]],'DB Details'!$A:$L,12)</f>
        <v/>
      </c>
    </row>
    <row r="357">
      <c r="A357" s="39" t="n">
        <v>28216</v>
      </c>
      <c r="B357" s="57">
        <f>VLOOKUP(Table91213[[#This Row],[Date]],'DB Details'!$A:$L,2)</f>
        <v/>
      </c>
      <c r="C357" s="41" t="n"/>
      <c r="D357" s="55" t="n"/>
      <c r="E357" s="88">
        <f>VLOOKUP(Table91213[[#This Row],[Date]],'DB Details'!$A:$L,5)</f>
        <v/>
      </c>
      <c r="F357" s="88">
        <f>VLOOKUP(Table91213[[#This Row],[Date]],'DB Details'!$A:$L,6)</f>
        <v/>
      </c>
      <c r="G357" s="119" t="n"/>
      <c r="H357" s="88">
        <f>VLOOKUP(Table91213[[#This Row],[Date]],'DB Details'!$A:$L,8)</f>
        <v/>
      </c>
      <c r="I357" s="88">
        <f>VLOOKUP(Table91213[[#This Row],[Date]],'DB Details'!$A:$L,9)</f>
        <v/>
      </c>
      <c r="J357" s="88">
        <f>VLOOKUP(Table91213[[#This Row],[Date]],'DB Details'!$A:$L,10)</f>
        <v/>
      </c>
      <c r="K357" s="119" t="n"/>
      <c r="L357" s="88">
        <f>VLOOKUP(Table91213[[#This Row],[Date]],'DB Details'!$A:$L,12)</f>
        <v/>
      </c>
    </row>
    <row r="358">
      <c r="A358" s="39" t="n">
        <v>28246</v>
      </c>
      <c r="B358" s="57">
        <f>VLOOKUP(Table91213[[#This Row],[Date]],'DB Details'!$A:$L,2)</f>
        <v/>
      </c>
      <c r="C358" s="41" t="n"/>
      <c r="D358" s="55" t="n"/>
      <c r="E358" s="88">
        <f>VLOOKUP(Table91213[[#This Row],[Date]],'DB Details'!$A:$L,5)</f>
        <v/>
      </c>
      <c r="F358" s="88">
        <f>VLOOKUP(Table91213[[#This Row],[Date]],'DB Details'!$A:$L,6)</f>
        <v/>
      </c>
      <c r="G358" s="119" t="n"/>
      <c r="H358" s="88">
        <f>VLOOKUP(Table91213[[#This Row],[Date]],'DB Details'!$A:$L,8)</f>
        <v/>
      </c>
      <c r="I358" s="88">
        <f>VLOOKUP(Table91213[[#This Row],[Date]],'DB Details'!$A:$L,9)</f>
        <v/>
      </c>
      <c r="J358" s="88">
        <f>VLOOKUP(Table91213[[#This Row],[Date]],'DB Details'!$A:$L,10)</f>
        <v/>
      </c>
      <c r="K358" s="119" t="n"/>
      <c r="L358" s="88">
        <f>VLOOKUP(Table91213[[#This Row],[Date]],'DB Details'!$A:$L,12)</f>
        <v/>
      </c>
    </row>
    <row r="359">
      <c r="A359" s="39" t="n">
        <v>28277</v>
      </c>
      <c r="B359" s="57">
        <f>VLOOKUP(Table91213[[#This Row],[Date]],'DB Details'!$A:$L,2)</f>
        <v/>
      </c>
      <c r="C359" s="41" t="n"/>
      <c r="D359" s="55" t="n"/>
      <c r="E359" s="88">
        <f>VLOOKUP(Table91213[[#This Row],[Date]],'DB Details'!$A:$L,5)</f>
        <v/>
      </c>
      <c r="F359" s="88">
        <f>VLOOKUP(Table91213[[#This Row],[Date]],'DB Details'!$A:$L,6)</f>
        <v/>
      </c>
      <c r="G359" s="119" t="n"/>
      <c r="H359" s="88">
        <f>VLOOKUP(Table91213[[#This Row],[Date]],'DB Details'!$A:$L,8)</f>
        <v/>
      </c>
      <c r="I359" s="88">
        <f>VLOOKUP(Table91213[[#This Row],[Date]],'DB Details'!$A:$L,9)</f>
        <v/>
      </c>
      <c r="J359" s="88">
        <f>VLOOKUP(Table91213[[#This Row],[Date]],'DB Details'!$A:$L,10)</f>
        <v/>
      </c>
      <c r="K359" s="119" t="n"/>
      <c r="L359" s="88">
        <f>VLOOKUP(Table91213[[#This Row],[Date]],'DB Details'!$A:$L,12)</f>
        <v/>
      </c>
    </row>
    <row r="360">
      <c r="A360" s="39" t="n">
        <v>28307</v>
      </c>
      <c r="B360" s="57">
        <f>VLOOKUP(Table91213[[#This Row],[Date]],'DB Details'!$A:$L,2)</f>
        <v/>
      </c>
      <c r="C360" s="41" t="n"/>
      <c r="D360" s="55" t="n"/>
      <c r="E360" s="88">
        <f>VLOOKUP(Table91213[[#This Row],[Date]],'DB Details'!$A:$L,5)</f>
        <v/>
      </c>
      <c r="F360" s="88">
        <f>VLOOKUP(Table91213[[#This Row],[Date]],'DB Details'!$A:$L,6)</f>
        <v/>
      </c>
      <c r="G360" s="119" t="n"/>
      <c r="H360" s="88">
        <f>VLOOKUP(Table91213[[#This Row],[Date]],'DB Details'!$A:$L,8)</f>
        <v/>
      </c>
      <c r="I360" s="88">
        <f>VLOOKUP(Table91213[[#This Row],[Date]],'DB Details'!$A:$L,9)</f>
        <v/>
      </c>
      <c r="J360" s="88">
        <f>VLOOKUP(Table91213[[#This Row],[Date]],'DB Details'!$A:$L,10)</f>
        <v/>
      </c>
      <c r="K360" s="119" t="n"/>
      <c r="L360" s="88">
        <f>VLOOKUP(Table91213[[#This Row],[Date]],'DB Details'!$A:$L,12)</f>
        <v/>
      </c>
    </row>
    <row r="361">
      <c r="A361" s="39" t="n">
        <v>28338</v>
      </c>
      <c r="B361" s="57">
        <f>VLOOKUP(Table91213[[#This Row],[Date]],'DB Details'!$A:$L,2)</f>
        <v/>
      </c>
      <c r="C361" s="41" t="n"/>
      <c r="D361" s="55" t="n"/>
      <c r="E361" s="88">
        <f>VLOOKUP(Table91213[[#This Row],[Date]],'DB Details'!$A:$L,5)</f>
        <v/>
      </c>
      <c r="F361" s="88">
        <f>VLOOKUP(Table91213[[#This Row],[Date]],'DB Details'!$A:$L,6)</f>
        <v/>
      </c>
      <c r="G361" s="119" t="n"/>
      <c r="H361" s="88">
        <f>VLOOKUP(Table91213[[#This Row],[Date]],'DB Details'!$A:$L,8)</f>
        <v/>
      </c>
      <c r="I361" s="88">
        <f>VLOOKUP(Table91213[[#This Row],[Date]],'DB Details'!$A:$L,9)</f>
        <v/>
      </c>
      <c r="J361" s="88">
        <f>VLOOKUP(Table91213[[#This Row],[Date]],'DB Details'!$A:$L,10)</f>
        <v/>
      </c>
      <c r="K361" s="119" t="n"/>
      <c r="L361" s="88">
        <f>VLOOKUP(Table91213[[#This Row],[Date]],'DB Details'!$A:$L,12)</f>
        <v/>
      </c>
    </row>
    <row r="362">
      <c r="A362" s="39" t="n">
        <v>28369</v>
      </c>
      <c r="B362" s="57">
        <f>VLOOKUP(Table91213[[#This Row],[Date]],'DB Details'!$A:$L,2)</f>
        <v/>
      </c>
      <c r="C362" s="41" t="n"/>
      <c r="D362" s="55" t="n"/>
      <c r="E362" s="88">
        <f>VLOOKUP(Table91213[[#This Row],[Date]],'DB Details'!$A:$L,5)</f>
        <v/>
      </c>
      <c r="F362" s="88">
        <f>VLOOKUP(Table91213[[#This Row],[Date]],'DB Details'!$A:$L,6)</f>
        <v/>
      </c>
      <c r="G362" s="119" t="n"/>
      <c r="H362" s="88">
        <f>VLOOKUP(Table91213[[#This Row],[Date]],'DB Details'!$A:$L,8)</f>
        <v/>
      </c>
      <c r="I362" s="88">
        <f>VLOOKUP(Table91213[[#This Row],[Date]],'DB Details'!$A:$L,9)</f>
        <v/>
      </c>
      <c r="J362" s="88">
        <f>VLOOKUP(Table91213[[#This Row],[Date]],'DB Details'!$A:$L,10)</f>
        <v/>
      </c>
      <c r="K362" s="119" t="n"/>
      <c r="L362" s="88">
        <f>VLOOKUP(Table91213[[#This Row],[Date]],'DB Details'!$A:$L,12)</f>
        <v/>
      </c>
    </row>
    <row r="363">
      <c r="A363" s="39" t="n">
        <v>28399</v>
      </c>
      <c r="B363" s="57">
        <f>VLOOKUP(Table91213[[#This Row],[Date]],'DB Details'!$A:$L,2)</f>
        <v/>
      </c>
      <c r="C363" s="41" t="n"/>
      <c r="D363" s="55" t="n"/>
      <c r="E363" s="88">
        <f>VLOOKUP(Table91213[[#This Row],[Date]],'DB Details'!$A:$L,5)</f>
        <v/>
      </c>
      <c r="F363" s="88">
        <f>VLOOKUP(Table91213[[#This Row],[Date]],'DB Details'!$A:$L,6)</f>
        <v/>
      </c>
      <c r="G363" s="119" t="n"/>
      <c r="H363" s="88">
        <f>VLOOKUP(Table91213[[#This Row],[Date]],'DB Details'!$A:$L,8)</f>
        <v/>
      </c>
      <c r="I363" s="88">
        <f>VLOOKUP(Table91213[[#This Row],[Date]],'DB Details'!$A:$L,9)</f>
        <v/>
      </c>
      <c r="J363" s="88">
        <f>VLOOKUP(Table91213[[#This Row],[Date]],'DB Details'!$A:$L,10)</f>
        <v/>
      </c>
      <c r="K363" s="119" t="n"/>
      <c r="L363" s="88">
        <f>VLOOKUP(Table91213[[#This Row],[Date]],'DB Details'!$A:$L,12)</f>
        <v/>
      </c>
    </row>
    <row r="364">
      <c r="A364" s="39" t="n">
        <v>28430</v>
      </c>
      <c r="B364" s="57">
        <f>VLOOKUP(Table91213[[#This Row],[Date]],'DB Details'!$A:$L,2)</f>
        <v/>
      </c>
      <c r="C364" s="41" t="n"/>
      <c r="D364" s="55" t="n"/>
      <c r="E364" s="88">
        <f>VLOOKUP(Table91213[[#This Row],[Date]],'DB Details'!$A:$L,5)</f>
        <v/>
      </c>
      <c r="F364" s="88">
        <f>VLOOKUP(Table91213[[#This Row],[Date]],'DB Details'!$A:$L,6)</f>
        <v/>
      </c>
      <c r="G364" s="119" t="n"/>
      <c r="H364" s="88">
        <f>VLOOKUP(Table91213[[#This Row],[Date]],'DB Details'!$A:$L,8)</f>
        <v/>
      </c>
      <c r="I364" s="88">
        <f>VLOOKUP(Table91213[[#This Row],[Date]],'DB Details'!$A:$L,9)</f>
        <v/>
      </c>
      <c r="J364" s="88">
        <f>VLOOKUP(Table91213[[#This Row],[Date]],'DB Details'!$A:$L,10)</f>
        <v/>
      </c>
      <c r="K364" s="119" t="n"/>
      <c r="L364" s="88">
        <f>VLOOKUP(Table91213[[#This Row],[Date]],'DB Details'!$A:$L,12)</f>
        <v/>
      </c>
    </row>
    <row r="365">
      <c r="A365" s="39" t="n">
        <v>28460</v>
      </c>
      <c r="B365" s="57">
        <f>VLOOKUP(Table91213[[#This Row],[Date]],'DB Details'!$A:$L,2)</f>
        <v/>
      </c>
      <c r="C365" s="41" t="n"/>
      <c r="D365" s="55" t="n"/>
      <c r="E365" s="88">
        <f>VLOOKUP(Table91213[[#This Row],[Date]],'DB Details'!$A:$L,5)</f>
        <v/>
      </c>
      <c r="F365" s="88">
        <f>VLOOKUP(Table91213[[#This Row],[Date]],'DB Details'!$A:$L,6)</f>
        <v/>
      </c>
      <c r="G365" s="119" t="n"/>
      <c r="H365" s="88">
        <f>VLOOKUP(Table91213[[#This Row],[Date]],'DB Details'!$A:$L,8)</f>
        <v/>
      </c>
      <c r="I365" s="88">
        <f>VLOOKUP(Table91213[[#This Row],[Date]],'DB Details'!$A:$L,9)</f>
        <v/>
      </c>
      <c r="J365" s="88">
        <f>VLOOKUP(Table91213[[#This Row],[Date]],'DB Details'!$A:$L,10)</f>
        <v/>
      </c>
      <c r="K365" s="119" t="n"/>
      <c r="L365" s="88">
        <f>VLOOKUP(Table91213[[#This Row],[Date]],'DB Details'!$A:$L,12)</f>
        <v/>
      </c>
    </row>
    <row r="366">
      <c r="A366" s="39" t="n">
        <v>28491</v>
      </c>
      <c r="B366" s="57">
        <f>VLOOKUP(Table91213[[#This Row],[Date]],'DB Details'!$A:$L,2)</f>
        <v/>
      </c>
      <c r="C366" s="41" t="n"/>
      <c r="D366" s="55" t="n"/>
      <c r="E366" s="88">
        <f>VLOOKUP(Table91213[[#This Row],[Date]],'DB Details'!$A:$L,5)</f>
        <v/>
      </c>
      <c r="F366" s="88">
        <f>VLOOKUP(Table91213[[#This Row],[Date]],'DB Details'!$A:$L,6)</f>
        <v/>
      </c>
      <c r="G366" s="119" t="n"/>
      <c r="H366" s="88">
        <f>VLOOKUP(Table91213[[#This Row],[Date]],'DB Details'!$A:$L,8)</f>
        <v/>
      </c>
      <c r="I366" s="88">
        <f>VLOOKUP(Table91213[[#This Row],[Date]],'DB Details'!$A:$L,9)</f>
        <v/>
      </c>
      <c r="J366" s="88">
        <f>VLOOKUP(Table91213[[#This Row],[Date]],'DB Details'!$A:$L,10)</f>
        <v/>
      </c>
      <c r="K366" s="119" t="n"/>
      <c r="L366" s="88">
        <f>VLOOKUP(Table91213[[#This Row],[Date]],'DB Details'!$A:$L,12)</f>
        <v/>
      </c>
    </row>
    <row r="367">
      <c r="A367" s="39" t="n">
        <v>28522</v>
      </c>
      <c r="B367" s="57">
        <f>VLOOKUP(Table91213[[#This Row],[Date]],'DB Details'!$A:$L,2)</f>
        <v/>
      </c>
      <c r="C367" s="41" t="n"/>
      <c r="D367" s="55" t="n"/>
      <c r="E367" s="88">
        <f>VLOOKUP(Table91213[[#This Row],[Date]],'DB Details'!$A:$L,5)</f>
        <v/>
      </c>
      <c r="F367" s="88">
        <f>VLOOKUP(Table91213[[#This Row],[Date]],'DB Details'!$A:$L,6)</f>
        <v/>
      </c>
      <c r="G367" s="119" t="n"/>
      <c r="H367" s="88">
        <f>VLOOKUP(Table91213[[#This Row],[Date]],'DB Details'!$A:$L,8)</f>
        <v/>
      </c>
      <c r="I367" s="88">
        <f>VLOOKUP(Table91213[[#This Row],[Date]],'DB Details'!$A:$L,9)</f>
        <v/>
      </c>
      <c r="J367" s="88">
        <f>VLOOKUP(Table91213[[#This Row],[Date]],'DB Details'!$A:$L,10)</f>
        <v/>
      </c>
      <c r="K367" s="119" t="n"/>
      <c r="L367" s="88">
        <f>VLOOKUP(Table91213[[#This Row],[Date]],'DB Details'!$A:$L,12)</f>
        <v/>
      </c>
    </row>
    <row r="368">
      <c r="A368" s="39" t="n">
        <v>28550</v>
      </c>
      <c r="B368" s="57">
        <f>VLOOKUP(Table91213[[#This Row],[Date]],'DB Details'!$A:$L,2)</f>
        <v/>
      </c>
      <c r="C368" s="41" t="n"/>
      <c r="D368" s="55" t="n"/>
      <c r="E368" s="88">
        <f>VLOOKUP(Table91213[[#This Row],[Date]],'DB Details'!$A:$L,5)</f>
        <v/>
      </c>
      <c r="F368" s="88">
        <f>VLOOKUP(Table91213[[#This Row],[Date]],'DB Details'!$A:$L,6)</f>
        <v/>
      </c>
      <c r="G368" s="119" t="n"/>
      <c r="H368" s="88">
        <f>VLOOKUP(Table91213[[#This Row],[Date]],'DB Details'!$A:$L,8)</f>
        <v/>
      </c>
      <c r="I368" s="88">
        <f>VLOOKUP(Table91213[[#This Row],[Date]],'DB Details'!$A:$L,9)</f>
        <v/>
      </c>
      <c r="J368" s="88">
        <f>VLOOKUP(Table91213[[#This Row],[Date]],'DB Details'!$A:$L,10)</f>
        <v/>
      </c>
      <c r="K368" s="119" t="n"/>
      <c r="L368" s="88">
        <f>VLOOKUP(Table91213[[#This Row],[Date]],'DB Details'!$A:$L,12)</f>
        <v/>
      </c>
    </row>
    <row r="369">
      <c r="A369" s="39" t="n">
        <v>28581</v>
      </c>
      <c r="B369" s="57">
        <f>VLOOKUP(Table91213[[#This Row],[Date]],'DB Details'!$A:$L,2)</f>
        <v/>
      </c>
      <c r="C369" s="41" t="n"/>
      <c r="D369" s="55" t="n"/>
      <c r="E369" s="88">
        <f>VLOOKUP(Table91213[[#This Row],[Date]],'DB Details'!$A:$L,5)</f>
        <v/>
      </c>
      <c r="F369" s="88">
        <f>VLOOKUP(Table91213[[#This Row],[Date]],'DB Details'!$A:$L,6)</f>
        <v/>
      </c>
      <c r="G369" s="119" t="n"/>
      <c r="H369" s="88">
        <f>VLOOKUP(Table91213[[#This Row],[Date]],'DB Details'!$A:$L,8)</f>
        <v/>
      </c>
      <c r="I369" s="88">
        <f>VLOOKUP(Table91213[[#This Row],[Date]],'DB Details'!$A:$L,9)</f>
        <v/>
      </c>
      <c r="J369" s="88">
        <f>VLOOKUP(Table91213[[#This Row],[Date]],'DB Details'!$A:$L,10)</f>
        <v/>
      </c>
      <c r="K369" s="119" t="n"/>
      <c r="L369" s="88">
        <f>VLOOKUP(Table91213[[#This Row],[Date]],'DB Details'!$A:$L,12)</f>
        <v/>
      </c>
    </row>
    <row r="370">
      <c r="A370" s="39" t="n">
        <v>28611</v>
      </c>
      <c r="B370" s="57">
        <f>VLOOKUP(Table91213[[#This Row],[Date]],'DB Details'!$A:$L,2)</f>
        <v/>
      </c>
      <c r="C370" s="41" t="n"/>
      <c r="D370" s="55" t="n"/>
      <c r="E370" s="88">
        <f>VLOOKUP(Table91213[[#This Row],[Date]],'DB Details'!$A:$L,5)</f>
        <v/>
      </c>
      <c r="F370" s="88">
        <f>VLOOKUP(Table91213[[#This Row],[Date]],'DB Details'!$A:$L,6)</f>
        <v/>
      </c>
      <c r="G370" s="119" t="n"/>
      <c r="H370" s="88">
        <f>VLOOKUP(Table91213[[#This Row],[Date]],'DB Details'!$A:$L,8)</f>
        <v/>
      </c>
      <c r="I370" s="88">
        <f>VLOOKUP(Table91213[[#This Row],[Date]],'DB Details'!$A:$L,9)</f>
        <v/>
      </c>
      <c r="J370" s="88">
        <f>VLOOKUP(Table91213[[#This Row],[Date]],'DB Details'!$A:$L,10)</f>
        <v/>
      </c>
      <c r="K370" s="119" t="n"/>
      <c r="L370" s="88">
        <f>VLOOKUP(Table91213[[#This Row],[Date]],'DB Details'!$A:$L,12)</f>
        <v/>
      </c>
    </row>
    <row r="371">
      <c r="A371" s="39" t="n">
        <v>28642</v>
      </c>
      <c r="B371" s="57">
        <f>VLOOKUP(Table91213[[#This Row],[Date]],'DB Details'!$A:$L,2)</f>
        <v/>
      </c>
      <c r="C371" s="41" t="n"/>
      <c r="D371" s="55" t="n"/>
      <c r="E371" s="88">
        <f>VLOOKUP(Table91213[[#This Row],[Date]],'DB Details'!$A:$L,5)</f>
        <v/>
      </c>
      <c r="F371" s="88">
        <f>VLOOKUP(Table91213[[#This Row],[Date]],'DB Details'!$A:$L,6)</f>
        <v/>
      </c>
      <c r="G371" s="119" t="n"/>
      <c r="H371" s="88">
        <f>VLOOKUP(Table91213[[#This Row],[Date]],'DB Details'!$A:$L,8)</f>
        <v/>
      </c>
      <c r="I371" s="88">
        <f>VLOOKUP(Table91213[[#This Row],[Date]],'DB Details'!$A:$L,9)</f>
        <v/>
      </c>
      <c r="J371" s="88">
        <f>VLOOKUP(Table91213[[#This Row],[Date]],'DB Details'!$A:$L,10)</f>
        <v/>
      </c>
      <c r="K371" s="119" t="n"/>
      <c r="L371" s="88">
        <f>VLOOKUP(Table91213[[#This Row],[Date]],'DB Details'!$A:$L,12)</f>
        <v/>
      </c>
    </row>
    <row r="372">
      <c r="A372" s="39" t="n">
        <v>28672</v>
      </c>
      <c r="B372" s="57">
        <f>VLOOKUP(Table91213[[#This Row],[Date]],'DB Details'!$A:$L,2)</f>
        <v/>
      </c>
      <c r="C372" s="41" t="n"/>
      <c r="D372" s="55" t="n"/>
      <c r="E372" s="88">
        <f>VLOOKUP(Table91213[[#This Row],[Date]],'DB Details'!$A:$L,5)</f>
        <v/>
      </c>
      <c r="F372" s="88">
        <f>VLOOKUP(Table91213[[#This Row],[Date]],'DB Details'!$A:$L,6)</f>
        <v/>
      </c>
      <c r="G372" s="119" t="n"/>
      <c r="H372" s="88">
        <f>VLOOKUP(Table91213[[#This Row],[Date]],'DB Details'!$A:$L,8)</f>
        <v/>
      </c>
      <c r="I372" s="88">
        <f>VLOOKUP(Table91213[[#This Row],[Date]],'DB Details'!$A:$L,9)</f>
        <v/>
      </c>
      <c r="J372" s="88">
        <f>VLOOKUP(Table91213[[#This Row],[Date]],'DB Details'!$A:$L,10)</f>
        <v/>
      </c>
      <c r="K372" s="119" t="n"/>
      <c r="L372" s="88">
        <f>VLOOKUP(Table91213[[#This Row],[Date]],'DB Details'!$A:$L,12)</f>
        <v/>
      </c>
    </row>
    <row r="373">
      <c r="A373" s="39" t="n">
        <v>28703</v>
      </c>
      <c r="B373" s="57">
        <f>VLOOKUP(Table91213[[#This Row],[Date]],'DB Details'!$A:$L,2)</f>
        <v/>
      </c>
      <c r="C373" s="41" t="n"/>
      <c r="D373" s="55" t="n"/>
      <c r="E373" s="88">
        <f>VLOOKUP(Table91213[[#This Row],[Date]],'DB Details'!$A:$L,5)</f>
        <v/>
      </c>
      <c r="F373" s="88">
        <f>VLOOKUP(Table91213[[#This Row],[Date]],'DB Details'!$A:$L,6)</f>
        <v/>
      </c>
      <c r="G373" s="119" t="n"/>
      <c r="H373" s="88">
        <f>VLOOKUP(Table91213[[#This Row],[Date]],'DB Details'!$A:$L,8)</f>
        <v/>
      </c>
      <c r="I373" s="88">
        <f>VLOOKUP(Table91213[[#This Row],[Date]],'DB Details'!$A:$L,9)</f>
        <v/>
      </c>
      <c r="J373" s="88">
        <f>VLOOKUP(Table91213[[#This Row],[Date]],'DB Details'!$A:$L,10)</f>
        <v/>
      </c>
      <c r="K373" s="119" t="n"/>
      <c r="L373" s="88">
        <f>VLOOKUP(Table91213[[#This Row],[Date]],'DB Details'!$A:$L,12)</f>
        <v/>
      </c>
    </row>
    <row r="374">
      <c r="A374" s="39" t="n">
        <v>28734</v>
      </c>
      <c r="B374" s="57">
        <f>VLOOKUP(Table91213[[#This Row],[Date]],'DB Details'!$A:$L,2)</f>
        <v/>
      </c>
      <c r="C374" s="41" t="n"/>
      <c r="D374" s="55" t="n"/>
      <c r="E374" s="88">
        <f>VLOOKUP(Table91213[[#This Row],[Date]],'DB Details'!$A:$L,5)</f>
        <v/>
      </c>
      <c r="F374" s="88">
        <f>VLOOKUP(Table91213[[#This Row],[Date]],'DB Details'!$A:$L,6)</f>
        <v/>
      </c>
      <c r="G374" s="119" t="n"/>
      <c r="H374" s="88">
        <f>VLOOKUP(Table91213[[#This Row],[Date]],'DB Details'!$A:$L,8)</f>
        <v/>
      </c>
      <c r="I374" s="88">
        <f>VLOOKUP(Table91213[[#This Row],[Date]],'DB Details'!$A:$L,9)</f>
        <v/>
      </c>
      <c r="J374" s="88">
        <f>VLOOKUP(Table91213[[#This Row],[Date]],'DB Details'!$A:$L,10)</f>
        <v/>
      </c>
      <c r="K374" s="119" t="n"/>
      <c r="L374" s="88">
        <f>VLOOKUP(Table91213[[#This Row],[Date]],'DB Details'!$A:$L,12)</f>
        <v/>
      </c>
    </row>
    <row r="375">
      <c r="A375" s="39" t="n">
        <v>28764</v>
      </c>
      <c r="B375" s="57">
        <f>VLOOKUP(Table91213[[#This Row],[Date]],'DB Details'!$A:$L,2)</f>
        <v/>
      </c>
      <c r="C375" s="41" t="n"/>
      <c r="D375" s="55" t="n"/>
      <c r="E375" s="88">
        <f>VLOOKUP(Table91213[[#This Row],[Date]],'DB Details'!$A:$L,5)</f>
        <v/>
      </c>
      <c r="F375" s="88">
        <f>VLOOKUP(Table91213[[#This Row],[Date]],'DB Details'!$A:$L,6)</f>
        <v/>
      </c>
      <c r="G375" s="119" t="n"/>
      <c r="H375" s="88">
        <f>VLOOKUP(Table91213[[#This Row],[Date]],'DB Details'!$A:$L,8)</f>
        <v/>
      </c>
      <c r="I375" s="88">
        <f>VLOOKUP(Table91213[[#This Row],[Date]],'DB Details'!$A:$L,9)</f>
        <v/>
      </c>
      <c r="J375" s="88">
        <f>VLOOKUP(Table91213[[#This Row],[Date]],'DB Details'!$A:$L,10)</f>
        <v/>
      </c>
      <c r="K375" s="119" t="n"/>
      <c r="L375" s="88">
        <f>VLOOKUP(Table91213[[#This Row],[Date]],'DB Details'!$A:$L,12)</f>
        <v/>
      </c>
    </row>
    <row r="376">
      <c r="A376" s="39" t="n">
        <v>28795</v>
      </c>
      <c r="B376" s="57">
        <f>VLOOKUP(Table91213[[#This Row],[Date]],'DB Details'!$A:$L,2)</f>
        <v/>
      </c>
      <c r="C376" s="41" t="n"/>
      <c r="D376" s="55" t="n"/>
      <c r="E376" s="88">
        <f>VLOOKUP(Table91213[[#This Row],[Date]],'DB Details'!$A:$L,5)</f>
        <v/>
      </c>
      <c r="F376" s="88">
        <f>VLOOKUP(Table91213[[#This Row],[Date]],'DB Details'!$A:$L,6)</f>
        <v/>
      </c>
      <c r="G376" s="119" t="n"/>
      <c r="H376" s="88">
        <f>VLOOKUP(Table91213[[#This Row],[Date]],'DB Details'!$A:$L,8)</f>
        <v/>
      </c>
      <c r="I376" s="88">
        <f>VLOOKUP(Table91213[[#This Row],[Date]],'DB Details'!$A:$L,9)</f>
        <v/>
      </c>
      <c r="J376" s="88">
        <f>VLOOKUP(Table91213[[#This Row],[Date]],'DB Details'!$A:$L,10)</f>
        <v/>
      </c>
      <c r="K376" s="119" t="n"/>
      <c r="L376" s="88">
        <f>VLOOKUP(Table91213[[#This Row],[Date]],'DB Details'!$A:$L,12)</f>
        <v/>
      </c>
    </row>
    <row r="377">
      <c r="A377" s="39" t="n">
        <v>28825</v>
      </c>
      <c r="B377" s="57">
        <f>VLOOKUP(Table91213[[#This Row],[Date]],'DB Details'!$A:$L,2)</f>
        <v/>
      </c>
      <c r="C377" s="41" t="n"/>
      <c r="D377" s="55" t="n"/>
      <c r="E377" s="88">
        <f>VLOOKUP(Table91213[[#This Row],[Date]],'DB Details'!$A:$L,5)</f>
        <v/>
      </c>
      <c r="F377" s="88">
        <f>VLOOKUP(Table91213[[#This Row],[Date]],'DB Details'!$A:$L,6)</f>
        <v/>
      </c>
      <c r="G377" s="119" t="n"/>
      <c r="H377" s="88">
        <f>VLOOKUP(Table91213[[#This Row],[Date]],'DB Details'!$A:$L,8)</f>
        <v/>
      </c>
      <c r="I377" s="88">
        <f>VLOOKUP(Table91213[[#This Row],[Date]],'DB Details'!$A:$L,9)</f>
        <v/>
      </c>
      <c r="J377" s="88">
        <f>VLOOKUP(Table91213[[#This Row],[Date]],'DB Details'!$A:$L,10)</f>
        <v/>
      </c>
      <c r="K377" s="119" t="n"/>
      <c r="L377" s="88">
        <f>VLOOKUP(Table91213[[#This Row],[Date]],'DB Details'!$A:$L,12)</f>
        <v/>
      </c>
    </row>
    <row r="378">
      <c r="A378" s="39" t="n">
        <v>28856</v>
      </c>
      <c r="B378" s="57">
        <f>VLOOKUP(Table91213[[#This Row],[Date]],'DB Details'!$A:$L,2)</f>
        <v/>
      </c>
      <c r="C378" s="41" t="n"/>
      <c r="D378" s="55" t="n"/>
      <c r="E378" s="88">
        <f>VLOOKUP(Table91213[[#This Row],[Date]],'DB Details'!$A:$L,5)</f>
        <v/>
      </c>
      <c r="F378" s="88">
        <f>VLOOKUP(Table91213[[#This Row],[Date]],'DB Details'!$A:$L,6)</f>
        <v/>
      </c>
      <c r="G378" s="119" t="n"/>
      <c r="H378" s="88">
        <f>VLOOKUP(Table91213[[#This Row],[Date]],'DB Details'!$A:$L,8)</f>
        <v/>
      </c>
      <c r="I378" s="88">
        <f>VLOOKUP(Table91213[[#This Row],[Date]],'DB Details'!$A:$L,9)</f>
        <v/>
      </c>
      <c r="J378" s="88">
        <f>VLOOKUP(Table91213[[#This Row],[Date]],'DB Details'!$A:$L,10)</f>
        <v/>
      </c>
      <c r="K378" s="119" t="n"/>
      <c r="L378" s="88">
        <f>VLOOKUP(Table91213[[#This Row],[Date]],'DB Details'!$A:$L,12)</f>
        <v/>
      </c>
    </row>
    <row r="379">
      <c r="A379" s="39" t="n">
        <v>28887</v>
      </c>
      <c r="B379" s="57">
        <f>VLOOKUP(Table91213[[#This Row],[Date]],'DB Details'!$A:$L,2)</f>
        <v/>
      </c>
      <c r="C379" s="41" t="n"/>
      <c r="D379" s="55" t="n"/>
      <c r="E379" s="88">
        <f>VLOOKUP(Table91213[[#This Row],[Date]],'DB Details'!$A:$L,5)</f>
        <v/>
      </c>
      <c r="F379" s="88">
        <f>VLOOKUP(Table91213[[#This Row],[Date]],'DB Details'!$A:$L,6)</f>
        <v/>
      </c>
      <c r="G379" s="119" t="n"/>
      <c r="H379" s="88">
        <f>VLOOKUP(Table91213[[#This Row],[Date]],'DB Details'!$A:$L,8)</f>
        <v/>
      </c>
      <c r="I379" s="88">
        <f>VLOOKUP(Table91213[[#This Row],[Date]],'DB Details'!$A:$L,9)</f>
        <v/>
      </c>
      <c r="J379" s="88">
        <f>VLOOKUP(Table91213[[#This Row],[Date]],'DB Details'!$A:$L,10)</f>
        <v/>
      </c>
      <c r="K379" s="119" t="n"/>
      <c r="L379" s="88">
        <f>VLOOKUP(Table91213[[#This Row],[Date]],'DB Details'!$A:$L,12)</f>
        <v/>
      </c>
    </row>
    <row r="380">
      <c r="A380" s="39" t="n">
        <v>28915</v>
      </c>
      <c r="B380" s="57">
        <f>VLOOKUP(Table91213[[#This Row],[Date]],'DB Details'!$A:$L,2)</f>
        <v/>
      </c>
      <c r="C380" s="41" t="n"/>
      <c r="D380" s="55" t="n"/>
      <c r="E380" s="88">
        <f>VLOOKUP(Table91213[[#This Row],[Date]],'DB Details'!$A:$L,5)</f>
        <v/>
      </c>
      <c r="F380" s="88">
        <f>VLOOKUP(Table91213[[#This Row],[Date]],'DB Details'!$A:$L,6)</f>
        <v/>
      </c>
      <c r="G380" s="119" t="n"/>
      <c r="H380" s="88">
        <f>VLOOKUP(Table91213[[#This Row],[Date]],'DB Details'!$A:$L,8)</f>
        <v/>
      </c>
      <c r="I380" s="88">
        <f>VLOOKUP(Table91213[[#This Row],[Date]],'DB Details'!$A:$L,9)</f>
        <v/>
      </c>
      <c r="J380" s="88">
        <f>VLOOKUP(Table91213[[#This Row],[Date]],'DB Details'!$A:$L,10)</f>
        <v/>
      </c>
      <c r="K380" s="119" t="n"/>
      <c r="L380" s="88">
        <f>VLOOKUP(Table91213[[#This Row],[Date]],'DB Details'!$A:$L,12)</f>
        <v/>
      </c>
    </row>
    <row r="381">
      <c r="A381" s="39" t="n">
        <v>28946</v>
      </c>
      <c r="B381" s="57">
        <f>VLOOKUP(Table91213[[#This Row],[Date]],'DB Details'!$A:$L,2)</f>
        <v/>
      </c>
      <c r="C381" s="41" t="n"/>
      <c r="D381" s="55" t="n"/>
      <c r="E381" s="88">
        <f>VLOOKUP(Table91213[[#This Row],[Date]],'DB Details'!$A:$L,5)</f>
        <v/>
      </c>
      <c r="F381" s="88">
        <f>VLOOKUP(Table91213[[#This Row],[Date]],'DB Details'!$A:$L,6)</f>
        <v/>
      </c>
      <c r="G381" s="119" t="n"/>
      <c r="H381" s="88">
        <f>VLOOKUP(Table91213[[#This Row],[Date]],'DB Details'!$A:$L,8)</f>
        <v/>
      </c>
      <c r="I381" s="88">
        <f>VLOOKUP(Table91213[[#This Row],[Date]],'DB Details'!$A:$L,9)</f>
        <v/>
      </c>
      <c r="J381" s="88">
        <f>VLOOKUP(Table91213[[#This Row],[Date]],'DB Details'!$A:$L,10)</f>
        <v/>
      </c>
      <c r="K381" s="119" t="n"/>
      <c r="L381" s="88">
        <f>VLOOKUP(Table91213[[#This Row],[Date]],'DB Details'!$A:$L,12)</f>
        <v/>
      </c>
    </row>
    <row r="382">
      <c r="A382" s="39" t="n">
        <v>28976</v>
      </c>
      <c r="B382" s="57">
        <f>VLOOKUP(Table91213[[#This Row],[Date]],'DB Details'!$A:$L,2)</f>
        <v/>
      </c>
      <c r="C382" s="41" t="n"/>
      <c r="D382" s="55" t="n"/>
      <c r="E382" s="88">
        <f>VLOOKUP(Table91213[[#This Row],[Date]],'DB Details'!$A:$L,5)</f>
        <v/>
      </c>
      <c r="F382" s="88">
        <f>VLOOKUP(Table91213[[#This Row],[Date]],'DB Details'!$A:$L,6)</f>
        <v/>
      </c>
      <c r="G382" s="119" t="n"/>
      <c r="H382" s="88">
        <f>VLOOKUP(Table91213[[#This Row],[Date]],'DB Details'!$A:$L,8)</f>
        <v/>
      </c>
      <c r="I382" s="88">
        <f>VLOOKUP(Table91213[[#This Row],[Date]],'DB Details'!$A:$L,9)</f>
        <v/>
      </c>
      <c r="J382" s="88">
        <f>VLOOKUP(Table91213[[#This Row],[Date]],'DB Details'!$A:$L,10)</f>
        <v/>
      </c>
      <c r="K382" s="119" t="n"/>
      <c r="L382" s="88">
        <f>VLOOKUP(Table91213[[#This Row],[Date]],'DB Details'!$A:$L,12)</f>
        <v/>
      </c>
    </row>
    <row r="383">
      <c r="A383" s="39" t="n">
        <v>29007</v>
      </c>
      <c r="B383" s="57">
        <f>VLOOKUP(Table91213[[#This Row],[Date]],'DB Details'!$A:$L,2)</f>
        <v/>
      </c>
      <c r="C383" s="41" t="n"/>
      <c r="D383" s="55" t="n"/>
      <c r="E383" s="88">
        <f>VLOOKUP(Table91213[[#This Row],[Date]],'DB Details'!$A:$L,5)</f>
        <v/>
      </c>
      <c r="F383" s="88">
        <f>VLOOKUP(Table91213[[#This Row],[Date]],'DB Details'!$A:$L,6)</f>
        <v/>
      </c>
      <c r="G383" s="119" t="n"/>
      <c r="H383" s="88">
        <f>VLOOKUP(Table91213[[#This Row],[Date]],'DB Details'!$A:$L,8)</f>
        <v/>
      </c>
      <c r="I383" s="88">
        <f>VLOOKUP(Table91213[[#This Row],[Date]],'DB Details'!$A:$L,9)</f>
        <v/>
      </c>
      <c r="J383" s="88">
        <f>VLOOKUP(Table91213[[#This Row],[Date]],'DB Details'!$A:$L,10)</f>
        <v/>
      </c>
      <c r="K383" s="119" t="n"/>
      <c r="L383" s="88">
        <f>VLOOKUP(Table91213[[#This Row],[Date]],'DB Details'!$A:$L,12)</f>
        <v/>
      </c>
    </row>
    <row r="384">
      <c r="A384" s="39" t="n">
        <v>29037</v>
      </c>
      <c r="B384" s="57">
        <f>VLOOKUP(Table91213[[#This Row],[Date]],'DB Details'!$A:$L,2)</f>
        <v/>
      </c>
      <c r="C384" s="41" t="n"/>
      <c r="D384" s="55" t="n"/>
      <c r="E384" s="88">
        <f>VLOOKUP(Table91213[[#This Row],[Date]],'DB Details'!$A:$L,5)</f>
        <v/>
      </c>
      <c r="F384" s="88">
        <f>VLOOKUP(Table91213[[#This Row],[Date]],'DB Details'!$A:$L,6)</f>
        <v/>
      </c>
      <c r="G384" s="119" t="n"/>
      <c r="H384" s="88">
        <f>VLOOKUP(Table91213[[#This Row],[Date]],'DB Details'!$A:$L,8)</f>
        <v/>
      </c>
      <c r="I384" s="88">
        <f>VLOOKUP(Table91213[[#This Row],[Date]],'DB Details'!$A:$L,9)</f>
        <v/>
      </c>
      <c r="J384" s="88">
        <f>VLOOKUP(Table91213[[#This Row],[Date]],'DB Details'!$A:$L,10)</f>
        <v/>
      </c>
      <c r="K384" s="119" t="n"/>
      <c r="L384" s="88">
        <f>VLOOKUP(Table91213[[#This Row],[Date]],'DB Details'!$A:$L,12)</f>
        <v/>
      </c>
    </row>
    <row r="385">
      <c r="A385" s="39" t="n">
        <v>29068</v>
      </c>
      <c r="B385" s="57">
        <f>VLOOKUP(Table91213[[#This Row],[Date]],'DB Details'!$A:$L,2)</f>
        <v/>
      </c>
      <c r="C385" s="41" t="n"/>
      <c r="D385" s="55" t="n"/>
      <c r="E385" s="88">
        <f>VLOOKUP(Table91213[[#This Row],[Date]],'DB Details'!$A:$L,5)</f>
        <v/>
      </c>
      <c r="F385" s="88">
        <f>VLOOKUP(Table91213[[#This Row],[Date]],'DB Details'!$A:$L,6)</f>
        <v/>
      </c>
      <c r="G385" s="119" t="n"/>
      <c r="H385" s="88">
        <f>VLOOKUP(Table91213[[#This Row],[Date]],'DB Details'!$A:$L,8)</f>
        <v/>
      </c>
      <c r="I385" s="88">
        <f>VLOOKUP(Table91213[[#This Row],[Date]],'DB Details'!$A:$L,9)</f>
        <v/>
      </c>
      <c r="J385" s="88">
        <f>VLOOKUP(Table91213[[#This Row],[Date]],'DB Details'!$A:$L,10)</f>
        <v/>
      </c>
      <c r="K385" s="119" t="n"/>
      <c r="L385" s="88">
        <f>VLOOKUP(Table91213[[#This Row],[Date]],'DB Details'!$A:$L,12)</f>
        <v/>
      </c>
    </row>
    <row r="386">
      <c r="A386" s="39" t="n">
        <v>29099</v>
      </c>
      <c r="B386" s="57">
        <f>VLOOKUP(Table91213[[#This Row],[Date]],'DB Details'!$A:$L,2)</f>
        <v/>
      </c>
      <c r="C386" s="41" t="n"/>
      <c r="D386" s="55" t="n"/>
      <c r="E386" s="88">
        <f>VLOOKUP(Table91213[[#This Row],[Date]],'DB Details'!$A:$L,5)</f>
        <v/>
      </c>
      <c r="F386" s="88">
        <f>VLOOKUP(Table91213[[#This Row],[Date]],'DB Details'!$A:$L,6)</f>
        <v/>
      </c>
      <c r="G386" s="119" t="n"/>
      <c r="H386" s="88">
        <f>VLOOKUP(Table91213[[#This Row],[Date]],'DB Details'!$A:$L,8)</f>
        <v/>
      </c>
      <c r="I386" s="88">
        <f>VLOOKUP(Table91213[[#This Row],[Date]],'DB Details'!$A:$L,9)</f>
        <v/>
      </c>
      <c r="J386" s="88">
        <f>VLOOKUP(Table91213[[#This Row],[Date]],'DB Details'!$A:$L,10)</f>
        <v/>
      </c>
      <c r="K386" s="119" t="n"/>
      <c r="L386" s="88">
        <f>VLOOKUP(Table91213[[#This Row],[Date]],'DB Details'!$A:$L,12)</f>
        <v/>
      </c>
    </row>
    <row r="387">
      <c r="A387" s="39" t="n">
        <v>29129</v>
      </c>
      <c r="B387" s="57">
        <f>VLOOKUP(Table91213[[#This Row],[Date]],'DB Details'!$A:$L,2)</f>
        <v/>
      </c>
      <c r="C387" s="41" t="n"/>
      <c r="D387" s="55" t="n"/>
      <c r="E387" s="88">
        <f>VLOOKUP(Table91213[[#This Row],[Date]],'DB Details'!$A:$L,5)</f>
        <v/>
      </c>
      <c r="F387" s="88">
        <f>VLOOKUP(Table91213[[#This Row],[Date]],'DB Details'!$A:$L,6)</f>
        <v/>
      </c>
      <c r="G387" s="119" t="n"/>
      <c r="H387" s="88">
        <f>VLOOKUP(Table91213[[#This Row],[Date]],'DB Details'!$A:$L,8)</f>
        <v/>
      </c>
      <c r="I387" s="88">
        <f>VLOOKUP(Table91213[[#This Row],[Date]],'DB Details'!$A:$L,9)</f>
        <v/>
      </c>
      <c r="J387" s="88">
        <f>VLOOKUP(Table91213[[#This Row],[Date]],'DB Details'!$A:$L,10)</f>
        <v/>
      </c>
      <c r="K387" s="119" t="n"/>
      <c r="L387" s="88">
        <f>VLOOKUP(Table91213[[#This Row],[Date]],'DB Details'!$A:$L,12)</f>
        <v/>
      </c>
    </row>
    <row r="388">
      <c r="A388" s="39" t="n">
        <v>29160</v>
      </c>
      <c r="B388" s="57">
        <f>VLOOKUP(Table91213[[#This Row],[Date]],'DB Details'!$A:$L,2)</f>
        <v/>
      </c>
      <c r="C388" s="41" t="n"/>
      <c r="D388" s="55" t="n"/>
      <c r="E388" s="88">
        <f>VLOOKUP(Table91213[[#This Row],[Date]],'DB Details'!$A:$L,5)</f>
        <v/>
      </c>
      <c r="F388" s="88">
        <f>VLOOKUP(Table91213[[#This Row],[Date]],'DB Details'!$A:$L,6)</f>
        <v/>
      </c>
      <c r="G388" s="119" t="n"/>
      <c r="H388" s="88">
        <f>VLOOKUP(Table91213[[#This Row],[Date]],'DB Details'!$A:$L,8)</f>
        <v/>
      </c>
      <c r="I388" s="88">
        <f>VLOOKUP(Table91213[[#This Row],[Date]],'DB Details'!$A:$L,9)</f>
        <v/>
      </c>
      <c r="J388" s="88">
        <f>VLOOKUP(Table91213[[#This Row],[Date]],'DB Details'!$A:$L,10)</f>
        <v/>
      </c>
      <c r="K388" s="119" t="n"/>
      <c r="L388" s="88">
        <f>VLOOKUP(Table91213[[#This Row],[Date]],'DB Details'!$A:$L,12)</f>
        <v/>
      </c>
    </row>
    <row r="389">
      <c r="A389" s="39" t="n">
        <v>29190</v>
      </c>
      <c r="B389" s="57">
        <f>VLOOKUP(Table91213[[#This Row],[Date]],'DB Details'!$A:$L,2)</f>
        <v/>
      </c>
      <c r="C389" s="41" t="n"/>
      <c r="D389" s="55" t="n"/>
      <c r="E389" s="88">
        <f>VLOOKUP(Table91213[[#This Row],[Date]],'DB Details'!$A:$L,5)</f>
        <v/>
      </c>
      <c r="F389" s="88">
        <f>VLOOKUP(Table91213[[#This Row],[Date]],'DB Details'!$A:$L,6)</f>
        <v/>
      </c>
      <c r="G389" s="119" t="n"/>
      <c r="H389" s="88">
        <f>VLOOKUP(Table91213[[#This Row],[Date]],'DB Details'!$A:$L,8)</f>
        <v/>
      </c>
      <c r="I389" s="88">
        <f>VLOOKUP(Table91213[[#This Row],[Date]],'DB Details'!$A:$L,9)</f>
        <v/>
      </c>
      <c r="J389" s="88">
        <f>VLOOKUP(Table91213[[#This Row],[Date]],'DB Details'!$A:$L,10)</f>
        <v/>
      </c>
      <c r="K389" s="119" t="n"/>
      <c r="L389" s="88">
        <f>VLOOKUP(Table91213[[#This Row],[Date]],'DB Details'!$A:$L,12)</f>
        <v/>
      </c>
    </row>
    <row r="390">
      <c r="A390" s="39" t="n">
        <v>29221</v>
      </c>
      <c r="B390" s="57">
        <f>VLOOKUP(Table91213[[#This Row],[Date]],'DB Details'!$A:$L,2)</f>
        <v/>
      </c>
      <c r="C390" s="41" t="n"/>
      <c r="D390" s="55" t="n"/>
      <c r="E390" s="88">
        <f>VLOOKUP(Table91213[[#This Row],[Date]],'DB Details'!$A:$L,5)</f>
        <v/>
      </c>
      <c r="F390" s="88">
        <f>VLOOKUP(Table91213[[#This Row],[Date]],'DB Details'!$A:$L,6)</f>
        <v/>
      </c>
      <c r="G390" s="119" t="n"/>
      <c r="H390" s="88">
        <f>VLOOKUP(Table91213[[#This Row],[Date]],'DB Details'!$A:$L,8)</f>
        <v/>
      </c>
      <c r="I390" s="88">
        <f>VLOOKUP(Table91213[[#This Row],[Date]],'DB Details'!$A:$L,9)</f>
        <v/>
      </c>
      <c r="J390" s="88">
        <f>VLOOKUP(Table91213[[#This Row],[Date]],'DB Details'!$A:$L,10)</f>
        <v/>
      </c>
      <c r="K390" s="119" t="n"/>
      <c r="L390" s="88">
        <f>VLOOKUP(Table91213[[#This Row],[Date]],'DB Details'!$A:$L,12)</f>
        <v/>
      </c>
    </row>
    <row r="391">
      <c r="A391" s="39" t="n">
        <v>29252</v>
      </c>
      <c r="B391" s="57">
        <f>VLOOKUP(Table91213[[#This Row],[Date]],'DB Details'!$A:$L,2)</f>
        <v/>
      </c>
      <c r="C391" s="41" t="n"/>
      <c r="D391" s="55" t="n"/>
      <c r="E391" s="88">
        <f>VLOOKUP(Table91213[[#This Row],[Date]],'DB Details'!$A:$L,5)</f>
        <v/>
      </c>
      <c r="F391" s="88">
        <f>VLOOKUP(Table91213[[#This Row],[Date]],'DB Details'!$A:$L,6)</f>
        <v/>
      </c>
      <c r="G391" s="119" t="n"/>
      <c r="H391" s="88">
        <f>VLOOKUP(Table91213[[#This Row],[Date]],'DB Details'!$A:$L,8)</f>
        <v/>
      </c>
      <c r="I391" s="88">
        <f>VLOOKUP(Table91213[[#This Row],[Date]],'DB Details'!$A:$L,9)</f>
        <v/>
      </c>
      <c r="J391" s="88">
        <f>VLOOKUP(Table91213[[#This Row],[Date]],'DB Details'!$A:$L,10)</f>
        <v/>
      </c>
      <c r="K391" s="119" t="n"/>
      <c r="L391" s="88">
        <f>VLOOKUP(Table91213[[#This Row],[Date]],'DB Details'!$A:$L,12)</f>
        <v/>
      </c>
    </row>
    <row r="392">
      <c r="A392" s="39" t="n">
        <v>29281</v>
      </c>
      <c r="B392" s="57">
        <f>VLOOKUP(Table91213[[#This Row],[Date]],'DB Details'!$A:$L,2)</f>
        <v/>
      </c>
      <c r="C392" s="41" t="n"/>
      <c r="D392" s="55" t="n"/>
      <c r="E392" s="88">
        <f>VLOOKUP(Table91213[[#This Row],[Date]],'DB Details'!$A:$L,5)</f>
        <v/>
      </c>
      <c r="F392" s="88">
        <f>VLOOKUP(Table91213[[#This Row],[Date]],'DB Details'!$A:$L,6)</f>
        <v/>
      </c>
      <c r="G392" s="119" t="n"/>
      <c r="H392" s="88">
        <f>VLOOKUP(Table91213[[#This Row],[Date]],'DB Details'!$A:$L,8)</f>
        <v/>
      </c>
      <c r="I392" s="88">
        <f>VLOOKUP(Table91213[[#This Row],[Date]],'DB Details'!$A:$L,9)</f>
        <v/>
      </c>
      <c r="J392" s="88">
        <f>VLOOKUP(Table91213[[#This Row],[Date]],'DB Details'!$A:$L,10)</f>
        <v/>
      </c>
      <c r="K392" s="119" t="n"/>
      <c r="L392" s="88">
        <f>VLOOKUP(Table91213[[#This Row],[Date]],'DB Details'!$A:$L,12)</f>
        <v/>
      </c>
    </row>
    <row r="393">
      <c r="A393" s="39" t="n">
        <v>29312</v>
      </c>
      <c r="B393" s="57">
        <f>VLOOKUP(Table91213[[#This Row],[Date]],'DB Details'!$A:$L,2)</f>
        <v/>
      </c>
      <c r="C393" s="41" t="n"/>
      <c r="D393" s="55" t="n"/>
      <c r="E393" s="88">
        <f>VLOOKUP(Table91213[[#This Row],[Date]],'DB Details'!$A:$L,5)</f>
        <v/>
      </c>
      <c r="F393" s="88">
        <f>VLOOKUP(Table91213[[#This Row],[Date]],'DB Details'!$A:$L,6)</f>
        <v/>
      </c>
      <c r="G393" s="119" t="n"/>
      <c r="H393" s="88">
        <f>VLOOKUP(Table91213[[#This Row],[Date]],'DB Details'!$A:$L,8)</f>
        <v/>
      </c>
      <c r="I393" s="88">
        <f>VLOOKUP(Table91213[[#This Row],[Date]],'DB Details'!$A:$L,9)</f>
        <v/>
      </c>
      <c r="J393" s="88">
        <f>VLOOKUP(Table91213[[#This Row],[Date]],'DB Details'!$A:$L,10)</f>
        <v/>
      </c>
      <c r="K393" s="119" t="n"/>
      <c r="L393" s="88">
        <f>VLOOKUP(Table91213[[#This Row],[Date]],'DB Details'!$A:$L,12)</f>
        <v/>
      </c>
    </row>
    <row r="394">
      <c r="A394" s="39" t="n">
        <v>29342</v>
      </c>
      <c r="B394" s="57">
        <f>VLOOKUP(Table91213[[#This Row],[Date]],'DB Details'!$A:$L,2)</f>
        <v/>
      </c>
      <c r="C394" s="41" t="n"/>
      <c r="D394" s="55" t="n"/>
      <c r="E394" s="88">
        <f>VLOOKUP(Table91213[[#This Row],[Date]],'DB Details'!$A:$L,5)</f>
        <v/>
      </c>
      <c r="F394" s="88">
        <f>VLOOKUP(Table91213[[#This Row],[Date]],'DB Details'!$A:$L,6)</f>
        <v/>
      </c>
      <c r="G394" s="119" t="n"/>
      <c r="H394" s="88">
        <f>VLOOKUP(Table91213[[#This Row],[Date]],'DB Details'!$A:$L,8)</f>
        <v/>
      </c>
      <c r="I394" s="88">
        <f>VLOOKUP(Table91213[[#This Row],[Date]],'DB Details'!$A:$L,9)</f>
        <v/>
      </c>
      <c r="J394" s="88">
        <f>VLOOKUP(Table91213[[#This Row],[Date]],'DB Details'!$A:$L,10)</f>
        <v/>
      </c>
      <c r="K394" s="119" t="n"/>
      <c r="L394" s="88">
        <f>VLOOKUP(Table91213[[#This Row],[Date]],'DB Details'!$A:$L,12)</f>
        <v/>
      </c>
    </row>
    <row r="395">
      <c r="A395" s="39" t="n">
        <v>29373</v>
      </c>
      <c r="B395" s="57">
        <f>VLOOKUP(Table91213[[#This Row],[Date]],'DB Details'!$A:$L,2)</f>
        <v/>
      </c>
      <c r="C395" s="41" t="n"/>
      <c r="D395" s="55" t="n"/>
      <c r="E395" s="88">
        <f>VLOOKUP(Table91213[[#This Row],[Date]],'DB Details'!$A:$L,5)</f>
        <v/>
      </c>
      <c r="F395" s="88">
        <f>VLOOKUP(Table91213[[#This Row],[Date]],'DB Details'!$A:$L,6)</f>
        <v/>
      </c>
      <c r="G395" s="119" t="n"/>
      <c r="H395" s="88">
        <f>VLOOKUP(Table91213[[#This Row],[Date]],'DB Details'!$A:$L,8)</f>
        <v/>
      </c>
      <c r="I395" s="88">
        <f>VLOOKUP(Table91213[[#This Row],[Date]],'DB Details'!$A:$L,9)</f>
        <v/>
      </c>
      <c r="J395" s="88">
        <f>VLOOKUP(Table91213[[#This Row],[Date]],'DB Details'!$A:$L,10)</f>
        <v/>
      </c>
      <c r="K395" s="119" t="n"/>
      <c r="L395" s="88">
        <f>VLOOKUP(Table91213[[#This Row],[Date]],'DB Details'!$A:$L,12)</f>
        <v/>
      </c>
    </row>
    <row r="396">
      <c r="A396" s="39" t="n">
        <v>29403</v>
      </c>
      <c r="B396" s="57">
        <f>VLOOKUP(Table91213[[#This Row],[Date]],'DB Details'!$A:$L,2)</f>
        <v/>
      </c>
      <c r="C396" s="41" t="n"/>
      <c r="D396" s="55" t="n"/>
      <c r="E396" s="88">
        <f>VLOOKUP(Table91213[[#This Row],[Date]],'DB Details'!$A:$L,5)</f>
        <v/>
      </c>
      <c r="F396" s="88">
        <f>VLOOKUP(Table91213[[#This Row],[Date]],'DB Details'!$A:$L,6)</f>
        <v/>
      </c>
      <c r="G396" s="119" t="n"/>
      <c r="H396" s="88">
        <f>VLOOKUP(Table91213[[#This Row],[Date]],'DB Details'!$A:$L,8)</f>
        <v/>
      </c>
      <c r="I396" s="88">
        <f>VLOOKUP(Table91213[[#This Row],[Date]],'DB Details'!$A:$L,9)</f>
        <v/>
      </c>
      <c r="J396" s="88">
        <f>VLOOKUP(Table91213[[#This Row],[Date]],'DB Details'!$A:$L,10)</f>
        <v/>
      </c>
      <c r="K396" s="119" t="n"/>
      <c r="L396" s="88">
        <f>VLOOKUP(Table91213[[#This Row],[Date]],'DB Details'!$A:$L,12)</f>
        <v/>
      </c>
    </row>
    <row r="397">
      <c r="A397" s="39" t="n">
        <v>29434</v>
      </c>
      <c r="B397" s="57">
        <f>VLOOKUP(Table91213[[#This Row],[Date]],'DB Details'!$A:$L,2)</f>
        <v/>
      </c>
      <c r="C397" s="41" t="n"/>
      <c r="D397" s="55" t="n"/>
      <c r="E397" s="88">
        <f>VLOOKUP(Table91213[[#This Row],[Date]],'DB Details'!$A:$L,5)</f>
        <v/>
      </c>
      <c r="F397" s="88">
        <f>VLOOKUP(Table91213[[#This Row],[Date]],'DB Details'!$A:$L,6)</f>
        <v/>
      </c>
      <c r="G397" s="119" t="n"/>
      <c r="H397" s="88">
        <f>VLOOKUP(Table91213[[#This Row],[Date]],'DB Details'!$A:$L,8)</f>
        <v/>
      </c>
      <c r="I397" s="88">
        <f>VLOOKUP(Table91213[[#This Row],[Date]],'DB Details'!$A:$L,9)</f>
        <v/>
      </c>
      <c r="J397" s="88">
        <f>VLOOKUP(Table91213[[#This Row],[Date]],'DB Details'!$A:$L,10)</f>
        <v/>
      </c>
      <c r="K397" s="119" t="n"/>
      <c r="L397" s="88">
        <f>VLOOKUP(Table91213[[#This Row],[Date]],'DB Details'!$A:$L,12)</f>
        <v/>
      </c>
    </row>
    <row r="398">
      <c r="A398" s="39" t="n">
        <v>29465</v>
      </c>
      <c r="B398" s="57">
        <f>VLOOKUP(Table91213[[#This Row],[Date]],'DB Details'!$A:$L,2)</f>
        <v/>
      </c>
      <c r="C398" s="41" t="n"/>
      <c r="D398" s="55" t="n"/>
      <c r="E398" s="88">
        <f>VLOOKUP(Table91213[[#This Row],[Date]],'DB Details'!$A:$L,5)</f>
        <v/>
      </c>
      <c r="F398" s="88">
        <f>VLOOKUP(Table91213[[#This Row],[Date]],'DB Details'!$A:$L,6)</f>
        <v/>
      </c>
      <c r="G398" s="119" t="n"/>
      <c r="H398" s="88">
        <f>VLOOKUP(Table91213[[#This Row],[Date]],'DB Details'!$A:$L,8)</f>
        <v/>
      </c>
      <c r="I398" s="88">
        <f>VLOOKUP(Table91213[[#This Row],[Date]],'DB Details'!$A:$L,9)</f>
        <v/>
      </c>
      <c r="J398" s="88">
        <f>VLOOKUP(Table91213[[#This Row],[Date]],'DB Details'!$A:$L,10)</f>
        <v/>
      </c>
      <c r="K398" s="119" t="n"/>
      <c r="L398" s="88">
        <f>VLOOKUP(Table91213[[#This Row],[Date]],'DB Details'!$A:$L,12)</f>
        <v/>
      </c>
    </row>
    <row r="399">
      <c r="A399" s="39" t="n">
        <v>29495</v>
      </c>
      <c r="B399" s="57">
        <f>VLOOKUP(Table91213[[#This Row],[Date]],'DB Details'!$A:$L,2)</f>
        <v/>
      </c>
      <c r="C399" s="41" t="n"/>
      <c r="D399" s="55" t="n"/>
      <c r="E399" s="88">
        <f>VLOOKUP(Table91213[[#This Row],[Date]],'DB Details'!$A:$L,5)</f>
        <v/>
      </c>
      <c r="F399" s="88">
        <f>VLOOKUP(Table91213[[#This Row],[Date]],'DB Details'!$A:$L,6)</f>
        <v/>
      </c>
      <c r="G399" s="119" t="n"/>
      <c r="H399" s="88">
        <f>VLOOKUP(Table91213[[#This Row],[Date]],'DB Details'!$A:$L,8)</f>
        <v/>
      </c>
      <c r="I399" s="88">
        <f>VLOOKUP(Table91213[[#This Row],[Date]],'DB Details'!$A:$L,9)</f>
        <v/>
      </c>
      <c r="J399" s="88">
        <f>VLOOKUP(Table91213[[#This Row],[Date]],'DB Details'!$A:$L,10)</f>
        <v/>
      </c>
      <c r="K399" s="119" t="n"/>
      <c r="L399" s="88">
        <f>VLOOKUP(Table91213[[#This Row],[Date]],'DB Details'!$A:$L,12)</f>
        <v/>
      </c>
    </row>
    <row r="400">
      <c r="A400" s="39" t="n">
        <v>29526</v>
      </c>
      <c r="B400" s="57">
        <f>VLOOKUP(Table91213[[#This Row],[Date]],'DB Details'!$A:$L,2)</f>
        <v/>
      </c>
      <c r="C400" s="41" t="n"/>
      <c r="D400" s="55" t="n"/>
      <c r="E400" s="88">
        <f>VLOOKUP(Table91213[[#This Row],[Date]],'DB Details'!$A:$L,5)</f>
        <v/>
      </c>
      <c r="F400" s="88">
        <f>VLOOKUP(Table91213[[#This Row],[Date]],'DB Details'!$A:$L,6)</f>
        <v/>
      </c>
      <c r="G400" s="119" t="n"/>
      <c r="H400" s="88">
        <f>VLOOKUP(Table91213[[#This Row],[Date]],'DB Details'!$A:$L,8)</f>
        <v/>
      </c>
      <c r="I400" s="88">
        <f>VLOOKUP(Table91213[[#This Row],[Date]],'DB Details'!$A:$L,9)</f>
        <v/>
      </c>
      <c r="J400" s="88">
        <f>VLOOKUP(Table91213[[#This Row],[Date]],'DB Details'!$A:$L,10)</f>
        <v/>
      </c>
      <c r="K400" s="119" t="n"/>
      <c r="L400" s="88">
        <f>VLOOKUP(Table91213[[#This Row],[Date]],'DB Details'!$A:$L,12)</f>
        <v/>
      </c>
    </row>
    <row r="401">
      <c r="A401" s="39" t="n">
        <v>29556</v>
      </c>
      <c r="B401" s="57">
        <f>VLOOKUP(Table91213[[#This Row],[Date]],'DB Details'!$A:$L,2)</f>
        <v/>
      </c>
      <c r="C401" s="41" t="n"/>
      <c r="D401" s="55" t="n"/>
      <c r="E401" s="88">
        <f>VLOOKUP(Table91213[[#This Row],[Date]],'DB Details'!$A:$L,5)</f>
        <v/>
      </c>
      <c r="F401" s="88">
        <f>VLOOKUP(Table91213[[#This Row],[Date]],'DB Details'!$A:$L,6)</f>
        <v/>
      </c>
      <c r="G401" s="119" t="n"/>
      <c r="H401" s="88">
        <f>VLOOKUP(Table91213[[#This Row],[Date]],'DB Details'!$A:$L,8)</f>
        <v/>
      </c>
      <c r="I401" s="88">
        <f>VLOOKUP(Table91213[[#This Row],[Date]],'DB Details'!$A:$L,9)</f>
        <v/>
      </c>
      <c r="J401" s="88">
        <f>VLOOKUP(Table91213[[#This Row],[Date]],'DB Details'!$A:$L,10)</f>
        <v/>
      </c>
      <c r="K401" s="119" t="n"/>
      <c r="L401" s="88">
        <f>VLOOKUP(Table91213[[#This Row],[Date]],'DB Details'!$A:$L,12)</f>
        <v/>
      </c>
    </row>
    <row r="402">
      <c r="A402" s="39" t="n">
        <v>29587</v>
      </c>
      <c r="B402" s="57">
        <f>VLOOKUP(Table91213[[#This Row],[Date]],'DB Details'!$A:$L,2)</f>
        <v/>
      </c>
      <c r="C402" s="41" t="n"/>
      <c r="D402" s="55" t="n"/>
      <c r="E402" s="88">
        <f>VLOOKUP(Table91213[[#This Row],[Date]],'DB Details'!$A:$L,5)</f>
        <v/>
      </c>
      <c r="F402" s="88">
        <f>VLOOKUP(Table91213[[#This Row],[Date]],'DB Details'!$A:$L,6)</f>
        <v/>
      </c>
      <c r="G402" s="119" t="n"/>
      <c r="H402" s="88">
        <f>VLOOKUP(Table91213[[#This Row],[Date]],'DB Details'!$A:$L,8)</f>
        <v/>
      </c>
      <c r="I402" s="88">
        <f>VLOOKUP(Table91213[[#This Row],[Date]],'DB Details'!$A:$L,9)</f>
        <v/>
      </c>
      <c r="J402" s="88">
        <f>VLOOKUP(Table91213[[#This Row],[Date]],'DB Details'!$A:$L,10)</f>
        <v/>
      </c>
      <c r="K402" s="119" t="n"/>
      <c r="L402" s="88">
        <f>VLOOKUP(Table91213[[#This Row],[Date]],'DB Details'!$A:$L,12)</f>
        <v/>
      </c>
    </row>
    <row r="403">
      <c r="A403" s="39" t="n">
        <v>29618</v>
      </c>
      <c r="B403" s="57">
        <f>VLOOKUP(Table91213[[#This Row],[Date]],'DB Details'!$A:$L,2)</f>
        <v/>
      </c>
      <c r="C403" s="41" t="n"/>
      <c r="D403" s="55" t="n"/>
      <c r="E403" s="88">
        <f>VLOOKUP(Table91213[[#This Row],[Date]],'DB Details'!$A:$L,5)</f>
        <v/>
      </c>
      <c r="F403" s="88">
        <f>VLOOKUP(Table91213[[#This Row],[Date]],'DB Details'!$A:$L,6)</f>
        <v/>
      </c>
      <c r="G403" s="119" t="n"/>
      <c r="H403" s="88">
        <f>VLOOKUP(Table91213[[#This Row],[Date]],'DB Details'!$A:$L,8)</f>
        <v/>
      </c>
      <c r="I403" s="88">
        <f>VLOOKUP(Table91213[[#This Row],[Date]],'DB Details'!$A:$L,9)</f>
        <v/>
      </c>
      <c r="J403" s="88">
        <f>VLOOKUP(Table91213[[#This Row],[Date]],'DB Details'!$A:$L,10)</f>
        <v/>
      </c>
      <c r="K403" s="119" t="n"/>
      <c r="L403" s="88">
        <f>VLOOKUP(Table91213[[#This Row],[Date]],'DB Details'!$A:$L,12)</f>
        <v/>
      </c>
    </row>
    <row r="404">
      <c r="A404" s="39" t="n">
        <v>29646</v>
      </c>
      <c r="B404" s="57">
        <f>VLOOKUP(Table91213[[#This Row],[Date]],'DB Details'!$A:$L,2)</f>
        <v/>
      </c>
      <c r="C404" s="41" t="n"/>
      <c r="D404" s="55" t="n"/>
      <c r="E404" s="88">
        <f>VLOOKUP(Table91213[[#This Row],[Date]],'DB Details'!$A:$L,5)</f>
        <v/>
      </c>
      <c r="F404" s="88">
        <f>VLOOKUP(Table91213[[#This Row],[Date]],'DB Details'!$A:$L,6)</f>
        <v/>
      </c>
      <c r="G404" s="119" t="n"/>
      <c r="H404" s="88">
        <f>VLOOKUP(Table91213[[#This Row],[Date]],'DB Details'!$A:$L,8)</f>
        <v/>
      </c>
      <c r="I404" s="88">
        <f>VLOOKUP(Table91213[[#This Row],[Date]],'DB Details'!$A:$L,9)</f>
        <v/>
      </c>
      <c r="J404" s="88">
        <f>VLOOKUP(Table91213[[#This Row],[Date]],'DB Details'!$A:$L,10)</f>
        <v/>
      </c>
      <c r="K404" s="119" t="n"/>
      <c r="L404" s="88">
        <f>VLOOKUP(Table91213[[#This Row],[Date]],'DB Details'!$A:$L,12)</f>
        <v/>
      </c>
    </row>
    <row r="405">
      <c r="A405" s="39" t="n">
        <v>29677</v>
      </c>
      <c r="B405" s="57">
        <f>VLOOKUP(Table91213[[#This Row],[Date]],'DB Details'!$A:$L,2)</f>
        <v/>
      </c>
      <c r="C405" s="41" t="n"/>
      <c r="D405" s="55" t="n"/>
      <c r="E405" s="88">
        <f>VLOOKUP(Table91213[[#This Row],[Date]],'DB Details'!$A:$L,5)</f>
        <v/>
      </c>
      <c r="F405" s="88">
        <f>VLOOKUP(Table91213[[#This Row],[Date]],'DB Details'!$A:$L,6)</f>
        <v/>
      </c>
      <c r="G405" s="119" t="n"/>
      <c r="H405" s="88">
        <f>VLOOKUP(Table91213[[#This Row],[Date]],'DB Details'!$A:$L,8)</f>
        <v/>
      </c>
      <c r="I405" s="88">
        <f>VLOOKUP(Table91213[[#This Row],[Date]],'DB Details'!$A:$L,9)</f>
        <v/>
      </c>
      <c r="J405" s="88">
        <f>VLOOKUP(Table91213[[#This Row],[Date]],'DB Details'!$A:$L,10)</f>
        <v/>
      </c>
      <c r="K405" s="119" t="n"/>
      <c r="L405" s="88">
        <f>VLOOKUP(Table91213[[#This Row],[Date]],'DB Details'!$A:$L,12)</f>
        <v/>
      </c>
    </row>
    <row r="406">
      <c r="A406" s="39" t="n">
        <v>29707</v>
      </c>
      <c r="B406" s="57">
        <f>VLOOKUP(Table91213[[#This Row],[Date]],'DB Details'!$A:$L,2)</f>
        <v/>
      </c>
      <c r="C406" s="41" t="n"/>
      <c r="D406" s="55" t="n"/>
      <c r="E406" s="88">
        <f>VLOOKUP(Table91213[[#This Row],[Date]],'DB Details'!$A:$L,5)</f>
        <v/>
      </c>
      <c r="F406" s="88">
        <f>VLOOKUP(Table91213[[#This Row],[Date]],'DB Details'!$A:$L,6)</f>
        <v/>
      </c>
      <c r="G406" s="119" t="n"/>
      <c r="H406" s="88">
        <f>VLOOKUP(Table91213[[#This Row],[Date]],'DB Details'!$A:$L,8)</f>
        <v/>
      </c>
      <c r="I406" s="88">
        <f>VLOOKUP(Table91213[[#This Row],[Date]],'DB Details'!$A:$L,9)</f>
        <v/>
      </c>
      <c r="J406" s="88">
        <f>VLOOKUP(Table91213[[#This Row],[Date]],'DB Details'!$A:$L,10)</f>
        <v/>
      </c>
      <c r="K406" s="119" t="n"/>
      <c r="L406" s="88">
        <f>VLOOKUP(Table91213[[#This Row],[Date]],'DB Details'!$A:$L,12)</f>
        <v/>
      </c>
    </row>
    <row r="407">
      <c r="A407" s="39" t="n">
        <v>29738</v>
      </c>
      <c r="B407" s="57">
        <f>VLOOKUP(Table91213[[#This Row],[Date]],'DB Details'!$A:$L,2)</f>
        <v/>
      </c>
      <c r="C407" s="41" t="n"/>
      <c r="D407" s="55" t="n"/>
      <c r="E407" s="88">
        <f>VLOOKUP(Table91213[[#This Row],[Date]],'DB Details'!$A:$L,5)</f>
        <v/>
      </c>
      <c r="F407" s="88">
        <f>VLOOKUP(Table91213[[#This Row],[Date]],'DB Details'!$A:$L,6)</f>
        <v/>
      </c>
      <c r="G407" s="119" t="n"/>
      <c r="H407" s="88">
        <f>VLOOKUP(Table91213[[#This Row],[Date]],'DB Details'!$A:$L,8)</f>
        <v/>
      </c>
      <c r="I407" s="88">
        <f>VLOOKUP(Table91213[[#This Row],[Date]],'DB Details'!$A:$L,9)</f>
        <v/>
      </c>
      <c r="J407" s="88">
        <f>VLOOKUP(Table91213[[#This Row],[Date]],'DB Details'!$A:$L,10)</f>
        <v/>
      </c>
      <c r="K407" s="119" t="n"/>
      <c r="L407" s="88">
        <f>VLOOKUP(Table91213[[#This Row],[Date]],'DB Details'!$A:$L,12)</f>
        <v/>
      </c>
    </row>
    <row r="408">
      <c r="A408" s="39" t="n">
        <v>29768</v>
      </c>
      <c r="B408" s="57">
        <f>VLOOKUP(Table91213[[#This Row],[Date]],'DB Details'!$A:$L,2)</f>
        <v/>
      </c>
      <c r="C408" s="41" t="n"/>
      <c r="D408" s="55" t="n"/>
      <c r="E408" s="88">
        <f>VLOOKUP(Table91213[[#This Row],[Date]],'DB Details'!$A:$L,5)</f>
        <v/>
      </c>
      <c r="F408" s="88">
        <f>VLOOKUP(Table91213[[#This Row],[Date]],'DB Details'!$A:$L,6)</f>
        <v/>
      </c>
      <c r="G408" s="119" t="n"/>
      <c r="H408" s="88">
        <f>VLOOKUP(Table91213[[#This Row],[Date]],'DB Details'!$A:$L,8)</f>
        <v/>
      </c>
      <c r="I408" s="88">
        <f>VLOOKUP(Table91213[[#This Row],[Date]],'DB Details'!$A:$L,9)</f>
        <v/>
      </c>
      <c r="J408" s="88">
        <f>VLOOKUP(Table91213[[#This Row],[Date]],'DB Details'!$A:$L,10)</f>
        <v/>
      </c>
      <c r="K408" s="119" t="n"/>
      <c r="L408" s="88">
        <f>VLOOKUP(Table91213[[#This Row],[Date]],'DB Details'!$A:$L,12)</f>
        <v/>
      </c>
    </row>
    <row r="409">
      <c r="A409" s="39" t="n">
        <v>29799</v>
      </c>
      <c r="B409" s="57">
        <f>VLOOKUP(Table91213[[#This Row],[Date]],'DB Details'!$A:$L,2)</f>
        <v/>
      </c>
      <c r="C409" s="41" t="n"/>
      <c r="D409" s="55" t="n"/>
      <c r="E409" s="88">
        <f>VLOOKUP(Table91213[[#This Row],[Date]],'DB Details'!$A:$L,5)</f>
        <v/>
      </c>
      <c r="F409" s="88">
        <f>VLOOKUP(Table91213[[#This Row],[Date]],'DB Details'!$A:$L,6)</f>
        <v/>
      </c>
      <c r="G409" s="119" t="n"/>
      <c r="H409" s="88">
        <f>VLOOKUP(Table91213[[#This Row],[Date]],'DB Details'!$A:$L,8)</f>
        <v/>
      </c>
      <c r="I409" s="88">
        <f>VLOOKUP(Table91213[[#This Row],[Date]],'DB Details'!$A:$L,9)</f>
        <v/>
      </c>
      <c r="J409" s="88">
        <f>VLOOKUP(Table91213[[#This Row],[Date]],'DB Details'!$A:$L,10)</f>
        <v/>
      </c>
      <c r="K409" s="119" t="n"/>
      <c r="L409" s="88">
        <f>VLOOKUP(Table91213[[#This Row],[Date]],'DB Details'!$A:$L,12)</f>
        <v/>
      </c>
    </row>
    <row r="410">
      <c r="A410" s="39" t="n">
        <v>29830</v>
      </c>
      <c r="B410" s="57">
        <f>VLOOKUP(Table91213[[#This Row],[Date]],'DB Details'!$A:$L,2)</f>
        <v/>
      </c>
      <c r="C410" s="41" t="n"/>
      <c r="D410" s="55" t="n"/>
      <c r="E410" s="88">
        <f>VLOOKUP(Table91213[[#This Row],[Date]],'DB Details'!$A:$L,5)</f>
        <v/>
      </c>
      <c r="F410" s="88">
        <f>VLOOKUP(Table91213[[#This Row],[Date]],'DB Details'!$A:$L,6)</f>
        <v/>
      </c>
      <c r="G410" s="119" t="n"/>
      <c r="H410" s="88">
        <f>VLOOKUP(Table91213[[#This Row],[Date]],'DB Details'!$A:$L,8)</f>
        <v/>
      </c>
      <c r="I410" s="88">
        <f>VLOOKUP(Table91213[[#This Row],[Date]],'DB Details'!$A:$L,9)</f>
        <v/>
      </c>
      <c r="J410" s="88">
        <f>VLOOKUP(Table91213[[#This Row],[Date]],'DB Details'!$A:$L,10)</f>
        <v/>
      </c>
      <c r="K410" s="119" t="n"/>
      <c r="L410" s="88">
        <f>VLOOKUP(Table91213[[#This Row],[Date]],'DB Details'!$A:$L,12)</f>
        <v/>
      </c>
    </row>
    <row r="411">
      <c r="A411" s="39" t="n">
        <v>29860</v>
      </c>
      <c r="B411" s="57">
        <f>VLOOKUP(Table91213[[#This Row],[Date]],'DB Details'!$A:$L,2)</f>
        <v/>
      </c>
      <c r="C411" s="41" t="n"/>
      <c r="D411" s="55" t="n"/>
      <c r="E411" s="88">
        <f>VLOOKUP(Table91213[[#This Row],[Date]],'DB Details'!$A:$L,5)</f>
        <v/>
      </c>
      <c r="F411" s="88">
        <f>VLOOKUP(Table91213[[#This Row],[Date]],'DB Details'!$A:$L,6)</f>
        <v/>
      </c>
      <c r="G411" s="119" t="n"/>
      <c r="H411" s="88">
        <f>VLOOKUP(Table91213[[#This Row],[Date]],'DB Details'!$A:$L,8)</f>
        <v/>
      </c>
      <c r="I411" s="88">
        <f>VLOOKUP(Table91213[[#This Row],[Date]],'DB Details'!$A:$L,9)</f>
        <v/>
      </c>
      <c r="J411" s="88">
        <f>VLOOKUP(Table91213[[#This Row],[Date]],'DB Details'!$A:$L,10)</f>
        <v/>
      </c>
      <c r="K411" s="119" t="n"/>
      <c r="L411" s="88">
        <f>VLOOKUP(Table91213[[#This Row],[Date]],'DB Details'!$A:$L,12)</f>
        <v/>
      </c>
    </row>
    <row r="412">
      <c r="A412" s="39" t="n">
        <v>29891</v>
      </c>
      <c r="B412" s="57">
        <f>VLOOKUP(Table91213[[#This Row],[Date]],'DB Details'!$A:$L,2)</f>
        <v/>
      </c>
      <c r="C412" s="41" t="n"/>
      <c r="D412" s="55" t="n"/>
      <c r="E412" s="88">
        <f>VLOOKUP(Table91213[[#This Row],[Date]],'DB Details'!$A:$L,5)</f>
        <v/>
      </c>
      <c r="F412" s="88">
        <f>VLOOKUP(Table91213[[#This Row],[Date]],'DB Details'!$A:$L,6)</f>
        <v/>
      </c>
      <c r="G412" s="119" t="n"/>
      <c r="H412" s="88">
        <f>VLOOKUP(Table91213[[#This Row],[Date]],'DB Details'!$A:$L,8)</f>
        <v/>
      </c>
      <c r="I412" s="88">
        <f>VLOOKUP(Table91213[[#This Row],[Date]],'DB Details'!$A:$L,9)</f>
        <v/>
      </c>
      <c r="J412" s="88">
        <f>VLOOKUP(Table91213[[#This Row],[Date]],'DB Details'!$A:$L,10)</f>
        <v/>
      </c>
      <c r="K412" s="119" t="n"/>
      <c r="L412" s="88">
        <f>VLOOKUP(Table91213[[#This Row],[Date]],'DB Details'!$A:$L,12)</f>
        <v/>
      </c>
    </row>
    <row r="413">
      <c r="A413" s="39" t="n">
        <v>29921</v>
      </c>
      <c r="B413" s="57">
        <f>VLOOKUP(Table91213[[#This Row],[Date]],'DB Details'!$A:$L,2)</f>
        <v/>
      </c>
      <c r="C413" s="41" t="n"/>
      <c r="D413" s="55" t="n"/>
      <c r="E413" s="88">
        <f>VLOOKUP(Table91213[[#This Row],[Date]],'DB Details'!$A:$L,5)</f>
        <v/>
      </c>
      <c r="F413" s="88">
        <f>VLOOKUP(Table91213[[#This Row],[Date]],'DB Details'!$A:$L,6)</f>
        <v/>
      </c>
      <c r="G413" s="119" t="n"/>
      <c r="H413" s="88">
        <f>VLOOKUP(Table91213[[#This Row],[Date]],'DB Details'!$A:$L,8)</f>
        <v/>
      </c>
      <c r="I413" s="88">
        <f>VLOOKUP(Table91213[[#This Row],[Date]],'DB Details'!$A:$L,9)</f>
        <v/>
      </c>
      <c r="J413" s="88">
        <f>VLOOKUP(Table91213[[#This Row],[Date]],'DB Details'!$A:$L,10)</f>
        <v/>
      </c>
      <c r="K413" s="119" t="n"/>
      <c r="L413" s="88">
        <f>VLOOKUP(Table91213[[#This Row],[Date]],'DB Details'!$A:$L,12)</f>
        <v/>
      </c>
    </row>
    <row r="414">
      <c r="A414" s="39" t="n">
        <v>29952</v>
      </c>
      <c r="B414" s="57">
        <f>VLOOKUP(Table91213[[#This Row],[Date]],'DB Details'!$A:$L,2)</f>
        <v/>
      </c>
      <c r="C414" s="41" t="n"/>
      <c r="D414" s="55" t="n"/>
      <c r="E414" s="88">
        <f>VLOOKUP(Table91213[[#This Row],[Date]],'DB Details'!$A:$L,5)</f>
        <v/>
      </c>
      <c r="F414" s="88">
        <f>VLOOKUP(Table91213[[#This Row],[Date]],'DB Details'!$A:$L,6)</f>
        <v/>
      </c>
      <c r="G414" s="119" t="n"/>
      <c r="H414" s="88">
        <f>VLOOKUP(Table91213[[#This Row],[Date]],'DB Details'!$A:$L,8)</f>
        <v/>
      </c>
      <c r="I414" s="88">
        <f>VLOOKUP(Table91213[[#This Row],[Date]],'DB Details'!$A:$L,9)</f>
        <v/>
      </c>
      <c r="J414" s="88">
        <f>VLOOKUP(Table91213[[#This Row],[Date]],'DB Details'!$A:$L,10)</f>
        <v/>
      </c>
      <c r="K414" s="119" t="n"/>
      <c r="L414" s="88">
        <f>VLOOKUP(Table91213[[#This Row],[Date]],'DB Details'!$A:$L,12)</f>
        <v/>
      </c>
    </row>
    <row r="415">
      <c r="A415" s="39" t="n">
        <v>29983</v>
      </c>
      <c r="B415" s="57">
        <f>VLOOKUP(Table91213[[#This Row],[Date]],'DB Details'!$A:$L,2)</f>
        <v/>
      </c>
      <c r="C415" s="41" t="n"/>
      <c r="D415" s="55" t="n"/>
      <c r="E415" s="88">
        <f>VLOOKUP(Table91213[[#This Row],[Date]],'DB Details'!$A:$L,5)</f>
        <v/>
      </c>
      <c r="F415" s="88">
        <f>VLOOKUP(Table91213[[#This Row],[Date]],'DB Details'!$A:$L,6)</f>
        <v/>
      </c>
      <c r="G415" s="119" t="n"/>
      <c r="H415" s="88">
        <f>VLOOKUP(Table91213[[#This Row],[Date]],'DB Details'!$A:$L,8)</f>
        <v/>
      </c>
      <c r="I415" s="88">
        <f>VLOOKUP(Table91213[[#This Row],[Date]],'DB Details'!$A:$L,9)</f>
        <v/>
      </c>
      <c r="J415" s="88">
        <f>VLOOKUP(Table91213[[#This Row],[Date]],'DB Details'!$A:$L,10)</f>
        <v/>
      </c>
      <c r="K415" s="119" t="n"/>
      <c r="L415" s="88">
        <f>VLOOKUP(Table91213[[#This Row],[Date]],'DB Details'!$A:$L,12)</f>
        <v/>
      </c>
    </row>
    <row r="416">
      <c r="A416" s="39" t="n">
        <v>30011</v>
      </c>
      <c r="B416" s="57">
        <f>VLOOKUP(Table91213[[#This Row],[Date]],'DB Details'!$A:$L,2)</f>
        <v/>
      </c>
      <c r="C416" s="41" t="n"/>
      <c r="D416" s="55" t="n"/>
      <c r="E416" s="88">
        <f>VLOOKUP(Table91213[[#This Row],[Date]],'DB Details'!$A:$L,5)</f>
        <v/>
      </c>
      <c r="F416" s="88">
        <f>VLOOKUP(Table91213[[#This Row],[Date]],'DB Details'!$A:$L,6)</f>
        <v/>
      </c>
      <c r="G416" s="119" t="n"/>
      <c r="H416" s="88">
        <f>VLOOKUP(Table91213[[#This Row],[Date]],'DB Details'!$A:$L,8)</f>
        <v/>
      </c>
      <c r="I416" s="88">
        <f>VLOOKUP(Table91213[[#This Row],[Date]],'DB Details'!$A:$L,9)</f>
        <v/>
      </c>
      <c r="J416" s="88">
        <f>VLOOKUP(Table91213[[#This Row],[Date]],'DB Details'!$A:$L,10)</f>
        <v/>
      </c>
      <c r="K416" s="119" t="n"/>
      <c r="L416" s="88">
        <f>VLOOKUP(Table91213[[#This Row],[Date]],'DB Details'!$A:$L,12)</f>
        <v/>
      </c>
    </row>
    <row r="417">
      <c r="A417" s="39" t="n">
        <v>30042</v>
      </c>
      <c r="B417" s="57">
        <f>VLOOKUP(Table91213[[#This Row],[Date]],'DB Details'!$A:$L,2)</f>
        <v/>
      </c>
      <c r="C417" s="41" t="n"/>
      <c r="D417" s="55" t="n"/>
      <c r="E417" s="88">
        <f>VLOOKUP(Table91213[[#This Row],[Date]],'DB Details'!$A:$L,5)</f>
        <v/>
      </c>
      <c r="F417" s="88">
        <f>VLOOKUP(Table91213[[#This Row],[Date]],'DB Details'!$A:$L,6)</f>
        <v/>
      </c>
      <c r="G417" s="119" t="n"/>
      <c r="H417" s="88">
        <f>VLOOKUP(Table91213[[#This Row],[Date]],'DB Details'!$A:$L,8)</f>
        <v/>
      </c>
      <c r="I417" s="88">
        <f>VLOOKUP(Table91213[[#This Row],[Date]],'DB Details'!$A:$L,9)</f>
        <v/>
      </c>
      <c r="J417" s="88">
        <f>VLOOKUP(Table91213[[#This Row],[Date]],'DB Details'!$A:$L,10)</f>
        <v/>
      </c>
      <c r="K417" s="119" t="n"/>
      <c r="L417" s="88">
        <f>VLOOKUP(Table91213[[#This Row],[Date]],'DB Details'!$A:$L,12)</f>
        <v/>
      </c>
    </row>
    <row r="418">
      <c r="A418" s="39" t="n">
        <v>30072</v>
      </c>
      <c r="B418" s="57">
        <f>VLOOKUP(Table91213[[#This Row],[Date]],'DB Details'!$A:$L,2)</f>
        <v/>
      </c>
      <c r="C418" s="41" t="n"/>
      <c r="D418" s="55" t="n"/>
      <c r="E418" s="88">
        <f>VLOOKUP(Table91213[[#This Row],[Date]],'DB Details'!$A:$L,5)</f>
        <v/>
      </c>
      <c r="F418" s="88">
        <f>VLOOKUP(Table91213[[#This Row],[Date]],'DB Details'!$A:$L,6)</f>
        <v/>
      </c>
      <c r="G418" s="119" t="n"/>
      <c r="H418" s="88">
        <f>VLOOKUP(Table91213[[#This Row],[Date]],'DB Details'!$A:$L,8)</f>
        <v/>
      </c>
      <c r="I418" s="88">
        <f>VLOOKUP(Table91213[[#This Row],[Date]],'DB Details'!$A:$L,9)</f>
        <v/>
      </c>
      <c r="J418" s="88">
        <f>VLOOKUP(Table91213[[#This Row],[Date]],'DB Details'!$A:$L,10)</f>
        <v/>
      </c>
      <c r="K418" s="119" t="n"/>
      <c r="L418" s="88">
        <f>VLOOKUP(Table91213[[#This Row],[Date]],'DB Details'!$A:$L,12)</f>
        <v/>
      </c>
    </row>
    <row r="419">
      <c r="A419" s="39" t="n">
        <v>30103</v>
      </c>
      <c r="B419" s="57">
        <f>VLOOKUP(Table91213[[#This Row],[Date]],'DB Details'!$A:$L,2)</f>
        <v/>
      </c>
      <c r="C419" s="41" t="n"/>
      <c r="D419" s="55" t="n"/>
      <c r="E419" s="88">
        <f>VLOOKUP(Table91213[[#This Row],[Date]],'DB Details'!$A:$L,5)</f>
        <v/>
      </c>
      <c r="F419" s="88">
        <f>VLOOKUP(Table91213[[#This Row],[Date]],'DB Details'!$A:$L,6)</f>
        <v/>
      </c>
      <c r="G419" s="119" t="n"/>
      <c r="H419" s="88">
        <f>VLOOKUP(Table91213[[#This Row],[Date]],'DB Details'!$A:$L,8)</f>
        <v/>
      </c>
      <c r="I419" s="88">
        <f>VLOOKUP(Table91213[[#This Row],[Date]],'DB Details'!$A:$L,9)</f>
        <v/>
      </c>
      <c r="J419" s="88">
        <f>VLOOKUP(Table91213[[#This Row],[Date]],'DB Details'!$A:$L,10)</f>
        <v/>
      </c>
      <c r="K419" s="119" t="n"/>
      <c r="L419" s="88">
        <f>VLOOKUP(Table91213[[#This Row],[Date]],'DB Details'!$A:$L,12)</f>
        <v/>
      </c>
    </row>
    <row r="420">
      <c r="A420" s="39" t="n">
        <v>30133</v>
      </c>
      <c r="B420" s="57">
        <f>VLOOKUP(Table91213[[#This Row],[Date]],'DB Details'!$A:$L,2)</f>
        <v/>
      </c>
      <c r="C420" s="41" t="n"/>
      <c r="D420" s="55" t="n"/>
      <c r="E420" s="88">
        <f>VLOOKUP(Table91213[[#This Row],[Date]],'DB Details'!$A:$L,5)</f>
        <v/>
      </c>
      <c r="F420" s="88">
        <f>VLOOKUP(Table91213[[#This Row],[Date]],'DB Details'!$A:$L,6)</f>
        <v/>
      </c>
      <c r="G420" s="119" t="n"/>
      <c r="H420" s="88">
        <f>VLOOKUP(Table91213[[#This Row],[Date]],'DB Details'!$A:$L,8)</f>
        <v/>
      </c>
      <c r="I420" s="88">
        <f>VLOOKUP(Table91213[[#This Row],[Date]],'DB Details'!$A:$L,9)</f>
        <v/>
      </c>
      <c r="J420" s="88">
        <f>VLOOKUP(Table91213[[#This Row],[Date]],'DB Details'!$A:$L,10)</f>
        <v/>
      </c>
      <c r="K420" s="119" t="n"/>
      <c r="L420" s="88">
        <f>VLOOKUP(Table91213[[#This Row],[Date]],'DB Details'!$A:$L,12)</f>
        <v/>
      </c>
    </row>
    <row r="421">
      <c r="A421" s="39" t="n">
        <v>30164</v>
      </c>
      <c r="B421" s="57">
        <f>VLOOKUP(Table91213[[#This Row],[Date]],'DB Details'!$A:$L,2)</f>
        <v/>
      </c>
      <c r="C421" s="41" t="n"/>
      <c r="D421" s="55" t="n"/>
      <c r="E421" s="88">
        <f>VLOOKUP(Table91213[[#This Row],[Date]],'DB Details'!$A:$L,5)</f>
        <v/>
      </c>
      <c r="F421" s="88">
        <f>VLOOKUP(Table91213[[#This Row],[Date]],'DB Details'!$A:$L,6)</f>
        <v/>
      </c>
      <c r="G421" s="119" t="n"/>
      <c r="H421" s="88">
        <f>VLOOKUP(Table91213[[#This Row],[Date]],'DB Details'!$A:$L,8)</f>
        <v/>
      </c>
      <c r="I421" s="88">
        <f>VLOOKUP(Table91213[[#This Row],[Date]],'DB Details'!$A:$L,9)</f>
        <v/>
      </c>
      <c r="J421" s="88">
        <f>VLOOKUP(Table91213[[#This Row],[Date]],'DB Details'!$A:$L,10)</f>
        <v/>
      </c>
      <c r="K421" s="119" t="n"/>
      <c r="L421" s="88">
        <f>VLOOKUP(Table91213[[#This Row],[Date]],'DB Details'!$A:$L,12)</f>
        <v/>
      </c>
    </row>
    <row r="422">
      <c r="A422" s="39" t="n">
        <v>30195</v>
      </c>
      <c r="B422" s="57">
        <f>VLOOKUP(Table91213[[#This Row],[Date]],'DB Details'!$A:$L,2)</f>
        <v/>
      </c>
      <c r="C422" s="41" t="n"/>
      <c r="D422" s="55" t="n"/>
      <c r="E422" s="88">
        <f>VLOOKUP(Table91213[[#This Row],[Date]],'DB Details'!$A:$L,5)</f>
        <v/>
      </c>
      <c r="F422" s="88">
        <f>VLOOKUP(Table91213[[#This Row],[Date]],'DB Details'!$A:$L,6)</f>
        <v/>
      </c>
      <c r="G422" s="119" t="n"/>
      <c r="H422" s="88">
        <f>VLOOKUP(Table91213[[#This Row],[Date]],'DB Details'!$A:$L,8)</f>
        <v/>
      </c>
      <c r="I422" s="88">
        <f>VLOOKUP(Table91213[[#This Row],[Date]],'DB Details'!$A:$L,9)</f>
        <v/>
      </c>
      <c r="J422" s="88">
        <f>VLOOKUP(Table91213[[#This Row],[Date]],'DB Details'!$A:$L,10)</f>
        <v/>
      </c>
      <c r="K422" s="119" t="n"/>
      <c r="L422" s="88">
        <f>VLOOKUP(Table91213[[#This Row],[Date]],'DB Details'!$A:$L,12)</f>
        <v/>
      </c>
    </row>
    <row r="423">
      <c r="A423" s="39" t="n">
        <v>30225</v>
      </c>
      <c r="B423" s="57">
        <f>VLOOKUP(Table91213[[#This Row],[Date]],'DB Details'!$A:$L,2)</f>
        <v/>
      </c>
      <c r="C423" s="41" t="n"/>
      <c r="D423" s="55" t="n"/>
      <c r="E423" s="88">
        <f>VLOOKUP(Table91213[[#This Row],[Date]],'DB Details'!$A:$L,5)</f>
        <v/>
      </c>
      <c r="F423" s="88">
        <f>VLOOKUP(Table91213[[#This Row],[Date]],'DB Details'!$A:$L,6)</f>
        <v/>
      </c>
      <c r="G423" s="119" t="n"/>
      <c r="H423" s="88">
        <f>VLOOKUP(Table91213[[#This Row],[Date]],'DB Details'!$A:$L,8)</f>
        <v/>
      </c>
      <c r="I423" s="88">
        <f>VLOOKUP(Table91213[[#This Row],[Date]],'DB Details'!$A:$L,9)</f>
        <v/>
      </c>
      <c r="J423" s="88">
        <f>VLOOKUP(Table91213[[#This Row],[Date]],'DB Details'!$A:$L,10)</f>
        <v/>
      </c>
      <c r="K423" s="119" t="n"/>
      <c r="L423" s="88">
        <f>VLOOKUP(Table91213[[#This Row],[Date]],'DB Details'!$A:$L,12)</f>
        <v/>
      </c>
    </row>
    <row r="424">
      <c r="A424" s="39" t="n">
        <v>30256</v>
      </c>
      <c r="B424" s="57">
        <f>VLOOKUP(Table91213[[#This Row],[Date]],'DB Details'!$A:$L,2)</f>
        <v/>
      </c>
      <c r="C424" s="41" t="n"/>
      <c r="D424" s="55" t="n"/>
      <c r="E424" s="88">
        <f>VLOOKUP(Table91213[[#This Row],[Date]],'DB Details'!$A:$L,5)</f>
        <v/>
      </c>
      <c r="F424" s="88">
        <f>VLOOKUP(Table91213[[#This Row],[Date]],'DB Details'!$A:$L,6)</f>
        <v/>
      </c>
      <c r="G424" s="119" t="n"/>
      <c r="H424" s="88">
        <f>VLOOKUP(Table91213[[#This Row],[Date]],'DB Details'!$A:$L,8)</f>
        <v/>
      </c>
      <c r="I424" s="88">
        <f>VLOOKUP(Table91213[[#This Row],[Date]],'DB Details'!$A:$L,9)</f>
        <v/>
      </c>
      <c r="J424" s="88">
        <f>VLOOKUP(Table91213[[#This Row],[Date]],'DB Details'!$A:$L,10)</f>
        <v/>
      </c>
      <c r="K424" s="119" t="n"/>
      <c r="L424" s="88">
        <f>VLOOKUP(Table91213[[#This Row],[Date]],'DB Details'!$A:$L,12)</f>
        <v/>
      </c>
    </row>
    <row r="425">
      <c r="A425" s="39" t="n">
        <v>30286</v>
      </c>
      <c r="B425" s="57">
        <f>VLOOKUP(Table91213[[#This Row],[Date]],'DB Details'!$A:$L,2)</f>
        <v/>
      </c>
      <c r="C425" s="41" t="n"/>
      <c r="D425" s="55" t="n"/>
      <c r="E425" s="88">
        <f>VLOOKUP(Table91213[[#This Row],[Date]],'DB Details'!$A:$L,5)</f>
        <v/>
      </c>
      <c r="F425" s="88">
        <f>VLOOKUP(Table91213[[#This Row],[Date]],'DB Details'!$A:$L,6)</f>
        <v/>
      </c>
      <c r="G425" s="119" t="n"/>
      <c r="H425" s="88">
        <f>VLOOKUP(Table91213[[#This Row],[Date]],'DB Details'!$A:$L,8)</f>
        <v/>
      </c>
      <c r="I425" s="88">
        <f>VLOOKUP(Table91213[[#This Row],[Date]],'DB Details'!$A:$L,9)</f>
        <v/>
      </c>
      <c r="J425" s="88">
        <f>VLOOKUP(Table91213[[#This Row],[Date]],'DB Details'!$A:$L,10)</f>
        <v/>
      </c>
      <c r="K425" s="119" t="n"/>
      <c r="L425" s="88">
        <f>VLOOKUP(Table91213[[#This Row],[Date]],'DB Details'!$A:$L,12)</f>
        <v/>
      </c>
    </row>
    <row r="426">
      <c r="A426" s="39" t="n">
        <v>30317</v>
      </c>
      <c r="B426" s="57">
        <f>VLOOKUP(Table91213[[#This Row],[Date]],'DB Details'!$A:$L,2)</f>
        <v/>
      </c>
      <c r="C426" s="41" t="n"/>
      <c r="D426" s="55" t="n"/>
      <c r="E426" s="88">
        <f>VLOOKUP(Table91213[[#This Row],[Date]],'DB Details'!$A:$L,5)</f>
        <v/>
      </c>
      <c r="F426" s="88">
        <f>VLOOKUP(Table91213[[#This Row],[Date]],'DB Details'!$A:$L,6)</f>
        <v/>
      </c>
      <c r="G426" s="119" t="n"/>
      <c r="H426" s="88">
        <f>VLOOKUP(Table91213[[#This Row],[Date]],'DB Details'!$A:$L,8)</f>
        <v/>
      </c>
      <c r="I426" s="88">
        <f>VLOOKUP(Table91213[[#This Row],[Date]],'DB Details'!$A:$L,9)</f>
        <v/>
      </c>
      <c r="J426" s="88">
        <f>VLOOKUP(Table91213[[#This Row],[Date]],'DB Details'!$A:$L,10)</f>
        <v/>
      </c>
      <c r="K426" s="119" t="n"/>
      <c r="L426" s="88">
        <f>VLOOKUP(Table91213[[#This Row],[Date]],'DB Details'!$A:$L,12)</f>
        <v/>
      </c>
    </row>
    <row r="427">
      <c r="A427" s="39" t="n">
        <v>30348</v>
      </c>
      <c r="B427" s="57">
        <f>VLOOKUP(Table91213[[#This Row],[Date]],'DB Details'!$A:$L,2)</f>
        <v/>
      </c>
      <c r="C427" s="41" t="n"/>
      <c r="D427" s="55" t="n"/>
      <c r="E427" s="88">
        <f>VLOOKUP(Table91213[[#This Row],[Date]],'DB Details'!$A:$L,5)</f>
        <v/>
      </c>
      <c r="F427" s="88">
        <f>VLOOKUP(Table91213[[#This Row],[Date]],'DB Details'!$A:$L,6)</f>
        <v/>
      </c>
      <c r="G427" s="119" t="n"/>
      <c r="H427" s="88">
        <f>VLOOKUP(Table91213[[#This Row],[Date]],'DB Details'!$A:$L,8)</f>
        <v/>
      </c>
      <c r="I427" s="88">
        <f>VLOOKUP(Table91213[[#This Row],[Date]],'DB Details'!$A:$L,9)</f>
        <v/>
      </c>
      <c r="J427" s="88">
        <f>VLOOKUP(Table91213[[#This Row],[Date]],'DB Details'!$A:$L,10)</f>
        <v/>
      </c>
      <c r="K427" s="119" t="n"/>
      <c r="L427" s="88">
        <f>VLOOKUP(Table91213[[#This Row],[Date]],'DB Details'!$A:$L,12)</f>
        <v/>
      </c>
    </row>
    <row r="428">
      <c r="A428" s="39" t="n">
        <v>30376</v>
      </c>
      <c r="B428" s="57">
        <f>VLOOKUP(Table91213[[#This Row],[Date]],'DB Details'!$A:$L,2)</f>
        <v/>
      </c>
      <c r="C428" s="41" t="n"/>
      <c r="D428" s="55" t="n"/>
      <c r="E428" s="88">
        <f>VLOOKUP(Table91213[[#This Row],[Date]],'DB Details'!$A:$L,5)</f>
        <v/>
      </c>
      <c r="F428" s="88">
        <f>VLOOKUP(Table91213[[#This Row],[Date]],'DB Details'!$A:$L,6)</f>
        <v/>
      </c>
      <c r="G428" s="119" t="n"/>
      <c r="H428" s="88">
        <f>VLOOKUP(Table91213[[#This Row],[Date]],'DB Details'!$A:$L,8)</f>
        <v/>
      </c>
      <c r="I428" s="88">
        <f>VLOOKUP(Table91213[[#This Row],[Date]],'DB Details'!$A:$L,9)</f>
        <v/>
      </c>
      <c r="J428" s="88">
        <f>VLOOKUP(Table91213[[#This Row],[Date]],'DB Details'!$A:$L,10)</f>
        <v/>
      </c>
      <c r="K428" s="119" t="n"/>
      <c r="L428" s="88">
        <f>VLOOKUP(Table91213[[#This Row],[Date]],'DB Details'!$A:$L,12)</f>
        <v/>
      </c>
    </row>
    <row r="429">
      <c r="A429" s="39" t="n">
        <v>30407</v>
      </c>
      <c r="B429" s="57">
        <f>VLOOKUP(Table91213[[#This Row],[Date]],'DB Details'!$A:$L,2)</f>
        <v/>
      </c>
      <c r="C429" s="41" t="n"/>
      <c r="D429" s="55" t="n"/>
      <c r="E429" s="88">
        <f>VLOOKUP(Table91213[[#This Row],[Date]],'DB Details'!$A:$L,5)</f>
        <v/>
      </c>
      <c r="F429" s="88">
        <f>VLOOKUP(Table91213[[#This Row],[Date]],'DB Details'!$A:$L,6)</f>
        <v/>
      </c>
      <c r="G429" s="119" t="n"/>
      <c r="H429" s="88">
        <f>VLOOKUP(Table91213[[#This Row],[Date]],'DB Details'!$A:$L,8)</f>
        <v/>
      </c>
      <c r="I429" s="88">
        <f>VLOOKUP(Table91213[[#This Row],[Date]],'DB Details'!$A:$L,9)</f>
        <v/>
      </c>
      <c r="J429" s="88">
        <f>VLOOKUP(Table91213[[#This Row],[Date]],'DB Details'!$A:$L,10)</f>
        <v/>
      </c>
      <c r="K429" s="119" t="n"/>
      <c r="L429" s="88">
        <f>VLOOKUP(Table91213[[#This Row],[Date]],'DB Details'!$A:$L,12)</f>
        <v/>
      </c>
    </row>
    <row r="430">
      <c r="A430" s="39" t="n">
        <v>30437</v>
      </c>
      <c r="B430" s="57">
        <f>VLOOKUP(Table91213[[#This Row],[Date]],'DB Details'!$A:$L,2)</f>
        <v/>
      </c>
      <c r="C430" s="41" t="n"/>
      <c r="D430" s="55" t="n"/>
      <c r="E430" s="88">
        <f>VLOOKUP(Table91213[[#This Row],[Date]],'DB Details'!$A:$L,5)</f>
        <v/>
      </c>
      <c r="F430" s="88">
        <f>VLOOKUP(Table91213[[#This Row],[Date]],'DB Details'!$A:$L,6)</f>
        <v/>
      </c>
      <c r="G430" s="119" t="n"/>
      <c r="H430" s="88">
        <f>VLOOKUP(Table91213[[#This Row],[Date]],'DB Details'!$A:$L,8)</f>
        <v/>
      </c>
      <c r="I430" s="88">
        <f>VLOOKUP(Table91213[[#This Row],[Date]],'DB Details'!$A:$L,9)</f>
        <v/>
      </c>
      <c r="J430" s="88">
        <f>VLOOKUP(Table91213[[#This Row],[Date]],'DB Details'!$A:$L,10)</f>
        <v/>
      </c>
      <c r="K430" s="119" t="n"/>
      <c r="L430" s="88">
        <f>VLOOKUP(Table91213[[#This Row],[Date]],'DB Details'!$A:$L,12)</f>
        <v/>
      </c>
    </row>
    <row r="431">
      <c r="A431" s="39" t="n">
        <v>30468</v>
      </c>
      <c r="B431" s="57">
        <f>VLOOKUP(Table91213[[#This Row],[Date]],'DB Details'!$A:$L,2)</f>
        <v/>
      </c>
      <c r="C431" s="41" t="n"/>
      <c r="D431" s="55" t="n"/>
      <c r="E431" s="88">
        <f>VLOOKUP(Table91213[[#This Row],[Date]],'DB Details'!$A:$L,5)</f>
        <v/>
      </c>
      <c r="F431" s="88">
        <f>VLOOKUP(Table91213[[#This Row],[Date]],'DB Details'!$A:$L,6)</f>
        <v/>
      </c>
      <c r="G431" s="119" t="n"/>
      <c r="H431" s="88">
        <f>VLOOKUP(Table91213[[#This Row],[Date]],'DB Details'!$A:$L,8)</f>
        <v/>
      </c>
      <c r="I431" s="88">
        <f>VLOOKUP(Table91213[[#This Row],[Date]],'DB Details'!$A:$L,9)</f>
        <v/>
      </c>
      <c r="J431" s="88">
        <f>VLOOKUP(Table91213[[#This Row],[Date]],'DB Details'!$A:$L,10)</f>
        <v/>
      </c>
      <c r="K431" s="119" t="n"/>
      <c r="L431" s="88">
        <f>VLOOKUP(Table91213[[#This Row],[Date]],'DB Details'!$A:$L,12)</f>
        <v/>
      </c>
    </row>
    <row r="432">
      <c r="A432" s="39" t="n">
        <v>30498</v>
      </c>
      <c r="B432" s="57">
        <f>VLOOKUP(Table91213[[#This Row],[Date]],'DB Details'!$A:$L,2)</f>
        <v/>
      </c>
      <c r="C432" s="41" t="n"/>
      <c r="D432" s="55" t="n"/>
      <c r="E432" s="88">
        <f>VLOOKUP(Table91213[[#This Row],[Date]],'DB Details'!$A:$L,5)</f>
        <v/>
      </c>
      <c r="F432" s="88">
        <f>VLOOKUP(Table91213[[#This Row],[Date]],'DB Details'!$A:$L,6)</f>
        <v/>
      </c>
      <c r="G432" s="119" t="n"/>
      <c r="H432" s="88">
        <f>VLOOKUP(Table91213[[#This Row],[Date]],'DB Details'!$A:$L,8)</f>
        <v/>
      </c>
      <c r="I432" s="88">
        <f>VLOOKUP(Table91213[[#This Row],[Date]],'DB Details'!$A:$L,9)</f>
        <v/>
      </c>
      <c r="J432" s="88">
        <f>VLOOKUP(Table91213[[#This Row],[Date]],'DB Details'!$A:$L,10)</f>
        <v/>
      </c>
      <c r="K432" s="119" t="n"/>
      <c r="L432" s="88">
        <f>VLOOKUP(Table91213[[#This Row],[Date]],'DB Details'!$A:$L,12)</f>
        <v/>
      </c>
    </row>
    <row r="433">
      <c r="A433" s="39" t="n">
        <v>30529</v>
      </c>
      <c r="B433" s="57">
        <f>VLOOKUP(Table91213[[#This Row],[Date]],'DB Details'!$A:$L,2)</f>
        <v/>
      </c>
      <c r="C433" s="41" t="n"/>
      <c r="D433" s="55" t="n"/>
      <c r="E433" s="88">
        <f>VLOOKUP(Table91213[[#This Row],[Date]],'DB Details'!$A:$L,5)</f>
        <v/>
      </c>
      <c r="F433" s="88">
        <f>VLOOKUP(Table91213[[#This Row],[Date]],'DB Details'!$A:$L,6)</f>
        <v/>
      </c>
      <c r="G433" s="119" t="n"/>
      <c r="H433" s="88">
        <f>VLOOKUP(Table91213[[#This Row],[Date]],'DB Details'!$A:$L,8)</f>
        <v/>
      </c>
      <c r="I433" s="88">
        <f>VLOOKUP(Table91213[[#This Row],[Date]],'DB Details'!$A:$L,9)</f>
        <v/>
      </c>
      <c r="J433" s="88">
        <f>VLOOKUP(Table91213[[#This Row],[Date]],'DB Details'!$A:$L,10)</f>
        <v/>
      </c>
      <c r="K433" s="119" t="n"/>
      <c r="L433" s="88">
        <f>VLOOKUP(Table91213[[#This Row],[Date]],'DB Details'!$A:$L,12)</f>
        <v/>
      </c>
    </row>
    <row r="434">
      <c r="A434" s="39" t="n">
        <v>30560</v>
      </c>
      <c r="B434" s="57">
        <f>VLOOKUP(Table91213[[#This Row],[Date]],'DB Details'!$A:$L,2)</f>
        <v/>
      </c>
      <c r="C434" s="41" t="n"/>
      <c r="D434" s="55" t="n"/>
      <c r="E434" s="88">
        <f>VLOOKUP(Table91213[[#This Row],[Date]],'DB Details'!$A:$L,5)</f>
        <v/>
      </c>
      <c r="F434" s="88">
        <f>VLOOKUP(Table91213[[#This Row],[Date]],'DB Details'!$A:$L,6)</f>
        <v/>
      </c>
      <c r="G434" s="119" t="n"/>
      <c r="H434" s="88">
        <f>VLOOKUP(Table91213[[#This Row],[Date]],'DB Details'!$A:$L,8)</f>
        <v/>
      </c>
      <c r="I434" s="88">
        <f>VLOOKUP(Table91213[[#This Row],[Date]],'DB Details'!$A:$L,9)</f>
        <v/>
      </c>
      <c r="J434" s="88">
        <f>VLOOKUP(Table91213[[#This Row],[Date]],'DB Details'!$A:$L,10)</f>
        <v/>
      </c>
      <c r="K434" s="119" t="n"/>
      <c r="L434" s="88">
        <f>VLOOKUP(Table91213[[#This Row],[Date]],'DB Details'!$A:$L,12)</f>
        <v/>
      </c>
    </row>
    <row r="435">
      <c r="A435" s="39" t="n">
        <v>30590</v>
      </c>
      <c r="B435" s="57">
        <f>VLOOKUP(Table91213[[#This Row],[Date]],'DB Details'!$A:$L,2)</f>
        <v/>
      </c>
      <c r="C435" s="41" t="n"/>
      <c r="D435" s="55" t="n"/>
      <c r="E435" s="88">
        <f>VLOOKUP(Table91213[[#This Row],[Date]],'DB Details'!$A:$L,5)</f>
        <v/>
      </c>
      <c r="F435" s="88">
        <f>VLOOKUP(Table91213[[#This Row],[Date]],'DB Details'!$A:$L,6)</f>
        <v/>
      </c>
      <c r="G435" s="119" t="n"/>
      <c r="H435" s="88">
        <f>VLOOKUP(Table91213[[#This Row],[Date]],'DB Details'!$A:$L,8)</f>
        <v/>
      </c>
      <c r="I435" s="88">
        <f>VLOOKUP(Table91213[[#This Row],[Date]],'DB Details'!$A:$L,9)</f>
        <v/>
      </c>
      <c r="J435" s="88">
        <f>VLOOKUP(Table91213[[#This Row],[Date]],'DB Details'!$A:$L,10)</f>
        <v/>
      </c>
      <c r="K435" s="119" t="n"/>
      <c r="L435" s="88">
        <f>VLOOKUP(Table91213[[#This Row],[Date]],'DB Details'!$A:$L,12)</f>
        <v/>
      </c>
    </row>
    <row r="436">
      <c r="A436" s="39" t="n">
        <v>30621</v>
      </c>
      <c r="B436" s="57">
        <f>VLOOKUP(Table91213[[#This Row],[Date]],'DB Details'!$A:$L,2)</f>
        <v/>
      </c>
      <c r="C436" s="41" t="n"/>
      <c r="D436" s="55" t="n"/>
      <c r="E436" s="88">
        <f>VLOOKUP(Table91213[[#This Row],[Date]],'DB Details'!$A:$L,5)</f>
        <v/>
      </c>
      <c r="F436" s="88">
        <f>VLOOKUP(Table91213[[#This Row],[Date]],'DB Details'!$A:$L,6)</f>
        <v/>
      </c>
      <c r="G436" s="119" t="n"/>
      <c r="H436" s="88">
        <f>VLOOKUP(Table91213[[#This Row],[Date]],'DB Details'!$A:$L,8)</f>
        <v/>
      </c>
      <c r="I436" s="88">
        <f>VLOOKUP(Table91213[[#This Row],[Date]],'DB Details'!$A:$L,9)</f>
        <v/>
      </c>
      <c r="J436" s="88">
        <f>VLOOKUP(Table91213[[#This Row],[Date]],'DB Details'!$A:$L,10)</f>
        <v/>
      </c>
      <c r="K436" s="119" t="n"/>
      <c r="L436" s="88">
        <f>VLOOKUP(Table91213[[#This Row],[Date]],'DB Details'!$A:$L,12)</f>
        <v/>
      </c>
    </row>
    <row r="437">
      <c r="A437" s="39" t="n">
        <v>30651</v>
      </c>
      <c r="B437" s="57">
        <f>VLOOKUP(Table91213[[#This Row],[Date]],'DB Details'!$A:$L,2)</f>
        <v/>
      </c>
      <c r="C437" s="41" t="n"/>
      <c r="D437" s="55" t="n"/>
      <c r="E437" s="88">
        <f>VLOOKUP(Table91213[[#This Row],[Date]],'DB Details'!$A:$L,5)</f>
        <v/>
      </c>
      <c r="F437" s="88">
        <f>VLOOKUP(Table91213[[#This Row],[Date]],'DB Details'!$A:$L,6)</f>
        <v/>
      </c>
      <c r="G437" s="119" t="n"/>
      <c r="H437" s="88">
        <f>VLOOKUP(Table91213[[#This Row],[Date]],'DB Details'!$A:$L,8)</f>
        <v/>
      </c>
      <c r="I437" s="88">
        <f>VLOOKUP(Table91213[[#This Row],[Date]],'DB Details'!$A:$L,9)</f>
        <v/>
      </c>
      <c r="J437" s="88">
        <f>VLOOKUP(Table91213[[#This Row],[Date]],'DB Details'!$A:$L,10)</f>
        <v/>
      </c>
      <c r="K437" s="119" t="n"/>
      <c r="L437" s="88">
        <f>VLOOKUP(Table91213[[#This Row],[Date]],'DB Details'!$A:$L,12)</f>
        <v/>
      </c>
    </row>
    <row r="438">
      <c r="A438" s="39" t="n">
        <v>30682</v>
      </c>
      <c r="B438" s="57">
        <f>VLOOKUP(Table91213[[#This Row],[Date]],'DB Details'!$A:$L,2)</f>
        <v/>
      </c>
      <c r="C438" s="41" t="n"/>
      <c r="D438" s="55" t="n"/>
      <c r="E438" s="88">
        <f>VLOOKUP(Table91213[[#This Row],[Date]],'DB Details'!$A:$L,5)</f>
        <v/>
      </c>
      <c r="F438" s="88">
        <f>VLOOKUP(Table91213[[#This Row],[Date]],'DB Details'!$A:$L,6)</f>
        <v/>
      </c>
      <c r="G438" s="119" t="n"/>
      <c r="H438" s="88">
        <f>VLOOKUP(Table91213[[#This Row],[Date]],'DB Details'!$A:$L,8)</f>
        <v/>
      </c>
      <c r="I438" s="88">
        <f>VLOOKUP(Table91213[[#This Row],[Date]],'DB Details'!$A:$L,9)</f>
        <v/>
      </c>
      <c r="J438" s="88">
        <f>VLOOKUP(Table91213[[#This Row],[Date]],'DB Details'!$A:$L,10)</f>
        <v/>
      </c>
      <c r="K438" s="119" t="n"/>
      <c r="L438" s="88">
        <f>VLOOKUP(Table91213[[#This Row],[Date]],'DB Details'!$A:$L,12)</f>
        <v/>
      </c>
    </row>
    <row r="439">
      <c r="A439" s="39" t="n">
        <v>30713</v>
      </c>
      <c r="B439" s="57">
        <f>VLOOKUP(Table91213[[#This Row],[Date]],'DB Details'!$A:$L,2)</f>
        <v/>
      </c>
      <c r="C439" s="41" t="n"/>
      <c r="D439" s="55" t="n"/>
      <c r="E439" s="88">
        <f>VLOOKUP(Table91213[[#This Row],[Date]],'DB Details'!$A:$L,5)</f>
        <v/>
      </c>
      <c r="F439" s="88">
        <f>VLOOKUP(Table91213[[#This Row],[Date]],'DB Details'!$A:$L,6)</f>
        <v/>
      </c>
      <c r="G439" s="119" t="n"/>
      <c r="H439" s="88">
        <f>VLOOKUP(Table91213[[#This Row],[Date]],'DB Details'!$A:$L,8)</f>
        <v/>
      </c>
      <c r="I439" s="88">
        <f>VLOOKUP(Table91213[[#This Row],[Date]],'DB Details'!$A:$L,9)</f>
        <v/>
      </c>
      <c r="J439" s="88">
        <f>VLOOKUP(Table91213[[#This Row],[Date]],'DB Details'!$A:$L,10)</f>
        <v/>
      </c>
      <c r="K439" s="119" t="n"/>
      <c r="L439" s="88">
        <f>VLOOKUP(Table91213[[#This Row],[Date]],'DB Details'!$A:$L,12)</f>
        <v/>
      </c>
    </row>
    <row r="440">
      <c r="A440" s="39" t="n">
        <v>30742</v>
      </c>
      <c r="B440" s="57">
        <f>VLOOKUP(Table91213[[#This Row],[Date]],'DB Details'!$A:$L,2)</f>
        <v/>
      </c>
      <c r="C440" s="41" t="n"/>
      <c r="D440" s="55" t="n"/>
      <c r="E440" s="88">
        <f>VLOOKUP(Table91213[[#This Row],[Date]],'DB Details'!$A:$L,5)</f>
        <v/>
      </c>
      <c r="F440" s="88">
        <f>VLOOKUP(Table91213[[#This Row],[Date]],'DB Details'!$A:$L,6)</f>
        <v/>
      </c>
      <c r="G440" s="119" t="n"/>
      <c r="H440" s="88">
        <f>VLOOKUP(Table91213[[#This Row],[Date]],'DB Details'!$A:$L,8)</f>
        <v/>
      </c>
      <c r="I440" s="88">
        <f>VLOOKUP(Table91213[[#This Row],[Date]],'DB Details'!$A:$L,9)</f>
        <v/>
      </c>
      <c r="J440" s="88">
        <f>VLOOKUP(Table91213[[#This Row],[Date]],'DB Details'!$A:$L,10)</f>
        <v/>
      </c>
      <c r="K440" s="119" t="n"/>
      <c r="L440" s="88">
        <f>VLOOKUP(Table91213[[#This Row],[Date]],'DB Details'!$A:$L,12)</f>
        <v/>
      </c>
    </row>
    <row r="441">
      <c r="A441" s="39" t="n">
        <v>30773</v>
      </c>
      <c r="B441" s="57">
        <f>VLOOKUP(Table91213[[#This Row],[Date]],'DB Details'!$A:$L,2)</f>
        <v/>
      </c>
      <c r="C441" s="41" t="n"/>
      <c r="D441" s="55" t="n"/>
      <c r="E441" s="88">
        <f>VLOOKUP(Table91213[[#This Row],[Date]],'DB Details'!$A:$L,5)</f>
        <v/>
      </c>
      <c r="F441" s="88">
        <f>VLOOKUP(Table91213[[#This Row],[Date]],'DB Details'!$A:$L,6)</f>
        <v/>
      </c>
      <c r="G441" s="119" t="n"/>
      <c r="H441" s="88">
        <f>VLOOKUP(Table91213[[#This Row],[Date]],'DB Details'!$A:$L,8)</f>
        <v/>
      </c>
      <c r="I441" s="88">
        <f>VLOOKUP(Table91213[[#This Row],[Date]],'DB Details'!$A:$L,9)</f>
        <v/>
      </c>
      <c r="J441" s="88">
        <f>VLOOKUP(Table91213[[#This Row],[Date]],'DB Details'!$A:$L,10)</f>
        <v/>
      </c>
      <c r="K441" s="119" t="n"/>
      <c r="L441" s="88">
        <f>VLOOKUP(Table91213[[#This Row],[Date]],'DB Details'!$A:$L,12)</f>
        <v/>
      </c>
    </row>
    <row r="442">
      <c r="A442" s="39" t="n">
        <v>30803</v>
      </c>
      <c r="B442" s="57">
        <f>VLOOKUP(Table91213[[#This Row],[Date]],'DB Details'!$A:$L,2)</f>
        <v/>
      </c>
      <c r="C442" s="41" t="n"/>
      <c r="D442" s="55" t="n"/>
      <c r="E442" s="88">
        <f>VLOOKUP(Table91213[[#This Row],[Date]],'DB Details'!$A:$L,5)</f>
        <v/>
      </c>
      <c r="F442" s="88">
        <f>VLOOKUP(Table91213[[#This Row],[Date]],'DB Details'!$A:$L,6)</f>
        <v/>
      </c>
      <c r="G442" s="119" t="n"/>
      <c r="H442" s="88">
        <f>VLOOKUP(Table91213[[#This Row],[Date]],'DB Details'!$A:$L,8)</f>
        <v/>
      </c>
      <c r="I442" s="88">
        <f>VLOOKUP(Table91213[[#This Row],[Date]],'DB Details'!$A:$L,9)</f>
        <v/>
      </c>
      <c r="J442" s="88">
        <f>VLOOKUP(Table91213[[#This Row],[Date]],'DB Details'!$A:$L,10)</f>
        <v/>
      </c>
      <c r="K442" s="119" t="n"/>
      <c r="L442" s="88">
        <f>VLOOKUP(Table91213[[#This Row],[Date]],'DB Details'!$A:$L,12)</f>
        <v/>
      </c>
    </row>
    <row r="443">
      <c r="A443" s="39" t="n">
        <v>30834</v>
      </c>
      <c r="B443" s="57">
        <f>VLOOKUP(Table91213[[#This Row],[Date]],'DB Details'!$A:$L,2)</f>
        <v/>
      </c>
      <c r="C443" s="41" t="n"/>
      <c r="D443" s="55" t="n"/>
      <c r="E443" s="88">
        <f>VLOOKUP(Table91213[[#This Row],[Date]],'DB Details'!$A:$L,5)</f>
        <v/>
      </c>
      <c r="F443" s="88">
        <f>VLOOKUP(Table91213[[#This Row],[Date]],'DB Details'!$A:$L,6)</f>
        <v/>
      </c>
      <c r="G443" s="119" t="n"/>
      <c r="H443" s="88">
        <f>VLOOKUP(Table91213[[#This Row],[Date]],'DB Details'!$A:$L,8)</f>
        <v/>
      </c>
      <c r="I443" s="88">
        <f>VLOOKUP(Table91213[[#This Row],[Date]],'DB Details'!$A:$L,9)</f>
        <v/>
      </c>
      <c r="J443" s="88">
        <f>VLOOKUP(Table91213[[#This Row],[Date]],'DB Details'!$A:$L,10)</f>
        <v/>
      </c>
      <c r="K443" s="119" t="n"/>
      <c r="L443" s="88">
        <f>VLOOKUP(Table91213[[#This Row],[Date]],'DB Details'!$A:$L,12)</f>
        <v/>
      </c>
    </row>
    <row r="444">
      <c r="A444" s="39" t="n">
        <v>30864</v>
      </c>
      <c r="B444" s="57">
        <f>VLOOKUP(Table91213[[#This Row],[Date]],'DB Details'!$A:$L,2)</f>
        <v/>
      </c>
      <c r="C444" s="41" t="n"/>
      <c r="D444" s="55" t="n"/>
      <c r="E444" s="88">
        <f>VLOOKUP(Table91213[[#This Row],[Date]],'DB Details'!$A:$L,5)</f>
        <v/>
      </c>
      <c r="F444" s="88">
        <f>VLOOKUP(Table91213[[#This Row],[Date]],'DB Details'!$A:$L,6)</f>
        <v/>
      </c>
      <c r="G444" s="119" t="n"/>
      <c r="H444" s="88">
        <f>VLOOKUP(Table91213[[#This Row],[Date]],'DB Details'!$A:$L,8)</f>
        <v/>
      </c>
      <c r="I444" s="88">
        <f>VLOOKUP(Table91213[[#This Row],[Date]],'DB Details'!$A:$L,9)</f>
        <v/>
      </c>
      <c r="J444" s="88">
        <f>VLOOKUP(Table91213[[#This Row],[Date]],'DB Details'!$A:$L,10)</f>
        <v/>
      </c>
      <c r="K444" s="119" t="n"/>
      <c r="L444" s="88">
        <f>VLOOKUP(Table91213[[#This Row],[Date]],'DB Details'!$A:$L,12)</f>
        <v/>
      </c>
    </row>
    <row r="445">
      <c r="A445" s="39" t="n">
        <v>30895</v>
      </c>
      <c r="B445" s="57">
        <f>VLOOKUP(Table91213[[#This Row],[Date]],'DB Details'!$A:$L,2)</f>
        <v/>
      </c>
      <c r="C445" s="41" t="n"/>
      <c r="D445" s="55" t="n"/>
      <c r="E445" s="88">
        <f>VLOOKUP(Table91213[[#This Row],[Date]],'DB Details'!$A:$L,5)</f>
        <v/>
      </c>
      <c r="F445" s="88">
        <f>VLOOKUP(Table91213[[#This Row],[Date]],'DB Details'!$A:$L,6)</f>
        <v/>
      </c>
      <c r="G445" s="119" t="n"/>
      <c r="H445" s="88">
        <f>VLOOKUP(Table91213[[#This Row],[Date]],'DB Details'!$A:$L,8)</f>
        <v/>
      </c>
      <c r="I445" s="88">
        <f>VLOOKUP(Table91213[[#This Row],[Date]],'DB Details'!$A:$L,9)</f>
        <v/>
      </c>
      <c r="J445" s="88">
        <f>VLOOKUP(Table91213[[#This Row],[Date]],'DB Details'!$A:$L,10)</f>
        <v/>
      </c>
      <c r="K445" s="119" t="n"/>
      <c r="L445" s="88">
        <f>VLOOKUP(Table91213[[#This Row],[Date]],'DB Details'!$A:$L,12)</f>
        <v/>
      </c>
    </row>
    <row r="446">
      <c r="A446" s="39" t="n">
        <v>30926</v>
      </c>
      <c r="B446" s="57">
        <f>VLOOKUP(Table91213[[#This Row],[Date]],'DB Details'!$A:$L,2)</f>
        <v/>
      </c>
      <c r="C446" s="41" t="n"/>
      <c r="D446" s="55" t="n"/>
      <c r="E446" s="88">
        <f>VLOOKUP(Table91213[[#This Row],[Date]],'DB Details'!$A:$L,5)</f>
        <v/>
      </c>
      <c r="F446" s="88">
        <f>VLOOKUP(Table91213[[#This Row],[Date]],'DB Details'!$A:$L,6)</f>
        <v/>
      </c>
      <c r="G446" s="119" t="n"/>
      <c r="H446" s="88">
        <f>VLOOKUP(Table91213[[#This Row],[Date]],'DB Details'!$A:$L,8)</f>
        <v/>
      </c>
      <c r="I446" s="88">
        <f>VLOOKUP(Table91213[[#This Row],[Date]],'DB Details'!$A:$L,9)</f>
        <v/>
      </c>
      <c r="J446" s="88">
        <f>VLOOKUP(Table91213[[#This Row],[Date]],'DB Details'!$A:$L,10)</f>
        <v/>
      </c>
      <c r="K446" s="119" t="n"/>
      <c r="L446" s="88">
        <f>VLOOKUP(Table91213[[#This Row],[Date]],'DB Details'!$A:$L,12)</f>
        <v/>
      </c>
    </row>
    <row r="447">
      <c r="A447" s="39" t="n">
        <v>30956</v>
      </c>
      <c r="B447" s="57">
        <f>VLOOKUP(Table91213[[#This Row],[Date]],'DB Details'!$A:$L,2)</f>
        <v/>
      </c>
      <c r="C447" s="41" t="n"/>
      <c r="D447" s="55" t="n"/>
      <c r="E447" s="88">
        <f>VLOOKUP(Table91213[[#This Row],[Date]],'DB Details'!$A:$L,5)</f>
        <v/>
      </c>
      <c r="F447" s="88">
        <f>VLOOKUP(Table91213[[#This Row],[Date]],'DB Details'!$A:$L,6)</f>
        <v/>
      </c>
      <c r="G447" s="119" t="n"/>
      <c r="H447" s="88">
        <f>VLOOKUP(Table91213[[#This Row],[Date]],'DB Details'!$A:$L,8)</f>
        <v/>
      </c>
      <c r="I447" s="88">
        <f>VLOOKUP(Table91213[[#This Row],[Date]],'DB Details'!$A:$L,9)</f>
        <v/>
      </c>
      <c r="J447" s="88">
        <f>VLOOKUP(Table91213[[#This Row],[Date]],'DB Details'!$A:$L,10)</f>
        <v/>
      </c>
      <c r="K447" s="119" t="n"/>
      <c r="L447" s="88">
        <f>VLOOKUP(Table91213[[#This Row],[Date]],'DB Details'!$A:$L,12)</f>
        <v/>
      </c>
    </row>
    <row r="448">
      <c r="A448" s="39" t="n">
        <v>30987</v>
      </c>
      <c r="B448" s="57">
        <f>VLOOKUP(Table91213[[#This Row],[Date]],'DB Details'!$A:$L,2)</f>
        <v/>
      </c>
      <c r="C448" s="41" t="n"/>
      <c r="D448" s="55" t="n"/>
      <c r="E448" s="88">
        <f>VLOOKUP(Table91213[[#This Row],[Date]],'DB Details'!$A:$L,5)</f>
        <v/>
      </c>
      <c r="F448" s="88">
        <f>VLOOKUP(Table91213[[#This Row],[Date]],'DB Details'!$A:$L,6)</f>
        <v/>
      </c>
      <c r="G448" s="119" t="n"/>
      <c r="H448" s="88">
        <f>VLOOKUP(Table91213[[#This Row],[Date]],'DB Details'!$A:$L,8)</f>
        <v/>
      </c>
      <c r="I448" s="88">
        <f>VLOOKUP(Table91213[[#This Row],[Date]],'DB Details'!$A:$L,9)</f>
        <v/>
      </c>
      <c r="J448" s="88">
        <f>VLOOKUP(Table91213[[#This Row],[Date]],'DB Details'!$A:$L,10)</f>
        <v/>
      </c>
      <c r="K448" s="119" t="n"/>
      <c r="L448" s="88">
        <f>VLOOKUP(Table91213[[#This Row],[Date]],'DB Details'!$A:$L,12)</f>
        <v/>
      </c>
    </row>
    <row r="449">
      <c r="A449" s="39" t="n">
        <v>31017</v>
      </c>
      <c r="B449" s="57">
        <f>VLOOKUP(Table91213[[#This Row],[Date]],'DB Details'!$A:$L,2)</f>
        <v/>
      </c>
      <c r="C449" s="41" t="n"/>
      <c r="D449" s="55" t="n"/>
      <c r="E449" s="88">
        <f>VLOOKUP(Table91213[[#This Row],[Date]],'DB Details'!$A:$L,5)</f>
        <v/>
      </c>
      <c r="F449" s="88">
        <f>VLOOKUP(Table91213[[#This Row],[Date]],'DB Details'!$A:$L,6)</f>
        <v/>
      </c>
      <c r="G449" s="119" t="n"/>
      <c r="H449" s="88">
        <f>VLOOKUP(Table91213[[#This Row],[Date]],'DB Details'!$A:$L,8)</f>
        <v/>
      </c>
      <c r="I449" s="88">
        <f>VLOOKUP(Table91213[[#This Row],[Date]],'DB Details'!$A:$L,9)</f>
        <v/>
      </c>
      <c r="J449" s="88">
        <f>VLOOKUP(Table91213[[#This Row],[Date]],'DB Details'!$A:$L,10)</f>
        <v/>
      </c>
      <c r="K449" s="119" t="n"/>
      <c r="L449" s="88">
        <f>VLOOKUP(Table91213[[#This Row],[Date]],'DB Details'!$A:$L,12)</f>
        <v/>
      </c>
    </row>
    <row r="450">
      <c r="A450" s="39" t="n">
        <v>31048</v>
      </c>
      <c r="B450" s="57">
        <f>VLOOKUP(Table91213[[#This Row],[Date]],'DB Details'!$A:$L,2)</f>
        <v/>
      </c>
      <c r="C450" s="41" t="n"/>
      <c r="D450" s="55" t="n"/>
      <c r="E450" s="88">
        <f>VLOOKUP(Table91213[[#This Row],[Date]],'DB Details'!$A:$L,5)</f>
        <v/>
      </c>
      <c r="F450" s="88">
        <f>VLOOKUP(Table91213[[#This Row],[Date]],'DB Details'!$A:$L,6)</f>
        <v/>
      </c>
      <c r="G450" s="119" t="n"/>
      <c r="H450" s="88">
        <f>VLOOKUP(Table91213[[#This Row],[Date]],'DB Details'!$A:$L,8)</f>
        <v/>
      </c>
      <c r="I450" s="88">
        <f>VLOOKUP(Table91213[[#This Row],[Date]],'DB Details'!$A:$L,9)</f>
        <v/>
      </c>
      <c r="J450" s="88">
        <f>VLOOKUP(Table91213[[#This Row],[Date]],'DB Details'!$A:$L,10)</f>
        <v/>
      </c>
      <c r="K450" s="119" t="n"/>
      <c r="L450" s="88">
        <f>VLOOKUP(Table91213[[#This Row],[Date]],'DB Details'!$A:$L,12)</f>
        <v/>
      </c>
    </row>
    <row r="451">
      <c r="A451" s="39" t="n">
        <v>31079</v>
      </c>
      <c r="B451" s="57">
        <f>VLOOKUP(Table91213[[#This Row],[Date]],'DB Details'!$A:$L,2)</f>
        <v/>
      </c>
      <c r="C451" s="41" t="n"/>
      <c r="D451" s="55" t="n"/>
      <c r="E451" s="88">
        <f>VLOOKUP(Table91213[[#This Row],[Date]],'DB Details'!$A:$L,5)</f>
        <v/>
      </c>
      <c r="F451" s="88">
        <f>VLOOKUP(Table91213[[#This Row],[Date]],'DB Details'!$A:$L,6)</f>
        <v/>
      </c>
      <c r="G451" s="119" t="n"/>
      <c r="H451" s="88">
        <f>VLOOKUP(Table91213[[#This Row],[Date]],'DB Details'!$A:$L,8)</f>
        <v/>
      </c>
      <c r="I451" s="88">
        <f>VLOOKUP(Table91213[[#This Row],[Date]],'DB Details'!$A:$L,9)</f>
        <v/>
      </c>
      <c r="J451" s="88">
        <f>VLOOKUP(Table91213[[#This Row],[Date]],'DB Details'!$A:$L,10)</f>
        <v/>
      </c>
      <c r="K451" s="119" t="n"/>
      <c r="L451" s="88">
        <f>VLOOKUP(Table91213[[#This Row],[Date]],'DB Details'!$A:$L,12)</f>
        <v/>
      </c>
    </row>
    <row r="452">
      <c r="A452" s="39" t="n">
        <v>31107</v>
      </c>
      <c r="B452" s="57">
        <f>VLOOKUP(Table91213[[#This Row],[Date]],'DB Details'!$A:$L,2)</f>
        <v/>
      </c>
      <c r="C452" s="41" t="n"/>
      <c r="D452" s="55" t="n"/>
      <c r="E452" s="88">
        <f>VLOOKUP(Table91213[[#This Row],[Date]],'DB Details'!$A:$L,5)</f>
        <v/>
      </c>
      <c r="F452" s="88">
        <f>VLOOKUP(Table91213[[#This Row],[Date]],'DB Details'!$A:$L,6)</f>
        <v/>
      </c>
      <c r="G452" s="119" t="n"/>
      <c r="H452" s="88">
        <f>VLOOKUP(Table91213[[#This Row],[Date]],'DB Details'!$A:$L,8)</f>
        <v/>
      </c>
      <c r="I452" s="88">
        <f>VLOOKUP(Table91213[[#This Row],[Date]],'DB Details'!$A:$L,9)</f>
        <v/>
      </c>
      <c r="J452" s="88">
        <f>VLOOKUP(Table91213[[#This Row],[Date]],'DB Details'!$A:$L,10)</f>
        <v/>
      </c>
      <c r="K452" s="119" t="n"/>
      <c r="L452" s="88">
        <f>VLOOKUP(Table91213[[#This Row],[Date]],'DB Details'!$A:$L,12)</f>
        <v/>
      </c>
    </row>
    <row r="453">
      <c r="A453" s="39" t="n">
        <v>31138</v>
      </c>
      <c r="B453" s="57">
        <f>VLOOKUP(Table91213[[#This Row],[Date]],'DB Details'!$A:$L,2)</f>
        <v/>
      </c>
      <c r="C453" s="41" t="n"/>
      <c r="D453" s="55" t="n"/>
      <c r="E453" s="88">
        <f>VLOOKUP(Table91213[[#This Row],[Date]],'DB Details'!$A:$L,5)</f>
        <v/>
      </c>
      <c r="F453" s="88">
        <f>VLOOKUP(Table91213[[#This Row],[Date]],'DB Details'!$A:$L,6)</f>
        <v/>
      </c>
      <c r="G453" s="119" t="n"/>
      <c r="H453" s="88">
        <f>VLOOKUP(Table91213[[#This Row],[Date]],'DB Details'!$A:$L,8)</f>
        <v/>
      </c>
      <c r="I453" s="88">
        <f>VLOOKUP(Table91213[[#This Row],[Date]],'DB Details'!$A:$L,9)</f>
        <v/>
      </c>
      <c r="J453" s="88">
        <f>VLOOKUP(Table91213[[#This Row],[Date]],'DB Details'!$A:$L,10)</f>
        <v/>
      </c>
      <c r="K453" s="119" t="n"/>
      <c r="L453" s="88">
        <f>VLOOKUP(Table91213[[#This Row],[Date]],'DB Details'!$A:$L,12)</f>
        <v/>
      </c>
    </row>
    <row r="454">
      <c r="A454" s="39" t="n">
        <v>31168</v>
      </c>
      <c r="B454" s="57">
        <f>VLOOKUP(Table91213[[#This Row],[Date]],'DB Details'!$A:$L,2)</f>
        <v/>
      </c>
      <c r="C454" s="41" t="n"/>
      <c r="D454" s="55" t="n"/>
      <c r="E454" s="88">
        <f>VLOOKUP(Table91213[[#This Row],[Date]],'DB Details'!$A:$L,5)</f>
        <v/>
      </c>
      <c r="F454" s="88">
        <f>VLOOKUP(Table91213[[#This Row],[Date]],'DB Details'!$A:$L,6)</f>
        <v/>
      </c>
      <c r="G454" s="119" t="n"/>
      <c r="H454" s="88">
        <f>VLOOKUP(Table91213[[#This Row],[Date]],'DB Details'!$A:$L,8)</f>
        <v/>
      </c>
      <c r="I454" s="88">
        <f>VLOOKUP(Table91213[[#This Row],[Date]],'DB Details'!$A:$L,9)</f>
        <v/>
      </c>
      <c r="J454" s="88">
        <f>VLOOKUP(Table91213[[#This Row],[Date]],'DB Details'!$A:$L,10)</f>
        <v/>
      </c>
      <c r="K454" s="119" t="n"/>
      <c r="L454" s="88">
        <f>VLOOKUP(Table91213[[#This Row],[Date]],'DB Details'!$A:$L,12)</f>
        <v/>
      </c>
    </row>
    <row r="455">
      <c r="A455" s="39" t="n">
        <v>31199</v>
      </c>
      <c r="B455" s="57">
        <f>VLOOKUP(Table91213[[#This Row],[Date]],'DB Details'!$A:$L,2)</f>
        <v/>
      </c>
      <c r="C455" s="41" t="n"/>
      <c r="D455" s="55" t="n"/>
      <c r="E455" s="88">
        <f>VLOOKUP(Table91213[[#This Row],[Date]],'DB Details'!$A:$L,5)</f>
        <v/>
      </c>
      <c r="F455" s="88">
        <f>VLOOKUP(Table91213[[#This Row],[Date]],'DB Details'!$A:$L,6)</f>
        <v/>
      </c>
      <c r="G455" s="119" t="n"/>
      <c r="H455" s="88">
        <f>VLOOKUP(Table91213[[#This Row],[Date]],'DB Details'!$A:$L,8)</f>
        <v/>
      </c>
      <c r="I455" s="88">
        <f>VLOOKUP(Table91213[[#This Row],[Date]],'DB Details'!$A:$L,9)</f>
        <v/>
      </c>
      <c r="J455" s="88">
        <f>VLOOKUP(Table91213[[#This Row],[Date]],'DB Details'!$A:$L,10)</f>
        <v/>
      </c>
      <c r="K455" s="119" t="n"/>
      <c r="L455" s="88">
        <f>VLOOKUP(Table91213[[#This Row],[Date]],'DB Details'!$A:$L,12)</f>
        <v/>
      </c>
    </row>
    <row r="456">
      <c r="A456" s="39" t="n">
        <v>31229</v>
      </c>
      <c r="B456" s="57">
        <f>VLOOKUP(Table91213[[#This Row],[Date]],'DB Details'!$A:$L,2)</f>
        <v/>
      </c>
      <c r="C456" s="41" t="n"/>
      <c r="D456" s="55" t="n"/>
      <c r="E456" s="88">
        <f>VLOOKUP(Table91213[[#This Row],[Date]],'DB Details'!$A:$L,5)</f>
        <v/>
      </c>
      <c r="F456" s="88">
        <f>VLOOKUP(Table91213[[#This Row],[Date]],'DB Details'!$A:$L,6)</f>
        <v/>
      </c>
      <c r="G456" s="119" t="n"/>
      <c r="H456" s="88">
        <f>VLOOKUP(Table91213[[#This Row],[Date]],'DB Details'!$A:$L,8)</f>
        <v/>
      </c>
      <c r="I456" s="88">
        <f>VLOOKUP(Table91213[[#This Row],[Date]],'DB Details'!$A:$L,9)</f>
        <v/>
      </c>
      <c r="J456" s="88">
        <f>VLOOKUP(Table91213[[#This Row],[Date]],'DB Details'!$A:$L,10)</f>
        <v/>
      </c>
      <c r="K456" s="119" t="n"/>
      <c r="L456" s="88">
        <f>VLOOKUP(Table91213[[#This Row],[Date]],'DB Details'!$A:$L,12)</f>
        <v/>
      </c>
    </row>
    <row r="457">
      <c r="A457" s="39" t="n">
        <v>31260</v>
      </c>
      <c r="B457" s="57">
        <f>VLOOKUP(Table91213[[#This Row],[Date]],'DB Details'!$A:$L,2)</f>
        <v/>
      </c>
      <c r="C457" s="41" t="n"/>
      <c r="D457" s="55" t="n"/>
      <c r="E457" s="88">
        <f>VLOOKUP(Table91213[[#This Row],[Date]],'DB Details'!$A:$L,5)</f>
        <v/>
      </c>
      <c r="F457" s="88">
        <f>VLOOKUP(Table91213[[#This Row],[Date]],'DB Details'!$A:$L,6)</f>
        <v/>
      </c>
      <c r="G457" s="119" t="n"/>
      <c r="H457" s="88">
        <f>VLOOKUP(Table91213[[#This Row],[Date]],'DB Details'!$A:$L,8)</f>
        <v/>
      </c>
      <c r="I457" s="88">
        <f>VLOOKUP(Table91213[[#This Row],[Date]],'DB Details'!$A:$L,9)</f>
        <v/>
      </c>
      <c r="J457" s="88">
        <f>VLOOKUP(Table91213[[#This Row],[Date]],'DB Details'!$A:$L,10)</f>
        <v/>
      </c>
      <c r="K457" s="119" t="n"/>
      <c r="L457" s="88">
        <f>VLOOKUP(Table91213[[#This Row],[Date]],'DB Details'!$A:$L,12)</f>
        <v/>
      </c>
    </row>
    <row r="458">
      <c r="A458" s="39" t="n">
        <v>31291</v>
      </c>
      <c r="B458" s="57">
        <f>VLOOKUP(Table91213[[#This Row],[Date]],'DB Details'!$A:$L,2)</f>
        <v/>
      </c>
      <c r="C458" s="41" t="n"/>
      <c r="D458" s="55" t="n"/>
      <c r="E458" s="88">
        <f>VLOOKUP(Table91213[[#This Row],[Date]],'DB Details'!$A:$L,5)</f>
        <v/>
      </c>
      <c r="F458" s="88">
        <f>VLOOKUP(Table91213[[#This Row],[Date]],'DB Details'!$A:$L,6)</f>
        <v/>
      </c>
      <c r="G458" s="119" t="n"/>
      <c r="H458" s="88">
        <f>VLOOKUP(Table91213[[#This Row],[Date]],'DB Details'!$A:$L,8)</f>
        <v/>
      </c>
      <c r="I458" s="88">
        <f>VLOOKUP(Table91213[[#This Row],[Date]],'DB Details'!$A:$L,9)</f>
        <v/>
      </c>
      <c r="J458" s="88">
        <f>VLOOKUP(Table91213[[#This Row],[Date]],'DB Details'!$A:$L,10)</f>
        <v/>
      </c>
      <c r="K458" s="119" t="n"/>
      <c r="L458" s="88">
        <f>VLOOKUP(Table91213[[#This Row],[Date]],'DB Details'!$A:$L,12)</f>
        <v/>
      </c>
    </row>
    <row r="459">
      <c r="A459" s="39" t="n">
        <v>31321</v>
      </c>
      <c r="B459" s="57">
        <f>VLOOKUP(Table91213[[#This Row],[Date]],'DB Details'!$A:$L,2)</f>
        <v/>
      </c>
      <c r="C459" s="41" t="n"/>
      <c r="D459" s="55" t="n"/>
      <c r="E459" s="88">
        <f>VLOOKUP(Table91213[[#This Row],[Date]],'DB Details'!$A:$L,5)</f>
        <v/>
      </c>
      <c r="F459" s="88">
        <f>VLOOKUP(Table91213[[#This Row],[Date]],'DB Details'!$A:$L,6)</f>
        <v/>
      </c>
      <c r="G459" s="119" t="n"/>
      <c r="H459" s="88">
        <f>VLOOKUP(Table91213[[#This Row],[Date]],'DB Details'!$A:$L,8)</f>
        <v/>
      </c>
      <c r="I459" s="88">
        <f>VLOOKUP(Table91213[[#This Row],[Date]],'DB Details'!$A:$L,9)</f>
        <v/>
      </c>
      <c r="J459" s="88">
        <f>VLOOKUP(Table91213[[#This Row],[Date]],'DB Details'!$A:$L,10)</f>
        <v/>
      </c>
      <c r="K459" s="119" t="n"/>
      <c r="L459" s="88">
        <f>VLOOKUP(Table91213[[#This Row],[Date]],'DB Details'!$A:$L,12)</f>
        <v/>
      </c>
    </row>
    <row r="460">
      <c r="A460" s="39" t="n">
        <v>31352</v>
      </c>
      <c r="B460" s="57">
        <f>VLOOKUP(Table91213[[#This Row],[Date]],'DB Details'!$A:$L,2)</f>
        <v/>
      </c>
      <c r="C460" s="41" t="n"/>
      <c r="D460" s="55" t="n"/>
      <c r="E460" s="88">
        <f>VLOOKUP(Table91213[[#This Row],[Date]],'DB Details'!$A:$L,5)</f>
        <v/>
      </c>
      <c r="F460" s="88">
        <f>VLOOKUP(Table91213[[#This Row],[Date]],'DB Details'!$A:$L,6)</f>
        <v/>
      </c>
      <c r="G460" s="119" t="n"/>
      <c r="H460" s="88">
        <f>VLOOKUP(Table91213[[#This Row],[Date]],'DB Details'!$A:$L,8)</f>
        <v/>
      </c>
      <c r="I460" s="88">
        <f>VLOOKUP(Table91213[[#This Row],[Date]],'DB Details'!$A:$L,9)</f>
        <v/>
      </c>
      <c r="J460" s="88">
        <f>VLOOKUP(Table91213[[#This Row],[Date]],'DB Details'!$A:$L,10)</f>
        <v/>
      </c>
      <c r="K460" s="119" t="n"/>
      <c r="L460" s="88">
        <f>VLOOKUP(Table91213[[#This Row],[Date]],'DB Details'!$A:$L,12)</f>
        <v/>
      </c>
    </row>
    <row r="461">
      <c r="A461" s="39" t="n">
        <v>31382</v>
      </c>
      <c r="B461" s="57">
        <f>VLOOKUP(Table91213[[#This Row],[Date]],'DB Details'!$A:$L,2)</f>
        <v/>
      </c>
      <c r="C461" s="41" t="n"/>
      <c r="D461" s="55" t="n"/>
      <c r="E461" s="88">
        <f>VLOOKUP(Table91213[[#This Row],[Date]],'DB Details'!$A:$L,5)</f>
        <v/>
      </c>
      <c r="F461" s="88">
        <f>VLOOKUP(Table91213[[#This Row],[Date]],'DB Details'!$A:$L,6)</f>
        <v/>
      </c>
      <c r="G461" s="119" t="n"/>
      <c r="H461" s="88">
        <f>VLOOKUP(Table91213[[#This Row],[Date]],'DB Details'!$A:$L,8)</f>
        <v/>
      </c>
      <c r="I461" s="88">
        <f>VLOOKUP(Table91213[[#This Row],[Date]],'DB Details'!$A:$L,9)</f>
        <v/>
      </c>
      <c r="J461" s="88">
        <f>VLOOKUP(Table91213[[#This Row],[Date]],'DB Details'!$A:$L,10)</f>
        <v/>
      </c>
      <c r="K461" s="119" t="n"/>
      <c r="L461" s="88">
        <f>VLOOKUP(Table91213[[#This Row],[Date]],'DB Details'!$A:$L,12)</f>
        <v/>
      </c>
    </row>
    <row r="462">
      <c r="A462" s="39" t="n">
        <v>31413</v>
      </c>
      <c r="B462" s="57">
        <f>VLOOKUP(Table91213[[#This Row],[Date]],'DB Details'!$A:$L,2)</f>
        <v/>
      </c>
      <c r="C462" s="41" t="n"/>
      <c r="D462" s="55" t="n"/>
      <c r="E462" s="88">
        <f>VLOOKUP(Table91213[[#This Row],[Date]],'DB Details'!$A:$L,5)</f>
        <v/>
      </c>
      <c r="F462" s="88">
        <f>VLOOKUP(Table91213[[#This Row],[Date]],'DB Details'!$A:$L,6)</f>
        <v/>
      </c>
      <c r="G462" s="119" t="n"/>
      <c r="H462" s="88">
        <f>VLOOKUP(Table91213[[#This Row],[Date]],'DB Details'!$A:$L,8)</f>
        <v/>
      </c>
      <c r="I462" s="88">
        <f>VLOOKUP(Table91213[[#This Row],[Date]],'DB Details'!$A:$L,9)</f>
        <v/>
      </c>
      <c r="J462" s="88">
        <f>VLOOKUP(Table91213[[#This Row],[Date]],'DB Details'!$A:$L,10)</f>
        <v/>
      </c>
      <c r="K462" s="119" t="n"/>
      <c r="L462" s="88">
        <f>VLOOKUP(Table91213[[#This Row],[Date]],'DB Details'!$A:$L,12)</f>
        <v/>
      </c>
    </row>
    <row r="463">
      <c r="A463" s="39" t="n">
        <v>31444</v>
      </c>
      <c r="B463" s="57">
        <f>VLOOKUP(Table91213[[#This Row],[Date]],'DB Details'!$A:$L,2)</f>
        <v/>
      </c>
      <c r="C463" s="41" t="n"/>
      <c r="D463" s="55" t="n"/>
      <c r="E463" s="88">
        <f>VLOOKUP(Table91213[[#This Row],[Date]],'DB Details'!$A:$L,5)</f>
        <v/>
      </c>
      <c r="F463" s="88">
        <f>VLOOKUP(Table91213[[#This Row],[Date]],'DB Details'!$A:$L,6)</f>
        <v/>
      </c>
      <c r="G463" s="119" t="n"/>
      <c r="H463" s="88">
        <f>VLOOKUP(Table91213[[#This Row],[Date]],'DB Details'!$A:$L,8)</f>
        <v/>
      </c>
      <c r="I463" s="88">
        <f>VLOOKUP(Table91213[[#This Row],[Date]],'DB Details'!$A:$L,9)</f>
        <v/>
      </c>
      <c r="J463" s="88">
        <f>VLOOKUP(Table91213[[#This Row],[Date]],'DB Details'!$A:$L,10)</f>
        <v/>
      </c>
      <c r="K463" s="119" t="n"/>
      <c r="L463" s="88">
        <f>VLOOKUP(Table91213[[#This Row],[Date]],'DB Details'!$A:$L,12)</f>
        <v/>
      </c>
    </row>
    <row r="464">
      <c r="A464" s="39" t="n">
        <v>31472</v>
      </c>
      <c r="B464" s="57">
        <f>VLOOKUP(Table91213[[#This Row],[Date]],'DB Details'!$A:$L,2)</f>
        <v/>
      </c>
      <c r="C464" s="41" t="n"/>
      <c r="D464" s="55" t="n"/>
      <c r="E464" s="88">
        <f>VLOOKUP(Table91213[[#This Row],[Date]],'DB Details'!$A:$L,5)</f>
        <v/>
      </c>
      <c r="F464" s="88">
        <f>VLOOKUP(Table91213[[#This Row],[Date]],'DB Details'!$A:$L,6)</f>
        <v/>
      </c>
      <c r="G464" s="119" t="n"/>
      <c r="H464" s="88">
        <f>VLOOKUP(Table91213[[#This Row],[Date]],'DB Details'!$A:$L,8)</f>
        <v/>
      </c>
      <c r="I464" s="88">
        <f>VLOOKUP(Table91213[[#This Row],[Date]],'DB Details'!$A:$L,9)</f>
        <v/>
      </c>
      <c r="J464" s="88">
        <f>VLOOKUP(Table91213[[#This Row],[Date]],'DB Details'!$A:$L,10)</f>
        <v/>
      </c>
      <c r="K464" s="119" t="n"/>
      <c r="L464" s="88">
        <f>VLOOKUP(Table91213[[#This Row],[Date]],'DB Details'!$A:$L,12)</f>
        <v/>
      </c>
    </row>
    <row r="465">
      <c r="A465" s="39" t="n">
        <v>31503</v>
      </c>
      <c r="B465" s="57">
        <f>VLOOKUP(Table91213[[#This Row],[Date]],'DB Details'!$A:$L,2)</f>
        <v/>
      </c>
      <c r="C465" s="41" t="n"/>
      <c r="D465" s="55" t="n"/>
      <c r="E465" s="88">
        <f>VLOOKUP(Table91213[[#This Row],[Date]],'DB Details'!$A:$L,5)</f>
        <v/>
      </c>
      <c r="F465" s="88">
        <f>VLOOKUP(Table91213[[#This Row],[Date]],'DB Details'!$A:$L,6)</f>
        <v/>
      </c>
      <c r="G465" s="119" t="n"/>
      <c r="H465" s="88">
        <f>VLOOKUP(Table91213[[#This Row],[Date]],'DB Details'!$A:$L,8)</f>
        <v/>
      </c>
      <c r="I465" s="88">
        <f>VLOOKUP(Table91213[[#This Row],[Date]],'DB Details'!$A:$L,9)</f>
        <v/>
      </c>
      <c r="J465" s="88">
        <f>VLOOKUP(Table91213[[#This Row],[Date]],'DB Details'!$A:$L,10)</f>
        <v/>
      </c>
      <c r="K465" s="119" t="n"/>
      <c r="L465" s="88">
        <f>VLOOKUP(Table91213[[#This Row],[Date]],'DB Details'!$A:$L,12)</f>
        <v/>
      </c>
    </row>
    <row r="466">
      <c r="A466" s="39" t="n">
        <v>31533</v>
      </c>
      <c r="B466" s="57">
        <f>VLOOKUP(Table91213[[#This Row],[Date]],'DB Details'!$A:$L,2)</f>
        <v/>
      </c>
      <c r="C466" s="41" t="n"/>
      <c r="D466" s="55" t="n"/>
      <c r="E466" s="88">
        <f>VLOOKUP(Table91213[[#This Row],[Date]],'DB Details'!$A:$L,5)</f>
        <v/>
      </c>
      <c r="F466" s="88">
        <f>VLOOKUP(Table91213[[#This Row],[Date]],'DB Details'!$A:$L,6)</f>
        <v/>
      </c>
      <c r="G466" s="119" t="n"/>
      <c r="H466" s="88">
        <f>VLOOKUP(Table91213[[#This Row],[Date]],'DB Details'!$A:$L,8)</f>
        <v/>
      </c>
      <c r="I466" s="88">
        <f>VLOOKUP(Table91213[[#This Row],[Date]],'DB Details'!$A:$L,9)</f>
        <v/>
      </c>
      <c r="J466" s="88">
        <f>VLOOKUP(Table91213[[#This Row],[Date]],'DB Details'!$A:$L,10)</f>
        <v/>
      </c>
      <c r="K466" s="119" t="n"/>
      <c r="L466" s="88">
        <f>VLOOKUP(Table91213[[#This Row],[Date]],'DB Details'!$A:$L,12)</f>
        <v/>
      </c>
    </row>
    <row r="467">
      <c r="A467" s="39" t="n">
        <v>31564</v>
      </c>
      <c r="B467" s="57">
        <f>VLOOKUP(Table91213[[#This Row],[Date]],'DB Details'!$A:$L,2)</f>
        <v/>
      </c>
      <c r="C467" s="41" t="n"/>
      <c r="D467" s="55" t="n"/>
      <c r="E467" s="88">
        <f>VLOOKUP(Table91213[[#This Row],[Date]],'DB Details'!$A:$L,5)</f>
        <v/>
      </c>
      <c r="F467" s="88">
        <f>VLOOKUP(Table91213[[#This Row],[Date]],'DB Details'!$A:$L,6)</f>
        <v/>
      </c>
      <c r="G467" s="119" t="n"/>
      <c r="H467" s="88">
        <f>VLOOKUP(Table91213[[#This Row],[Date]],'DB Details'!$A:$L,8)</f>
        <v/>
      </c>
      <c r="I467" s="88">
        <f>VLOOKUP(Table91213[[#This Row],[Date]],'DB Details'!$A:$L,9)</f>
        <v/>
      </c>
      <c r="J467" s="88">
        <f>VLOOKUP(Table91213[[#This Row],[Date]],'DB Details'!$A:$L,10)</f>
        <v/>
      </c>
      <c r="K467" s="119" t="n"/>
      <c r="L467" s="88">
        <f>VLOOKUP(Table91213[[#This Row],[Date]],'DB Details'!$A:$L,12)</f>
        <v/>
      </c>
    </row>
    <row r="468">
      <c r="A468" s="39" t="n">
        <v>31594</v>
      </c>
      <c r="B468" s="57">
        <f>VLOOKUP(Table91213[[#This Row],[Date]],'DB Details'!$A:$L,2)</f>
        <v/>
      </c>
      <c r="C468" s="41" t="n"/>
      <c r="D468" s="55" t="n"/>
      <c r="E468" s="88">
        <f>VLOOKUP(Table91213[[#This Row],[Date]],'DB Details'!$A:$L,5)</f>
        <v/>
      </c>
      <c r="F468" s="88">
        <f>VLOOKUP(Table91213[[#This Row],[Date]],'DB Details'!$A:$L,6)</f>
        <v/>
      </c>
      <c r="G468" s="119" t="n"/>
      <c r="H468" s="88">
        <f>VLOOKUP(Table91213[[#This Row],[Date]],'DB Details'!$A:$L,8)</f>
        <v/>
      </c>
      <c r="I468" s="88">
        <f>VLOOKUP(Table91213[[#This Row],[Date]],'DB Details'!$A:$L,9)</f>
        <v/>
      </c>
      <c r="J468" s="88">
        <f>VLOOKUP(Table91213[[#This Row],[Date]],'DB Details'!$A:$L,10)</f>
        <v/>
      </c>
      <c r="K468" s="119" t="n"/>
      <c r="L468" s="88">
        <f>VLOOKUP(Table91213[[#This Row],[Date]],'DB Details'!$A:$L,12)</f>
        <v/>
      </c>
    </row>
    <row r="469">
      <c r="A469" s="39" t="n">
        <v>31625</v>
      </c>
      <c r="B469" s="57">
        <f>VLOOKUP(Table91213[[#This Row],[Date]],'DB Details'!$A:$L,2)</f>
        <v/>
      </c>
      <c r="C469" s="41" t="n"/>
      <c r="D469" s="55" t="n"/>
      <c r="E469" s="88">
        <f>VLOOKUP(Table91213[[#This Row],[Date]],'DB Details'!$A:$L,5)</f>
        <v/>
      </c>
      <c r="F469" s="88">
        <f>VLOOKUP(Table91213[[#This Row],[Date]],'DB Details'!$A:$L,6)</f>
        <v/>
      </c>
      <c r="G469" s="119" t="n"/>
      <c r="H469" s="88">
        <f>VLOOKUP(Table91213[[#This Row],[Date]],'DB Details'!$A:$L,8)</f>
        <v/>
      </c>
      <c r="I469" s="88">
        <f>VLOOKUP(Table91213[[#This Row],[Date]],'DB Details'!$A:$L,9)</f>
        <v/>
      </c>
      <c r="J469" s="88">
        <f>VLOOKUP(Table91213[[#This Row],[Date]],'DB Details'!$A:$L,10)</f>
        <v/>
      </c>
      <c r="K469" s="119" t="n"/>
      <c r="L469" s="88">
        <f>VLOOKUP(Table91213[[#This Row],[Date]],'DB Details'!$A:$L,12)</f>
        <v/>
      </c>
    </row>
    <row r="470">
      <c r="A470" s="39" t="n">
        <v>31656</v>
      </c>
      <c r="B470" s="57">
        <f>VLOOKUP(Table91213[[#This Row],[Date]],'DB Details'!$A:$L,2)</f>
        <v/>
      </c>
      <c r="C470" s="41" t="n"/>
      <c r="D470" s="55" t="n"/>
      <c r="E470" s="88">
        <f>VLOOKUP(Table91213[[#This Row],[Date]],'DB Details'!$A:$L,5)</f>
        <v/>
      </c>
      <c r="F470" s="88">
        <f>VLOOKUP(Table91213[[#This Row],[Date]],'DB Details'!$A:$L,6)</f>
        <v/>
      </c>
      <c r="G470" s="119" t="n"/>
      <c r="H470" s="88">
        <f>VLOOKUP(Table91213[[#This Row],[Date]],'DB Details'!$A:$L,8)</f>
        <v/>
      </c>
      <c r="I470" s="88">
        <f>VLOOKUP(Table91213[[#This Row],[Date]],'DB Details'!$A:$L,9)</f>
        <v/>
      </c>
      <c r="J470" s="88">
        <f>VLOOKUP(Table91213[[#This Row],[Date]],'DB Details'!$A:$L,10)</f>
        <v/>
      </c>
      <c r="K470" s="119" t="n"/>
      <c r="L470" s="88">
        <f>VLOOKUP(Table91213[[#This Row],[Date]],'DB Details'!$A:$L,12)</f>
        <v/>
      </c>
    </row>
    <row r="471">
      <c r="A471" s="39" t="n">
        <v>31686</v>
      </c>
      <c r="B471" s="57">
        <f>VLOOKUP(Table91213[[#This Row],[Date]],'DB Details'!$A:$L,2)</f>
        <v/>
      </c>
      <c r="C471" s="41" t="n"/>
      <c r="D471" s="55" t="n"/>
      <c r="E471" s="88">
        <f>VLOOKUP(Table91213[[#This Row],[Date]],'DB Details'!$A:$L,5)</f>
        <v/>
      </c>
      <c r="F471" s="88">
        <f>VLOOKUP(Table91213[[#This Row],[Date]],'DB Details'!$A:$L,6)</f>
        <v/>
      </c>
      <c r="G471" s="119" t="n"/>
      <c r="H471" s="88">
        <f>VLOOKUP(Table91213[[#This Row],[Date]],'DB Details'!$A:$L,8)</f>
        <v/>
      </c>
      <c r="I471" s="88">
        <f>VLOOKUP(Table91213[[#This Row],[Date]],'DB Details'!$A:$L,9)</f>
        <v/>
      </c>
      <c r="J471" s="88">
        <f>VLOOKUP(Table91213[[#This Row],[Date]],'DB Details'!$A:$L,10)</f>
        <v/>
      </c>
      <c r="K471" s="119" t="n"/>
      <c r="L471" s="88">
        <f>VLOOKUP(Table91213[[#This Row],[Date]],'DB Details'!$A:$L,12)</f>
        <v/>
      </c>
    </row>
    <row r="472">
      <c r="A472" s="39" t="n">
        <v>31717</v>
      </c>
      <c r="B472" s="57">
        <f>VLOOKUP(Table91213[[#This Row],[Date]],'DB Details'!$A:$L,2)</f>
        <v/>
      </c>
      <c r="C472" s="41" t="n"/>
      <c r="D472" s="55" t="n"/>
      <c r="E472" s="88">
        <f>VLOOKUP(Table91213[[#This Row],[Date]],'DB Details'!$A:$L,5)</f>
        <v/>
      </c>
      <c r="F472" s="88">
        <f>VLOOKUP(Table91213[[#This Row],[Date]],'DB Details'!$A:$L,6)</f>
        <v/>
      </c>
      <c r="G472" s="119" t="n"/>
      <c r="H472" s="88">
        <f>VLOOKUP(Table91213[[#This Row],[Date]],'DB Details'!$A:$L,8)</f>
        <v/>
      </c>
      <c r="I472" s="88">
        <f>VLOOKUP(Table91213[[#This Row],[Date]],'DB Details'!$A:$L,9)</f>
        <v/>
      </c>
      <c r="J472" s="88">
        <f>VLOOKUP(Table91213[[#This Row],[Date]],'DB Details'!$A:$L,10)</f>
        <v/>
      </c>
      <c r="K472" s="119" t="n"/>
      <c r="L472" s="88">
        <f>VLOOKUP(Table91213[[#This Row],[Date]],'DB Details'!$A:$L,12)</f>
        <v/>
      </c>
    </row>
    <row r="473">
      <c r="A473" s="39" t="n">
        <v>31747</v>
      </c>
      <c r="B473" s="57">
        <f>VLOOKUP(Table91213[[#This Row],[Date]],'DB Details'!$A:$L,2)</f>
        <v/>
      </c>
      <c r="C473" s="41" t="n"/>
      <c r="D473" s="55" t="n"/>
      <c r="E473" s="88">
        <f>VLOOKUP(Table91213[[#This Row],[Date]],'DB Details'!$A:$L,5)</f>
        <v/>
      </c>
      <c r="F473" s="88">
        <f>VLOOKUP(Table91213[[#This Row],[Date]],'DB Details'!$A:$L,6)</f>
        <v/>
      </c>
      <c r="G473" s="119" t="n"/>
      <c r="H473" s="88">
        <f>VLOOKUP(Table91213[[#This Row],[Date]],'DB Details'!$A:$L,8)</f>
        <v/>
      </c>
      <c r="I473" s="88">
        <f>VLOOKUP(Table91213[[#This Row],[Date]],'DB Details'!$A:$L,9)</f>
        <v/>
      </c>
      <c r="J473" s="88">
        <f>VLOOKUP(Table91213[[#This Row],[Date]],'DB Details'!$A:$L,10)</f>
        <v/>
      </c>
      <c r="K473" s="119" t="n"/>
      <c r="L473" s="88">
        <f>VLOOKUP(Table91213[[#This Row],[Date]],'DB Details'!$A:$L,12)</f>
        <v/>
      </c>
    </row>
    <row r="474">
      <c r="A474" s="39" t="n">
        <v>31778</v>
      </c>
      <c r="B474" s="57">
        <f>VLOOKUP(Table91213[[#This Row],[Date]],'DB Details'!$A:$L,2)</f>
        <v/>
      </c>
      <c r="C474" s="41" t="n"/>
      <c r="D474" s="55" t="n"/>
      <c r="E474" s="88">
        <f>VLOOKUP(Table91213[[#This Row],[Date]],'DB Details'!$A:$L,5)</f>
        <v/>
      </c>
      <c r="F474" s="88">
        <f>VLOOKUP(Table91213[[#This Row],[Date]],'DB Details'!$A:$L,6)</f>
        <v/>
      </c>
      <c r="G474" s="119" t="n"/>
      <c r="H474" s="88">
        <f>VLOOKUP(Table91213[[#This Row],[Date]],'DB Details'!$A:$L,8)</f>
        <v/>
      </c>
      <c r="I474" s="88">
        <f>VLOOKUP(Table91213[[#This Row],[Date]],'DB Details'!$A:$L,9)</f>
        <v/>
      </c>
      <c r="J474" s="88">
        <f>VLOOKUP(Table91213[[#This Row],[Date]],'DB Details'!$A:$L,10)</f>
        <v/>
      </c>
      <c r="K474" s="119" t="n"/>
      <c r="L474" s="88">
        <f>VLOOKUP(Table91213[[#This Row],[Date]],'DB Details'!$A:$L,12)</f>
        <v/>
      </c>
    </row>
    <row r="475">
      <c r="A475" s="39" t="n">
        <v>31809</v>
      </c>
      <c r="B475" s="57">
        <f>VLOOKUP(Table91213[[#This Row],[Date]],'DB Details'!$A:$L,2)</f>
        <v/>
      </c>
      <c r="C475" s="41" t="n"/>
      <c r="D475" s="55" t="n"/>
      <c r="E475" s="88">
        <f>VLOOKUP(Table91213[[#This Row],[Date]],'DB Details'!$A:$L,5)</f>
        <v/>
      </c>
      <c r="F475" s="88">
        <f>VLOOKUP(Table91213[[#This Row],[Date]],'DB Details'!$A:$L,6)</f>
        <v/>
      </c>
      <c r="G475" s="119" t="n"/>
      <c r="H475" s="88">
        <f>VLOOKUP(Table91213[[#This Row],[Date]],'DB Details'!$A:$L,8)</f>
        <v/>
      </c>
      <c r="I475" s="88">
        <f>VLOOKUP(Table91213[[#This Row],[Date]],'DB Details'!$A:$L,9)</f>
        <v/>
      </c>
      <c r="J475" s="88">
        <f>VLOOKUP(Table91213[[#This Row],[Date]],'DB Details'!$A:$L,10)</f>
        <v/>
      </c>
      <c r="K475" s="119" t="n"/>
      <c r="L475" s="88">
        <f>VLOOKUP(Table91213[[#This Row],[Date]],'DB Details'!$A:$L,12)</f>
        <v/>
      </c>
    </row>
    <row r="476">
      <c r="A476" s="39" t="n">
        <v>31837</v>
      </c>
      <c r="B476" s="57">
        <f>VLOOKUP(Table91213[[#This Row],[Date]],'DB Details'!$A:$L,2)</f>
        <v/>
      </c>
      <c r="C476" s="41" t="n"/>
      <c r="D476" s="55" t="n"/>
      <c r="E476" s="88">
        <f>VLOOKUP(Table91213[[#This Row],[Date]],'DB Details'!$A:$L,5)</f>
        <v/>
      </c>
      <c r="F476" s="88">
        <f>VLOOKUP(Table91213[[#This Row],[Date]],'DB Details'!$A:$L,6)</f>
        <v/>
      </c>
      <c r="G476" s="119" t="n"/>
      <c r="H476" s="88">
        <f>VLOOKUP(Table91213[[#This Row],[Date]],'DB Details'!$A:$L,8)</f>
        <v/>
      </c>
      <c r="I476" s="88">
        <f>VLOOKUP(Table91213[[#This Row],[Date]],'DB Details'!$A:$L,9)</f>
        <v/>
      </c>
      <c r="J476" s="88">
        <f>VLOOKUP(Table91213[[#This Row],[Date]],'DB Details'!$A:$L,10)</f>
        <v/>
      </c>
      <c r="K476" s="119" t="n"/>
      <c r="L476" s="88">
        <f>VLOOKUP(Table91213[[#This Row],[Date]],'DB Details'!$A:$L,12)</f>
        <v/>
      </c>
    </row>
    <row r="477">
      <c r="A477" s="39" t="n">
        <v>31868</v>
      </c>
      <c r="B477" s="57">
        <f>VLOOKUP(Table91213[[#This Row],[Date]],'DB Details'!$A:$L,2)</f>
        <v/>
      </c>
      <c r="C477" s="41" t="n"/>
      <c r="D477" s="55" t="n"/>
      <c r="E477" s="88">
        <f>VLOOKUP(Table91213[[#This Row],[Date]],'DB Details'!$A:$L,5)</f>
        <v/>
      </c>
      <c r="F477" s="88">
        <f>VLOOKUP(Table91213[[#This Row],[Date]],'DB Details'!$A:$L,6)</f>
        <v/>
      </c>
      <c r="G477" s="119" t="n"/>
      <c r="H477" s="88">
        <f>VLOOKUP(Table91213[[#This Row],[Date]],'DB Details'!$A:$L,8)</f>
        <v/>
      </c>
      <c r="I477" s="88">
        <f>VLOOKUP(Table91213[[#This Row],[Date]],'DB Details'!$A:$L,9)</f>
        <v/>
      </c>
      <c r="J477" s="88">
        <f>VLOOKUP(Table91213[[#This Row],[Date]],'DB Details'!$A:$L,10)</f>
        <v/>
      </c>
      <c r="K477" s="119" t="n"/>
      <c r="L477" s="88">
        <f>VLOOKUP(Table91213[[#This Row],[Date]],'DB Details'!$A:$L,12)</f>
        <v/>
      </c>
    </row>
    <row r="478">
      <c r="A478" s="39" t="n">
        <v>31898</v>
      </c>
      <c r="B478" s="57">
        <f>VLOOKUP(Table91213[[#This Row],[Date]],'DB Details'!$A:$L,2)</f>
        <v/>
      </c>
      <c r="C478" s="41" t="n"/>
      <c r="D478" s="55" t="n"/>
      <c r="E478" s="88">
        <f>VLOOKUP(Table91213[[#This Row],[Date]],'DB Details'!$A:$L,5)</f>
        <v/>
      </c>
      <c r="F478" s="88">
        <f>VLOOKUP(Table91213[[#This Row],[Date]],'DB Details'!$A:$L,6)</f>
        <v/>
      </c>
      <c r="G478" s="119" t="n"/>
      <c r="H478" s="88">
        <f>VLOOKUP(Table91213[[#This Row],[Date]],'DB Details'!$A:$L,8)</f>
        <v/>
      </c>
      <c r="I478" s="88">
        <f>VLOOKUP(Table91213[[#This Row],[Date]],'DB Details'!$A:$L,9)</f>
        <v/>
      </c>
      <c r="J478" s="88">
        <f>VLOOKUP(Table91213[[#This Row],[Date]],'DB Details'!$A:$L,10)</f>
        <v/>
      </c>
      <c r="K478" s="119" t="n"/>
      <c r="L478" s="88">
        <f>VLOOKUP(Table91213[[#This Row],[Date]],'DB Details'!$A:$L,12)</f>
        <v/>
      </c>
    </row>
    <row r="479">
      <c r="A479" s="39" t="n">
        <v>31929</v>
      </c>
      <c r="B479" s="57">
        <f>VLOOKUP(Table91213[[#This Row],[Date]],'DB Details'!$A:$L,2)</f>
        <v/>
      </c>
      <c r="C479" s="41" t="n"/>
      <c r="D479" s="55" t="n"/>
      <c r="E479" s="88">
        <f>VLOOKUP(Table91213[[#This Row],[Date]],'DB Details'!$A:$L,5)</f>
        <v/>
      </c>
      <c r="F479" s="88">
        <f>VLOOKUP(Table91213[[#This Row],[Date]],'DB Details'!$A:$L,6)</f>
        <v/>
      </c>
      <c r="G479" s="119" t="n"/>
      <c r="H479" s="88">
        <f>VLOOKUP(Table91213[[#This Row],[Date]],'DB Details'!$A:$L,8)</f>
        <v/>
      </c>
      <c r="I479" s="88">
        <f>VLOOKUP(Table91213[[#This Row],[Date]],'DB Details'!$A:$L,9)</f>
        <v/>
      </c>
      <c r="J479" s="88">
        <f>VLOOKUP(Table91213[[#This Row],[Date]],'DB Details'!$A:$L,10)</f>
        <v/>
      </c>
      <c r="K479" s="119" t="n"/>
      <c r="L479" s="88">
        <f>VLOOKUP(Table91213[[#This Row],[Date]],'DB Details'!$A:$L,12)</f>
        <v/>
      </c>
    </row>
    <row r="480">
      <c r="A480" s="39" t="n">
        <v>31959</v>
      </c>
      <c r="B480" s="57">
        <f>VLOOKUP(Table91213[[#This Row],[Date]],'DB Details'!$A:$L,2)</f>
        <v/>
      </c>
      <c r="C480" s="41" t="n"/>
      <c r="D480" s="55" t="n"/>
      <c r="E480" s="88">
        <f>VLOOKUP(Table91213[[#This Row],[Date]],'DB Details'!$A:$L,5)</f>
        <v/>
      </c>
      <c r="F480" s="88">
        <f>VLOOKUP(Table91213[[#This Row],[Date]],'DB Details'!$A:$L,6)</f>
        <v/>
      </c>
      <c r="G480" s="119" t="n"/>
      <c r="H480" s="88">
        <f>VLOOKUP(Table91213[[#This Row],[Date]],'DB Details'!$A:$L,8)</f>
        <v/>
      </c>
      <c r="I480" s="88">
        <f>VLOOKUP(Table91213[[#This Row],[Date]],'DB Details'!$A:$L,9)</f>
        <v/>
      </c>
      <c r="J480" s="88">
        <f>VLOOKUP(Table91213[[#This Row],[Date]],'DB Details'!$A:$L,10)</f>
        <v/>
      </c>
      <c r="K480" s="119" t="n"/>
      <c r="L480" s="88">
        <f>VLOOKUP(Table91213[[#This Row],[Date]],'DB Details'!$A:$L,12)</f>
        <v/>
      </c>
    </row>
    <row r="481">
      <c r="A481" s="39" t="n">
        <v>31990</v>
      </c>
      <c r="B481" s="57">
        <f>VLOOKUP(Table91213[[#This Row],[Date]],'DB Details'!$A:$L,2)</f>
        <v/>
      </c>
      <c r="C481" s="41" t="n"/>
      <c r="D481" s="55" t="n"/>
      <c r="E481" s="88">
        <f>VLOOKUP(Table91213[[#This Row],[Date]],'DB Details'!$A:$L,5)</f>
        <v/>
      </c>
      <c r="F481" s="88">
        <f>VLOOKUP(Table91213[[#This Row],[Date]],'DB Details'!$A:$L,6)</f>
        <v/>
      </c>
      <c r="G481" s="119" t="n"/>
      <c r="H481" s="88">
        <f>VLOOKUP(Table91213[[#This Row],[Date]],'DB Details'!$A:$L,8)</f>
        <v/>
      </c>
      <c r="I481" s="88">
        <f>VLOOKUP(Table91213[[#This Row],[Date]],'DB Details'!$A:$L,9)</f>
        <v/>
      </c>
      <c r="J481" s="88">
        <f>VLOOKUP(Table91213[[#This Row],[Date]],'DB Details'!$A:$L,10)</f>
        <v/>
      </c>
      <c r="K481" s="119" t="n"/>
      <c r="L481" s="88">
        <f>VLOOKUP(Table91213[[#This Row],[Date]],'DB Details'!$A:$L,12)</f>
        <v/>
      </c>
    </row>
    <row r="482">
      <c r="A482" s="39" t="n">
        <v>32021</v>
      </c>
      <c r="B482" s="57">
        <f>VLOOKUP(Table91213[[#This Row],[Date]],'DB Details'!$A:$L,2)</f>
        <v/>
      </c>
      <c r="C482" s="41" t="n"/>
      <c r="D482" s="55" t="n"/>
      <c r="E482" s="88">
        <f>VLOOKUP(Table91213[[#This Row],[Date]],'DB Details'!$A:$L,5)</f>
        <v/>
      </c>
      <c r="F482" s="88">
        <f>VLOOKUP(Table91213[[#This Row],[Date]],'DB Details'!$A:$L,6)</f>
        <v/>
      </c>
      <c r="G482" s="119" t="n"/>
      <c r="H482" s="88">
        <f>VLOOKUP(Table91213[[#This Row],[Date]],'DB Details'!$A:$L,8)</f>
        <v/>
      </c>
      <c r="I482" s="88">
        <f>VLOOKUP(Table91213[[#This Row],[Date]],'DB Details'!$A:$L,9)</f>
        <v/>
      </c>
      <c r="J482" s="88">
        <f>VLOOKUP(Table91213[[#This Row],[Date]],'DB Details'!$A:$L,10)</f>
        <v/>
      </c>
      <c r="K482" s="119" t="n"/>
      <c r="L482" s="88">
        <f>VLOOKUP(Table91213[[#This Row],[Date]],'DB Details'!$A:$L,12)</f>
        <v/>
      </c>
    </row>
    <row r="483">
      <c r="A483" s="39" t="n">
        <v>32051</v>
      </c>
      <c r="B483" s="57">
        <f>VLOOKUP(Table91213[[#This Row],[Date]],'DB Details'!$A:$L,2)</f>
        <v/>
      </c>
      <c r="C483" s="41" t="n"/>
      <c r="D483" s="55" t="n"/>
      <c r="E483" s="88">
        <f>VLOOKUP(Table91213[[#This Row],[Date]],'DB Details'!$A:$L,5)</f>
        <v/>
      </c>
      <c r="F483" s="88">
        <f>VLOOKUP(Table91213[[#This Row],[Date]],'DB Details'!$A:$L,6)</f>
        <v/>
      </c>
      <c r="G483" s="119" t="n"/>
      <c r="H483" s="88">
        <f>VLOOKUP(Table91213[[#This Row],[Date]],'DB Details'!$A:$L,8)</f>
        <v/>
      </c>
      <c r="I483" s="88">
        <f>VLOOKUP(Table91213[[#This Row],[Date]],'DB Details'!$A:$L,9)</f>
        <v/>
      </c>
      <c r="J483" s="88">
        <f>VLOOKUP(Table91213[[#This Row],[Date]],'DB Details'!$A:$L,10)</f>
        <v/>
      </c>
      <c r="K483" s="119" t="n"/>
      <c r="L483" s="88">
        <f>VLOOKUP(Table91213[[#This Row],[Date]],'DB Details'!$A:$L,12)</f>
        <v/>
      </c>
    </row>
    <row r="484">
      <c r="A484" s="39" t="n">
        <v>32082</v>
      </c>
      <c r="B484" s="57">
        <f>VLOOKUP(Table91213[[#This Row],[Date]],'DB Details'!$A:$L,2)</f>
        <v/>
      </c>
      <c r="C484" s="41" t="n"/>
      <c r="D484" s="55" t="n"/>
      <c r="E484" s="88">
        <f>VLOOKUP(Table91213[[#This Row],[Date]],'DB Details'!$A:$L,5)</f>
        <v/>
      </c>
      <c r="F484" s="88">
        <f>VLOOKUP(Table91213[[#This Row],[Date]],'DB Details'!$A:$L,6)</f>
        <v/>
      </c>
      <c r="G484" s="119" t="n"/>
      <c r="H484" s="88">
        <f>VLOOKUP(Table91213[[#This Row],[Date]],'DB Details'!$A:$L,8)</f>
        <v/>
      </c>
      <c r="I484" s="88">
        <f>VLOOKUP(Table91213[[#This Row],[Date]],'DB Details'!$A:$L,9)</f>
        <v/>
      </c>
      <c r="J484" s="88">
        <f>VLOOKUP(Table91213[[#This Row],[Date]],'DB Details'!$A:$L,10)</f>
        <v/>
      </c>
      <c r="K484" s="119" t="n"/>
      <c r="L484" s="88">
        <f>VLOOKUP(Table91213[[#This Row],[Date]],'DB Details'!$A:$L,12)</f>
        <v/>
      </c>
    </row>
    <row r="485">
      <c r="A485" s="39" t="n">
        <v>32112</v>
      </c>
      <c r="B485" s="57">
        <f>VLOOKUP(Table91213[[#This Row],[Date]],'DB Details'!$A:$L,2)</f>
        <v/>
      </c>
      <c r="C485" s="41" t="n"/>
      <c r="D485" s="55" t="n"/>
      <c r="E485" s="88">
        <f>VLOOKUP(Table91213[[#This Row],[Date]],'DB Details'!$A:$L,5)</f>
        <v/>
      </c>
      <c r="F485" s="88">
        <f>VLOOKUP(Table91213[[#This Row],[Date]],'DB Details'!$A:$L,6)</f>
        <v/>
      </c>
      <c r="G485" s="119" t="n"/>
      <c r="H485" s="88">
        <f>VLOOKUP(Table91213[[#This Row],[Date]],'DB Details'!$A:$L,8)</f>
        <v/>
      </c>
      <c r="I485" s="88">
        <f>VLOOKUP(Table91213[[#This Row],[Date]],'DB Details'!$A:$L,9)</f>
        <v/>
      </c>
      <c r="J485" s="88">
        <f>VLOOKUP(Table91213[[#This Row],[Date]],'DB Details'!$A:$L,10)</f>
        <v/>
      </c>
      <c r="K485" s="119" t="n"/>
      <c r="L485" s="88">
        <f>VLOOKUP(Table91213[[#This Row],[Date]],'DB Details'!$A:$L,12)</f>
        <v/>
      </c>
    </row>
    <row r="486">
      <c r="A486" s="39" t="n">
        <v>32143</v>
      </c>
      <c r="B486" s="57">
        <f>VLOOKUP(Table91213[[#This Row],[Date]],'DB Details'!$A:$L,2)</f>
        <v/>
      </c>
      <c r="C486" s="41" t="n"/>
      <c r="D486" s="55" t="n"/>
      <c r="E486" s="88">
        <f>VLOOKUP(Table91213[[#This Row],[Date]],'DB Details'!$A:$L,5)</f>
        <v/>
      </c>
      <c r="F486" s="88">
        <f>VLOOKUP(Table91213[[#This Row],[Date]],'DB Details'!$A:$L,6)</f>
        <v/>
      </c>
      <c r="G486" s="119" t="n"/>
      <c r="H486" s="88">
        <f>VLOOKUP(Table91213[[#This Row],[Date]],'DB Details'!$A:$L,8)</f>
        <v/>
      </c>
      <c r="I486" s="88">
        <f>VLOOKUP(Table91213[[#This Row],[Date]],'DB Details'!$A:$L,9)</f>
        <v/>
      </c>
      <c r="J486" s="88">
        <f>VLOOKUP(Table91213[[#This Row],[Date]],'DB Details'!$A:$L,10)</f>
        <v/>
      </c>
      <c r="K486" s="41">
        <f>VLOOKUP(Table91213[[#This Row],[Date]],'DB Details'!$A:$L,11)</f>
        <v/>
      </c>
      <c r="L486" s="88">
        <f>VLOOKUP(Table91213[[#This Row],[Date]],'DB Details'!$A:$L,12)</f>
        <v/>
      </c>
    </row>
    <row r="487">
      <c r="A487" s="39" t="n">
        <v>32174</v>
      </c>
      <c r="B487" s="57">
        <f>VLOOKUP(Table91213[[#This Row],[Date]],'DB Details'!$A:$L,2)</f>
        <v/>
      </c>
      <c r="C487" s="41" t="n"/>
      <c r="D487" s="55" t="n"/>
      <c r="E487" s="88">
        <f>VLOOKUP(Table91213[[#This Row],[Date]],'DB Details'!$A:$L,5)</f>
        <v/>
      </c>
      <c r="F487" s="88">
        <f>VLOOKUP(Table91213[[#This Row],[Date]],'DB Details'!$A:$L,6)</f>
        <v/>
      </c>
      <c r="G487" s="119" t="n"/>
      <c r="H487" s="88">
        <f>VLOOKUP(Table91213[[#This Row],[Date]],'DB Details'!$A:$L,8)</f>
        <v/>
      </c>
      <c r="I487" s="88">
        <f>VLOOKUP(Table91213[[#This Row],[Date]],'DB Details'!$A:$L,9)</f>
        <v/>
      </c>
      <c r="J487" s="88">
        <f>VLOOKUP(Table91213[[#This Row],[Date]],'DB Details'!$A:$L,10)</f>
        <v/>
      </c>
      <c r="K487" s="41">
        <f>VLOOKUP(Table91213[[#This Row],[Date]],'DB Details'!$A:$L,11)</f>
        <v/>
      </c>
      <c r="L487" s="88">
        <f>VLOOKUP(Table91213[[#This Row],[Date]],'DB Details'!$A:$L,12)</f>
        <v/>
      </c>
    </row>
    <row r="488">
      <c r="A488" s="39" t="n">
        <v>32203</v>
      </c>
      <c r="B488" s="57">
        <f>VLOOKUP(Table91213[[#This Row],[Date]],'DB Details'!$A:$L,2)</f>
        <v/>
      </c>
      <c r="C488" s="41" t="n"/>
      <c r="D488" s="55" t="n"/>
      <c r="E488" s="88">
        <f>VLOOKUP(Table91213[[#This Row],[Date]],'DB Details'!$A:$L,5)</f>
        <v/>
      </c>
      <c r="F488" s="88">
        <f>VLOOKUP(Table91213[[#This Row],[Date]],'DB Details'!$A:$L,6)</f>
        <v/>
      </c>
      <c r="G488" s="119" t="n"/>
      <c r="H488" s="88">
        <f>VLOOKUP(Table91213[[#This Row],[Date]],'DB Details'!$A:$L,8)</f>
        <v/>
      </c>
      <c r="I488" s="88">
        <f>VLOOKUP(Table91213[[#This Row],[Date]],'DB Details'!$A:$L,9)</f>
        <v/>
      </c>
      <c r="J488" s="88">
        <f>VLOOKUP(Table91213[[#This Row],[Date]],'DB Details'!$A:$L,10)</f>
        <v/>
      </c>
      <c r="K488" s="41">
        <f>VLOOKUP(Table91213[[#This Row],[Date]],'DB Details'!$A:$L,11)</f>
        <v/>
      </c>
      <c r="L488" s="88">
        <f>VLOOKUP(Table91213[[#This Row],[Date]],'DB Details'!$A:$L,12)</f>
        <v/>
      </c>
    </row>
    <row r="489">
      <c r="A489" s="39" t="n">
        <v>32234</v>
      </c>
      <c r="B489" s="57">
        <f>VLOOKUP(Table91213[[#This Row],[Date]],'DB Details'!$A:$L,2)</f>
        <v/>
      </c>
      <c r="C489" s="41" t="n"/>
      <c r="D489" s="55" t="n"/>
      <c r="E489" s="88">
        <f>VLOOKUP(Table91213[[#This Row],[Date]],'DB Details'!$A:$L,5)</f>
        <v/>
      </c>
      <c r="F489" s="88">
        <f>VLOOKUP(Table91213[[#This Row],[Date]],'DB Details'!$A:$L,6)</f>
        <v/>
      </c>
      <c r="G489" s="119" t="n"/>
      <c r="H489" s="88">
        <f>VLOOKUP(Table91213[[#This Row],[Date]],'DB Details'!$A:$L,8)</f>
        <v/>
      </c>
      <c r="I489" s="88">
        <f>VLOOKUP(Table91213[[#This Row],[Date]],'DB Details'!$A:$L,9)</f>
        <v/>
      </c>
      <c r="J489" s="88">
        <f>VLOOKUP(Table91213[[#This Row],[Date]],'DB Details'!$A:$L,10)</f>
        <v/>
      </c>
      <c r="K489" s="41">
        <f>VLOOKUP(Table91213[[#This Row],[Date]],'DB Details'!$A:$L,11)</f>
        <v/>
      </c>
      <c r="L489" s="88">
        <f>VLOOKUP(Table91213[[#This Row],[Date]],'DB Details'!$A:$L,12)</f>
        <v/>
      </c>
    </row>
    <row r="490">
      <c r="A490" s="39" t="n">
        <v>32264</v>
      </c>
      <c r="B490" s="57">
        <f>VLOOKUP(Table91213[[#This Row],[Date]],'DB Details'!$A:$L,2)</f>
        <v/>
      </c>
      <c r="C490" s="41" t="n"/>
      <c r="D490" s="55" t="n"/>
      <c r="E490" s="88">
        <f>VLOOKUP(Table91213[[#This Row],[Date]],'DB Details'!$A:$L,5)</f>
        <v/>
      </c>
      <c r="F490" s="88">
        <f>VLOOKUP(Table91213[[#This Row],[Date]],'DB Details'!$A:$L,6)</f>
        <v/>
      </c>
      <c r="G490" s="119" t="n"/>
      <c r="H490" s="88">
        <f>VLOOKUP(Table91213[[#This Row],[Date]],'DB Details'!$A:$L,8)</f>
        <v/>
      </c>
      <c r="I490" s="88">
        <f>VLOOKUP(Table91213[[#This Row],[Date]],'DB Details'!$A:$L,9)</f>
        <v/>
      </c>
      <c r="J490" s="88">
        <f>VLOOKUP(Table91213[[#This Row],[Date]],'DB Details'!$A:$L,10)</f>
        <v/>
      </c>
      <c r="K490" s="41">
        <f>VLOOKUP(Table91213[[#This Row],[Date]],'DB Details'!$A:$L,11)</f>
        <v/>
      </c>
      <c r="L490" s="88">
        <f>VLOOKUP(Table91213[[#This Row],[Date]],'DB Details'!$A:$L,12)</f>
        <v/>
      </c>
    </row>
    <row r="491">
      <c r="A491" s="39" t="n">
        <v>32295</v>
      </c>
      <c r="B491" s="57">
        <f>VLOOKUP(Table91213[[#This Row],[Date]],'DB Details'!$A:$L,2)</f>
        <v/>
      </c>
      <c r="C491" s="41" t="n"/>
      <c r="D491" s="55" t="n"/>
      <c r="E491" s="88">
        <f>VLOOKUP(Table91213[[#This Row],[Date]],'DB Details'!$A:$L,5)</f>
        <v/>
      </c>
      <c r="F491" s="88">
        <f>VLOOKUP(Table91213[[#This Row],[Date]],'DB Details'!$A:$L,6)</f>
        <v/>
      </c>
      <c r="G491" s="119" t="n"/>
      <c r="H491" s="88">
        <f>VLOOKUP(Table91213[[#This Row],[Date]],'DB Details'!$A:$L,8)</f>
        <v/>
      </c>
      <c r="I491" s="88">
        <f>VLOOKUP(Table91213[[#This Row],[Date]],'DB Details'!$A:$L,9)</f>
        <v/>
      </c>
      <c r="J491" s="88">
        <f>VLOOKUP(Table91213[[#This Row],[Date]],'DB Details'!$A:$L,10)</f>
        <v/>
      </c>
      <c r="K491" s="41">
        <f>VLOOKUP(Table91213[[#This Row],[Date]],'DB Details'!$A:$L,11)</f>
        <v/>
      </c>
      <c r="L491" s="88">
        <f>VLOOKUP(Table91213[[#This Row],[Date]],'DB Details'!$A:$L,12)</f>
        <v/>
      </c>
    </row>
    <row r="492">
      <c r="A492" s="39" t="n">
        <v>32325</v>
      </c>
      <c r="B492" s="57">
        <f>VLOOKUP(Table91213[[#This Row],[Date]],'DB Details'!$A:$L,2)</f>
        <v/>
      </c>
      <c r="C492" s="41" t="n"/>
      <c r="D492" s="55" t="n"/>
      <c r="E492" s="88">
        <f>VLOOKUP(Table91213[[#This Row],[Date]],'DB Details'!$A:$L,5)</f>
        <v/>
      </c>
      <c r="F492" s="88">
        <f>VLOOKUP(Table91213[[#This Row],[Date]],'DB Details'!$A:$L,6)</f>
        <v/>
      </c>
      <c r="G492" s="119" t="n"/>
      <c r="H492" s="88">
        <f>VLOOKUP(Table91213[[#This Row],[Date]],'DB Details'!$A:$L,8)</f>
        <v/>
      </c>
      <c r="I492" s="88">
        <f>VLOOKUP(Table91213[[#This Row],[Date]],'DB Details'!$A:$L,9)</f>
        <v/>
      </c>
      <c r="J492" s="88">
        <f>VLOOKUP(Table91213[[#This Row],[Date]],'DB Details'!$A:$L,10)</f>
        <v/>
      </c>
      <c r="K492" s="41">
        <f>VLOOKUP(Table91213[[#This Row],[Date]],'DB Details'!$A:$L,11)</f>
        <v/>
      </c>
      <c r="L492" s="88">
        <f>VLOOKUP(Table91213[[#This Row],[Date]],'DB Details'!$A:$L,12)</f>
        <v/>
      </c>
    </row>
    <row r="493">
      <c r="A493" s="39" t="n">
        <v>32356</v>
      </c>
      <c r="B493" s="57">
        <f>VLOOKUP(Table91213[[#This Row],[Date]],'DB Details'!$A:$L,2)</f>
        <v/>
      </c>
      <c r="C493" s="41" t="n"/>
      <c r="D493" s="55" t="n"/>
      <c r="E493" s="88">
        <f>VLOOKUP(Table91213[[#This Row],[Date]],'DB Details'!$A:$L,5)</f>
        <v/>
      </c>
      <c r="F493" s="88">
        <f>VLOOKUP(Table91213[[#This Row],[Date]],'DB Details'!$A:$L,6)</f>
        <v/>
      </c>
      <c r="G493" s="119" t="n"/>
      <c r="H493" s="88">
        <f>VLOOKUP(Table91213[[#This Row],[Date]],'DB Details'!$A:$L,8)</f>
        <v/>
      </c>
      <c r="I493" s="88">
        <f>VLOOKUP(Table91213[[#This Row],[Date]],'DB Details'!$A:$L,9)</f>
        <v/>
      </c>
      <c r="J493" s="88">
        <f>VLOOKUP(Table91213[[#This Row],[Date]],'DB Details'!$A:$L,10)</f>
        <v/>
      </c>
      <c r="K493" s="41">
        <f>VLOOKUP(Table91213[[#This Row],[Date]],'DB Details'!$A:$L,11)</f>
        <v/>
      </c>
      <c r="L493" s="88">
        <f>VLOOKUP(Table91213[[#This Row],[Date]],'DB Details'!$A:$L,12)</f>
        <v/>
      </c>
    </row>
    <row r="494">
      <c r="A494" s="39" t="n">
        <v>32387</v>
      </c>
      <c r="B494" s="57">
        <f>VLOOKUP(Table91213[[#This Row],[Date]],'DB Details'!$A:$L,2)</f>
        <v/>
      </c>
      <c r="C494" s="41" t="n"/>
      <c r="D494" s="55" t="n"/>
      <c r="E494" s="88">
        <f>VLOOKUP(Table91213[[#This Row],[Date]],'DB Details'!$A:$L,5)</f>
        <v/>
      </c>
      <c r="F494" s="88">
        <f>VLOOKUP(Table91213[[#This Row],[Date]],'DB Details'!$A:$L,6)</f>
        <v/>
      </c>
      <c r="G494" s="119" t="n"/>
      <c r="H494" s="88">
        <f>VLOOKUP(Table91213[[#This Row],[Date]],'DB Details'!$A:$L,8)</f>
        <v/>
      </c>
      <c r="I494" s="88">
        <f>VLOOKUP(Table91213[[#This Row],[Date]],'DB Details'!$A:$L,9)</f>
        <v/>
      </c>
      <c r="J494" s="88">
        <f>VLOOKUP(Table91213[[#This Row],[Date]],'DB Details'!$A:$L,10)</f>
        <v/>
      </c>
      <c r="K494" s="41">
        <f>VLOOKUP(Table91213[[#This Row],[Date]],'DB Details'!$A:$L,11)</f>
        <v/>
      </c>
      <c r="L494" s="88">
        <f>VLOOKUP(Table91213[[#This Row],[Date]],'DB Details'!$A:$L,12)</f>
        <v/>
      </c>
    </row>
    <row r="495">
      <c r="A495" s="39" t="n">
        <v>32417</v>
      </c>
      <c r="B495" s="57">
        <f>VLOOKUP(Table91213[[#This Row],[Date]],'DB Details'!$A:$L,2)</f>
        <v/>
      </c>
      <c r="C495" s="41" t="n"/>
      <c r="D495" s="55" t="n"/>
      <c r="E495" s="88">
        <f>VLOOKUP(Table91213[[#This Row],[Date]],'DB Details'!$A:$L,5)</f>
        <v/>
      </c>
      <c r="F495" s="88">
        <f>VLOOKUP(Table91213[[#This Row],[Date]],'DB Details'!$A:$L,6)</f>
        <v/>
      </c>
      <c r="G495" s="119" t="n"/>
      <c r="H495" s="88">
        <f>VLOOKUP(Table91213[[#This Row],[Date]],'DB Details'!$A:$L,8)</f>
        <v/>
      </c>
      <c r="I495" s="88">
        <f>VLOOKUP(Table91213[[#This Row],[Date]],'DB Details'!$A:$L,9)</f>
        <v/>
      </c>
      <c r="J495" s="88">
        <f>VLOOKUP(Table91213[[#This Row],[Date]],'DB Details'!$A:$L,10)</f>
        <v/>
      </c>
      <c r="K495" s="41">
        <f>VLOOKUP(Table91213[[#This Row],[Date]],'DB Details'!$A:$L,11)</f>
        <v/>
      </c>
      <c r="L495" s="88">
        <f>VLOOKUP(Table91213[[#This Row],[Date]],'DB Details'!$A:$L,12)</f>
        <v/>
      </c>
    </row>
    <row r="496">
      <c r="A496" s="39" t="n">
        <v>32448</v>
      </c>
      <c r="B496" s="57">
        <f>VLOOKUP(Table91213[[#This Row],[Date]],'DB Details'!$A:$L,2)</f>
        <v/>
      </c>
      <c r="C496" s="41" t="n"/>
      <c r="D496" s="55" t="n"/>
      <c r="E496" s="88">
        <f>VLOOKUP(Table91213[[#This Row],[Date]],'DB Details'!$A:$L,5)</f>
        <v/>
      </c>
      <c r="F496" s="88">
        <f>VLOOKUP(Table91213[[#This Row],[Date]],'DB Details'!$A:$L,6)</f>
        <v/>
      </c>
      <c r="G496" s="119" t="n"/>
      <c r="H496" s="88">
        <f>VLOOKUP(Table91213[[#This Row],[Date]],'DB Details'!$A:$L,8)</f>
        <v/>
      </c>
      <c r="I496" s="88">
        <f>VLOOKUP(Table91213[[#This Row],[Date]],'DB Details'!$A:$L,9)</f>
        <v/>
      </c>
      <c r="J496" s="88">
        <f>VLOOKUP(Table91213[[#This Row],[Date]],'DB Details'!$A:$L,10)</f>
        <v/>
      </c>
      <c r="K496" s="41">
        <f>VLOOKUP(Table91213[[#This Row],[Date]],'DB Details'!$A:$L,11)</f>
        <v/>
      </c>
      <c r="L496" s="88">
        <f>VLOOKUP(Table91213[[#This Row],[Date]],'DB Details'!$A:$L,12)</f>
        <v/>
      </c>
    </row>
    <row r="497">
      <c r="A497" s="39" t="n">
        <v>32478</v>
      </c>
      <c r="B497" s="57">
        <f>VLOOKUP(Table91213[[#This Row],[Date]],'DB Details'!$A:$L,2)</f>
        <v/>
      </c>
      <c r="C497" s="41" t="n"/>
      <c r="D497" s="55" t="n"/>
      <c r="E497" s="88">
        <f>VLOOKUP(Table91213[[#This Row],[Date]],'DB Details'!$A:$L,5)</f>
        <v/>
      </c>
      <c r="F497" s="88">
        <f>VLOOKUP(Table91213[[#This Row],[Date]],'DB Details'!$A:$L,6)</f>
        <v/>
      </c>
      <c r="G497" s="119" t="n"/>
      <c r="H497" s="88">
        <f>VLOOKUP(Table91213[[#This Row],[Date]],'DB Details'!$A:$L,8)</f>
        <v/>
      </c>
      <c r="I497" s="88">
        <f>VLOOKUP(Table91213[[#This Row],[Date]],'DB Details'!$A:$L,9)</f>
        <v/>
      </c>
      <c r="J497" s="88">
        <f>VLOOKUP(Table91213[[#This Row],[Date]],'DB Details'!$A:$L,10)</f>
        <v/>
      </c>
      <c r="K497" s="41">
        <f>VLOOKUP(Table91213[[#This Row],[Date]],'DB Details'!$A:$L,11)</f>
        <v/>
      </c>
      <c r="L497" s="88">
        <f>VLOOKUP(Table91213[[#This Row],[Date]],'DB Details'!$A:$L,12)</f>
        <v/>
      </c>
    </row>
    <row r="498">
      <c r="A498" s="39" t="n">
        <v>32509</v>
      </c>
      <c r="B498" s="57">
        <f>VLOOKUP(Table91213[[#This Row],[Date]],'DB Details'!$A:$L,2)</f>
        <v/>
      </c>
      <c r="C498" s="41" t="n"/>
      <c r="D498" s="55" t="n"/>
      <c r="E498" s="88">
        <f>VLOOKUP(Table91213[[#This Row],[Date]],'DB Details'!$A:$L,5)</f>
        <v/>
      </c>
      <c r="F498" s="88">
        <f>VLOOKUP(Table91213[[#This Row],[Date]],'DB Details'!$A:$L,6)</f>
        <v/>
      </c>
      <c r="G498" s="119" t="n"/>
      <c r="H498" s="88">
        <f>VLOOKUP(Table91213[[#This Row],[Date]],'DB Details'!$A:$L,8)</f>
        <v/>
      </c>
      <c r="I498" s="88">
        <f>VLOOKUP(Table91213[[#This Row],[Date]],'DB Details'!$A:$L,9)</f>
        <v/>
      </c>
      <c r="J498" s="88">
        <f>VLOOKUP(Table91213[[#This Row],[Date]],'DB Details'!$A:$L,10)</f>
        <v/>
      </c>
      <c r="K498" s="41">
        <f>VLOOKUP(Table91213[[#This Row],[Date]],'DB Details'!$A:$L,11)</f>
        <v/>
      </c>
      <c r="L498" s="88">
        <f>VLOOKUP(Table91213[[#This Row],[Date]],'DB Details'!$A:$L,12)</f>
        <v/>
      </c>
    </row>
    <row r="499">
      <c r="A499" s="39" t="n">
        <v>32540</v>
      </c>
      <c r="B499" s="57">
        <f>VLOOKUP(Table91213[[#This Row],[Date]],'DB Details'!$A:$L,2)</f>
        <v/>
      </c>
      <c r="C499" s="41" t="n"/>
      <c r="D499" s="55" t="n"/>
      <c r="E499" s="88">
        <f>VLOOKUP(Table91213[[#This Row],[Date]],'DB Details'!$A:$L,5)</f>
        <v/>
      </c>
      <c r="F499" s="88">
        <f>VLOOKUP(Table91213[[#This Row],[Date]],'DB Details'!$A:$L,6)</f>
        <v/>
      </c>
      <c r="G499" s="119" t="n"/>
      <c r="H499" s="88">
        <f>VLOOKUP(Table91213[[#This Row],[Date]],'DB Details'!$A:$L,8)</f>
        <v/>
      </c>
      <c r="I499" s="88">
        <f>VLOOKUP(Table91213[[#This Row],[Date]],'DB Details'!$A:$L,9)</f>
        <v/>
      </c>
      <c r="J499" s="88">
        <f>VLOOKUP(Table91213[[#This Row],[Date]],'DB Details'!$A:$L,10)</f>
        <v/>
      </c>
      <c r="K499" s="41">
        <f>VLOOKUP(Table91213[[#This Row],[Date]],'DB Details'!$A:$L,11)</f>
        <v/>
      </c>
      <c r="L499" s="88">
        <f>VLOOKUP(Table91213[[#This Row],[Date]],'DB Details'!$A:$L,12)</f>
        <v/>
      </c>
    </row>
    <row r="500">
      <c r="A500" s="39" t="n">
        <v>32568</v>
      </c>
      <c r="B500" s="57">
        <f>VLOOKUP(Table91213[[#This Row],[Date]],'DB Details'!$A:$L,2)</f>
        <v/>
      </c>
      <c r="C500" s="41" t="n"/>
      <c r="D500" s="55" t="n"/>
      <c r="E500" s="88">
        <f>VLOOKUP(Table91213[[#This Row],[Date]],'DB Details'!$A:$L,5)</f>
        <v/>
      </c>
      <c r="F500" s="88">
        <f>VLOOKUP(Table91213[[#This Row],[Date]],'DB Details'!$A:$L,6)</f>
        <v/>
      </c>
      <c r="G500" s="119" t="n"/>
      <c r="H500" s="88">
        <f>VLOOKUP(Table91213[[#This Row],[Date]],'DB Details'!$A:$L,8)</f>
        <v/>
      </c>
      <c r="I500" s="88">
        <f>VLOOKUP(Table91213[[#This Row],[Date]],'DB Details'!$A:$L,9)</f>
        <v/>
      </c>
      <c r="J500" s="88">
        <f>VLOOKUP(Table91213[[#This Row],[Date]],'DB Details'!$A:$L,10)</f>
        <v/>
      </c>
      <c r="K500" s="41">
        <f>VLOOKUP(Table91213[[#This Row],[Date]],'DB Details'!$A:$L,11)</f>
        <v/>
      </c>
      <c r="L500" s="88">
        <f>VLOOKUP(Table91213[[#This Row],[Date]],'DB Details'!$A:$L,12)</f>
        <v/>
      </c>
    </row>
    <row r="501">
      <c r="A501" s="39" t="n">
        <v>32599</v>
      </c>
      <c r="B501" s="57">
        <f>VLOOKUP(Table91213[[#This Row],[Date]],'DB Details'!$A:$L,2)</f>
        <v/>
      </c>
      <c r="C501" s="41" t="n"/>
      <c r="D501" s="55" t="n"/>
      <c r="E501" s="88">
        <f>VLOOKUP(Table91213[[#This Row],[Date]],'DB Details'!$A:$L,5)</f>
        <v/>
      </c>
      <c r="F501" s="88">
        <f>VLOOKUP(Table91213[[#This Row],[Date]],'DB Details'!$A:$L,6)</f>
        <v/>
      </c>
      <c r="G501" s="119" t="n"/>
      <c r="H501" s="88">
        <f>VLOOKUP(Table91213[[#This Row],[Date]],'DB Details'!$A:$L,8)</f>
        <v/>
      </c>
      <c r="I501" s="88">
        <f>VLOOKUP(Table91213[[#This Row],[Date]],'DB Details'!$A:$L,9)</f>
        <v/>
      </c>
      <c r="J501" s="88">
        <f>VLOOKUP(Table91213[[#This Row],[Date]],'DB Details'!$A:$L,10)</f>
        <v/>
      </c>
      <c r="K501" s="41">
        <f>VLOOKUP(Table91213[[#This Row],[Date]],'DB Details'!$A:$L,11)</f>
        <v/>
      </c>
      <c r="L501" s="88">
        <f>VLOOKUP(Table91213[[#This Row],[Date]],'DB Details'!$A:$L,12)</f>
        <v/>
      </c>
    </row>
    <row r="502">
      <c r="A502" s="39" t="n">
        <v>32629</v>
      </c>
      <c r="B502" s="57">
        <f>VLOOKUP(Table91213[[#This Row],[Date]],'DB Details'!$A:$L,2)</f>
        <v/>
      </c>
      <c r="C502" s="41" t="n"/>
      <c r="D502" s="55" t="n"/>
      <c r="E502" s="88">
        <f>VLOOKUP(Table91213[[#This Row],[Date]],'DB Details'!$A:$L,5)</f>
        <v/>
      </c>
      <c r="F502" s="88">
        <f>VLOOKUP(Table91213[[#This Row],[Date]],'DB Details'!$A:$L,6)</f>
        <v/>
      </c>
      <c r="G502" s="119" t="n"/>
      <c r="H502" s="88">
        <f>VLOOKUP(Table91213[[#This Row],[Date]],'DB Details'!$A:$L,8)</f>
        <v/>
      </c>
      <c r="I502" s="88">
        <f>VLOOKUP(Table91213[[#This Row],[Date]],'DB Details'!$A:$L,9)</f>
        <v/>
      </c>
      <c r="J502" s="88">
        <f>VLOOKUP(Table91213[[#This Row],[Date]],'DB Details'!$A:$L,10)</f>
        <v/>
      </c>
      <c r="K502" s="41">
        <f>VLOOKUP(Table91213[[#This Row],[Date]],'DB Details'!$A:$L,11)</f>
        <v/>
      </c>
      <c r="L502" s="88">
        <f>VLOOKUP(Table91213[[#This Row],[Date]],'DB Details'!$A:$L,12)</f>
        <v/>
      </c>
    </row>
    <row r="503">
      <c r="A503" s="39" t="n">
        <v>32660</v>
      </c>
      <c r="B503" s="57">
        <f>VLOOKUP(Table91213[[#This Row],[Date]],'DB Details'!$A:$L,2)</f>
        <v/>
      </c>
      <c r="C503" s="41" t="n"/>
      <c r="D503" s="55" t="n"/>
      <c r="E503" s="88">
        <f>VLOOKUP(Table91213[[#This Row],[Date]],'DB Details'!$A:$L,5)</f>
        <v/>
      </c>
      <c r="F503" s="88">
        <f>VLOOKUP(Table91213[[#This Row],[Date]],'DB Details'!$A:$L,6)</f>
        <v/>
      </c>
      <c r="G503" s="119" t="n"/>
      <c r="H503" s="88">
        <f>VLOOKUP(Table91213[[#This Row],[Date]],'DB Details'!$A:$L,8)</f>
        <v/>
      </c>
      <c r="I503" s="88">
        <f>VLOOKUP(Table91213[[#This Row],[Date]],'DB Details'!$A:$L,9)</f>
        <v/>
      </c>
      <c r="J503" s="88">
        <f>VLOOKUP(Table91213[[#This Row],[Date]],'DB Details'!$A:$L,10)</f>
        <v/>
      </c>
      <c r="K503" s="41">
        <f>VLOOKUP(Table91213[[#This Row],[Date]],'DB Details'!$A:$L,11)</f>
        <v/>
      </c>
      <c r="L503" s="88">
        <f>VLOOKUP(Table91213[[#This Row],[Date]],'DB Details'!$A:$L,12)</f>
        <v/>
      </c>
    </row>
    <row r="504">
      <c r="A504" s="39" t="n">
        <v>32690</v>
      </c>
      <c r="B504" s="57">
        <f>VLOOKUP(Table91213[[#This Row],[Date]],'DB Details'!$A:$L,2)</f>
        <v/>
      </c>
      <c r="C504" s="41" t="n"/>
      <c r="D504" s="55" t="n"/>
      <c r="E504" s="88">
        <f>VLOOKUP(Table91213[[#This Row],[Date]],'DB Details'!$A:$L,5)</f>
        <v/>
      </c>
      <c r="F504" s="88">
        <f>VLOOKUP(Table91213[[#This Row],[Date]],'DB Details'!$A:$L,6)</f>
        <v/>
      </c>
      <c r="G504" s="119" t="n"/>
      <c r="H504" s="88">
        <f>VLOOKUP(Table91213[[#This Row],[Date]],'DB Details'!$A:$L,8)</f>
        <v/>
      </c>
      <c r="I504" s="88">
        <f>VLOOKUP(Table91213[[#This Row],[Date]],'DB Details'!$A:$L,9)</f>
        <v/>
      </c>
      <c r="J504" s="88">
        <f>VLOOKUP(Table91213[[#This Row],[Date]],'DB Details'!$A:$L,10)</f>
        <v/>
      </c>
      <c r="K504" s="41">
        <f>VLOOKUP(Table91213[[#This Row],[Date]],'DB Details'!$A:$L,11)</f>
        <v/>
      </c>
      <c r="L504" s="88">
        <f>VLOOKUP(Table91213[[#This Row],[Date]],'DB Details'!$A:$L,12)</f>
        <v/>
      </c>
    </row>
    <row r="505">
      <c r="A505" s="39" t="n">
        <v>32721</v>
      </c>
      <c r="B505" s="57">
        <f>VLOOKUP(Table91213[[#This Row],[Date]],'DB Details'!$A:$L,2)</f>
        <v/>
      </c>
      <c r="C505" s="41" t="n"/>
      <c r="D505" s="55" t="n"/>
      <c r="E505" s="88">
        <f>VLOOKUP(Table91213[[#This Row],[Date]],'DB Details'!$A:$L,5)</f>
        <v/>
      </c>
      <c r="F505" s="88">
        <f>VLOOKUP(Table91213[[#This Row],[Date]],'DB Details'!$A:$L,6)</f>
        <v/>
      </c>
      <c r="G505" s="119" t="n"/>
      <c r="H505" s="88">
        <f>VLOOKUP(Table91213[[#This Row],[Date]],'DB Details'!$A:$L,8)</f>
        <v/>
      </c>
      <c r="I505" s="88">
        <f>VLOOKUP(Table91213[[#This Row],[Date]],'DB Details'!$A:$L,9)</f>
        <v/>
      </c>
      <c r="J505" s="88">
        <f>VLOOKUP(Table91213[[#This Row],[Date]],'DB Details'!$A:$L,10)</f>
        <v/>
      </c>
      <c r="K505" s="41">
        <f>VLOOKUP(Table91213[[#This Row],[Date]],'DB Details'!$A:$L,11)</f>
        <v/>
      </c>
      <c r="L505" s="88">
        <f>VLOOKUP(Table91213[[#This Row],[Date]],'DB Details'!$A:$L,12)</f>
        <v/>
      </c>
    </row>
    <row r="506">
      <c r="A506" s="39" t="n">
        <v>32752</v>
      </c>
      <c r="B506" s="57">
        <f>VLOOKUP(Table91213[[#This Row],[Date]],'DB Details'!$A:$L,2)</f>
        <v/>
      </c>
      <c r="C506" s="41" t="n"/>
      <c r="D506" s="55" t="n"/>
      <c r="E506" s="88">
        <f>VLOOKUP(Table91213[[#This Row],[Date]],'DB Details'!$A:$L,5)</f>
        <v/>
      </c>
      <c r="F506" s="88">
        <f>VLOOKUP(Table91213[[#This Row],[Date]],'DB Details'!$A:$L,6)</f>
        <v/>
      </c>
      <c r="G506" s="119" t="n"/>
      <c r="H506" s="88">
        <f>VLOOKUP(Table91213[[#This Row],[Date]],'DB Details'!$A:$L,8)</f>
        <v/>
      </c>
      <c r="I506" s="88">
        <f>VLOOKUP(Table91213[[#This Row],[Date]],'DB Details'!$A:$L,9)</f>
        <v/>
      </c>
      <c r="J506" s="88">
        <f>VLOOKUP(Table91213[[#This Row],[Date]],'DB Details'!$A:$L,10)</f>
        <v/>
      </c>
      <c r="K506" s="41">
        <f>VLOOKUP(Table91213[[#This Row],[Date]],'DB Details'!$A:$L,11)</f>
        <v/>
      </c>
      <c r="L506" s="88">
        <f>VLOOKUP(Table91213[[#This Row],[Date]],'DB Details'!$A:$L,12)</f>
        <v/>
      </c>
    </row>
    <row r="507">
      <c r="A507" s="39" t="n">
        <v>32782</v>
      </c>
      <c r="B507" s="57">
        <f>VLOOKUP(Table91213[[#This Row],[Date]],'DB Details'!$A:$L,2)</f>
        <v/>
      </c>
      <c r="C507" s="41">
        <f>VLOOKUP(Table91213[[#This Row],[Date]],'DB Details'!$A:$L,3)</f>
        <v/>
      </c>
      <c r="D507" s="55" t="n"/>
      <c r="E507" s="88">
        <f>VLOOKUP(Table91213[[#This Row],[Date]],'DB Details'!$A:$L,5)</f>
        <v/>
      </c>
      <c r="F507" s="88">
        <f>VLOOKUP(Table91213[[#This Row],[Date]],'DB Details'!$A:$L,6)</f>
        <v/>
      </c>
      <c r="G507" s="119" t="n"/>
      <c r="H507" s="88">
        <f>VLOOKUP(Table91213[[#This Row],[Date]],'DB Details'!$A:$L,8)</f>
        <v/>
      </c>
      <c r="I507" s="88">
        <f>VLOOKUP(Table91213[[#This Row],[Date]],'DB Details'!$A:$L,9)</f>
        <v/>
      </c>
      <c r="J507" s="88">
        <f>VLOOKUP(Table91213[[#This Row],[Date]],'DB Details'!$A:$L,10)</f>
        <v/>
      </c>
      <c r="K507" s="41">
        <f>VLOOKUP(Table91213[[#This Row],[Date]],'DB Details'!$A:$L,11)</f>
        <v/>
      </c>
      <c r="L507" s="88">
        <f>VLOOKUP(Table91213[[#This Row],[Date]],'DB Details'!$A:$L,12)</f>
        <v/>
      </c>
    </row>
    <row r="508">
      <c r="A508" s="39" t="n">
        <v>32813</v>
      </c>
      <c r="B508" s="57">
        <f>VLOOKUP(Table91213[[#This Row],[Date]],'DB Details'!$A:$L,2)</f>
        <v/>
      </c>
      <c r="C508" s="41">
        <f>VLOOKUP(Table91213[[#This Row],[Date]],'DB Details'!$A:$L,3)</f>
        <v/>
      </c>
      <c r="D508" s="55" t="n"/>
      <c r="E508" s="88">
        <f>VLOOKUP(Table91213[[#This Row],[Date]],'DB Details'!$A:$L,5)</f>
        <v/>
      </c>
      <c r="F508" s="88">
        <f>VLOOKUP(Table91213[[#This Row],[Date]],'DB Details'!$A:$L,6)</f>
        <v/>
      </c>
      <c r="G508" s="119" t="n"/>
      <c r="H508" s="88">
        <f>VLOOKUP(Table91213[[#This Row],[Date]],'DB Details'!$A:$L,8)</f>
        <v/>
      </c>
      <c r="I508" s="88">
        <f>VLOOKUP(Table91213[[#This Row],[Date]],'DB Details'!$A:$L,9)</f>
        <v/>
      </c>
      <c r="J508" s="88">
        <f>VLOOKUP(Table91213[[#This Row],[Date]],'DB Details'!$A:$L,10)</f>
        <v/>
      </c>
      <c r="K508" s="41">
        <f>VLOOKUP(Table91213[[#This Row],[Date]],'DB Details'!$A:$L,11)</f>
        <v/>
      </c>
      <c r="L508" s="88">
        <f>VLOOKUP(Table91213[[#This Row],[Date]],'DB Details'!$A:$L,12)</f>
        <v/>
      </c>
    </row>
    <row r="509">
      <c r="A509" s="39" t="n">
        <v>32843</v>
      </c>
      <c r="B509" s="57">
        <f>VLOOKUP(Table91213[[#This Row],[Date]],'DB Details'!$A:$L,2)</f>
        <v/>
      </c>
      <c r="C509" s="41">
        <f>VLOOKUP(Table91213[[#This Row],[Date]],'DB Details'!$A:$L,3)</f>
        <v/>
      </c>
      <c r="D509" s="55" t="n"/>
      <c r="E509" s="88">
        <f>VLOOKUP(Table91213[[#This Row],[Date]],'DB Details'!$A:$L,5)</f>
        <v/>
      </c>
      <c r="F509" s="88">
        <f>VLOOKUP(Table91213[[#This Row],[Date]],'DB Details'!$A:$L,6)</f>
        <v/>
      </c>
      <c r="G509" s="119" t="n"/>
      <c r="H509" s="88">
        <f>VLOOKUP(Table91213[[#This Row],[Date]],'DB Details'!$A:$L,8)</f>
        <v/>
      </c>
      <c r="I509" s="88">
        <f>VLOOKUP(Table91213[[#This Row],[Date]],'DB Details'!$A:$L,9)</f>
        <v/>
      </c>
      <c r="J509" s="88">
        <f>VLOOKUP(Table91213[[#This Row],[Date]],'DB Details'!$A:$L,10)</f>
        <v/>
      </c>
      <c r="K509" s="41">
        <f>VLOOKUP(Table91213[[#This Row],[Date]],'DB Details'!$A:$L,11)</f>
        <v/>
      </c>
      <c r="L509" s="88">
        <f>VLOOKUP(Table91213[[#This Row],[Date]],'DB Details'!$A:$L,12)</f>
        <v/>
      </c>
    </row>
    <row r="510">
      <c r="A510" s="39" t="n">
        <v>32874</v>
      </c>
      <c r="B510" s="57">
        <f>VLOOKUP(Table91213[[#This Row],[Date]],'DB Details'!$A:$L,2)</f>
        <v/>
      </c>
      <c r="C510" s="41">
        <f>VLOOKUP(Table91213[[#This Row],[Date]],'DB Details'!$A:$L,3)</f>
        <v/>
      </c>
      <c r="D510" s="55" t="n"/>
      <c r="E510" s="88">
        <f>VLOOKUP(Table91213[[#This Row],[Date]],'DB Details'!$A:$L,5)</f>
        <v/>
      </c>
      <c r="F510" s="88">
        <f>VLOOKUP(Table91213[[#This Row],[Date]],'DB Details'!$A:$L,6)</f>
        <v/>
      </c>
      <c r="G510" s="119" t="n"/>
      <c r="H510" s="88">
        <f>VLOOKUP(Table91213[[#This Row],[Date]],'DB Details'!$A:$L,8)</f>
        <v/>
      </c>
      <c r="I510" s="88">
        <f>VLOOKUP(Table91213[[#This Row],[Date]],'DB Details'!$A:$L,9)</f>
        <v/>
      </c>
      <c r="J510" s="88">
        <f>VLOOKUP(Table91213[[#This Row],[Date]],'DB Details'!$A:$L,10)</f>
        <v/>
      </c>
      <c r="K510" s="41">
        <f>VLOOKUP(Table91213[[#This Row],[Date]],'DB Details'!$A:$L,11)</f>
        <v/>
      </c>
      <c r="L510" s="88">
        <f>VLOOKUP(Table91213[[#This Row],[Date]],'DB Details'!$A:$L,12)</f>
        <v/>
      </c>
    </row>
    <row r="511">
      <c r="A511" s="39" t="n">
        <v>32905</v>
      </c>
      <c r="B511" s="57">
        <f>VLOOKUP(Table91213[[#This Row],[Date]],'DB Details'!$A:$L,2)</f>
        <v/>
      </c>
      <c r="C511" s="41">
        <f>VLOOKUP(Table91213[[#This Row],[Date]],'DB Details'!$A:$L,3)</f>
        <v/>
      </c>
      <c r="D511" s="55" t="n"/>
      <c r="E511" s="88">
        <f>VLOOKUP(Table91213[[#This Row],[Date]],'DB Details'!$A:$L,5)</f>
        <v/>
      </c>
      <c r="F511" s="88">
        <f>VLOOKUP(Table91213[[#This Row],[Date]],'DB Details'!$A:$L,6)</f>
        <v/>
      </c>
      <c r="G511" s="119" t="n"/>
      <c r="H511" s="88">
        <f>VLOOKUP(Table91213[[#This Row],[Date]],'DB Details'!$A:$L,8)</f>
        <v/>
      </c>
      <c r="I511" s="88">
        <f>VLOOKUP(Table91213[[#This Row],[Date]],'DB Details'!$A:$L,9)</f>
        <v/>
      </c>
      <c r="J511" s="88">
        <f>VLOOKUP(Table91213[[#This Row],[Date]],'DB Details'!$A:$L,10)</f>
        <v/>
      </c>
      <c r="K511" s="41">
        <f>VLOOKUP(Table91213[[#This Row],[Date]],'DB Details'!$A:$L,11)</f>
        <v/>
      </c>
      <c r="L511" s="88">
        <f>VLOOKUP(Table91213[[#This Row],[Date]],'DB Details'!$A:$L,12)</f>
        <v/>
      </c>
    </row>
    <row r="512">
      <c r="A512" s="39" t="n">
        <v>32933</v>
      </c>
      <c r="B512" s="57">
        <f>VLOOKUP(Table91213[[#This Row],[Date]],'DB Details'!$A:$L,2)</f>
        <v/>
      </c>
      <c r="C512" s="41">
        <f>VLOOKUP(Table91213[[#This Row],[Date]],'DB Details'!$A:$L,3)</f>
        <v/>
      </c>
      <c r="D512" s="55" t="n"/>
      <c r="E512" s="88">
        <f>VLOOKUP(Table91213[[#This Row],[Date]],'DB Details'!$A:$L,5)</f>
        <v/>
      </c>
      <c r="F512" s="88">
        <f>VLOOKUP(Table91213[[#This Row],[Date]],'DB Details'!$A:$L,6)</f>
        <v/>
      </c>
      <c r="G512" s="119" t="n"/>
      <c r="H512" s="88">
        <f>VLOOKUP(Table91213[[#This Row],[Date]],'DB Details'!$A:$L,8)</f>
        <v/>
      </c>
      <c r="I512" s="88">
        <f>VLOOKUP(Table91213[[#This Row],[Date]],'DB Details'!$A:$L,9)</f>
        <v/>
      </c>
      <c r="J512" s="88">
        <f>VLOOKUP(Table91213[[#This Row],[Date]],'DB Details'!$A:$L,10)</f>
        <v/>
      </c>
      <c r="K512" s="41">
        <f>VLOOKUP(Table91213[[#This Row],[Date]],'DB Details'!$A:$L,11)</f>
        <v/>
      </c>
      <c r="L512" s="88">
        <f>VLOOKUP(Table91213[[#This Row],[Date]],'DB Details'!$A:$L,12)</f>
        <v/>
      </c>
    </row>
    <row r="513">
      <c r="A513" s="39" t="n">
        <v>32964</v>
      </c>
      <c r="B513" s="57">
        <f>VLOOKUP(Table91213[[#This Row],[Date]],'DB Details'!$A:$L,2)</f>
        <v/>
      </c>
      <c r="C513" s="41">
        <f>VLOOKUP(Table91213[[#This Row],[Date]],'DB Details'!$A:$L,3)</f>
        <v/>
      </c>
      <c r="D513" s="55" t="n"/>
      <c r="E513" s="88">
        <f>VLOOKUP(Table91213[[#This Row],[Date]],'DB Details'!$A:$L,5)</f>
        <v/>
      </c>
      <c r="F513" s="88">
        <f>VLOOKUP(Table91213[[#This Row],[Date]],'DB Details'!$A:$L,6)</f>
        <v/>
      </c>
      <c r="G513" s="119" t="n"/>
      <c r="H513" s="88">
        <f>VLOOKUP(Table91213[[#This Row],[Date]],'DB Details'!$A:$L,8)</f>
        <v/>
      </c>
      <c r="I513" s="88">
        <f>VLOOKUP(Table91213[[#This Row],[Date]],'DB Details'!$A:$L,9)</f>
        <v/>
      </c>
      <c r="J513" s="88">
        <f>VLOOKUP(Table91213[[#This Row],[Date]],'DB Details'!$A:$L,10)</f>
        <v/>
      </c>
      <c r="K513" s="41">
        <f>VLOOKUP(Table91213[[#This Row],[Date]],'DB Details'!$A:$L,11)</f>
        <v/>
      </c>
      <c r="L513" s="88">
        <f>VLOOKUP(Table91213[[#This Row],[Date]],'DB Details'!$A:$L,12)</f>
        <v/>
      </c>
    </row>
    <row r="514">
      <c r="A514" s="39" t="n">
        <v>32994</v>
      </c>
      <c r="B514" s="57">
        <f>VLOOKUP(Table91213[[#This Row],[Date]],'DB Details'!$A:$L,2)</f>
        <v/>
      </c>
      <c r="C514" s="41">
        <f>VLOOKUP(Table91213[[#This Row],[Date]],'DB Details'!$A:$L,3)</f>
        <v/>
      </c>
      <c r="D514" s="55" t="n"/>
      <c r="E514" s="88">
        <f>VLOOKUP(Table91213[[#This Row],[Date]],'DB Details'!$A:$L,5)</f>
        <v/>
      </c>
      <c r="F514" s="88">
        <f>VLOOKUP(Table91213[[#This Row],[Date]],'DB Details'!$A:$L,6)</f>
        <v/>
      </c>
      <c r="G514" s="119" t="n"/>
      <c r="H514" s="88">
        <f>VLOOKUP(Table91213[[#This Row],[Date]],'DB Details'!$A:$L,8)</f>
        <v/>
      </c>
      <c r="I514" s="88">
        <f>VLOOKUP(Table91213[[#This Row],[Date]],'DB Details'!$A:$L,9)</f>
        <v/>
      </c>
      <c r="J514" s="88">
        <f>VLOOKUP(Table91213[[#This Row],[Date]],'DB Details'!$A:$L,10)</f>
        <v/>
      </c>
      <c r="K514" s="41">
        <f>VLOOKUP(Table91213[[#This Row],[Date]],'DB Details'!$A:$L,11)</f>
        <v/>
      </c>
      <c r="L514" s="88">
        <f>VLOOKUP(Table91213[[#This Row],[Date]],'DB Details'!$A:$L,12)</f>
        <v/>
      </c>
    </row>
    <row r="515">
      <c r="A515" s="39" t="n">
        <v>33025</v>
      </c>
      <c r="B515" s="57">
        <f>VLOOKUP(Table91213[[#This Row],[Date]],'DB Details'!$A:$L,2)</f>
        <v/>
      </c>
      <c r="C515" s="41">
        <f>VLOOKUP(Table91213[[#This Row],[Date]],'DB Details'!$A:$L,3)</f>
        <v/>
      </c>
      <c r="D515" s="55" t="n"/>
      <c r="E515" s="88">
        <f>VLOOKUP(Table91213[[#This Row],[Date]],'DB Details'!$A:$L,5)</f>
        <v/>
      </c>
      <c r="F515" s="88">
        <f>VLOOKUP(Table91213[[#This Row],[Date]],'DB Details'!$A:$L,6)</f>
        <v/>
      </c>
      <c r="G515" s="119" t="n"/>
      <c r="H515" s="88">
        <f>VLOOKUP(Table91213[[#This Row],[Date]],'DB Details'!$A:$L,8)</f>
        <v/>
      </c>
      <c r="I515" s="88">
        <f>VLOOKUP(Table91213[[#This Row],[Date]],'DB Details'!$A:$L,9)</f>
        <v/>
      </c>
      <c r="J515" s="88">
        <f>VLOOKUP(Table91213[[#This Row],[Date]],'DB Details'!$A:$L,10)</f>
        <v/>
      </c>
      <c r="K515" s="41">
        <f>VLOOKUP(Table91213[[#This Row],[Date]],'DB Details'!$A:$L,11)</f>
        <v/>
      </c>
      <c r="L515" s="88">
        <f>VLOOKUP(Table91213[[#This Row],[Date]],'DB Details'!$A:$L,12)</f>
        <v/>
      </c>
    </row>
    <row r="516">
      <c r="A516" s="39" t="n">
        <v>33055</v>
      </c>
      <c r="B516" s="57">
        <f>VLOOKUP(Table91213[[#This Row],[Date]],'DB Details'!$A:$L,2)</f>
        <v/>
      </c>
      <c r="C516" s="41">
        <f>VLOOKUP(Table91213[[#This Row],[Date]],'DB Details'!$A:$L,3)</f>
        <v/>
      </c>
      <c r="D516" s="55" t="n"/>
      <c r="E516" s="88">
        <f>VLOOKUP(Table91213[[#This Row],[Date]],'DB Details'!$A:$L,5)</f>
        <v/>
      </c>
      <c r="F516" s="88">
        <f>VLOOKUP(Table91213[[#This Row],[Date]],'DB Details'!$A:$L,6)</f>
        <v/>
      </c>
      <c r="G516" s="119" t="n"/>
      <c r="H516" s="88">
        <f>VLOOKUP(Table91213[[#This Row],[Date]],'DB Details'!$A:$L,8)</f>
        <v/>
      </c>
      <c r="I516" s="88">
        <f>VLOOKUP(Table91213[[#This Row],[Date]],'DB Details'!$A:$L,9)</f>
        <v/>
      </c>
      <c r="J516" s="88">
        <f>VLOOKUP(Table91213[[#This Row],[Date]],'DB Details'!$A:$L,10)</f>
        <v/>
      </c>
      <c r="K516" s="41">
        <f>VLOOKUP(Table91213[[#This Row],[Date]],'DB Details'!$A:$L,11)</f>
        <v/>
      </c>
      <c r="L516" s="88">
        <f>VLOOKUP(Table91213[[#This Row],[Date]],'DB Details'!$A:$L,12)</f>
        <v/>
      </c>
    </row>
    <row r="517">
      <c r="A517" s="39" t="n">
        <v>33086</v>
      </c>
      <c r="B517" s="57">
        <f>VLOOKUP(Table91213[[#This Row],[Date]],'DB Details'!$A:$L,2)</f>
        <v/>
      </c>
      <c r="C517" s="41">
        <f>VLOOKUP(Table91213[[#This Row],[Date]],'DB Details'!$A:$L,3)</f>
        <v/>
      </c>
      <c r="D517" s="55" t="n"/>
      <c r="E517" s="88">
        <f>VLOOKUP(Table91213[[#This Row],[Date]],'DB Details'!$A:$L,5)</f>
        <v/>
      </c>
      <c r="F517" s="88">
        <f>VLOOKUP(Table91213[[#This Row],[Date]],'DB Details'!$A:$L,6)</f>
        <v/>
      </c>
      <c r="G517" s="119" t="n"/>
      <c r="H517" s="88">
        <f>VLOOKUP(Table91213[[#This Row],[Date]],'DB Details'!$A:$L,8)</f>
        <v/>
      </c>
      <c r="I517" s="88">
        <f>VLOOKUP(Table91213[[#This Row],[Date]],'DB Details'!$A:$L,9)</f>
        <v/>
      </c>
      <c r="J517" s="88">
        <f>VLOOKUP(Table91213[[#This Row],[Date]],'DB Details'!$A:$L,10)</f>
        <v/>
      </c>
      <c r="K517" s="41">
        <f>VLOOKUP(Table91213[[#This Row],[Date]],'DB Details'!$A:$L,11)</f>
        <v/>
      </c>
      <c r="L517" s="88">
        <f>VLOOKUP(Table91213[[#This Row],[Date]],'DB Details'!$A:$L,12)</f>
        <v/>
      </c>
    </row>
    <row r="518">
      <c r="A518" s="39" t="n">
        <v>33117</v>
      </c>
      <c r="B518" s="57">
        <f>VLOOKUP(Table91213[[#This Row],[Date]],'DB Details'!$A:$L,2)</f>
        <v/>
      </c>
      <c r="C518" s="41">
        <f>VLOOKUP(Table91213[[#This Row],[Date]],'DB Details'!$A:$L,3)</f>
        <v/>
      </c>
      <c r="D518" s="55" t="n"/>
      <c r="E518" s="88">
        <f>VLOOKUP(Table91213[[#This Row],[Date]],'DB Details'!$A:$L,5)</f>
        <v/>
      </c>
      <c r="F518" s="88">
        <f>VLOOKUP(Table91213[[#This Row],[Date]],'DB Details'!$A:$L,6)</f>
        <v/>
      </c>
      <c r="G518" s="119" t="n"/>
      <c r="H518" s="88">
        <f>VLOOKUP(Table91213[[#This Row],[Date]],'DB Details'!$A:$L,8)</f>
        <v/>
      </c>
      <c r="I518" s="88">
        <f>VLOOKUP(Table91213[[#This Row],[Date]],'DB Details'!$A:$L,9)</f>
        <v/>
      </c>
      <c r="J518" s="88">
        <f>VLOOKUP(Table91213[[#This Row],[Date]],'DB Details'!$A:$L,10)</f>
        <v/>
      </c>
      <c r="K518" s="41">
        <f>VLOOKUP(Table91213[[#This Row],[Date]],'DB Details'!$A:$L,11)</f>
        <v/>
      </c>
      <c r="L518" s="88">
        <f>VLOOKUP(Table91213[[#This Row],[Date]],'DB Details'!$A:$L,12)</f>
        <v/>
      </c>
    </row>
    <row r="519">
      <c r="A519" s="39" t="n">
        <v>33147</v>
      </c>
      <c r="B519" s="57">
        <f>VLOOKUP(Table91213[[#This Row],[Date]],'DB Details'!$A:$L,2)</f>
        <v/>
      </c>
      <c r="C519" s="41">
        <f>VLOOKUP(Table91213[[#This Row],[Date]],'DB Details'!$A:$L,3)</f>
        <v/>
      </c>
      <c r="D519" s="55" t="n"/>
      <c r="E519" s="88">
        <f>VLOOKUP(Table91213[[#This Row],[Date]],'DB Details'!$A:$L,5)</f>
        <v/>
      </c>
      <c r="F519" s="88">
        <f>VLOOKUP(Table91213[[#This Row],[Date]],'DB Details'!$A:$L,6)</f>
        <v/>
      </c>
      <c r="G519" s="119" t="n"/>
      <c r="H519" s="88">
        <f>VLOOKUP(Table91213[[#This Row],[Date]],'DB Details'!$A:$L,8)</f>
        <v/>
      </c>
      <c r="I519" s="88">
        <f>VLOOKUP(Table91213[[#This Row],[Date]],'DB Details'!$A:$L,9)</f>
        <v/>
      </c>
      <c r="J519" s="88">
        <f>VLOOKUP(Table91213[[#This Row],[Date]],'DB Details'!$A:$L,10)</f>
        <v/>
      </c>
      <c r="K519" s="41">
        <f>VLOOKUP(Table91213[[#This Row],[Date]],'DB Details'!$A:$L,11)</f>
        <v/>
      </c>
      <c r="L519" s="88">
        <f>VLOOKUP(Table91213[[#This Row],[Date]],'DB Details'!$A:$L,12)</f>
        <v/>
      </c>
    </row>
    <row r="520">
      <c r="A520" s="39" t="n">
        <v>33178</v>
      </c>
      <c r="B520" s="57">
        <f>VLOOKUP(Table91213[[#This Row],[Date]],'DB Details'!$A:$L,2)</f>
        <v/>
      </c>
      <c r="C520" s="41">
        <f>VLOOKUP(Table91213[[#This Row],[Date]],'DB Details'!$A:$L,3)</f>
        <v/>
      </c>
      <c r="D520" s="55" t="n"/>
      <c r="E520" s="88">
        <f>VLOOKUP(Table91213[[#This Row],[Date]],'DB Details'!$A:$L,5)</f>
        <v/>
      </c>
      <c r="F520" s="88">
        <f>VLOOKUP(Table91213[[#This Row],[Date]],'DB Details'!$A:$L,6)</f>
        <v/>
      </c>
      <c r="G520" s="119" t="n"/>
      <c r="H520" s="88">
        <f>VLOOKUP(Table91213[[#This Row],[Date]],'DB Details'!$A:$L,8)</f>
        <v/>
      </c>
      <c r="I520" s="88">
        <f>VLOOKUP(Table91213[[#This Row],[Date]],'DB Details'!$A:$L,9)</f>
        <v/>
      </c>
      <c r="J520" s="88">
        <f>VLOOKUP(Table91213[[#This Row],[Date]],'DB Details'!$A:$L,10)</f>
        <v/>
      </c>
      <c r="K520" s="41">
        <f>VLOOKUP(Table91213[[#This Row],[Date]],'DB Details'!$A:$L,11)</f>
        <v/>
      </c>
      <c r="L520" s="88">
        <f>VLOOKUP(Table91213[[#This Row],[Date]],'DB Details'!$A:$L,12)</f>
        <v/>
      </c>
    </row>
    <row r="521">
      <c r="A521" s="39" t="n">
        <v>33208</v>
      </c>
      <c r="B521" s="57">
        <f>VLOOKUP(Table91213[[#This Row],[Date]],'DB Details'!$A:$L,2)</f>
        <v/>
      </c>
      <c r="C521" s="41">
        <f>VLOOKUP(Table91213[[#This Row],[Date]],'DB Details'!$A:$L,3)</f>
        <v/>
      </c>
      <c r="D521" s="55" t="n"/>
      <c r="E521" s="88">
        <f>VLOOKUP(Table91213[[#This Row],[Date]],'DB Details'!$A:$L,5)</f>
        <v/>
      </c>
      <c r="F521" s="88">
        <f>VLOOKUP(Table91213[[#This Row],[Date]],'DB Details'!$A:$L,6)</f>
        <v/>
      </c>
      <c r="G521" s="119" t="n"/>
      <c r="H521" s="88">
        <f>VLOOKUP(Table91213[[#This Row],[Date]],'DB Details'!$A:$L,8)</f>
        <v/>
      </c>
      <c r="I521" s="88">
        <f>VLOOKUP(Table91213[[#This Row],[Date]],'DB Details'!$A:$L,9)</f>
        <v/>
      </c>
      <c r="J521" s="88">
        <f>VLOOKUP(Table91213[[#This Row],[Date]],'DB Details'!$A:$L,10)</f>
        <v/>
      </c>
      <c r="K521" s="41">
        <f>VLOOKUP(Table91213[[#This Row],[Date]],'DB Details'!$A:$L,11)</f>
        <v/>
      </c>
      <c r="L521" s="88">
        <f>VLOOKUP(Table91213[[#This Row],[Date]],'DB Details'!$A:$L,12)</f>
        <v/>
      </c>
    </row>
    <row r="522">
      <c r="A522" s="39" t="n">
        <v>33239</v>
      </c>
      <c r="B522" s="57">
        <f>VLOOKUP(Table91213[[#This Row],[Date]],'DB Details'!$A:$L,2)</f>
        <v/>
      </c>
      <c r="C522" s="41">
        <f>VLOOKUP(Table91213[[#This Row],[Date]],'DB Details'!$A:$L,3)</f>
        <v/>
      </c>
      <c r="D522" s="55" t="n"/>
      <c r="E522" s="88">
        <f>VLOOKUP(Table91213[[#This Row],[Date]],'DB Details'!$A:$L,5)</f>
        <v/>
      </c>
      <c r="F522" s="88">
        <f>VLOOKUP(Table91213[[#This Row],[Date]],'DB Details'!$A:$L,6)</f>
        <v/>
      </c>
      <c r="G522" s="119" t="n"/>
      <c r="H522" s="88">
        <f>VLOOKUP(Table91213[[#This Row],[Date]],'DB Details'!$A:$L,8)</f>
        <v/>
      </c>
      <c r="I522" s="88">
        <f>VLOOKUP(Table91213[[#This Row],[Date]],'DB Details'!$A:$L,9)</f>
        <v/>
      </c>
      <c r="J522" s="88">
        <f>VLOOKUP(Table91213[[#This Row],[Date]],'DB Details'!$A:$L,10)</f>
        <v/>
      </c>
      <c r="K522" s="41">
        <f>VLOOKUP(Table91213[[#This Row],[Date]],'DB Details'!$A:$L,11)</f>
        <v/>
      </c>
      <c r="L522" s="88">
        <f>VLOOKUP(Table91213[[#This Row],[Date]],'DB Details'!$A:$L,12)</f>
        <v/>
      </c>
    </row>
    <row r="523">
      <c r="A523" s="39" t="n">
        <v>33270</v>
      </c>
      <c r="B523" s="57">
        <f>VLOOKUP(Table91213[[#This Row],[Date]],'DB Details'!$A:$L,2)</f>
        <v/>
      </c>
      <c r="C523" s="41">
        <f>VLOOKUP(Table91213[[#This Row],[Date]],'DB Details'!$A:$L,3)</f>
        <v/>
      </c>
      <c r="D523" s="55" t="n"/>
      <c r="E523" s="88">
        <f>VLOOKUP(Table91213[[#This Row],[Date]],'DB Details'!$A:$L,5)</f>
        <v/>
      </c>
      <c r="F523" s="88">
        <f>VLOOKUP(Table91213[[#This Row],[Date]],'DB Details'!$A:$L,6)</f>
        <v/>
      </c>
      <c r="G523" s="119" t="n"/>
      <c r="H523" s="88">
        <f>VLOOKUP(Table91213[[#This Row],[Date]],'DB Details'!$A:$L,8)</f>
        <v/>
      </c>
      <c r="I523" s="88">
        <f>VLOOKUP(Table91213[[#This Row],[Date]],'DB Details'!$A:$L,9)</f>
        <v/>
      </c>
      <c r="J523" s="88">
        <f>VLOOKUP(Table91213[[#This Row],[Date]],'DB Details'!$A:$L,10)</f>
        <v/>
      </c>
      <c r="K523" s="41">
        <f>VLOOKUP(Table91213[[#This Row],[Date]],'DB Details'!$A:$L,11)</f>
        <v/>
      </c>
      <c r="L523" s="88">
        <f>VLOOKUP(Table91213[[#This Row],[Date]],'DB Details'!$A:$L,12)</f>
        <v/>
      </c>
    </row>
    <row r="524">
      <c r="A524" s="39" t="n">
        <v>33298</v>
      </c>
      <c r="B524" s="57">
        <f>VLOOKUP(Table91213[[#This Row],[Date]],'DB Details'!$A:$L,2)</f>
        <v/>
      </c>
      <c r="C524" s="41">
        <f>VLOOKUP(Table91213[[#This Row],[Date]],'DB Details'!$A:$L,3)</f>
        <v/>
      </c>
      <c r="D524" s="55" t="n"/>
      <c r="E524" s="88">
        <f>VLOOKUP(Table91213[[#This Row],[Date]],'DB Details'!$A:$L,5)</f>
        <v/>
      </c>
      <c r="F524" s="88">
        <f>VLOOKUP(Table91213[[#This Row],[Date]],'DB Details'!$A:$L,6)</f>
        <v/>
      </c>
      <c r="G524" s="119" t="n"/>
      <c r="H524" s="88">
        <f>VLOOKUP(Table91213[[#This Row],[Date]],'DB Details'!$A:$L,8)</f>
        <v/>
      </c>
      <c r="I524" s="88">
        <f>VLOOKUP(Table91213[[#This Row],[Date]],'DB Details'!$A:$L,9)</f>
        <v/>
      </c>
      <c r="J524" s="88">
        <f>VLOOKUP(Table91213[[#This Row],[Date]],'DB Details'!$A:$L,10)</f>
        <v/>
      </c>
      <c r="K524" s="41">
        <f>VLOOKUP(Table91213[[#This Row],[Date]],'DB Details'!$A:$L,11)</f>
        <v/>
      </c>
      <c r="L524" s="88">
        <f>VLOOKUP(Table91213[[#This Row],[Date]],'DB Details'!$A:$L,12)</f>
        <v/>
      </c>
    </row>
    <row r="525">
      <c r="A525" s="39" t="n">
        <v>33329</v>
      </c>
      <c r="B525" s="57">
        <f>VLOOKUP(Table91213[[#This Row],[Date]],'DB Details'!$A:$L,2)</f>
        <v/>
      </c>
      <c r="C525" s="41">
        <f>VLOOKUP(Table91213[[#This Row],[Date]],'DB Details'!$A:$L,3)</f>
        <v/>
      </c>
      <c r="D525" s="55" t="n"/>
      <c r="E525" s="88">
        <f>VLOOKUP(Table91213[[#This Row],[Date]],'DB Details'!$A:$L,5)</f>
        <v/>
      </c>
      <c r="F525" s="88">
        <f>VLOOKUP(Table91213[[#This Row],[Date]],'DB Details'!$A:$L,6)</f>
        <v/>
      </c>
      <c r="G525" s="119" t="n"/>
      <c r="H525" s="88">
        <f>VLOOKUP(Table91213[[#This Row],[Date]],'DB Details'!$A:$L,8)</f>
        <v/>
      </c>
      <c r="I525" s="88">
        <f>VLOOKUP(Table91213[[#This Row],[Date]],'DB Details'!$A:$L,9)</f>
        <v/>
      </c>
      <c r="J525" s="88">
        <f>VLOOKUP(Table91213[[#This Row],[Date]],'DB Details'!$A:$L,10)</f>
        <v/>
      </c>
      <c r="K525" s="41">
        <f>VLOOKUP(Table91213[[#This Row],[Date]],'DB Details'!$A:$L,11)</f>
        <v/>
      </c>
      <c r="L525" s="88">
        <f>VLOOKUP(Table91213[[#This Row],[Date]],'DB Details'!$A:$L,12)</f>
        <v/>
      </c>
    </row>
    <row r="526">
      <c r="A526" s="39" t="n">
        <v>33359</v>
      </c>
      <c r="B526" s="57">
        <f>VLOOKUP(Table91213[[#This Row],[Date]],'DB Details'!$A:$L,2)</f>
        <v/>
      </c>
      <c r="C526" s="41">
        <f>VLOOKUP(Table91213[[#This Row],[Date]],'DB Details'!$A:$L,3)</f>
        <v/>
      </c>
      <c r="D526" s="55" t="n"/>
      <c r="E526" s="88">
        <f>VLOOKUP(Table91213[[#This Row],[Date]],'DB Details'!$A:$L,5)</f>
        <v/>
      </c>
      <c r="F526" s="88">
        <f>VLOOKUP(Table91213[[#This Row],[Date]],'DB Details'!$A:$L,6)</f>
        <v/>
      </c>
      <c r="G526" s="119" t="n"/>
      <c r="H526" s="88">
        <f>VLOOKUP(Table91213[[#This Row],[Date]],'DB Details'!$A:$L,8)</f>
        <v/>
      </c>
      <c r="I526" s="88">
        <f>VLOOKUP(Table91213[[#This Row],[Date]],'DB Details'!$A:$L,9)</f>
        <v/>
      </c>
      <c r="J526" s="88">
        <f>VLOOKUP(Table91213[[#This Row],[Date]],'DB Details'!$A:$L,10)</f>
        <v/>
      </c>
      <c r="K526" s="41">
        <f>VLOOKUP(Table91213[[#This Row],[Date]],'DB Details'!$A:$L,11)</f>
        <v/>
      </c>
      <c r="L526" s="88">
        <f>VLOOKUP(Table91213[[#This Row],[Date]],'DB Details'!$A:$L,12)</f>
        <v/>
      </c>
    </row>
    <row r="527">
      <c r="A527" s="39" t="n">
        <v>33390</v>
      </c>
      <c r="B527" s="57">
        <f>VLOOKUP(Table91213[[#This Row],[Date]],'DB Details'!$A:$L,2)</f>
        <v/>
      </c>
      <c r="C527" s="41">
        <f>VLOOKUP(Table91213[[#This Row],[Date]],'DB Details'!$A:$L,3)</f>
        <v/>
      </c>
      <c r="D527" s="55" t="n"/>
      <c r="E527" s="88">
        <f>VLOOKUP(Table91213[[#This Row],[Date]],'DB Details'!$A:$L,5)</f>
        <v/>
      </c>
      <c r="F527" s="88">
        <f>VLOOKUP(Table91213[[#This Row],[Date]],'DB Details'!$A:$L,6)</f>
        <v/>
      </c>
      <c r="G527" s="119" t="n"/>
      <c r="H527" s="88">
        <f>VLOOKUP(Table91213[[#This Row],[Date]],'DB Details'!$A:$L,8)</f>
        <v/>
      </c>
      <c r="I527" s="88">
        <f>VLOOKUP(Table91213[[#This Row],[Date]],'DB Details'!$A:$L,9)</f>
        <v/>
      </c>
      <c r="J527" s="88">
        <f>VLOOKUP(Table91213[[#This Row],[Date]],'DB Details'!$A:$L,10)</f>
        <v/>
      </c>
      <c r="K527" s="41">
        <f>VLOOKUP(Table91213[[#This Row],[Date]],'DB Details'!$A:$L,11)</f>
        <v/>
      </c>
      <c r="L527" s="88">
        <f>VLOOKUP(Table91213[[#This Row],[Date]],'DB Details'!$A:$L,12)</f>
        <v/>
      </c>
    </row>
    <row r="528">
      <c r="A528" s="39" t="n">
        <v>33420</v>
      </c>
      <c r="B528" s="57">
        <f>VLOOKUP(Table91213[[#This Row],[Date]],'DB Details'!$A:$L,2)</f>
        <v/>
      </c>
      <c r="C528" s="41">
        <f>VLOOKUP(Table91213[[#This Row],[Date]],'DB Details'!$A:$L,3)</f>
        <v/>
      </c>
      <c r="D528" s="55" t="n"/>
      <c r="E528" s="88">
        <f>VLOOKUP(Table91213[[#This Row],[Date]],'DB Details'!$A:$L,5)</f>
        <v/>
      </c>
      <c r="F528" s="88">
        <f>VLOOKUP(Table91213[[#This Row],[Date]],'DB Details'!$A:$L,6)</f>
        <v/>
      </c>
      <c r="G528" s="119" t="n"/>
      <c r="H528" s="88">
        <f>VLOOKUP(Table91213[[#This Row],[Date]],'DB Details'!$A:$L,8)</f>
        <v/>
      </c>
      <c r="I528" s="88">
        <f>VLOOKUP(Table91213[[#This Row],[Date]],'DB Details'!$A:$L,9)</f>
        <v/>
      </c>
      <c r="J528" s="88">
        <f>VLOOKUP(Table91213[[#This Row],[Date]],'DB Details'!$A:$L,10)</f>
        <v/>
      </c>
      <c r="K528" s="41">
        <f>VLOOKUP(Table91213[[#This Row],[Date]],'DB Details'!$A:$L,11)</f>
        <v/>
      </c>
      <c r="L528" s="88">
        <f>VLOOKUP(Table91213[[#This Row],[Date]],'DB Details'!$A:$L,12)</f>
        <v/>
      </c>
    </row>
    <row r="529">
      <c r="A529" s="39" t="n">
        <v>33451</v>
      </c>
      <c r="B529" s="57">
        <f>VLOOKUP(Table91213[[#This Row],[Date]],'DB Details'!$A:$L,2)</f>
        <v/>
      </c>
      <c r="C529" s="41">
        <f>VLOOKUP(Table91213[[#This Row],[Date]],'DB Details'!$A:$L,3)</f>
        <v/>
      </c>
      <c r="D529" s="55" t="n"/>
      <c r="E529" s="88">
        <f>VLOOKUP(Table91213[[#This Row],[Date]],'DB Details'!$A:$L,5)</f>
        <v/>
      </c>
      <c r="F529" s="88">
        <f>VLOOKUP(Table91213[[#This Row],[Date]],'DB Details'!$A:$L,6)</f>
        <v/>
      </c>
      <c r="G529" s="119" t="n"/>
      <c r="H529" s="88">
        <f>VLOOKUP(Table91213[[#This Row],[Date]],'DB Details'!$A:$L,8)</f>
        <v/>
      </c>
      <c r="I529" s="88">
        <f>VLOOKUP(Table91213[[#This Row],[Date]],'DB Details'!$A:$L,9)</f>
        <v/>
      </c>
      <c r="J529" s="88">
        <f>VLOOKUP(Table91213[[#This Row],[Date]],'DB Details'!$A:$L,10)</f>
        <v/>
      </c>
      <c r="K529" s="41">
        <f>VLOOKUP(Table91213[[#This Row],[Date]],'DB Details'!$A:$L,11)</f>
        <v/>
      </c>
      <c r="L529" s="88">
        <f>VLOOKUP(Table91213[[#This Row],[Date]],'DB Details'!$A:$L,12)</f>
        <v/>
      </c>
    </row>
    <row r="530">
      <c r="A530" s="39" t="n">
        <v>33482</v>
      </c>
      <c r="B530" s="57">
        <f>VLOOKUP(Table91213[[#This Row],[Date]],'DB Details'!$A:$L,2)</f>
        <v/>
      </c>
      <c r="C530" s="41">
        <f>VLOOKUP(Table91213[[#This Row],[Date]],'DB Details'!$A:$L,3)</f>
        <v/>
      </c>
      <c r="D530" s="55" t="n"/>
      <c r="E530" s="88">
        <f>VLOOKUP(Table91213[[#This Row],[Date]],'DB Details'!$A:$L,5)</f>
        <v/>
      </c>
      <c r="F530" s="88">
        <f>VLOOKUP(Table91213[[#This Row],[Date]],'DB Details'!$A:$L,6)</f>
        <v/>
      </c>
      <c r="G530" s="119" t="n"/>
      <c r="H530" s="88">
        <f>VLOOKUP(Table91213[[#This Row],[Date]],'DB Details'!$A:$L,8)</f>
        <v/>
      </c>
      <c r="I530" s="88">
        <f>VLOOKUP(Table91213[[#This Row],[Date]],'DB Details'!$A:$L,9)</f>
        <v/>
      </c>
      <c r="J530" s="88">
        <f>VLOOKUP(Table91213[[#This Row],[Date]],'DB Details'!$A:$L,10)</f>
        <v/>
      </c>
      <c r="K530" s="41">
        <f>VLOOKUP(Table91213[[#This Row],[Date]],'DB Details'!$A:$L,11)</f>
        <v/>
      </c>
      <c r="L530" s="88">
        <f>VLOOKUP(Table91213[[#This Row],[Date]],'DB Details'!$A:$L,12)</f>
        <v/>
      </c>
    </row>
    <row r="531">
      <c r="A531" s="39" t="n">
        <v>33512</v>
      </c>
      <c r="B531" s="57">
        <f>VLOOKUP(Table91213[[#This Row],[Date]],'DB Details'!$A:$L,2)</f>
        <v/>
      </c>
      <c r="C531" s="41">
        <f>VLOOKUP(Table91213[[#This Row],[Date]],'DB Details'!$A:$L,3)</f>
        <v/>
      </c>
      <c r="D531" s="55" t="n"/>
      <c r="E531" s="88">
        <f>VLOOKUP(Table91213[[#This Row],[Date]],'DB Details'!$A:$L,5)</f>
        <v/>
      </c>
      <c r="F531" s="88">
        <f>VLOOKUP(Table91213[[#This Row],[Date]],'DB Details'!$A:$L,6)</f>
        <v/>
      </c>
      <c r="G531" s="119" t="n"/>
      <c r="H531" s="88">
        <f>VLOOKUP(Table91213[[#This Row],[Date]],'DB Details'!$A:$L,8)</f>
        <v/>
      </c>
      <c r="I531" s="88">
        <f>VLOOKUP(Table91213[[#This Row],[Date]],'DB Details'!$A:$L,9)</f>
        <v/>
      </c>
      <c r="J531" s="88">
        <f>VLOOKUP(Table91213[[#This Row],[Date]],'DB Details'!$A:$L,10)</f>
        <v/>
      </c>
      <c r="K531" s="41">
        <f>VLOOKUP(Table91213[[#This Row],[Date]],'DB Details'!$A:$L,11)</f>
        <v/>
      </c>
      <c r="L531" s="88">
        <f>VLOOKUP(Table91213[[#This Row],[Date]],'DB Details'!$A:$L,12)</f>
        <v/>
      </c>
    </row>
    <row r="532">
      <c r="A532" s="39" t="n">
        <v>33543</v>
      </c>
      <c r="B532" s="57">
        <f>VLOOKUP(Table91213[[#This Row],[Date]],'DB Details'!$A:$L,2)</f>
        <v/>
      </c>
      <c r="C532" s="41">
        <f>VLOOKUP(Table91213[[#This Row],[Date]],'DB Details'!$A:$L,3)</f>
        <v/>
      </c>
      <c r="D532" s="55" t="n"/>
      <c r="E532" s="88">
        <f>VLOOKUP(Table91213[[#This Row],[Date]],'DB Details'!$A:$L,5)</f>
        <v/>
      </c>
      <c r="F532" s="88">
        <f>VLOOKUP(Table91213[[#This Row],[Date]],'DB Details'!$A:$L,6)</f>
        <v/>
      </c>
      <c r="G532" s="119" t="n"/>
      <c r="H532" s="88">
        <f>VLOOKUP(Table91213[[#This Row],[Date]],'DB Details'!$A:$L,8)</f>
        <v/>
      </c>
      <c r="I532" s="88">
        <f>VLOOKUP(Table91213[[#This Row],[Date]],'DB Details'!$A:$L,9)</f>
        <v/>
      </c>
      <c r="J532" s="88">
        <f>VLOOKUP(Table91213[[#This Row],[Date]],'DB Details'!$A:$L,10)</f>
        <v/>
      </c>
      <c r="K532" s="41">
        <f>VLOOKUP(Table91213[[#This Row],[Date]],'DB Details'!$A:$L,11)</f>
        <v/>
      </c>
      <c r="L532" s="88">
        <f>VLOOKUP(Table91213[[#This Row],[Date]],'DB Details'!$A:$L,12)</f>
        <v/>
      </c>
    </row>
    <row r="533">
      <c r="A533" s="39" t="n">
        <v>33573</v>
      </c>
      <c r="B533" s="57">
        <f>VLOOKUP(Table91213[[#This Row],[Date]],'DB Details'!$A:$L,2)</f>
        <v/>
      </c>
      <c r="C533" s="41">
        <f>VLOOKUP(Table91213[[#This Row],[Date]],'DB Details'!$A:$L,3)</f>
        <v/>
      </c>
      <c r="D533" s="55" t="n"/>
      <c r="E533" s="88">
        <f>VLOOKUP(Table91213[[#This Row],[Date]],'DB Details'!$A:$L,5)</f>
        <v/>
      </c>
      <c r="F533" s="88">
        <f>VLOOKUP(Table91213[[#This Row],[Date]],'DB Details'!$A:$L,6)</f>
        <v/>
      </c>
      <c r="G533" s="119" t="n"/>
      <c r="H533" s="88">
        <f>VLOOKUP(Table91213[[#This Row],[Date]],'DB Details'!$A:$L,8)</f>
        <v/>
      </c>
      <c r="I533" s="88">
        <f>VLOOKUP(Table91213[[#This Row],[Date]],'DB Details'!$A:$L,9)</f>
        <v/>
      </c>
      <c r="J533" s="88">
        <f>VLOOKUP(Table91213[[#This Row],[Date]],'DB Details'!$A:$L,10)</f>
        <v/>
      </c>
      <c r="K533" s="41">
        <f>VLOOKUP(Table91213[[#This Row],[Date]],'DB Details'!$A:$L,11)</f>
        <v/>
      </c>
      <c r="L533" s="88">
        <f>VLOOKUP(Table91213[[#This Row],[Date]],'DB Details'!$A:$L,12)</f>
        <v/>
      </c>
    </row>
    <row r="534">
      <c r="A534" s="39" t="n">
        <v>33604</v>
      </c>
      <c r="B534" s="57">
        <f>VLOOKUP(Table91213[[#This Row],[Date]],'DB Details'!$A:$L,2)</f>
        <v/>
      </c>
      <c r="C534" s="41">
        <f>VLOOKUP(Table91213[[#This Row],[Date]],'DB Details'!$A:$L,3)</f>
        <v/>
      </c>
      <c r="D534" s="55" t="n"/>
      <c r="E534" s="88">
        <f>VLOOKUP(Table91213[[#This Row],[Date]],'DB Details'!$A:$L,5)</f>
        <v/>
      </c>
      <c r="F534" s="88">
        <f>VLOOKUP(Table91213[[#This Row],[Date]],'DB Details'!$A:$L,6)</f>
        <v/>
      </c>
      <c r="G534" s="119" t="n"/>
      <c r="H534" s="88">
        <f>VLOOKUP(Table91213[[#This Row],[Date]],'DB Details'!$A:$L,8)</f>
        <v/>
      </c>
      <c r="I534" s="88">
        <f>VLOOKUP(Table91213[[#This Row],[Date]],'DB Details'!$A:$L,9)</f>
        <v/>
      </c>
      <c r="J534" s="88">
        <f>VLOOKUP(Table91213[[#This Row],[Date]],'DB Details'!$A:$L,10)</f>
        <v/>
      </c>
      <c r="K534" s="41">
        <f>VLOOKUP(Table91213[[#This Row],[Date]],'DB Details'!$A:$L,11)</f>
        <v/>
      </c>
      <c r="L534" s="88">
        <f>VLOOKUP(Table91213[[#This Row],[Date]],'DB Details'!$A:$L,12)</f>
        <v/>
      </c>
    </row>
    <row r="535">
      <c r="A535" s="39" t="n">
        <v>33635</v>
      </c>
      <c r="B535" s="57">
        <f>VLOOKUP(Table91213[[#This Row],[Date]],'DB Details'!$A:$L,2)</f>
        <v/>
      </c>
      <c r="C535" s="41">
        <f>VLOOKUP(Table91213[[#This Row],[Date]],'DB Details'!$A:$L,3)</f>
        <v/>
      </c>
      <c r="D535" s="55" t="n"/>
      <c r="E535" s="88">
        <f>VLOOKUP(Table91213[[#This Row],[Date]],'DB Details'!$A:$L,5)</f>
        <v/>
      </c>
      <c r="F535" s="88">
        <f>VLOOKUP(Table91213[[#This Row],[Date]],'DB Details'!$A:$L,6)</f>
        <v/>
      </c>
      <c r="G535" s="119" t="n"/>
      <c r="H535" s="88">
        <f>VLOOKUP(Table91213[[#This Row],[Date]],'DB Details'!$A:$L,8)</f>
        <v/>
      </c>
      <c r="I535" s="88">
        <f>VLOOKUP(Table91213[[#This Row],[Date]],'DB Details'!$A:$L,9)</f>
        <v/>
      </c>
      <c r="J535" s="88">
        <f>VLOOKUP(Table91213[[#This Row],[Date]],'DB Details'!$A:$L,10)</f>
        <v/>
      </c>
      <c r="K535" s="41">
        <f>VLOOKUP(Table91213[[#This Row],[Date]],'DB Details'!$A:$L,11)</f>
        <v/>
      </c>
      <c r="L535" s="88">
        <f>VLOOKUP(Table91213[[#This Row],[Date]],'DB Details'!$A:$L,12)</f>
        <v/>
      </c>
    </row>
    <row r="536">
      <c r="A536" s="39" t="n">
        <v>33664</v>
      </c>
      <c r="B536" s="57">
        <f>VLOOKUP(Table91213[[#This Row],[Date]],'DB Details'!$A:$L,2)</f>
        <v/>
      </c>
      <c r="C536" s="41">
        <f>VLOOKUP(Table91213[[#This Row],[Date]],'DB Details'!$A:$L,3)</f>
        <v/>
      </c>
      <c r="D536" s="55" t="n"/>
      <c r="E536" s="88">
        <f>VLOOKUP(Table91213[[#This Row],[Date]],'DB Details'!$A:$L,5)</f>
        <v/>
      </c>
      <c r="F536" s="88">
        <f>VLOOKUP(Table91213[[#This Row],[Date]],'DB Details'!$A:$L,6)</f>
        <v/>
      </c>
      <c r="G536" s="119" t="n"/>
      <c r="H536" s="88">
        <f>VLOOKUP(Table91213[[#This Row],[Date]],'DB Details'!$A:$L,8)</f>
        <v/>
      </c>
      <c r="I536" s="88">
        <f>VLOOKUP(Table91213[[#This Row],[Date]],'DB Details'!$A:$L,9)</f>
        <v/>
      </c>
      <c r="J536" s="88">
        <f>VLOOKUP(Table91213[[#This Row],[Date]],'DB Details'!$A:$L,10)</f>
        <v/>
      </c>
      <c r="K536" s="41">
        <f>VLOOKUP(Table91213[[#This Row],[Date]],'DB Details'!$A:$L,11)</f>
        <v/>
      </c>
      <c r="L536" s="88">
        <f>VLOOKUP(Table91213[[#This Row],[Date]],'DB Details'!$A:$L,12)</f>
        <v/>
      </c>
    </row>
    <row r="537">
      <c r="A537" s="39" t="n">
        <v>33695</v>
      </c>
      <c r="B537" s="57">
        <f>VLOOKUP(Table91213[[#This Row],[Date]],'DB Details'!$A:$L,2)</f>
        <v/>
      </c>
      <c r="C537" s="41">
        <f>VLOOKUP(Table91213[[#This Row],[Date]],'DB Details'!$A:$L,3)</f>
        <v/>
      </c>
      <c r="D537" s="55" t="n"/>
      <c r="E537" s="88">
        <f>VLOOKUP(Table91213[[#This Row],[Date]],'DB Details'!$A:$L,5)</f>
        <v/>
      </c>
      <c r="F537" s="88">
        <f>VLOOKUP(Table91213[[#This Row],[Date]],'DB Details'!$A:$L,6)</f>
        <v/>
      </c>
      <c r="G537" s="119" t="n"/>
      <c r="H537" s="88">
        <f>VLOOKUP(Table91213[[#This Row],[Date]],'DB Details'!$A:$L,8)</f>
        <v/>
      </c>
      <c r="I537" s="88">
        <f>VLOOKUP(Table91213[[#This Row],[Date]],'DB Details'!$A:$L,9)</f>
        <v/>
      </c>
      <c r="J537" s="88">
        <f>VLOOKUP(Table91213[[#This Row],[Date]],'DB Details'!$A:$L,10)</f>
        <v/>
      </c>
      <c r="K537" s="41">
        <f>VLOOKUP(Table91213[[#This Row],[Date]],'DB Details'!$A:$L,11)</f>
        <v/>
      </c>
      <c r="L537" s="88">
        <f>VLOOKUP(Table91213[[#This Row],[Date]],'DB Details'!$A:$L,12)</f>
        <v/>
      </c>
    </row>
    <row r="538">
      <c r="A538" s="39" t="n">
        <v>33725</v>
      </c>
      <c r="B538" s="57">
        <f>VLOOKUP(Table91213[[#This Row],[Date]],'DB Details'!$A:$L,2)</f>
        <v/>
      </c>
      <c r="C538" s="41">
        <f>VLOOKUP(Table91213[[#This Row],[Date]],'DB Details'!$A:$L,3)</f>
        <v/>
      </c>
      <c r="D538" s="55" t="n"/>
      <c r="E538" s="88">
        <f>VLOOKUP(Table91213[[#This Row],[Date]],'DB Details'!$A:$L,5)</f>
        <v/>
      </c>
      <c r="F538" s="88">
        <f>VLOOKUP(Table91213[[#This Row],[Date]],'DB Details'!$A:$L,6)</f>
        <v/>
      </c>
      <c r="G538" s="119" t="n"/>
      <c r="H538" s="88">
        <f>VLOOKUP(Table91213[[#This Row],[Date]],'DB Details'!$A:$L,8)</f>
        <v/>
      </c>
      <c r="I538" s="88">
        <f>VLOOKUP(Table91213[[#This Row],[Date]],'DB Details'!$A:$L,9)</f>
        <v/>
      </c>
      <c r="J538" s="88">
        <f>VLOOKUP(Table91213[[#This Row],[Date]],'DB Details'!$A:$L,10)</f>
        <v/>
      </c>
      <c r="K538" s="41">
        <f>VLOOKUP(Table91213[[#This Row],[Date]],'DB Details'!$A:$L,11)</f>
        <v/>
      </c>
      <c r="L538" s="88">
        <f>VLOOKUP(Table91213[[#This Row],[Date]],'DB Details'!$A:$L,12)</f>
        <v/>
      </c>
    </row>
    <row r="539">
      <c r="A539" s="39" t="n">
        <v>33756</v>
      </c>
      <c r="B539" s="57">
        <f>VLOOKUP(Table91213[[#This Row],[Date]],'DB Details'!$A:$L,2)</f>
        <v/>
      </c>
      <c r="C539" s="41">
        <f>VLOOKUP(Table91213[[#This Row],[Date]],'DB Details'!$A:$L,3)</f>
        <v/>
      </c>
      <c r="D539" s="55" t="n"/>
      <c r="E539" s="88">
        <f>VLOOKUP(Table91213[[#This Row],[Date]],'DB Details'!$A:$L,5)</f>
        <v/>
      </c>
      <c r="F539" s="88">
        <f>VLOOKUP(Table91213[[#This Row],[Date]],'DB Details'!$A:$L,6)</f>
        <v/>
      </c>
      <c r="G539" s="119" t="n"/>
      <c r="H539" s="88">
        <f>VLOOKUP(Table91213[[#This Row],[Date]],'DB Details'!$A:$L,8)</f>
        <v/>
      </c>
      <c r="I539" s="88">
        <f>VLOOKUP(Table91213[[#This Row],[Date]],'DB Details'!$A:$L,9)</f>
        <v/>
      </c>
      <c r="J539" s="88">
        <f>VLOOKUP(Table91213[[#This Row],[Date]],'DB Details'!$A:$L,10)</f>
        <v/>
      </c>
      <c r="K539" s="41">
        <f>VLOOKUP(Table91213[[#This Row],[Date]],'DB Details'!$A:$L,11)</f>
        <v/>
      </c>
      <c r="L539" s="88">
        <f>VLOOKUP(Table91213[[#This Row],[Date]],'DB Details'!$A:$L,12)</f>
        <v/>
      </c>
    </row>
    <row r="540">
      <c r="A540" s="39" t="n">
        <v>33786</v>
      </c>
      <c r="B540" s="57">
        <f>VLOOKUP(Table91213[[#This Row],[Date]],'DB Details'!$A:$L,2)</f>
        <v/>
      </c>
      <c r="C540" s="41">
        <f>VLOOKUP(Table91213[[#This Row],[Date]],'DB Details'!$A:$L,3)</f>
        <v/>
      </c>
      <c r="D540" s="55" t="n"/>
      <c r="E540" s="88">
        <f>VLOOKUP(Table91213[[#This Row],[Date]],'DB Details'!$A:$L,5)</f>
        <v/>
      </c>
      <c r="F540" s="88">
        <f>VLOOKUP(Table91213[[#This Row],[Date]],'DB Details'!$A:$L,6)</f>
        <v/>
      </c>
      <c r="G540" s="119" t="n"/>
      <c r="H540" s="88">
        <f>VLOOKUP(Table91213[[#This Row],[Date]],'DB Details'!$A:$L,8)</f>
        <v/>
      </c>
      <c r="I540" s="88">
        <f>VLOOKUP(Table91213[[#This Row],[Date]],'DB Details'!$A:$L,9)</f>
        <v/>
      </c>
      <c r="J540" s="88">
        <f>VLOOKUP(Table91213[[#This Row],[Date]],'DB Details'!$A:$L,10)</f>
        <v/>
      </c>
      <c r="K540" s="41">
        <f>VLOOKUP(Table91213[[#This Row],[Date]],'DB Details'!$A:$L,11)</f>
        <v/>
      </c>
      <c r="L540" s="88">
        <f>VLOOKUP(Table91213[[#This Row],[Date]],'DB Details'!$A:$L,12)</f>
        <v/>
      </c>
    </row>
    <row r="541">
      <c r="A541" s="39" t="n">
        <v>33817</v>
      </c>
      <c r="B541" s="57">
        <f>VLOOKUP(Table91213[[#This Row],[Date]],'DB Details'!$A:$L,2)</f>
        <v/>
      </c>
      <c r="C541" s="41">
        <f>VLOOKUP(Table91213[[#This Row],[Date]],'DB Details'!$A:$L,3)</f>
        <v/>
      </c>
      <c r="D541" s="55" t="n"/>
      <c r="E541" s="88">
        <f>VLOOKUP(Table91213[[#This Row],[Date]],'DB Details'!$A:$L,5)</f>
        <v/>
      </c>
      <c r="F541" s="88">
        <f>VLOOKUP(Table91213[[#This Row],[Date]],'DB Details'!$A:$L,6)</f>
        <v/>
      </c>
      <c r="G541" s="119" t="n"/>
      <c r="H541" s="88">
        <f>VLOOKUP(Table91213[[#This Row],[Date]],'DB Details'!$A:$L,8)</f>
        <v/>
      </c>
      <c r="I541" s="88">
        <f>VLOOKUP(Table91213[[#This Row],[Date]],'DB Details'!$A:$L,9)</f>
        <v/>
      </c>
      <c r="J541" s="88">
        <f>VLOOKUP(Table91213[[#This Row],[Date]],'DB Details'!$A:$L,10)</f>
        <v/>
      </c>
      <c r="K541" s="41">
        <f>VLOOKUP(Table91213[[#This Row],[Date]],'DB Details'!$A:$L,11)</f>
        <v/>
      </c>
      <c r="L541" s="88">
        <f>VLOOKUP(Table91213[[#This Row],[Date]],'DB Details'!$A:$L,12)</f>
        <v/>
      </c>
    </row>
    <row r="542">
      <c r="A542" s="39" t="n">
        <v>33848</v>
      </c>
      <c r="B542" s="57">
        <f>VLOOKUP(Table91213[[#This Row],[Date]],'DB Details'!$A:$L,2)</f>
        <v/>
      </c>
      <c r="C542" s="41">
        <f>VLOOKUP(Table91213[[#This Row],[Date]],'DB Details'!$A:$L,3)</f>
        <v/>
      </c>
      <c r="D542" s="55" t="n"/>
      <c r="E542" s="88">
        <f>VLOOKUP(Table91213[[#This Row],[Date]],'DB Details'!$A:$L,5)</f>
        <v/>
      </c>
      <c r="F542" s="88">
        <f>VLOOKUP(Table91213[[#This Row],[Date]],'DB Details'!$A:$L,6)</f>
        <v/>
      </c>
      <c r="G542" s="119" t="n"/>
      <c r="H542" s="88">
        <f>VLOOKUP(Table91213[[#This Row],[Date]],'DB Details'!$A:$L,8)</f>
        <v/>
      </c>
      <c r="I542" s="88">
        <f>VLOOKUP(Table91213[[#This Row],[Date]],'DB Details'!$A:$L,9)</f>
        <v/>
      </c>
      <c r="J542" s="88">
        <f>VLOOKUP(Table91213[[#This Row],[Date]],'DB Details'!$A:$L,10)</f>
        <v/>
      </c>
      <c r="K542" s="41">
        <f>VLOOKUP(Table91213[[#This Row],[Date]],'DB Details'!$A:$L,11)</f>
        <v/>
      </c>
      <c r="L542" s="88">
        <f>VLOOKUP(Table91213[[#This Row],[Date]],'DB Details'!$A:$L,12)</f>
        <v/>
      </c>
    </row>
    <row r="543">
      <c r="A543" s="39" t="n">
        <v>33878</v>
      </c>
      <c r="B543" s="57">
        <f>VLOOKUP(Table91213[[#This Row],[Date]],'DB Details'!$A:$L,2)</f>
        <v/>
      </c>
      <c r="C543" s="41">
        <f>VLOOKUP(Table91213[[#This Row],[Date]],'DB Details'!$A:$L,3)</f>
        <v/>
      </c>
      <c r="D543" s="55" t="n"/>
      <c r="E543" s="88">
        <f>VLOOKUP(Table91213[[#This Row],[Date]],'DB Details'!$A:$L,5)</f>
        <v/>
      </c>
      <c r="F543" s="88">
        <f>VLOOKUP(Table91213[[#This Row],[Date]],'DB Details'!$A:$L,6)</f>
        <v/>
      </c>
      <c r="G543" s="119" t="n"/>
      <c r="H543" s="88">
        <f>VLOOKUP(Table91213[[#This Row],[Date]],'DB Details'!$A:$L,8)</f>
        <v/>
      </c>
      <c r="I543" s="88">
        <f>VLOOKUP(Table91213[[#This Row],[Date]],'DB Details'!$A:$L,9)</f>
        <v/>
      </c>
      <c r="J543" s="88">
        <f>VLOOKUP(Table91213[[#This Row],[Date]],'DB Details'!$A:$L,10)</f>
        <v/>
      </c>
      <c r="K543" s="41">
        <f>VLOOKUP(Table91213[[#This Row],[Date]],'DB Details'!$A:$L,11)</f>
        <v/>
      </c>
      <c r="L543" s="88">
        <f>VLOOKUP(Table91213[[#This Row],[Date]],'DB Details'!$A:$L,12)</f>
        <v/>
      </c>
    </row>
    <row r="544">
      <c r="A544" s="39" t="n">
        <v>33909</v>
      </c>
      <c r="B544" s="57">
        <f>VLOOKUP(Table91213[[#This Row],[Date]],'DB Details'!$A:$L,2)</f>
        <v/>
      </c>
      <c r="C544" s="41">
        <f>VLOOKUP(Table91213[[#This Row],[Date]],'DB Details'!$A:$L,3)</f>
        <v/>
      </c>
      <c r="D544" s="55" t="n"/>
      <c r="E544" s="88">
        <f>VLOOKUP(Table91213[[#This Row],[Date]],'DB Details'!$A:$L,5)</f>
        <v/>
      </c>
      <c r="F544" s="88">
        <f>VLOOKUP(Table91213[[#This Row],[Date]],'DB Details'!$A:$L,6)</f>
        <v/>
      </c>
      <c r="G544" s="119" t="n"/>
      <c r="H544" s="88">
        <f>VLOOKUP(Table91213[[#This Row],[Date]],'DB Details'!$A:$L,8)</f>
        <v/>
      </c>
      <c r="I544" s="88">
        <f>VLOOKUP(Table91213[[#This Row],[Date]],'DB Details'!$A:$L,9)</f>
        <v/>
      </c>
      <c r="J544" s="88">
        <f>VLOOKUP(Table91213[[#This Row],[Date]],'DB Details'!$A:$L,10)</f>
        <v/>
      </c>
      <c r="K544" s="41">
        <f>VLOOKUP(Table91213[[#This Row],[Date]],'DB Details'!$A:$L,11)</f>
        <v/>
      </c>
      <c r="L544" s="88">
        <f>VLOOKUP(Table91213[[#This Row],[Date]],'DB Details'!$A:$L,12)</f>
        <v/>
      </c>
    </row>
    <row r="545">
      <c r="A545" s="39" t="n">
        <v>33939</v>
      </c>
      <c r="B545" s="57">
        <f>VLOOKUP(Table91213[[#This Row],[Date]],'DB Details'!$A:$L,2)</f>
        <v/>
      </c>
      <c r="C545" s="41">
        <f>VLOOKUP(Table91213[[#This Row],[Date]],'DB Details'!$A:$L,3)</f>
        <v/>
      </c>
      <c r="D545" s="55" t="n"/>
      <c r="E545" s="88">
        <f>VLOOKUP(Table91213[[#This Row],[Date]],'DB Details'!$A:$L,5)</f>
        <v/>
      </c>
      <c r="F545" s="88">
        <f>VLOOKUP(Table91213[[#This Row],[Date]],'DB Details'!$A:$L,6)</f>
        <v/>
      </c>
      <c r="G545" s="119" t="n"/>
      <c r="H545" s="88">
        <f>VLOOKUP(Table91213[[#This Row],[Date]],'DB Details'!$A:$L,8)</f>
        <v/>
      </c>
      <c r="I545" s="88">
        <f>VLOOKUP(Table91213[[#This Row],[Date]],'DB Details'!$A:$L,9)</f>
        <v/>
      </c>
      <c r="J545" s="88">
        <f>VLOOKUP(Table91213[[#This Row],[Date]],'DB Details'!$A:$L,10)</f>
        <v/>
      </c>
      <c r="K545" s="41">
        <f>VLOOKUP(Table91213[[#This Row],[Date]],'DB Details'!$A:$L,11)</f>
        <v/>
      </c>
      <c r="L545" s="88">
        <f>VLOOKUP(Table91213[[#This Row],[Date]],'DB Details'!$A:$L,12)</f>
        <v/>
      </c>
    </row>
    <row r="546">
      <c r="A546" s="39" t="n">
        <v>33970</v>
      </c>
      <c r="B546" s="57">
        <f>VLOOKUP(Table91213[[#This Row],[Date]],'DB Details'!$A:$L,2)</f>
        <v/>
      </c>
      <c r="C546" s="41">
        <f>VLOOKUP(Table91213[[#This Row],[Date]],'DB Details'!$A:$L,3)</f>
        <v/>
      </c>
      <c r="D546" s="55">
        <f>VLOOKUP(Table91213[[#This Row],[Date]],'DB Details'!$A:$L,4)</f>
        <v/>
      </c>
      <c r="E546" s="88">
        <f>VLOOKUP(Table91213[[#This Row],[Date]],'DB Details'!$A:$L,5)</f>
        <v/>
      </c>
      <c r="F546" s="88">
        <f>VLOOKUP(Table91213[[#This Row],[Date]],'DB Details'!$A:$L,6)</f>
        <v/>
      </c>
      <c r="G546" s="119" t="n"/>
      <c r="H546" s="88">
        <f>VLOOKUP(Table91213[[#This Row],[Date]],'DB Details'!$A:$L,8)</f>
        <v/>
      </c>
      <c r="I546" s="88">
        <f>VLOOKUP(Table91213[[#This Row],[Date]],'DB Details'!$A:$L,9)</f>
        <v/>
      </c>
      <c r="J546" s="88">
        <f>VLOOKUP(Table91213[[#This Row],[Date]],'DB Details'!$A:$L,10)</f>
        <v/>
      </c>
      <c r="K546" s="41">
        <f>VLOOKUP(Table91213[[#This Row],[Date]],'DB Details'!$A:$L,11)</f>
        <v/>
      </c>
      <c r="L546" s="88">
        <f>VLOOKUP(Table91213[[#This Row],[Date]],'DB Details'!$A:$L,12)</f>
        <v/>
      </c>
    </row>
    <row r="547">
      <c r="A547" s="39" t="n">
        <v>34001</v>
      </c>
      <c r="B547" s="57">
        <f>VLOOKUP(Table91213[[#This Row],[Date]],'DB Details'!$A:$L,2)</f>
        <v/>
      </c>
      <c r="C547" s="41">
        <f>VLOOKUP(Table91213[[#This Row],[Date]],'DB Details'!$A:$L,3)</f>
        <v/>
      </c>
      <c r="D547" s="55">
        <f>VLOOKUP(Table91213[[#This Row],[Date]],'DB Details'!$A:$L,4)</f>
        <v/>
      </c>
      <c r="E547" s="88">
        <f>VLOOKUP(Table91213[[#This Row],[Date]],'DB Details'!$A:$L,5)</f>
        <v/>
      </c>
      <c r="F547" s="88">
        <f>VLOOKUP(Table91213[[#This Row],[Date]],'DB Details'!$A:$L,6)</f>
        <v/>
      </c>
      <c r="G547" s="119" t="n"/>
      <c r="H547" s="88">
        <f>VLOOKUP(Table91213[[#This Row],[Date]],'DB Details'!$A:$L,8)</f>
        <v/>
      </c>
      <c r="I547" s="88">
        <f>VLOOKUP(Table91213[[#This Row],[Date]],'DB Details'!$A:$L,9)</f>
        <v/>
      </c>
      <c r="J547" s="88">
        <f>VLOOKUP(Table91213[[#This Row],[Date]],'DB Details'!$A:$L,10)</f>
        <v/>
      </c>
      <c r="K547" s="41">
        <f>VLOOKUP(Table91213[[#This Row],[Date]],'DB Details'!$A:$L,11)</f>
        <v/>
      </c>
      <c r="L547" s="88">
        <f>VLOOKUP(Table91213[[#This Row],[Date]],'DB Details'!$A:$L,12)</f>
        <v/>
      </c>
    </row>
    <row r="548">
      <c r="A548" s="39" t="n">
        <v>34029</v>
      </c>
      <c r="B548" s="57">
        <f>VLOOKUP(Table91213[[#This Row],[Date]],'DB Details'!$A:$L,2)</f>
        <v/>
      </c>
      <c r="C548" s="41">
        <f>VLOOKUP(Table91213[[#This Row],[Date]],'DB Details'!$A:$L,3)</f>
        <v/>
      </c>
      <c r="D548" s="55">
        <f>VLOOKUP(Table91213[[#This Row],[Date]],'DB Details'!$A:$L,4)</f>
        <v/>
      </c>
      <c r="E548" s="88">
        <f>VLOOKUP(Table91213[[#This Row],[Date]],'DB Details'!$A:$L,5)</f>
        <v/>
      </c>
      <c r="F548" s="88">
        <f>VLOOKUP(Table91213[[#This Row],[Date]],'DB Details'!$A:$L,6)</f>
        <v/>
      </c>
      <c r="G548" s="119" t="n"/>
      <c r="H548" s="88">
        <f>VLOOKUP(Table91213[[#This Row],[Date]],'DB Details'!$A:$L,8)</f>
        <v/>
      </c>
      <c r="I548" s="88">
        <f>VLOOKUP(Table91213[[#This Row],[Date]],'DB Details'!$A:$L,9)</f>
        <v/>
      </c>
      <c r="J548" s="88">
        <f>VLOOKUP(Table91213[[#This Row],[Date]],'DB Details'!$A:$L,10)</f>
        <v/>
      </c>
      <c r="K548" s="41">
        <f>VLOOKUP(Table91213[[#This Row],[Date]],'DB Details'!$A:$L,11)</f>
        <v/>
      </c>
      <c r="L548" s="88">
        <f>VLOOKUP(Table91213[[#This Row],[Date]],'DB Details'!$A:$L,12)</f>
        <v/>
      </c>
    </row>
    <row r="549">
      <c r="A549" s="39" t="n">
        <v>34060</v>
      </c>
      <c r="B549" s="57">
        <f>VLOOKUP(Table91213[[#This Row],[Date]],'DB Details'!$A:$L,2)</f>
        <v/>
      </c>
      <c r="C549" s="41">
        <f>VLOOKUP(Table91213[[#This Row],[Date]],'DB Details'!$A:$L,3)</f>
        <v/>
      </c>
      <c r="D549" s="55">
        <f>VLOOKUP(Table91213[[#This Row],[Date]],'DB Details'!$A:$L,4)</f>
        <v/>
      </c>
      <c r="E549" s="88">
        <f>VLOOKUP(Table91213[[#This Row],[Date]],'DB Details'!$A:$L,5)</f>
        <v/>
      </c>
      <c r="F549" s="88">
        <f>VLOOKUP(Table91213[[#This Row],[Date]],'DB Details'!$A:$L,6)</f>
        <v/>
      </c>
      <c r="G549" s="119" t="n"/>
      <c r="H549" s="88">
        <f>VLOOKUP(Table91213[[#This Row],[Date]],'DB Details'!$A:$L,8)</f>
        <v/>
      </c>
      <c r="I549" s="88">
        <f>VLOOKUP(Table91213[[#This Row],[Date]],'DB Details'!$A:$L,9)</f>
        <v/>
      </c>
      <c r="J549" s="88">
        <f>VLOOKUP(Table91213[[#This Row],[Date]],'DB Details'!$A:$L,10)</f>
        <v/>
      </c>
      <c r="K549" s="41">
        <f>VLOOKUP(Table91213[[#This Row],[Date]],'DB Details'!$A:$L,11)</f>
        <v/>
      </c>
      <c r="L549" s="88">
        <f>VLOOKUP(Table91213[[#This Row],[Date]],'DB Details'!$A:$L,12)</f>
        <v/>
      </c>
    </row>
    <row r="550">
      <c r="A550" s="39" t="n">
        <v>34090</v>
      </c>
      <c r="B550" s="57">
        <f>VLOOKUP(Table91213[[#This Row],[Date]],'DB Details'!$A:$L,2)</f>
        <v/>
      </c>
      <c r="C550" s="41">
        <f>VLOOKUP(Table91213[[#This Row],[Date]],'DB Details'!$A:$L,3)</f>
        <v/>
      </c>
      <c r="D550" s="55">
        <f>VLOOKUP(Table91213[[#This Row],[Date]],'DB Details'!$A:$L,4)</f>
        <v/>
      </c>
      <c r="E550" s="88">
        <f>VLOOKUP(Table91213[[#This Row],[Date]],'DB Details'!$A:$L,5)</f>
        <v/>
      </c>
      <c r="F550" s="88">
        <f>VLOOKUP(Table91213[[#This Row],[Date]],'DB Details'!$A:$L,6)</f>
        <v/>
      </c>
      <c r="G550" s="119" t="n"/>
      <c r="H550" s="88">
        <f>VLOOKUP(Table91213[[#This Row],[Date]],'DB Details'!$A:$L,8)</f>
        <v/>
      </c>
      <c r="I550" s="88">
        <f>VLOOKUP(Table91213[[#This Row],[Date]],'DB Details'!$A:$L,9)</f>
        <v/>
      </c>
      <c r="J550" s="88">
        <f>VLOOKUP(Table91213[[#This Row],[Date]],'DB Details'!$A:$L,10)</f>
        <v/>
      </c>
      <c r="K550" s="41">
        <f>VLOOKUP(Table91213[[#This Row],[Date]],'DB Details'!$A:$L,11)</f>
        <v/>
      </c>
      <c r="L550" s="88">
        <f>VLOOKUP(Table91213[[#This Row],[Date]],'DB Details'!$A:$L,12)</f>
        <v/>
      </c>
    </row>
    <row r="551">
      <c r="A551" s="39" t="n">
        <v>34121</v>
      </c>
      <c r="B551" s="57">
        <f>VLOOKUP(Table91213[[#This Row],[Date]],'DB Details'!$A:$L,2)</f>
        <v/>
      </c>
      <c r="C551" s="41">
        <f>VLOOKUP(Table91213[[#This Row],[Date]],'DB Details'!$A:$L,3)</f>
        <v/>
      </c>
      <c r="D551" s="55">
        <f>VLOOKUP(Table91213[[#This Row],[Date]],'DB Details'!$A:$L,4)</f>
        <v/>
      </c>
      <c r="E551" s="88">
        <f>VLOOKUP(Table91213[[#This Row],[Date]],'DB Details'!$A:$L,5)</f>
        <v/>
      </c>
      <c r="F551" s="88">
        <f>VLOOKUP(Table91213[[#This Row],[Date]],'DB Details'!$A:$L,6)</f>
        <v/>
      </c>
      <c r="G551" s="119" t="n"/>
      <c r="H551" s="88">
        <f>VLOOKUP(Table91213[[#This Row],[Date]],'DB Details'!$A:$L,8)</f>
        <v/>
      </c>
      <c r="I551" s="88">
        <f>VLOOKUP(Table91213[[#This Row],[Date]],'DB Details'!$A:$L,9)</f>
        <v/>
      </c>
      <c r="J551" s="88">
        <f>VLOOKUP(Table91213[[#This Row],[Date]],'DB Details'!$A:$L,10)</f>
        <v/>
      </c>
      <c r="K551" s="41">
        <f>VLOOKUP(Table91213[[#This Row],[Date]],'DB Details'!$A:$L,11)</f>
        <v/>
      </c>
      <c r="L551" s="88">
        <f>VLOOKUP(Table91213[[#This Row],[Date]],'DB Details'!$A:$L,12)</f>
        <v/>
      </c>
    </row>
    <row r="552">
      <c r="A552" s="39" t="n">
        <v>34151</v>
      </c>
      <c r="B552" s="57">
        <f>VLOOKUP(Table91213[[#This Row],[Date]],'DB Details'!$A:$L,2)</f>
        <v/>
      </c>
      <c r="C552" s="41">
        <f>VLOOKUP(Table91213[[#This Row],[Date]],'DB Details'!$A:$L,3)</f>
        <v/>
      </c>
      <c r="D552" s="55">
        <f>VLOOKUP(Table91213[[#This Row],[Date]],'DB Details'!$A:$L,4)</f>
        <v/>
      </c>
      <c r="E552" s="88">
        <f>VLOOKUP(Table91213[[#This Row],[Date]],'DB Details'!$A:$L,5)</f>
        <v/>
      </c>
      <c r="F552" s="88">
        <f>VLOOKUP(Table91213[[#This Row],[Date]],'DB Details'!$A:$L,6)</f>
        <v/>
      </c>
      <c r="G552" s="119" t="n"/>
      <c r="H552" s="88">
        <f>VLOOKUP(Table91213[[#This Row],[Date]],'DB Details'!$A:$L,8)</f>
        <v/>
      </c>
      <c r="I552" s="88">
        <f>VLOOKUP(Table91213[[#This Row],[Date]],'DB Details'!$A:$L,9)</f>
        <v/>
      </c>
      <c r="J552" s="88">
        <f>VLOOKUP(Table91213[[#This Row],[Date]],'DB Details'!$A:$L,10)</f>
        <v/>
      </c>
      <c r="K552" s="41">
        <f>VLOOKUP(Table91213[[#This Row],[Date]],'DB Details'!$A:$L,11)</f>
        <v/>
      </c>
      <c r="L552" s="88">
        <f>VLOOKUP(Table91213[[#This Row],[Date]],'DB Details'!$A:$L,12)</f>
        <v/>
      </c>
    </row>
    <row r="553">
      <c r="A553" s="39" t="n">
        <v>34182</v>
      </c>
      <c r="B553" s="57">
        <f>VLOOKUP(Table91213[[#This Row],[Date]],'DB Details'!$A:$L,2)</f>
        <v/>
      </c>
      <c r="C553" s="41">
        <f>VLOOKUP(Table91213[[#This Row],[Date]],'DB Details'!$A:$L,3)</f>
        <v/>
      </c>
      <c r="D553" s="55">
        <f>VLOOKUP(Table91213[[#This Row],[Date]],'DB Details'!$A:$L,4)</f>
        <v/>
      </c>
      <c r="E553" s="88">
        <f>VLOOKUP(Table91213[[#This Row],[Date]],'DB Details'!$A:$L,5)</f>
        <v/>
      </c>
      <c r="F553" s="88">
        <f>VLOOKUP(Table91213[[#This Row],[Date]],'DB Details'!$A:$L,6)</f>
        <v/>
      </c>
      <c r="G553" s="119" t="n"/>
      <c r="H553" s="88">
        <f>VLOOKUP(Table91213[[#This Row],[Date]],'DB Details'!$A:$L,8)</f>
        <v/>
      </c>
      <c r="I553" s="88">
        <f>VLOOKUP(Table91213[[#This Row],[Date]],'DB Details'!$A:$L,9)</f>
        <v/>
      </c>
      <c r="J553" s="88">
        <f>VLOOKUP(Table91213[[#This Row],[Date]],'DB Details'!$A:$L,10)</f>
        <v/>
      </c>
      <c r="K553" s="41">
        <f>VLOOKUP(Table91213[[#This Row],[Date]],'DB Details'!$A:$L,11)</f>
        <v/>
      </c>
      <c r="L553" s="88">
        <f>VLOOKUP(Table91213[[#This Row],[Date]],'DB Details'!$A:$L,12)</f>
        <v/>
      </c>
    </row>
    <row r="554">
      <c r="A554" s="39" t="n">
        <v>34213</v>
      </c>
      <c r="B554" s="57">
        <f>VLOOKUP(Table91213[[#This Row],[Date]],'DB Details'!$A:$L,2)</f>
        <v/>
      </c>
      <c r="C554" s="41">
        <f>VLOOKUP(Table91213[[#This Row],[Date]],'DB Details'!$A:$L,3)</f>
        <v/>
      </c>
      <c r="D554" s="55">
        <f>VLOOKUP(Table91213[[#This Row],[Date]],'DB Details'!$A:$L,4)</f>
        <v/>
      </c>
      <c r="E554" s="88">
        <f>VLOOKUP(Table91213[[#This Row],[Date]],'DB Details'!$A:$L,5)</f>
        <v/>
      </c>
      <c r="F554" s="88">
        <f>VLOOKUP(Table91213[[#This Row],[Date]],'DB Details'!$A:$L,6)</f>
        <v/>
      </c>
      <c r="G554" s="119" t="n"/>
      <c r="H554" s="88">
        <f>VLOOKUP(Table91213[[#This Row],[Date]],'DB Details'!$A:$L,8)</f>
        <v/>
      </c>
      <c r="I554" s="88">
        <f>VLOOKUP(Table91213[[#This Row],[Date]],'DB Details'!$A:$L,9)</f>
        <v/>
      </c>
      <c r="J554" s="88">
        <f>VLOOKUP(Table91213[[#This Row],[Date]],'DB Details'!$A:$L,10)</f>
        <v/>
      </c>
      <c r="K554" s="41">
        <f>VLOOKUP(Table91213[[#This Row],[Date]],'DB Details'!$A:$L,11)</f>
        <v/>
      </c>
      <c r="L554" s="88">
        <f>VLOOKUP(Table91213[[#This Row],[Date]],'DB Details'!$A:$L,12)</f>
        <v/>
      </c>
    </row>
    <row r="555">
      <c r="A555" s="39" t="n">
        <v>34243</v>
      </c>
      <c r="B555" s="57">
        <f>VLOOKUP(Table91213[[#This Row],[Date]],'DB Details'!$A:$L,2)</f>
        <v/>
      </c>
      <c r="C555" s="41">
        <f>VLOOKUP(Table91213[[#This Row],[Date]],'DB Details'!$A:$L,3)</f>
        <v/>
      </c>
      <c r="D555" s="55">
        <f>VLOOKUP(Table91213[[#This Row],[Date]],'DB Details'!$A:$L,4)</f>
        <v/>
      </c>
      <c r="E555" s="88">
        <f>VLOOKUP(Table91213[[#This Row],[Date]],'DB Details'!$A:$L,5)</f>
        <v/>
      </c>
      <c r="F555" s="88">
        <f>VLOOKUP(Table91213[[#This Row],[Date]],'DB Details'!$A:$L,6)</f>
        <v/>
      </c>
      <c r="G555" s="119" t="n"/>
      <c r="H555" s="88">
        <f>VLOOKUP(Table91213[[#This Row],[Date]],'DB Details'!$A:$L,8)</f>
        <v/>
      </c>
      <c r="I555" s="88">
        <f>VLOOKUP(Table91213[[#This Row],[Date]],'DB Details'!$A:$L,9)</f>
        <v/>
      </c>
      <c r="J555" s="88">
        <f>VLOOKUP(Table91213[[#This Row],[Date]],'DB Details'!$A:$L,10)</f>
        <v/>
      </c>
      <c r="K555" s="41">
        <f>VLOOKUP(Table91213[[#This Row],[Date]],'DB Details'!$A:$L,11)</f>
        <v/>
      </c>
      <c r="L555" s="88">
        <f>VLOOKUP(Table91213[[#This Row],[Date]],'DB Details'!$A:$L,12)</f>
        <v/>
      </c>
    </row>
    <row r="556">
      <c r="A556" s="39" t="n">
        <v>34274</v>
      </c>
      <c r="B556" s="57">
        <f>VLOOKUP(Table91213[[#This Row],[Date]],'DB Details'!$A:$L,2)</f>
        <v/>
      </c>
      <c r="C556" s="41">
        <f>VLOOKUP(Table91213[[#This Row],[Date]],'DB Details'!$A:$L,3)</f>
        <v/>
      </c>
      <c r="D556" s="55">
        <f>VLOOKUP(Table91213[[#This Row],[Date]],'DB Details'!$A:$L,4)</f>
        <v/>
      </c>
      <c r="E556" s="88">
        <f>VLOOKUP(Table91213[[#This Row],[Date]],'DB Details'!$A:$L,5)</f>
        <v/>
      </c>
      <c r="F556" s="88">
        <f>VLOOKUP(Table91213[[#This Row],[Date]],'DB Details'!$A:$L,6)</f>
        <v/>
      </c>
      <c r="G556" s="119" t="n"/>
      <c r="H556" s="88">
        <f>VLOOKUP(Table91213[[#This Row],[Date]],'DB Details'!$A:$L,8)</f>
        <v/>
      </c>
      <c r="I556" s="88">
        <f>VLOOKUP(Table91213[[#This Row],[Date]],'DB Details'!$A:$L,9)</f>
        <v/>
      </c>
      <c r="J556" s="88">
        <f>VLOOKUP(Table91213[[#This Row],[Date]],'DB Details'!$A:$L,10)</f>
        <v/>
      </c>
      <c r="K556" s="41">
        <f>VLOOKUP(Table91213[[#This Row],[Date]],'DB Details'!$A:$L,11)</f>
        <v/>
      </c>
      <c r="L556" s="88">
        <f>VLOOKUP(Table91213[[#This Row],[Date]],'DB Details'!$A:$L,12)</f>
        <v/>
      </c>
    </row>
    <row r="557">
      <c r="A557" s="39" t="n">
        <v>34304</v>
      </c>
      <c r="B557" s="57">
        <f>VLOOKUP(Table91213[[#This Row],[Date]],'DB Details'!$A:$L,2)</f>
        <v/>
      </c>
      <c r="C557" s="41">
        <f>VLOOKUP(Table91213[[#This Row],[Date]],'DB Details'!$A:$L,3)</f>
        <v/>
      </c>
      <c r="D557" s="55">
        <f>VLOOKUP(Table91213[[#This Row],[Date]],'DB Details'!$A:$L,4)</f>
        <v/>
      </c>
      <c r="E557" s="88">
        <f>VLOOKUP(Table91213[[#This Row],[Date]],'DB Details'!$A:$L,5)</f>
        <v/>
      </c>
      <c r="F557" s="88">
        <f>VLOOKUP(Table91213[[#This Row],[Date]],'DB Details'!$A:$L,6)</f>
        <v/>
      </c>
      <c r="G557" s="119" t="n"/>
      <c r="H557" s="88">
        <f>VLOOKUP(Table91213[[#This Row],[Date]],'DB Details'!$A:$L,8)</f>
        <v/>
      </c>
      <c r="I557" s="88">
        <f>VLOOKUP(Table91213[[#This Row],[Date]],'DB Details'!$A:$L,9)</f>
        <v/>
      </c>
      <c r="J557" s="88">
        <f>VLOOKUP(Table91213[[#This Row],[Date]],'DB Details'!$A:$L,10)</f>
        <v/>
      </c>
      <c r="K557" s="41">
        <f>VLOOKUP(Table91213[[#This Row],[Date]],'DB Details'!$A:$L,11)</f>
        <v/>
      </c>
      <c r="L557" s="88">
        <f>VLOOKUP(Table91213[[#This Row],[Date]],'DB Details'!$A:$L,12)</f>
        <v/>
      </c>
    </row>
    <row r="558">
      <c r="A558" s="39" t="n">
        <v>34335</v>
      </c>
      <c r="B558" s="57">
        <f>VLOOKUP(Table91213[[#This Row],[Date]],'DB Details'!$A:$L,2)</f>
        <v/>
      </c>
      <c r="C558" s="41">
        <f>VLOOKUP(Table91213[[#This Row],[Date]],'DB Details'!$A:$L,3)</f>
        <v/>
      </c>
      <c r="D558" s="55">
        <f>VLOOKUP(Table91213[[#This Row],[Date]],'DB Details'!$A:$L,4)</f>
        <v/>
      </c>
      <c r="E558" s="88">
        <f>VLOOKUP(Table91213[[#This Row],[Date]],'DB Details'!$A:$L,5)</f>
        <v/>
      </c>
      <c r="F558" s="88">
        <f>VLOOKUP(Table91213[[#This Row],[Date]],'DB Details'!$A:$L,6)</f>
        <v/>
      </c>
      <c r="G558" s="119" t="n"/>
      <c r="H558" s="88">
        <f>VLOOKUP(Table91213[[#This Row],[Date]],'DB Details'!$A:$L,8)</f>
        <v/>
      </c>
      <c r="I558" s="88">
        <f>VLOOKUP(Table91213[[#This Row],[Date]],'DB Details'!$A:$L,9)</f>
        <v/>
      </c>
      <c r="J558" s="88">
        <f>VLOOKUP(Table91213[[#This Row],[Date]],'DB Details'!$A:$L,10)</f>
        <v/>
      </c>
      <c r="K558" s="41">
        <f>VLOOKUP(Table91213[[#This Row],[Date]],'DB Details'!$A:$L,11)</f>
        <v/>
      </c>
      <c r="L558" s="88">
        <f>VLOOKUP(Table91213[[#This Row],[Date]],'DB Details'!$A:$L,12)</f>
        <v/>
      </c>
    </row>
    <row r="559">
      <c r="A559" s="39" t="n">
        <v>34366</v>
      </c>
      <c r="B559" s="57">
        <f>VLOOKUP(Table91213[[#This Row],[Date]],'DB Details'!$A:$L,2)</f>
        <v/>
      </c>
      <c r="C559" s="41">
        <f>VLOOKUP(Table91213[[#This Row],[Date]],'DB Details'!$A:$L,3)</f>
        <v/>
      </c>
      <c r="D559" s="55">
        <f>VLOOKUP(Table91213[[#This Row],[Date]],'DB Details'!$A:$L,4)</f>
        <v/>
      </c>
      <c r="E559" s="88">
        <f>VLOOKUP(Table91213[[#This Row],[Date]],'DB Details'!$A:$L,5)</f>
        <v/>
      </c>
      <c r="F559" s="88">
        <f>VLOOKUP(Table91213[[#This Row],[Date]],'DB Details'!$A:$L,6)</f>
        <v/>
      </c>
      <c r="G559" s="119" t="n"/>
      <c r="H559" s="88">
        <f>VLOOKUP(Table91213[[#This Row],[Date]],'DB Details'!$A:$L,8)</f>
        <v/>
      </c>
      <c r="I559" s="88">
        <f>VLOOKUP(Table91213[[#This Row],[Date]],'DB Details'!$A:$L,9)</f>
        <v/>
      </c>
      <c r="J559" s="88">
        <f>VLOOKUP(Table91213[[#This Row],[Date]],'DB Details'!$A:$L,10)</f>
        <v/>
      </c>
      <c r="K559" s="41">
        <f>VLOOKUP(Table91213[[#This Row],[Date]],'DB Details'!$A:$L,11)</f>
        <v/>
      </c>
      <c r="L559" s="88">
        <f>VLOOKUP(Table91213[[#This Row],[Date]],'DB Details'!$A:$L,12)</f>
        <v/>
      </c>
    </row>
    <row r="560">
      <c r="A560" s="39" t="n">
        <v>34394</v>
      </c>
      <c r="B560" s="57">
        <f>VLOOKUP(Table91213[[#This Row],[Date]],'DB Details'!$A:$L,2)</f>
        <v/>
      </c>
      <c r="C560" s="41">
        <f>VLOOKUP(Table91213[[#This Row],[Date]],'DB Details'!$A:$L,3)</f>
        <v/>
      </c>
      <c r="D560" s="55">
        <f>VLOOKUP(Table91213[[#This Row],[Date]],'DB Details'!$A:$L,4)</f>
        <v/>
      </c>
      <c r="E560" s="88">
        <f>VLOOKUP(Table91213[[#This Row],[Date]],'DB Details'!$A:$L,5)</f>
        <v/>
      </c>
      <c r="F560" s="88">
        <f>VLOOKUP(Table91213[[#This Row],[Date]],'DB Details'!$A:$L,6)</f>
        <v/>
      </c>
      <c r="G560" s="119" t="n"/>
      <c r="H560" s="88">
        <f>VLOOKUP(Table91213[[#This Row],[Date]],'DB Details'!$A:$L,8)</f>
        <v/>
      </c>
      <c r="I560" s="88">
        <f>VLOOKUP(Table91213[[#This Row],[Date]],'DB Details'!$A:$L,9)</f>
        <v/>
      </c>
      <c r="J560" s="88">
        <f>VLOOKUP(Table91213[[#This Row],[Date]],'DB Details'!$A:$L,10)</f>
        <v/>
      </c>
      <c r="K560" s="41">
        <f>VLOOKUP(Table91213[[#This Row],[Date]],'DB Details'!$A:$L,11)</f>
        <v/>
      </c>
      <c r="L560" s="88">
        <f>VLOOKUP(Table91213[[#This Row],[Date]],'DB Details'!$A:$L,12)</f>
        <v/>
      </c>
    </row>
    <row r="561">
      <c r="A561" s="39" t="n">
        <v>34425</v>
      </c>
      <c r="B561" s="57">
        <f>VLOOKUP(Table91213[[#This Row],[Date]],'DB Details'!$A:$L,2)</f>
        <v/>
      </c>
      <c r="C561" s="41">
        <f>VLOOKUP(Table91213[[#This Row],[Date]],'DB Details'!$A:$L,3)</f>
        <v/>
      </c>
      <c r="D561" s="55">
        <f>VLOOKUP(Table91213[[#This Row],[Date]],'DB Details'!$A:$L,4)</f>
        <v/>
      </c>
      <c r="E561" s="88">
        <f>VLOOKUP(Table91213[[#This Row],[Date]],'DB Details'!$A:$L,5)</f>
        <v/>
      </c>
      <c r="F561" s="88">
        <f>VLOOKUP(Table91213[[#This Row],[Date]],'DB Details'!$A:$L,6)</f>
        <v/>
      </c>
      <c r="G561" s="119" t="n"/>
      <c r="H561" s="88">
        <f>VLOOKUP(Table91213[[#This Row],[Date]],'DB Details'!$A:$L,8)</f>
        <v/>
      </c>
      <c r="I561" s="88">
        <f>VLOOKUP(Table91213[[#This Row],[Date]],'DB Details'!$A:$L,9)</f>
        <v/>
      </c>
      <c r="J561" s="88">
        <f>VLOOKUP(Table91213[[#This Row],[Date]],'DB Details'!$A:$L,10)</f>
        <v/>
      </c>
      <c r="K561" s="41">
        <f>VLOOKUP(Table91213[[#This Row],[Date]],'DB Details'!$A:$L,11)</f>
        <v/>
      </c>
      <c r="L561" s="88">
        <f>VLOOKUP(Table91213[[#This Row],[Date]],'DB Details'!$A:$L,12)</f>
        <v/>
      </c>
    </row>
    <row r="562">
      <c r="A562" s="39" t="n">
        <v>34455</v>
      </c>
      <c r="B562" s="57">
        <f>VLOOKUP(Table91213[[#This Row],[Date]],'DB Details'!$A:$L,2)</f>
        <v/>
      </c>
      <c r="C562" s="41">
        <f>VLOOKUP(Table91213[[#This Row],[Date]],'DB Details'!$A:$L,3)</f>
        <v/>
      </c>
      <c r="D562" s="55">
        <f>VLOOKUP(Table91213[[#This Row],[Date]],'DB Details'!$A:$L,4)</f>
        <v/>
      </c>
      <c r="E562" s="88">
        <f>VLOOKUP(Table91213[[#This Row],[Date]],'DB Details'!$A:$L,5)</f>
        <v/>
      </c>
      <c r="F562" s="88">
        <f>VLOOKUP(Table91213[[#This Row],[Date]],'DB Details'!$A:$L,6)</f>
        <v/>
      </c>
      <c r="G562" s="119" t="n"/>
      <c r="H562" s="88">
        <f>VLOOKUP(Table91213[[#This Row],[Date]],'DB Details'!$A:$L,8)</f>
        <v/>
      </c>
      <c r="I562" s="88">
        <f>VLOOKUP(Table91213[[#This Row],[Date]],'DB Details'!$A:$L,9)</f>
        <v/>
      </c>
      <c r="J562" s="88">
        <f>VLOOKUP(Table91213[[#This Row],[Date]],'DB Details'!$A:$L,10)</f>
        <v/>
      </c>
      <c r="K562" s="41">
        <f>VLOOKUP(Table91213[[#This Row],[Date]],'DB Details'!$A:$L,11)</f>
        <v/>
      </c>
      <c r="L562" s="88">
        <f>VLOOKUP(Table91213[[#This Row],[Date]],'DB Details'!$A:$L,12)</f>
        <v/>
      </c>
    </row>
    <row r="563">
      <c r="A563" s="39" t="n">
        <v>34486</v>
      </c>
      <c r="B563" s="57">
        <f>VLOOKUP(Table91213[[#This Row],[Date]],'DB Details'!$A:$L,2)</f>
        <v/>
      </c>
      <c r="C563" s="41">
        <f>VLOOKUP(Table91213[[#This Row],[Date]],'DB Details'!$A:$L,3)</f>
        <v/>
      </c>
      <c r="D563" s="55">
        <f>VLOOKUP(Table91213[[#This Row],[Date]],'DB Details'!$A:$L,4)</f>
        <v/>
      </c>
      <c r="E563" s="88">
        <f>VLOOKUP(Table91213[[#This Row],[Date]],'DB Details'!$A:$L,5)</f>
        <v/>
      </c>
      <c r="F563" s="88">
        <f>VLOOKUP(Table91213[[#This Row],[Date]],'DB Details'!$A:$L,6)</f>
        <v/>
      </c>
      <c r="G563" s="119" t="n"/>
      <c r="H563" s="88">
        <f>VLOOKUP(Table91213[[#This Row],[Date]],'DB Details'!$A:$L,8)</f>
        <v/>
      </c>
      <c r="I563" s="88">
        <f>VLOOKUP(Table91213[[#This Row],[Date]],'DB Details'!$A:$L,9)</f>
        <v/>
      </c>
      <c r="J563" s="88">
        <f>VLOOKUP(Table91213[[#This Row],[Date]],'DB Details'!$A:$L,10)</f>
        <v/>
      </c>
      <c r="K563" s="41">
        <f>VLOOKUP(Table91213[[#This Row],[Date]],'DB Details'!$A:$L,11)</f>
        <v/>
      </c>
      <c r="L563" s="88">
        <f>VLOOKUP(Table91213[[#This Row],[Date]],'DB Details'!$A:$L,12)</f>
        <v/>
      </c>
    </row>
    <row r="564">
      <c r="A564" s="39" t="n">
        <v>34516</v>
      </c>
      <c r="B564" s="57">
        <f>VLOOKUP(Table91213[[#This Row],[Date]],'DB Details'!$A:$L,2)</f>
        <v/>
      </c>
      <c r="C564" s="41">
        <f>VLOOKUP(Table91213[[#This Row],[Date]],'DB Details'!$A:$L,3)</f>
        <v/>
      </c>
      <c r="D564" s="55">
        <f>VLOOKUP(Table91213[[#This Row],[Date]],'DB Details'!$A:$L,4)</f>
        <v/>
      </c>
      <c r="E564" s="88">
        <f>VLOOKUP(Table91213[[#This Row],[Date]],'DB Details'!$A:$L,5)</f>
        <v/>
      </c>
      <c r="F564" s="88">
        <f>VLOOKUP(Table91213[[#This Row],[Date]],'DB Details'!$A:$L,6)</f>
        <v/>
      </c>
      <c r="G564" s="119" t="n"/>
      <c r="H564" s="88">
        <f>VLOOKUP(Table91213[[#This Row],[Date]],'DB Details'!$A:$L,8)</f>
        <v/>
      </c>
      <c r="I564" s="88">
        <f>VLOOKUP(Table91213[[#This Row],[Date]],'DB Details'!$A:$L,9)</f>
        <v/>
      </c>
      <c r="J564" s="88">
        <f>VLOOKUP(Table91213[[#This Row],[Date]],'DB Details'!$A:$L,10)</f>
        <v/>
      </c>
      <c r="K564" s="41">
        <f>VLOOKUP(Table91213[[#This Row],[Date]],'DB Details'!$A:$L,11)</f>
        <v/>
      </c>
      <c r="L564" s="88">
        <f>VLOOKUP(Table91213[[#This Row],[Date]],'DB Details'!$A:$L,12)</f>
        <v/>
      </c>
    </row>
    <row r="565">
      <c r="A565" s="39" t="n">
        <v>34547</v>
      </c>
      <c r="B565" s="57">
        <f>VLOOKUP(Table91213[[#This Row],[Date]],'DB Details'!$A:$L,2)</f>
        <v/>
      </c>
      <c r="C565" s="41">
        <f>VLOOKUP(Table91213[[#This Row],[Date]],'DB Details'!$A:$L,3)</f>
        <v/>
      </c>
      <c r="D565" s="55">
        <f>VLOOKUP(Table91213[[#This Row],[Date]],'DB Details'!$A:$L,4)</f>
        <v/>
      </c>
      <c r="E565" s="88">
        <f>VLOOKUP(Table91213[[#This Row],[Date]],'DB Details'!$A:$L,5)</f>
        <v/>
      </c>
      <c r="F565" s="88">
        <f>VLOOKUP(Table91213[[#This Row],[Date]],'DB Details'!$A:$L,6)</f>
        <v/>
      </c>
      <c r="G565" s="119" t="n"/>
      <c r="H565" s="88">
        <f>VLOOKUP(Table91213[[#This Row],[Date]],'DB Details'!$A:$L,8)</f>
        <v/>
      </c>
      <c r="I565" s="88">
        <f>VLOOKUP(Table91213[[#This Row],[Date]],'DB Details'!$A:$L,9)</f>
        <v/>
      </c>
      <c r="J565" s="88">
        <f>VLOOKUP(Table91213[[#This Row],[Date]],'DB Details'!$A:$L,10)</f>
        <v/>
      </c>
      <c r="K565" s="41">
        <f>VLOOKUP(Table91213[[#This Row],[Date]],'DB Details'!$A:$L,11)</f>
        <v/>
      </c>
      <c r="L565" s="88">
        <f>VLOOKUP(Table91213[[#This Row],[Date]],'DB Details'!$A:$L,12)</f>
        <v/>
      </c>
    </row>
    <row r="566">
      <c r="A566" s="39" t="n">
        <v>34578</v>
      </c>
      <c r="B566" s="57">
        <f>VLOOKUP(Table91213[[#This Row],[Date]],'DB Details'!$A:$L,2)</f>
        <v/>
      </c>
      <c r="C566" s="41">
        <f>VLOOKUP(Table91213[[#This Row],[Date]],'DB Details'!$A:$L,3)</f>
        <v/>
      </c>
      <c r="D566" s="55">
        <f>VLOOKUP(Table91213[[#This Row],[Date]],'DB Details'!$A:$L,4)</f>
        <v/>
      </c>
      <c r="E566" s="88">
        <f>VLOOKUP(Table91213[[#This Row],[Date]],'DB Details'!$A:$L,5)</f>
        <v/>
      </c>
      <c r="F566" s="88">
        <f>VLOOKUP(Table91213[[#This Row],[Date]],'DB Details'!$A:$L,6)</f>
        <v/>
      </c>
      <c r="G566" s="119" t="n"/>
      <c r="H566" s="88">
        <f>VLOOKUP(Table91213[[#This Row],[Date]],'DB Details'!$A:$L,8)</f>
        <v/>
      </c>
      <c r="I566" s="88">
        <f>VLOOKUP(Table91213[[#This Row],[Date]],'DB Details'!$A:$L,9)</f>
        <v/>
      </c>
      <c r="J566" s="88">
        <f>VLOOKUP(Table91213[[#This Row],[Date]],'DB Details'!$A:$L,10)</f>
        <v/>
      </c>
      <c r="K566" s="41">
        <f>VLOOKUP(Table91213[[#This Row],[Date]],'DB Details'!$A:$L,11)</f>
        <v/>
      </c>
      <c r="L566" s="88">
        <f>VLOOKUP(Table91213[[#This Row],[Date]],'DB Details'!$A:$L,12)</f>
        <v/>
      </c>
    </row>
    <row r="567">
      <c r="A567" s="39" t="n">
        <v>34608</v>
      </c>
      <c r="B567" s="57">
        <f>VLOOKUP(Table91213[[#This Row],[Date]],'DB Details'!$A:$L,2)</f>
        <v/>
      </c>
      <c r="C567" s="41">
        <f>VLOOKUP(Table91213[[#This Row],[Date]],'DB Details'!$A:$L,3)</f>
        <v/>
      </c>
      <c r="D567" s="55">
        <f>VLOOKUP(Table91213[[#This Row],[Date]],'DB Details'!$A:$L,4)</f>
        <v/>
      </c>
      <c r="E567" s="88">
        <f>VLOOKUP(Table91213[[#This Row],[Date]],'DB Details'!$A:$L,5)</f>
        <v/>
      </c>
      <c r="F567" s="88">
        <f>VLOOKUP(Table91213[[#This Row],[Date]],'DB Details'!$A:$L,6)</f>
        <v/>
      </c>
      <c r="G567" s="119" t="n"/>
      <c r="H567" s="88">
        <f>VLOOKUP(Table91213[[#This Row],[Date]],'DB Details'!$A:$L,8)</f>
        <v/>
      </c>
      <c r="I567" s="88">
        <f>VLOOKUP(Table91213[[#This Row],[Date]],'DB Details'!$A:$L,9)</f>
        <v/>
      </c>
      <c r="J567" s="88">
        <f>VLOOKUP(Table91213[[#This Row],[Date]],'DB Details'!$A:$L,10)</f>
        <v/>
      </c>
      <c r="K567" s="41">
        <f>VLOOKUP(Table91213[[#This Row],[Date]],'DB Details'!$A:$L,11)</f>
        <v/>
      </c>
      <c r="L567" s="88">
        <f>VLOOKUP(Table91213[[#This Row],[Date]],'DB Details'!$A:$L,12)</f>
        <v/>
      </c>
    </row>
    <row r="568">
      <c r="A568" s="39" t="n">
        <v>34639</v>
      </c>
      <c r="B568" s="57">
        <f>VLOOKUP(Table91213[[#This Row],[Date]],'DB Details'!$A:$L,2)</f>
        <v/>
      </c>
      <c r="C568" s="41">
        <f>VLOOKUP(Table91213[[#This Row],[Date]],'DB Details'!$A:$L,3)</f>
        <v/>
      </c>
      <c r="D568" s="55">
        <f>VLOOKUP(Table91213[[#This Row],[Date]],'DB Details'!$A:$L,4)</f>
        <v/>
      </c>
      <c r="E568" s="88">
        <f>VLOOKUP(Table91213[[#This Row],[Date]],'DB Details'!$A:$L,5)</f>
        <v/>
      </c>
      <c r="F568" s="88">
        <f>VLOOKUP(Table91213[[#This Row],[Date]],'DB Details'!$A:$L,6)</f>
        <v/>
      </c>
      <c r="G568" s="119" t="n"/>
      <c r="H568" s="88">
        <f>VLOOKUP(Table91213[[#This Row],[Date]],'DB Details'!$A:$L,8)</f>
        <v/>
      </c>
      <c r="I568" s="88">
        <f>VLOOKUP(Table91213[[#This Row],[Date]],'DB Details'!$A:$L,9)</f>
        <v/>
      </c>
      <c r="J568" s="88">
        <f>VLOOKUP(Table91213[[#This Row],[Date]],'DB Details'!$A:$L,10)</f>
        <v/>
      </c>
      <c r="K568" s="41">
        <f>VLOOKUP(Table91213[[#This Row],[Date]],'DB Details'!$A:$L,11)</f>
        <v/>
      </c>
      <c r="L568" s="88">
        <f>VLOOKUP(Table91213[[#This Row],[Date]],'DB Details'!$A:$L,12)</f>
        <v/>
      </c>
    </row>
    <row r="569">
      <c r="A569" s="39" t="n">
        <v>34669</v>
      </c>
      <c r="B569" s="57">
        <f>VLOOKUP(Table91213[[#This Row],[Date]],'DB Details'!$A:$L,2)</f>
        <v/>
      </c>
      <c r="C569" s="41">
        <f>VLOOKUP(Table91213[[#This Row],[Date]],'DB Details'!$A:$L,3)</f>
        <v/>
      </c>
      <c r="D569" s="55">
        <f>VLOOKUP(Table91213[[#This Row],[Date]],'DB Details'!$A:$L,4)</f>
        <v/>
      </c>
      <c r="E569" s="88">
        <f>VLOOKUP(Table91213[[#This Row],[Date]],'DB Details'!$A:$L,5)</f>
        <v/>
      </c>
      <c r="F569" s="88">
        <f>VLOOKUP(Table91213[[#This Row],[Date]],'DB Details'!$A:$L,6)</f>
        <v/>
      </c>
      <c r="G569" s="119" t="n"/>
      <c r="H569" s="88">
        <f>VLOOKUP(Table91213[[#This Row],[Date]],'DB Details'!$A:$L,8)</f>
        <v/>
      </c>
      <c r="I569" s="88">
        <f>VLOOKUP(Table91213[[#This Row],[Date]],'DB Details'!$A:$L,9)</f>
        <v/>
      </c>
      <c r="J569" s="88">
        <f>VLOOKUP(Table91213[[#This Row],[Date]],'DB Details'!$A:$L,10)</f>
        <v/>
      </c>
      <c r="K569" s="41">
        <f>VLOOKUP(Table91213[[#This Row],[Date]],'DB Details'!$A:$L,11)</f>
        <v/>
      </c>
      <c r="L569" s="88">
        <f>VLOOKUP(Table91213[[#This Row],[Date]],'DB Details'!$A:$L,12)</f>
        <v/>
      </c>
    </row>
    <row r="570">
      <c r="A570" s="39" t="n">
        <v>34700</v>
      </c>
      <c r="B570" s="57">
        <f>VLOOKUP(Table91213[[#This Row],[Date]],'DB Details'!$A:$L,2)</f>
        <v/>
      </c>
      <c r="C570" s="41">
        <f>VLOOKUP(Table91213[[#This Row],[Date]],'DB Details'!$A:$L,3)</f>
        <v/>
      </c>
      <c r="D570" s="55">
        <f>VLOOKUP(Table91213[[#This Row],[Date]],'DB Details'!$A:$L,4)</f>
        <v/>
      </c>
      <c r="E570" s="88">
        <f>VLOOKUP(Table91213[[#This Row],[Date]],'DB Details'!$A:$L,5)</f>
        <v/>
      </c>
      <c r="F570" s="88">
        <f>VLOOKUP(Table91213[[#This Row],[Date]],'DB Details'!$A:$L,6)</f>
        <v/>
      </c>
      <c r="G570" s="119" t="n"/>
      <c r="H570" s="88">
        <f>VLOOKUP(Table91213[[#This Row],[Date]],'DB Details'!$A:$L,8)</f>
        <v/>
      </c>
      <c r="I570" s="88">
        <f>VLOOKUP(Table91213[[#This Row],[Date]],'DB Details'!$A:$L,9)</f>
        <v/>
      </c>
      <c r="J570" s="88">
        <f>VLOOKUP(Table91213[[#This Row],[Date]],'DB Details'!$A:$L,10)</f>
        <v/>
      </c>
      <c r="K570" s="41">
        <f>VLOOKUP(Table91213[[#This Row],[Date]],'DB Details'!$A:$L,11)</f>
        <v/>
      </c>
      <c r="L570" s="88">
        <f>VLOOKUP(Table91213[[#This Row],[Date]],'DB Details'!$A:$L,12)</f>
        <v/>
      </c>
    </row>
    <row r="571">
      <c r="A571" s="39" t="n">
        <v>34731</v>
      </c>
      <c r="B571" s="57">
        <f>VLOOKUP(Table91213[[#This Row],[Date]],'DB Details'!$A:$L,2)</f>
        <v/>
      </c>
      <c r="C571" s="41">
        <f>VLOOKUP(Table91213[[#This Row],[Date]],'DB Details'!$A:$L,3)</f>
        <v/>
      </c>
      <c r="D571" s="55">
        <f>VLOOKUP(Table91213[[#This Row],[Date]],'DB Details'!$A:$L,4)</f>
        <v/>
      </c>
      <c r="E571" s="88">
        <f>VLOOKUP(Table91213[[#This Row],[Date]],'DB Details'!$A:$L,5)</f>
        <v/>
      </c>
      <c r="F571" s="88">
        <f>VLOOKUP(Table91213[[#This Row],[Date]],'DB Details'!$A:$L,6)</f>
        <v/>
      </c>
      <c r="G571" s="119" t="n"/>
      <c r="H571" s="88">
        <f>VLOOKUP(Table91213[[#This Row],[Date]],'DB Details'!$A:$L,8)</f>
        <v/>
      </c>
      <c r="I571" s="88">
        <f>VLOOKUP(Table91213[[#This Row],[Date]],'DB Details'!$A:$L,9)</f>
        <v/>
      </c>
      <c r="J571" s="88">
        <f>VLOOKUP(Table91213[[#This Row],[Date]],'DB Details'!$A:$L,10)</f>
        <v/>
      </c>
      <c r="K571" s="41">
        <f>VLOOKUP(Table91213[[#This Row],[Date]],'DB Details'!$A:$L,11)</f>
        <v/>
      </c>
      <c r="L571" s="88">
        <f>VLOOKUP(Table91213[[#This Row],[Date]],'DB Details'!$A:$L,12)</f>
        <v/>
      </c>
    </row>
    <row r="572">
      <c r="A572" s="39" t="n">
        <v>34759</v>
      </c>
      <c r="B572" s="57">
        <f>VLOOKUP(Table91213[[#This Row],[Date]],'DB Details'!$A:$L,2)</f>
        <v/>
      </c>
      <c r="C572" s="41">
        <f>VLOOKUP(Table91213[[#This Row],[Date]],'DB Details'!$A:$L,3)</f>
        <v/>
      </c>
      <c r="D572" s="55">
        <f>VLOOKUP(Table91213[[#This Row],[Date]],'DB Details'!$A:$L,4)</f>
        <v/>
      </c>
      <c r="E572" s="88">
        <f>VLOOKUP(Table91213[[#This Row],[Date]],'DB Details'!$A:$L,5)</f>
        <v/>
      </c>
      <c r="F572" s="88">
        <f>VLOOKUP(Table91213[[#This Row],[Date]],'DB Details'!$A:$L,6)</f>
        <v/>
      </c>
      <c r="G572" s="119" t="n"/>
      <c r="H572" s="88">
        <f>VLOOKUP(Table91213[[#This Row],[Date]],'DB Details'!$A:$L,8)</f>
        <v/>
      </c>
      <c r="I572" s="88">
        <f>VLOOKUP(Table91213[[#This Row],[Date]],'DB Details'!$A:$L,9)</f>
        <v/>
      </c>
      <c r="J572" s="88">
        <f>VLOOKUP(Table91213[[#This Row],[Date]],'DB Details'!$A:$L,10)</f>
        <v/>
      </c>
      <c r="K572" s="41">
        <f>VLOOKUP(Table91213[[#This Row],[Date]],'DB Details'!$A:$L,11)</f>
        <v/>
      </c>
      <c r="L572" s="88">
        <f>VLOOKUP(Table91213[[#This Row],[Date]],'DB Details'!$A:$L,12)</f>
        <v/>
      </c>
    </row>
    <row r="573">
      <c r="A573" s="39" t="n">
        <v>34790</v>
      </c>
      <c r="B573" s="57">
        <f>VLOOKUP(Table91213[[#This Row],[Date]],'DB Details'!$A:$L,2)</f>
        <v/>
      </c>
      <c r="C573" s="41">
        <f>VLOOKUP(Table91213[[#This Row],[Date]],'DB Details'!$A:$L,3)</f>
        <v/>
      </c>
      <c r="D573" s="55">
        <f>VLOOKUP(Table91213[[#This Row],[Date]],'DB Details'!$A:$L,4)</f>
        <v/>
      </c>
      <c r="E573" s="88">
        <f>VLOOKUP(Table91213[[#This Row],[Date]],'DB Details'!$A:$L,5)</f>
        <v/>
      </c>
      <c r="F573" s="88">
        <f>VLOOKUP(Table91213[[#This Row],[Date]],'DB Details'!$A:$L,6)</f>
        <v/>
      </c>
      <c r="G573" s="119" t="n"/>
      <c r="H573" s="88">
        <f>VLOOKUP(Table91213[[#This Row],[Date]],'DB Details'!$A:$L,8)</f>
        <v/>
      </c>
      <c r="I573" s="88">
        <f>VLOOKUP(Table91213[[#This Row],[Date]],'DB Details'!$A:$L,9)</f>
        <v/>
      </c>
      <c r="J573" s="88">
        <f>VLOOKUP(Table91213[[#This Row],[Date]],'DB Details'!$A:$L,10)</f>
        <v/>
      </c>
      <c r="K573" s="41">
        <f>VLOOKUP(Table91213[[#This Row],[Date]],'DB Details'!$A:$L,11)</f>
        <v/>
      </c>
      <c r="L573" s="88">
        <f>VLOOKUP(Table91213[[#This Row],[Date]],'DB Details'!$A:$L,12)</f>
        <v/>
      </c>
    </row>
    <row r="574">
      <c r="A574" s="39" t="n">
        <v>34820</v>
      </c>
      <c r="B574" s="57">
        <f>VLOOKUP(Table91213[[#This Row],[Date]],'DB Details'!$A:$L,2)</f>
        <v/>
      </c>
      <c r="C574" s="41">
        <f>VLOOKUP(Table91213[[#This Row],[Date]],'DB Details'!$A:$L,3)</f>
        <v/>
      </c>
      <c r="D574" s="55">
        <f>VLOOKUP(Table91213[[#This Row],[Date]],'DB Details'!$A:$L,4)</f>
        <v/>
      </c>
      <c r="E574" s="88">
        <f>VLOOKUP(Table91213[[#This Row],[Date]],'DB Details'!$A:$L,5)</f>
        <v/>
      </c>
      <c r="F574" s="88">
        <f>VLOOKUP(Table91213[[#This Row],[Date]],'DB Details'!$A:$L,6)</f>
        <v/>
      </c>
      <c r="G574" s="119" t="n"/>
      <c r="H574" s="88">
        <f>VLOOKUP(Table91213[[#This Row],[Date]],'DB Details'!$A:$L,8)</f>
        <v/>
      </c>
      <c r="I574" s="88">
        <f>VLOOKUP(Table91213[[#This Row],[Date]],'DB Details'!$A:$L,9)</f>
        <v/>
      </c>
      <c r="J574" s="88">
        <f>VLOOKUP(Table91213[[#This Row],[Date]],'DB Details'!$A:$L,10)</f>
        <v/>
      </c>
      <c r="K574" s="41">
        <f>VLOOKUP(Table91213[[#This Row],[Date]],'DB Details'!$A:$L,11)</f>
        <v/>
      </c>
      <c r="L574" s="88">
        <f>VLOOKUP(Table91213[[#This Row],[Date]],'DB Details'!$A:$L,12)</f>
        <v/>
      </c>
    </row>
    <row r="575">
      <c r="A575" s="39" t="n">
        <v>34851</v>
      </c>
      <c r="B575" s="57">
        <f>VLOOKUP(Table91213[[#This Row],[Date]],'DB Details'!$A:$L,2)</f>
        <v/>
      </c>
      <c r="C575" s="41">
        <f>VLOOKUP(Table91213[[#This Row],[Date]],'DB Details'!$A:$L,3)</f>
        <v/>
      </c>
      <c r="D575" s="55">
        <f>VLOOKUP(Table91213[[#This Row],[Date]],'DB Details'!$A:$L,4)</f>
        <v/>
      </c>
      <c r="E575" s="88">
        <f>VLOOKUP(Table91213[[#This Row],[Date]],'DB Details'!$A:$L,5)</f>
        <v/>
      </c>
      <c r="F575" s="88">
        <f>VLOOKUP(Table91213[[#This Row],[Date]],'DB Details'!$A:$L,6)</f>
        <v/>
      </c>
      <c r="G575" s="119" t="n"/>
      <c r="H575" s="88">
        <f>VLOOKUP(Table91213[[#This Row],[Date]],'DB Details'!$A:$L,8)</f>
        <v/>
      </c>
      <c r="I575" s="88">
        <f>VLOOKUP(Table91213[[#This Row],[Date]],'DB Details'!$A:$L,9)</f>
        <v/>
      </c>
      <c r="J575" s="88">
        <f>VLOOKUP(Table91213[[#This Row],[Date]],'DB Details'!$A:$L,10)</f>
        <v/>
      </c>
      <c r="K575" s="41">
        <f>VLOOKUP(Table91213[[#This Row],[Date]],'DB Details'!$A:$L,11)</f>
        <v/>
      </c>
      <c r="L575" s="88">
        <f>VLOOKUP(Table91213[[#This Row],[Date]],'DB Details'!$A:$L,12)</f>
        <v/>
      </c>
    </row>
    <row r="576">
      <c r="A576" s="39" t="n">
        <v>34881</v>
      </c>
      <c r="B576" s="57">
        <f>VLOOKUP(Table91213[[#This Row],[Date]],'DB Details'!$A:$L,2)</f>
        <v/>
      </c>
      <c r="C576" s="41">
        <f>VLOOKUP(Table91213[[#This Row],[Date]],'DB Details'!$A:$L,3)</f>
        <v/>
      </c>
      <c r="D576" s="55">
        <f>VLOOKUP(Table91213[[#This Row],[Date]],'DB Details'!$A:$L,4)</f>
        <v/>
      </c>
      <c r="E576" s="88">
        <f>VLOOKUP(Table91213[[#This Row],[Date]],'DB Details'!$A:$L,5)</f>
        <v/>
      </c>
      <c r="F576" s="88">
        <f>VLOOKUP(Table91213[[#This Row],[Date]],'DB Details'!$A:$L,6)</f>
        <v/>
      </c>
      <c r="G576" s="119" t="n"/>
      <c r="H576" s="88">
        <f>VLOOKUP(Table91213[[#This Row],[Date]],'DB Details'!$A:$L,8)</f>
        <v/>
      </c>
      <c r="I576" s="88">
        <f>VLOOKUP(Table91213[[#This Row],[Date]],'DB Details'!$A:$L,9)</f>
        <v/>
      </c>
      <c r="J576" s="88">
        <f>VLOOKUP(Table91213[[#This Row],[Date]],'DB Details'!$A:$L,10)</f>
        <v/>
      </c>
      <c r="K576" s="41">
        <f>VLOOKUP(Table91213[[#This Row],[Date]],'DB Details'!$A:$L,11)</f>
        <v/>
      </c>
      <c r="L576" s="88">
        <f>VLOOKUP(Table91213[[#This Row],[Date]],'DB Details'!$A:$L,12)</f>
        <v/>
      </c>
    </row>
    <row r="577">
      <c r="A577" s="39" t="n">
        <v>34912</v>
      </c>
      <c r="B577" s="57">
        <f>VLOOKUP(Table91213[[#This Row],[Date]],'DB Details'!$A:$L,2)</f>
        <v/>
      </c>
      <c r="C577" s="41">
        <f>VLOOKUP(Table91213[[#This Row],[Date]],'DB Details'!$A:$L,3)</f>
        <v/>
      </c>
      <c r="D577" s="55">
        <f>VLOOKUP(Table91213[[#This Row],[Date]],'DB Details'!$A:$L,4)</f>
        <v/>
      </c>
      <c r="E577" s="88">
        <f>VLOOKUP(Table91213[[#This Row],[Date]],'DB Details'!$A:$L,5)</f>
        <v/>
      </c>
      <c r="F577" s="88">
        <f>VLOOKUP(Table91213[[#This Row],[Date]],'DB Details'!$A:$L,6)</f>
        <v/>
      </c>
      <c r="G577" s="119" t="n"/>
      <c r="H577" s="88">
        <f>VLOOKUP(Table91213[[#This Row],[Date]],'DB Details'!$A:$L,8)</f>
        <v/>
      </c>
      <c r="I577" s="88">
        <f>VLOOKUP(Table91213[[#This Row],[Date]],'DB Details'!$A:$L,9)</f>
        <v/>
      </c>
      <c r="J577" s="88">
        <f>VLOOKUP(Table91213[[#This Row],[Date]],'DB Details'!$A:$L,10)</f>
        <v/>
      </c>
      <c r="K577" s="41">
        <f>VLOOKUP(Table91213[[#This Row],[Date]],'DB Details'!$A:$L,11)</f>
        <v/>
      </c>
      <c r="L577" s="88">
        <f>VLOOKUP(Table91213[[#This Row],[Date]],'DB Details'!$A:$L,12)</f>
        <v/>
      </c>
    </row>
    <row r="578">
      <c r="A578" s="39" t="n">
        <v>34943</v>
      </c>
      <c r="B578" s="57">
        <f>VLOOKUP(Table91213[[#This Row],[Date]],'DB Details'!$A:$L,2)</f>
        <v/>
      </c>
      <c r="C578" s="41">
        <f>VLOOKUP(Table91213[[#This Row],[Date]],'DB Details'!$A:$L,3)</f>
        <v/>
      </c>
      <c r="D578" s="55">
        <f>VLOOKUP(Table91213[[#This Row],[Date]],'DB Details'!$A:$L,4)</f>
        <v/>
      </c>
      <c r="E578" s="88">
        <f>VLOOKUP(Table91213[[#This Row],[Date]],'DB Details'!$A:$L,5)</f>
        <v/>
      </c>
      <c r="F578" s="88">
        <f>VLOOKUP(Table91213[[#This Row],[Date]],'DB Details'!$A:$L,6)</f>
        <v/>
      </c>
      <c r="G578" s="119" t="n"/>
      <c r="H578" s="88">
        <f>VLOOKUP(Table91213[[#This Row],[Date]],'DB Details'!$A:$L,8)</f>
        <v/>
      </c>
      <c r="I578" s="88">
        <f>VLOOKUP(Table91213[[#This Row],[Date]],'DB Details'!$A:$L,9)</f>
        <v/>
      </c>
      <c r="J578" s="88">
        <f>VLOOKUP(Table91213[[#This Row],[Date]],'DB Details'!$A:$L,10)</f>
        <v/>
      </c>
      <c r="K578" s="41">
        <f>VLOOKUP(Table91213[[#This Row],[Date]],'DB Details'!$A:$L,11)</f>
        <v/>
      </c>
      <c r="L578" s="88">
        <f>VLOOKUP(Table91213[[#This Row],[Date]],'DB Details'!$A:$L,12)</f>
        <v/>
      </c>
    </row>
    <row r="579">
      <c r="A579" s="39" t="n">
        <v>34973</v>
      </c>
      <c r="B579" s="57">
        <f>VLOOKUP(Table91213[[#This Row],[Date]],'DB Details'!$A:$L,2)</f>
        <v/>
      </c>
      <c r="C579" s="41">
        <f>VLOOKUP(Table91213[[#This Row],[Date]],'DB Details'!$A:$L,3)</f>
        <v/>
      </c>
      <c r="D579" s="55">
        <f>VLOOKUP(Table91213[[#This Row],[Date]],'DB Details'!$A:$L,4)</f>
        <v/>
      </c>
      <c r="E579" s="88">
        <f>VLOOKUP(Table91213[[#This Row],[Date]],'DB Details'!$A:$L,5)</f>
        <v/>
      </c>
      <c r="F579" s="88">
        <f>VLOOKUP(Table91213[[#This Row],[Date]],'DB Details'!$A:$L,6)</f>
        <v/>
      </c>
      <c r="G579" s="119" t="n"/>
      <c r="H579" s="88">
        <f>VLOOKUP(Table91213[[#This Row],[Date]],'DB Details'!$A:$L,8)</f>
        <v/>
      </c>
      <c r="I579" s="88">
        <f>VLOOKUP(Table91213[[#This Row],[Date]],'DB Details'!$A:$L,9)</f>
        <v/>
      </c>
      <c r="J579" s="88">
        <f>VLOOKUP(Table91213[[#This Row],[Date]],'DB Details'!$A:$L,10)</f>
        <v/>
      </c>
      <c r="K579" s="41">
        <f>VLOOKUP(Table91213[[#This Row],[Date]],'DB Details'!$A:$L,11)</f>
        <v/>
      </c>
      <c r="L579" s="88">
        <f>VLOOKUP(Table91213[[#This Row],[Date]],'DB Details'!$A:$L,12)</f>
        <v/>
      </c>
    </row>
    <row r="580">
      <c r="A580" s="39" t="n">
        <v>35004</v>
      </c>
      <c r="B580" s="57">
        <f>VLOOKUP(Table91213[[#This Row],[Date]],'DB Details'!$A:$L,2)</f>
        <v/>
      </c>
      <c r="C580" s="41">
        <f>VLOOKUP(Table91213[[#This Row],[Date]],'DB Details'!$A:$L,3)</f>
        <v/>
      </c>
      <c r="D580" s="55">
        <f>VLOOKUP(Table91213[[#This Row],[Date]],'DB Details'!$A:$L,4)</f>
        <v/>
      </c>
      <c r="E580" s="88">
        <f>VLOOKUP(Table91213[[#This Row],[Date]],'DB Details'!$A:$L,5)</f>
        <v/>
      </c>
      <c r="F580" s="88">
        <f>VLOOKUP(Table91213[[#This Row],[Date]],'DB Details'!$A:$L,6)</f>
        <v/>
      </c>
      <c r="G580" s="119" t="n"/>
      <c r="H580" s="88">
        <f>VLOOKUP(Table91213[[#This Row],[Date]],'DB Details'!$A:$L,8)</f>
        <v/>
      </c>
      <c r="I580" s="88">
        <f>VLOOKUP(Table91213[[#This Row],[Date]],'DB Details'!$A:$L,9)</f>
        <v/>
      </c>
      <c r="J580" s="88">
        <f>VLOOKUP(Table91213[[#This Row],[Date]],'DB Details'!$A:$L,10)</f>
        <v/>
      </c>
      <c r="K580" s="41">
        <f>VLOOKUP(Table91213[[#This Row],[Date]],'DB Details'!$A:$L,11)</f>
        <v/>
      </c>
      <c r="L580" s="88">
        <f>VLOOKUP(Table91213[[#This Row],[Date]],'DB Details'!$A:$L,12)</f>
        <v/>
      </c>
    </row>
    <row r="581">
      <c r="A581" s="39" t="n">
        <v>35034</v>
      </c>
      <c r="B581" s="57">
        <f>VLOOKUP(Table91213[[#This Row],[Date]],'DB Details'!$A:$L,2)</f>
        <v/>
      </c>
      <c r="C581" s="41">
        <f>VLOOKUP(Table91213[[#This Row],[Date]],'DB Details'!$A:$L,3)</f>
        <v/>
      </c>
      <c r="D581" s="55">
        <f>VLOOKUP(Table91213[[#This Row],[Date]],'DB Details'!$A:$L,4)</f>
        <v/>
      </c>
      <c r="E581" s="88">
        <f>VLOOKUP(Table91213[[#This Row],[Date]],'DB Details'!$A:$L,5)</f>
        <v/>
      </c>
      <c r="F581" s="88">
        <f>VLOOKUP(Table91213[[#This Row],[Date]],'DB Details'!$A:$L,6)</f>
        <v/>
      </c>
      <c r="G581" s="119" t="n"/>
      <c r="H581" s="88">
        <f>VLOOKUP(Table91213[[#This Row],[Date]],'DB Details'!$A:$L,8)</f>
        <v/>
      </c>
      <c r="I581" s="88">
        <f>VLOOKUP(Table91213[[#This Row],[Date]],'DB Details'!$A:$L,9)</f>
        <v/>
      </c>
      <c r="J581" s="88">
        <f>VLOOKUP(Table91213[[#This Row],[Date]],'DB Details'!$A:$L,10)</f>
        <v/>
      </c>
      <c r="K581" s="41">
        <f>VLOOKUP(Table91213[[#This Row],[Date]],'DB Details'!$A:$L,11)</f>
        <v/>
      </c>
      <c r="L581" s="88">
        <f>VLOOKUP(Table91213[[#This Row],[Date]],'DB Details'!$A:$L,12)</f>
        <v/>
      </c>
    </row>
    <row r="582">
      <c r="A582" s="39" t="n">
        <v>35065</v>
      </c>
      <c r="B582" s="57">
        <f>VLOOKUP(Table91213[[#This Row],[Date]],'DB Details'!$A:$L,2)</f>
        <v/>
      </c>
      <c r="C582" s="41">
        <f>VLOOKUP(Table91213[[#This Row],[Date]],'DB Details'!$A:$L,3)</f>
        <v/>
      </c>
      <c r="D582" s="55">
        <f>VLOOKUP(Table91213[[#This Row],[Date]],'DB Details'!$A:$L,4)</f>
        <v/>
      </c>
      <c r="E582" s="88">
        <f>VLOOKUP(Table91213[[#This Row],[Date]],'DB Details'!$A:$L,5)</f>
        <v/>
      </c>
      <c r="F582" s="88">
        <f>VLOOKUP(Table91213[[#This Row],[Date]],'DB Details'!$A:$L,6)</f>
        <v/>
      </c>
      <c r="G582" s="119" t="n"/>
      <c r="H582" s="88">
        <f>VLOOKUP(Table91213[[#This Row],[Date]],'DB Details'!$A:$L,8)</f>
        <v/>
      </c>
      <c r="I582" s="88">
        <f>VLOOKUP(Table91213[[#This Row],[Date]],'DB Details'!$A:$L,9)</f>
        <v/>
      </c>
      <c r="J582" s="88">
        <f>VLOOKUP(Table91213[[#This Row],[Date]],'DB Details'!$A:$L,10)</f>
        <v/>
      </c>
      <c r="K582" s="41">
        <f>VLOOKUP(Table91213[[#This Row],[Date]],'DB Details'!$A:$L,11)</f>
        <v/>
      </c>
      <c r="L582" s="88">
        <f>VLOOKUP(Table91213[[#This Row],[Date]],'DB Details'!$A:$L,12)</f>
        <v/>
      </c>
    </row>
    <row r="583">
      <c r="A583" s="39" t="n">
        <v>35096</v>
      </c>
      <c r="B583" s="57">
        <f>VLOOKUP(Table91213[[#This Row],[Date]],'DB Details'!$A:$L,2)</f>
        <v/>
      </c>
      <c r="C583" s="41">
        <f>VLOOKUP(Table91213[[#This Row],[Date]],'DB Details'!$A:$L,3)</f>
        <v/>
      </c>
      <c r="D583" s="55">
        <f>VLOOKUP(Table91213[[#This Row],[Date]],'DB Details'!$A:$L,4)</f>
        <v/>
      </c>
      <c r="E583" s="88">
        <f>VLOOKUP(Table91213[[#This Row],[Date]],'DB Details'!$A:$L,5)</f>
        <v/>
      </c>
      <c r="F583" s="88">
        <f>VLOOKUP(Table91213[[#This Row],[Date]],'DB Details'!$A:$L,6)</f>
        <v/>
      </c>
      <c r="G583" s="119" t="n"/>
      <c r="H583" s="88">
        <f>VLOOKUP(Table91213[[#This Row],[Date]],'DB Details'!$A:$L,8)</f>
        <v/>
      </c>
      <c r="I583" s="88">
        <f>VLOOKUP(Table91213[[#This Row],[Date]],'DB Details'!$A:$L,9)</f>
        <v/>
      </c>
      <c r="J583" s="88">
        <f>VLOOKUP(Table91213[[#This Row],[Date]],'DB Details'!$A:$L,10)</f>
        <v/>
      </c>
      <c r="K583" s="41">
        <f>VLOOKUP(Table91213[[#This Row],[Date]],'DB Details'!$A:$L,11)</f>
        <v/>
      </c>
      <c r="L583" s="88">
        <f>VLOOKUP(Table91213[[#This Row],[Date]],'DB Details'!$A:$L,12)</f>
        <v/>
      </c>
    </row>
    <row r="584">
      <c r="A584" s="39" t="n">
        <v>35125</v>
      </c>
      <c r="B584" s="57">
        <f>VLOOKUP(Table91213[[#This Row],[Date]],'DB Details'!$A:$L,2)</f>
        <v/>
      </c>
      <c r="C584" s="41">
        <f>VLOOKUP(Table91213[[#This Row],[Date]],'DB Details'!$A:$L,3)</f>
        <v/>
      </c>
      <c r="D584" s="55">
        <f>VLOOKUP(Table91213[[#This Row],[Date]],'DB Details'!$A:$L,4)</f>
        <v/>
      </c>
      <c r="E584" s="88">
        <f>VLOOKUP(Table91213[[#This Row],[Date]],'DB Details'!$A:$L,5)</f>
        <v/>
      </c>
      <c r="F584" s="88">
        <f>VLOOKUP(Table91213[[#This Row],[Date]],'DB Details'!$A:$L,6)</f>
        <v/>
      </c>
      <c r="G584" s="119" t="n"/>
      <c r="H584" s="88">
        <f>VLOOKUP(Table91213[[#This Row],[Date]],'DB Details'!$A:$L,8)</f>
        <v/>
      </c>
      <c r="I584" s="88">
        <f>VLOOKUP(Table91213[[#This Row],[Date]],'DB Details'!$A:$L,9)</f>
        <v/>
      </c>
      <c r="J584" s="88">
        <f>VLOOKUP(Table91213[[#This Row],[Date]],'DB Details'!$A:$L,10)</f>
        <v/>
      </c>
      <c r="K584" s="41">
        <f>VLOOKUP(Table91213[[#This Row],[Date]],'DB Details'!$A:$L,11)</f>
        <v/>
      </c>
      <c r="L584" s="88">
        <f>VLOOKUP(Table91213[[#This Row],[Date]],'DB Details'!$A:$L,12)</f>
        <v/>
      </c>
    </row>
    <row r="585">
      <c r="A585" s="39" t="n">
        <v>35156</v>
      </c>
      <c r="B585" s="57">
        <f>VLOOKUP(Table91213[[#This Row],[Date]],'DB Details'!$A:$L,2)</f>
        <v/>
      </c>
      <c r="C585" s="41">
        <f>VLOOKUP(Table91213[[#This Row],[Date]],'DB Details'!$A:$L,3)</f>
        <v/>
      </c>
      <c r="D585" s="55">
        <f>VLOOKUP(Table91213[[#This Row],[Date]],'DB Details'!$A:$L,4)</f>
        <v/>
      </c>
      <c r="E585" s="88">
        <f>VLOOKUP(Table91213[[#This Row],[Date]],'DB Details'!$A:$L,5)</f>
        <v/>
      </c>
      <c r="F585" s="88">
        <f>VLOOKUP(Table91213[[#This Row],[Date]],'DB Details'!$A:$L,6)</f>
        <v/>
      </c>
      <c r="G585" s="119" t="n"/>
      <c r="H585" s="88">
        <f>VLOOKUP(Table91213[[#This Row],[Date]],'DB Details'!$A:$L,8)</f>
        <v/>
      </c>
      <c r="I585" s="88">
        <f>VLOOKUP(Table91213[[#This Row],[Date]],'DB Details'!$A:$L,9)</f>
        <v/>
      </c>
      <c r="J585" s="88">
        <f>VLOOKUP(Table91213[[#This Row],[Date]],'DB Details'!$A:$L,10)</f>
        <v/>
      </c>
      <c r="K585" s="41">
        <f>VLOOKUP(Table91213[[#This Row],[Date]],'DB Details'!$A:$L,11)</f>
        <v/>
      </c>
      <c r="L585" s="88">
        <f>VLOOKUP(Table91213[[#This Row],[Date]],'DB Details'!$A:$L,12)</f>
        <v/>
      </c>
    </row>
    <row r="586">
      <c r="A586" s="39" t="n">
        <v>35186</v>
      </c>
      <c r="B586" s="57">
        <f>VLOOKUP(Table91213[[#This Row],[Date]],'DB Details'!$A:$L,2)</f>
        <v/>
      </c>
      <c r="C586" s="41">
        <f>VLOOKUP(Table91213[[#This Row],[Date]],'DB Details'!$A:$L,3)</f>
        <v/>
      </c>
      <c r="D586" s="55">
        <f>VLOOKUP(Table91213[[#This Row],[Date]],'DB Details'!$A:$L,4)</f>
        <v/>
      </c>
      <c r="E586" s="88">
        <f>VLOOKUP(Table91213[[#This Row],[Date]],'DB Details'!$A:$L,5)</f>
        <v/>
      </c>
      <c r="F586" s="88">
        <f>VLOOKUP(Table91213[[#This Row],[Date]],'DB Details'!$A:$L,6)</f>
        <v/>
      </c>
      <c r="G586" s="119" t="n"/>
      <c r="H586" s="88">
        <f>VLOOKUP(Table91213[[#This Row],[Date]],'DB Details'!$A:$L,8)</f>
        <v/>
      </c>
      <c r="I586" s="88">
        <f>VLOOKUP(Table91213[[#This Row],[Date]],'DB Details'!$A:$L,9)</f>
        <v/>
      </c>
      <c r="J586" s="88">
        <f>VLOOKUP(Table91213[[#This Row],[Date]],'DB Details'!$A:$L,10)</f>
        <v/>
      </c>
      <c r="K586" s="41">
        <f>VLOOKUP(Table91213[[#This Row],[Date]],'DB Details'!$A:$L,11)</f>
        <v/>
      </c>
      <c r="L586" s="88">
        <f>VLOOKUP(Table91213[[#This Row],[Date]],'DB Details'!$A:$L,12)</f>
        <v/>
      </c>
    </row>
    <row r="587">
      <c r="A587" s="39" t="n">
        <v>35217</v>
      </c>
      <c r="B587" s="57">
        <f>VLOOKUP(Table91213[[#This Row],[Date]],'DB Details'!$A:$L,2)</f>
        <v/>
      </c>
      <c r="C587" s="41">
        <f>VLOOKUP(Table91213[[#This Row],[Date]],'DB Details'!$A:$L,3)</f>
        <v/>
      </c>
      <c r="D587" s="55">
        <f>VLOOKUP(Table91213[[#This Row],[Date]],'DB Details'!$A:$L,4)</f>
        <v/>
      </c>
      <c r="E587" s="88">
        <f>VLOOKUP(Table91213[[#This Row],[Date]],'DB Details'!$A:$L,5)</f>
        <v/>
      </c>
      <c r="F587" s="88">
        <f>VLOOKUP(Table91213[[#This Row],[Date]],'DB Details'!$A:$L,6)</f>
        <v/>
      </c>
      <c r="G587" s="119" t="n"/>
      <c r="H587" s="88">
        <f>VLOOKUP(Table91213[[#This Row],[Date]],'DB Details'!$A:$L,8)</f>
        <v/>
      </c>
      <c r="I587" s="88">
        <f>VLOOKUP(Table91213[[#This Row],[Date]],'DB Details'!$A:$L,9)</f>
        <v/>
      </c>
      <c r="J587" s="88">
        <f>VLOOKUP(Table91213[[#This Row],[Date]],'DB Details'!$A:$L,10)</f>
        <v/>
      </c>
      <c r="K587" s="41">
        <f>VLOOKUP(Table91213[[#This Row],[Date]],'DB Details'!$A:$L,11)</f>
        <v/>
      </c>
      <c r="L587" s="88">
        <f>VLOOKUP(Table91213[[#This Row],[Date]],'DB Details'!$A:$L,12)</f>
        <v/>
      </c>
    </row>
    <row r="588">
      <c r="A588" s="39" t="n">
        <v>35247</v>
      </c>
      <c r="B588" s="57">
        <f>VLOOKUP(Table91213[[#This Row],[Date]],'DB Details'!$A:$L,2)</f>
        <v/>
      </c>
      <c r="C588" s="41">
        <f>VLOOKUP(Table91213[[#This Row],[Date]],'DB Details'!$A:$L,3)</f>
        <v/>
      </c>
      <c r="D588" s="55">
        <f>VLOOKUP(Table91213[[#This Row],[Date]],'DB Details'!$A:$L,4)</f>
        <v/>
      </c>
      <c r="E588" s="88">
        <f>VLOOKUP(Table91213[[#This Row],[Date]],'DB Details'!$A:$L,5)</f>
        <v/>
      </c>
      <c r="F588" s="88">
        <f>VLOOKUP(Table91213[[#This Row],[Date]],'DB Details'!$A:$L,6)</f>
        <v/>
      </c>
      <c r="G588" s="119" t="n"/>
      <c r="H588" s="88">
        <f>VLOOKUP(Table91213[[#This Row],[Date]],'DB Details'!$A:$L,8)</f>
        <v/>
      </c>
      <c r="I588" s="88">
        <f>VLOOKUP(Table91213[[#This Row],[Date]],'DB Details'!$A:$L,9)</f>
        <v/>
      </c>
      <c r="J588" s="88">
        <f>VLOOKUP(Table91213[[#This Row],[Date]],'DB Details'!$A:$L,10)</f>
        <v/>
      </c>
      <c r="K588" s="41">
        <f>VLOOKUP(Table91213[[#This Row],[Date]],'DB Details'!$A:$L,11)</f>
        <v/>
      </c>
      <c r="L588" s="88">
        <f>VLOOKUP(Table91213[[#This Row],[Date]],'DB Details'!$A:$L,12)</f>
        <v/>
      </c>
    </row>
    <row r="589">
      <c r="A589" s="39" t="n">
        <v>35278</v>
      </c>
      <c r="B589" s="57">
        <f>VLOOKUP(Table91213[[#This Row],[Date]],'DB Details'!$A:$L,2)</f>
        <v/>
      </c>
      <c r="C589" s="41">
        <f>VLOOKUP(Table91213[[#This Row],[Date]],'DB Details'!$A:$L,3)</f>
        <v/>
      </c>
      <c r="D589" s="55">
        <f>VLOOKUP(Table91213[[#This Row],[Date]],'DB Details'!$A:$L,4)</f>
        <v/>
      </c>
      <c r="E589" s="88">
        <f>VLOOKUP(Table91213[[#This Row],[Date]],'DB Details'!$A:$L,5)</f>
        <v/>
      </c>
      <c r="F589" s="88">
        <f>VLOOKUP(Table91213[[#This Row],[Date]],'DB Details'!$A:$L,6)</f>
        <v/>
      </c>
      <c r="G589" s="119" t="n"/>
      <c r="H589" s="88">
        <f>VLOOKUP(Table91213[[#This Row],[Date]],'DB Details'!$A:$L,8)</f>
        <v/>
      </c>
      <c r="I589" s="88">
        <f>VLOOKUP(Table91213[[#This Row],[Date]],'DB Details'!$A:$L,9)</f>
        <v/>
      </c>
      <c r="J589" s="88">
        <f>VLOOKUP(Table91213[[#This Row],[Date]],'DB Details'!$A:$L,10)</f>
        <v/>
      </c>
      <c r="K589" s="41">
        <f>VLOOKUP(Table91213[[#This Row],[Date]],'DB Details'!$A:$L,11)</f>
        <v/>
      </c>
      <c r="L589" s="88">
        <f>VLOOKUP(Table91213[[#This Row],[Date]],'DB Details'!$A:$L,12)</f>
        <v/>
      </c>
    </row>
    <row r="590">
      <c r="A590" s="39" t="n">
        <v>35309</v>
      </c>
      <c r="B590" s="57">
        <f>VLOOKUP(Table91213[[#This Row],[Date]],'DB Details'!$A:$L,2)</f>
        <v/>
      </c>
      <c r="C590" s="41">
        <f>VLOOKUP(Table91213[[#This Row],[Date]],'DB Details'!$A:$L,3)</f>
        <v/>
      </c>
      <c r="D590" s="55">
        <f>VLOOKUP(Table91213[[#This Row],[Date]],'DB Details'!$A:$L,4)</f>
        <v/>
      </c>
      <c r="E590" s="88">
        <f>VLOOKUP(Table91213[[#This Row],[Date]],'DB Details'!$A:$L,5)</f>
        <v/>
      </c>
      <c r="F590" s="88">
        <f>VLOOKUP(Table91213[[#This Row],[Date]],'DB Details'!$A:$L,6)</f>
        <v/>
      </c>
      <c r="G590" s="119" t="n"/>
      <c r="H590" s="88">
        <f>VLOOKUP(Table91213[[#This Row],[Date]],'DB Details'!$A:$L,8)</f>
        <v/>
      </c>
      <c r="I590" s="88">
        <f>VLOOKUP(Table91213[[#This Row],[Date]],'DB Details'!$A:$L,9)</f>
        <v/>
      </c>
      <c r="J590" s="88">
        <f>VLOOKUP(Table91213[[#This Row],[Date]],'DB Details'!$A:$L,10)</f>
        <v/>
      </c>
      <c r="K590" s="41">
        <f>VLOOKUP(Table91213[[#This Row],[Date]],'DB Details'!$A:$L,11)</f>
        <v/>
      </c>
      <c r="L590" s="88">
        <f>VLOOKUP(Table91213[[#This Row],[Date]],'DB Details'!$A:$L,12)</f>
        <v/>
      </c>
    </row>
    <row r="591">
      <c r="A591" s="39" t="n">
        <v>35339</v>
      </c>
      <c r="B591" s="57">
        <f>VLOOKUP(Table91213[[#This Row],[Date]],'DB Details'!$A:$L,2)</f>
        <v/>
      </c>
      <c r="C591" s="41">
        <f>VLOOKUP(Table91213[[#This Row],[Date]],'DB Details'!$A:$L,3)</f>
        <v/>
      </c>
      <c r="D591" s="55">
        <f>VLOOKUP(Table91213[[#This Row],[Date]],'DB Details'!$A:$L,4)</f>
        <v/>
      </c>
      <c r="E591" s="88">
        <f>VLOOKUP(Table91213[[#This Row],[Date]],'DB Details'!$A:$L,5)</f>
        <v/>
      </c>
      <c r="F591" s="88">
        <f>VLOOKUP(Table91213[[#This Row],[Date]],'DB Details'!$A:$L,6)</f>
        <v/>
      </c>
      <c r="G591" s="119" t="n"/>
      <c r="H591" s="88">
        <f>VLOOKUP(Table91213[[#This Row],[Date]],'DB Details'!$A:$L,8)</f>
        <v/>
      </c>
      <c r="I591" s="88">
        <f>VLOOKUP(Table91213[[#This Row],[Date]],'DB Details'!$A:$L,9)</f>
        <v/>
      </c>
      <c r="J591" s="88">
        <f>VLOOKUP(Table91213[[#This Row],[Date]],'DB Details'!$A:$L,10)</f>
        <v/>
      </c>
      <c r="K591" s="41">
        <f>VLOOKUP(Table91213[[#This Row],[Date]],'DB Details'!$A:$L,11)</f>
        <v/>
      </c>
      <c r="L591" s="88">
        <f>VLOOKUP(Table91213[[#This Row],[Date]],'DB Details'!$A:$L,12)</f>
        <v/>
      </c>
    </row>
    <row r="592">
      <c r="A592" s="39" t="n">
        <v>35370</v>
      </c>
      <c r="B592" s="57">
        <f>VLOOKUP(Table91213[[#This Row],[Date]],'DB Details'!$A:$L,2)</f>
        <v/>
      </c>
      <c r="C592" s="41">
        <f>VLOOKUP(Table91213[[#This Row],[Date]],'DB Details'!$A:$L,3)</f>
        <v/>
      </c>
      <c r="D592" s="55">
        <f>VLOOKUP(Table91213[[#This Row],[Date]],'DB Details'!$A:$L,4)</f>
        <v/>
      </c>
      <c r="E592" s="88">
        <f>VLOOKUP(Table91213[[#This Row],[Date]],'DB Details'!$A:$L,5)</f>
        <v/>
      </c>
      <c r="F592" s="88">
        <f>VLOOKUP(Table91213[[#This Row],[Date]],'DB Details'!$A:$L,6)</f>
        <v/>
      </c>
      <c r="G592" s="119" t="n"/>
      <c r="H592" s="88">
        <f>VLOOKUP(Table91213[[#This Row],[Date]],'DB Details'!$A:$L,8)</f>
        <v/>
      </c>
      <c r="I592" s="88">
        <f>VLOOKUP(Table91213[[#This Row],[Date]],'DB Details'!$A:$L,9)</f>
        <v/>
      </c>
      <c r="J592" s="88">
        <f>VLOOKUP(Table91213[[#This Row],[Date]],'DB Details'!$A:$L,10)</f>
        <v/>
      </c>
      <c r="K592" s="41">
        <f>VLOOKUP(Table91213[[#This Row],[Date]],'DB Details'!$A:$L,11)</f>
        <v/>
      </c>
      <c r="L592" s="88">
        <f>VLOOKUP(Table91213[[#This Row],[Date]],'DB Details'!$A:$L,12)</f>
        <v/>
      </c>
    </row>
    <row r="593">
      <c r="A593" s="39" t="n">
        <v>35400</v>
      </c>
      <c r="B593" s="57">
        <f>VLOOKUP(Table91213[[#This Row],[Date]],'DB Details'!$A:$L,2)</f>
        <v/>
      </c>
      <c r="C593" s="41">
        <f>VLOOKUP(Table91213[[#This Row],[Date]],'DB Details'!$A:$L,3)</f>
        <v/>
      </c>
      <c r="D593" s="55">
        <f>VLOOKUP(Table91213[[#This Row],[Date]],'DB Details'!$A:$L,4)</f>
        <v/>
      </c>
      <c r="E593" s="88">
        <f>VLOOKUP(Table91213[[#This Row],[Date]],'DB Details'!$A:$L,5)</f>
        <v/>
      </c>
      <c r="F593" s="88">
        <f>VLOOKUP(Table91213[[#This Row],[Date]],'DB Details'!$A:$L,6)</f>
        <v/>
      </c>
      <c r="G593" s="119" t="n"/>
      <c r="H593" s="88">
        <f>VLOOKUP(Table91213[[#This Row],[Date]],'DB Details'!$A:$L,8)</f>
        <v/>
      </c>
      <c r="I593" s="88">
        <f>VLOOKUP(Table91213[[#This Row],[Date]],'DB Details'!$A:$L,9)</f>
        <v/>
      </c>
      <c r="J593" s="88">
        <f>VLOOKUP(Table91213[[#This Row],[Date]],'DB Details'!$A:$L,10)</f>
        <v/>
      </c>
      <c r="K593" s="41">
        <f>VLOOKUP(Table91213[[#This Row],[Date]],'DB Details'!$A:$L,11)</f>
        <v/>
      </c>
      <c r="L593" s="88">
        <f>VLOOKUP(Table91213[[#This Row],[Date]],'DB Details'!$A:$L,12)</f>
        <v/>
      </c>
    </row>
    <row r="594">
      <c r="A594" s="39" t="n">
        <v>35431</v>
      </c>
      <c r="B594" s="57">
        <f>VLOOKUP(Table91213[[#This Row],[Date]],'DB Details'!$A:$L,2)</f>
        <v/>
      </c>
      <c r="C594" s="41">
        <f>VLOOKUP(Table91213[[#This Row],[Date]],'DB Details'!$A:$L,3)</f>
        <v/>
      </c>
      <c r="D594" s="55">
        <f>VLOOKUP(Table91213[[#This Row],[Date]],'DB Details'!$A:$L,4)</f>
        <v/>
      </c>
      <c r="E594" s="88">
        <f>VLOOKUP(Table91213[[#This Row],[Date]],'DB Details'!$A:$L,5)</f>
        <v/>
      </c>
      <c r="F594" s="88">
        <f>VLOOKUP(Table91213[[#This Row],[Date]],'DB Details'!$A:$L,6)</f>
        <v/>
      </c>
      <c r="G594" s="41">
        <f>VLOOKUP(Table91213[[#This Row],[Date]],'DB Details'!$A:$L,7)</f>
        <v/>
      </c>
      <c r="H594" s="88">
        <f>VLOOKUP(Table91213[[#This Row],[Date]],'DB Details'!$A:$L,8)</f>
        <v/>
      </c>
      <c r="I594" s="88">
        <f>VLOOKUP(Table91213[[#This Row],[Date]],'DB Details'!$A:$L,9)</f>
        <v/>
      </c>
      <c r="J594" s="88">
        <f>VLOOKUP(Table91213[[#This Row],[Date]],'DB Details'!$A:$L,10)</f>
        <v/>
      </c>
      <c r="K594" s="41">
        <f>VLOOKUP(Table91213[[#This Row],[Date]],'DB Details'!$A:$L,11)</f>
        <v/>
      </c>
      <c r="L594" s="88">
        <f>VLOOKUP(Table91213[[#This Row],[Date]],'DB Details'!$A:$L,12)</f>
        <v/>
      </c>
    </row>
    <row r="595">
      <c r="A595" s="39" t="n">
        <v>35462</v>
      </c>
      <c r="B595" s="57">
        <f>VLOOKUP(Table91213[[#This Row],[Date]],'DB Details'!$A:$L,2)</f>
        <v/>
      </c>
      <c r="C595" s="41">
        <f>VLOOKUP(Table91213[[#This Row],[Date]],'DB Details'!$A:$L,3)</f>
        <v/>
      </c>
      <c r="D595" s="55">
        <f>VLOOKUP(Table91213[[#This Row],[Date]],'DB Details'!$A:$L,4)</f>
        <v/>
      </c>
      <c r="E595" s="88">
        <f>VLOOKUP(Table91213[[#This Row],[Date]],'DB Details'!$A:$L,5)</f>
        <v/>
      </c>
      <c r="F595" s="88">
        <f>VLOOKUP(Table91213[[#This Row],[Date]],'DB Details'!$A:$L,6)</f>
        <v/>
      </c>
      <c r="G595" s="41">
        <f>VLOOKUP(Table91213[[#This Row],[Date]],'DB Details'!$A:$L,7)</f>
        <v/>
      </c>
      <c r="H595" s="88">
        <f>VLOOKUP(Table91213[[#This Row],[Date]],'DB Details'!$A:$L,8)</f>
        <v/>
      </c>
      <c r="I595" s="88">
        <f>VLOOKUP(Table91213[[#This Row],[Date]],'DB Details'!$A:$L,9)</f>
        <v/>
      </c>
      <c r="J595" s="88">
        <f>VLOOKUP(Table91213[[#This Row],[Date]],'DB Details'!$A:$L,10)</f>
        <v/>
      </c>
      <c r="K595" s="41">
        <f>VLOOKUP(Table91213[[#This Row],[Date]],'DB Details'!$A:$L,11)</f>
        <v/>
      </c>
      <c r="L595" s="88">
        <f>VLOOKUP(Table91213[[#This Row],[Date]],'DB Details'!$A:$L,12)</f>
        <v/>
      </c>
    </row>
    <row r="596">
      <c r="A596" s="39" t="n">
        <v>35490</v>
      </c>
      <c r="B596" s="57">
        <f>VLOOKUP(Table91213[[#This Row],[Date]],'DB Details'!$A:$L,2)</f>
        <v/>
      </c>
      <c r="C596" s="41">
        <f>VLOOKUP(Table91213[[#This Row],[Date]],'DB Details'!$A:$L,3)</f>
        <v/>
      </c>
      <c r="D596" s="55">
        <f>VLOOKUP(Table91213[[#This Row],[Date]],'DB Details'!$A:$L,4)</f>
        <v/>
      </c>
      <c r="E596" s="88">
        <f>VLOOKUP(Table91213[[#This Row],[Date]],'DB Details'!$A:$L,5)</f>
        <v/>
      </c>
      <c r="F596" s="88">
        <f>VLOOKUP(Table91213[[#This Row],[Date]],'DB Details'!$A:$L,6)</f>
        <v/>
      </c>
      <c r="G596" s="41">
        <f>VLOOKUP(Table91213[[#This Row],[Date]],'DB Details'!$A:$L,7)</f>
        <v/>
      </c>
      <c r="H596" s="88">
        <f>VLOOKUP(Table91213[[#This Row],[Date]],'DB Details'!$A:$L,8)</f>
        <v/>
      </c>
      <c r="I596" s="88">
        <f>VLOOKUP(Table91213[[#This Row],[Date]],'DB Details'!$A:$L,9)</f>
        <v/>
      </c>
      <c r="J596" s="88">
        <f>VLOOKUP(Table91213[[#This Row],[Date]],'DB Details'!$A:$L,10)</f>
        <v/>
      </c>
      <c r="K596" s="41">
        <f>VLOOKUP(Table91213[[#This Row],[Date]],'DB Details'!$A:$L,11)</f>
        <v/>
      </c>
      <c r="L596" s="88">
        <f>VLOOKUP(Table91213[[#This Row],[Date]],'DB Details'!$A:$L,12)</f>
        <v/>
      </c>
    </row>
    <row r="597">
      <c r="A597" s="39" t="n">
        <v>35521</v>
      </c>
      <c r="B597" s="57">
        <f>VLOOKUP(Table91213[[#This Row],[Date]],'DB Details'!$A:$L,2)</f>
        <v/>
      </c>
      <c r="C597" s="41">
        <f>VLOOKUP(Table91213[[#This Row],[Date]],'DB Details'!$A:$L,3)</f>
        <v/>
      </c>
      <c r="D597" s="55">
        <f>VLOOKUP(Table91213[[#This Row],[Date]],'DB Details'!$A:$L,4)</f>
        <v/>
      </c>
      <c r="E597" s="88">
        <f>VLOOKUP(Table91213[[#This Row],[Date]],'DB Details'!$A:$L,5)</f>
        <v/>
      </c>
      <c r="F597" s="88">
        <f>VLOOKUP(Table91213[[#This Row],[Date]],'DB Details'!$A:$L,6)</f>
        <v/>
      </c>
      <c r="G597" s="41">
        <f>VLOOKUP(Table91213[[#This Row],[Date]],'DB Details'!$A:$L,7)</f>
        <v/>
      </c>
      <c r="H597" s="88">
        <f>VLOOKUP(Table91213[[#This Row],[Date]],'DB Details'!$A:$L,8)</f>
        <v/>
      </c>
      <c r="I597" s="88">
        <f>VLOOKUP(Table91213[[#This Row],[Date]],'DB Details'!$A:$L,9)</f>
        <v/>
      </c>
      <c r="J597" s="88">
        <f>VLOOKUP(Table91213[[#This Row],[Date]],'DB Details'!$A:$L,10)</f>
        <v/>
      </c>
      <c r="K597" s="41">
        <f>VLOOKUP(Table91213[[#This Row],[Date]],'DB Details'!$A:$L,11)</f>
        <v/>
      </c>
      <c r="L597" s="88">
        <f>VLOOKUP(Table91213[[#This Row],[Date]],'DB Details'!$A:$L,12)</f>
        <v/>
      </c>
    </row>
    <row r="598">
      <c r="A598" s="39" t="n">
        <v>35551</v>
      </c>
      <c r="B598" s="57">
        <f>VLOOKUP(Table91213[[#This Row],[Date]],'DB Details'!$A:$L,2)</f>
        <v/>
      </c>
      <c r="C598" s="41">
        <f>VLOOKUP(Table91213[[#This Row],[Date]],'DB Details'!$A:$L,3)</f>
        <v/>
      </c>
      <c r="D598" s="55">
        <f>VLOOKUP(Table91213[[#This Row],[Date]],'DB Details'!$A:$L,4)</f>
        <v/>
      </c>
      <c r="E598" s="88">
        <f>VLOOKUP(Table91213[[#This Row],[Date]],'DB Details'!$A:$L,5)</f>
        <v/>
      </c>
      <c r="F598" s="88">
        <f>VLOOKUP(Table91213[[#This Row],[Date]],'DB Details'!$A:$L,6)</f>
        <v/>
      </c>
      <c r="G598" s="41">
        <f>VLOOKUP(Table91213[[#This Row],[Date]],'DB Details'!$A:$L,7)</f>
        <v/>
      </c>
      <c r="H598" s="88">
        <f>VLOOKUP(Table91213[[#This Row],[Date]],'DB Details'!$A:$L,8)</f>
        <v/>
      </c>
      <c r="I598" s="88">
        <f>VLOOKUP(Table91213[[#This Row],[Date]],'DB Details'!$A:$L,9)</f>
        <v/>
      </c>
      <c r="J598" s="88">
        <f>VLOOKUP(Table91213[[#This Row],[Date]],'DB Details'!$A:$L,10)</f>
        <v/>
      </c>
      <c r="K598" s="41">
        <f>VLOOKUP(Table91213[[#This Row],[Date]],'DB Details'!$A:$L,11)</f>
        <v/>
      </c>
      <c r="L598" s="88">
        <f>VLOOKUP(Table91213[[#This Row],[Date]],'DB Details'!$A:$L,12)</f>
        <v/>
      </c>
    </row>
    <row r="599">
      <c r="A599" s="39" t="n">
        <v>35582</v>
      </c>
      <c r="B599" s="57">
        <f>VLOOKUP(Table91213[[#This Row],[Date]],'DB Details'!$A:$L,2)</f>
        <v/>
      </c>
      <c r="C599" s="41">
        <f>VLOOKUP(Table91213[[#This Row],[Date]],'DB Details'!$A:$L,3)</f>
        <v/>
      </c>
      <c r="D599" s="55">
        <f>VLOOKUP(Table91213[[#This Row],[Date]],'DB Details'!$A:$L,4)</f>
        <v/>
      </c>
      <c r="E599" s="88">
        <f>VLOOKUP(Table91213[[#This Row],[Date]],'DB Details'!$A:$L,5)</f>
        <v/>
      </c>
      <c r="F599" s="88">
        <f>VLOOKUP(Table91213[[#This Row],[Date]],'DB Details'!$A:$L,6)</f>
        <v/>
      </c>
      <c r="G599" s="41">
        <f>VLOOKUP(Table91213[[#This Row],[Date]],'DB Details'!$A:$L,7)</f>
        <v/>
      </c>
      <c r="H599" s="88">
        <f>VLOOKUP(Table91213[[#This Row],[Date]],'DB Details'!$A:$L,8)</f>
        <v/>
      </c>
      <c r="I599" s="88">
        <f>VLOOKUP(Table91213[[#This Row],[Date]],'DB Details'!$A:$L,9)</f>
        <v/>
      </c>
      <c r="J599" s="88">
        <f>VLOOKUP(Table91213[[#This Row],[Date]],'DB Details'!$A:$L,10)</f>
        <v/>
      </c>
      <c r="K599" s="41">
        <f>VLOOKUP(Table91213[[#This Row],[Date]],'DB Details'!$A:$L,11)</f>
        <v/>
      </c>
      <c r="L599" s="88">
        <f>VLOOKUP(Table91213[[#This Row],[Date]],'DB Details'!$A:$L,12)</f>
        <v/>
      </c>
    </row>
    <row r="600">
      <c r="A600" s="39" t="n">
        <v>35612</v>
      </c>
      <c r="B600" s="57">
        <f>VLOOKUP(Table91213[[#This Row],[Date]],'DB Details'!$A:$L,2)</f>
        <v/>
      </c>
      <c r="C600" s="41">
        <f>VLOOKUP(Table91213[[#This Row],[Date]],'DB Details'!$A:$L,3)</f>
        <v/>
      </c>
      <c r="D600" s="55">
        <f>VLOOKUP(Table91213[[#This Row],[Date]],'DB Details'!$A:$L,4)</f>
        <v/>
      </c>
      <c r="E600" s="88">
        <f>VLOOKUP(Table91213[[#This Row],[Date]],'DB Details'!$A:$L,5)</f>
        <v/>
      </c>
      <c r="F600" s="88">
        <f>VLOOKUP(Table91213[[#This Row],[Date]],'DB Details'!$A:$L,6)</f>
        <v/>
      </c>
      <c r="G600" s="41">
        <f>VLOOKUP(Table91213[[#This Row],[Date]],'DB Details'!$A:$L,7)</f>
        <v/>
      </c>
      <c r="H600" s="88">
        <f>VLOOKUP(Table91213[[#This Row],[Date]],'DB Details'!$A:$L,8)</f>
        <v/>
      </c>
      <c r="I600" s="88">
        <f>VLOOKUP(Table91213[[#This Row],[Date]],'DB Details'!$A:$L,9)</f>
        <v/>
      </c>
      <c r="J600" s="88">
        <f>VLOOKUP(Table91213[[#This Row],[Date]],'DB Details'!$A:$L,10)</f>
        <v/>
      </c>
      <c r="K600" s="41">
        <f>VLOOKUP(Table91213[[#This Row],[Date]],'DB Details'!$A:$L,11)</f>
        <v/>
      </c>
      <c r="L600" s="88">
        <f>VLOOKUP(Table91213[[#This Row],[Date]],'DB Details'!$A:$L,12)</f>
        <v/>
      </c>
    </row>
    <row r="601">
      <c r="A601" s="39" t="n">
        <v>35643</v>
      </c>
      <c r="B601" s="57">
        <f>VLOOKUP(Table91213[[#This Row],[Date]],'DB Details'!$A:$L,2)</f>
        <v/>
      </c>
      <c r="C601" s="41">
        <f>VLOOKUP(Table91213[[#This Row],[Date]],'DB Details'!$A:$L,3)</f>
        <v/>
      </c>
      <c r="D601" s="55">
        <f>VLOOKUP(Table91213[[#This Row],[Date]],'DB Details'!$A:$L,4)</f>
        <v/>
      </c>
      <c r="E601" s="88">
        <f>VLOOKUP(Table91213[[#This Row],[Date]],'DB Details'!$A:$L,5)</f>
        <v/>
      </c>
      <c r="F601" s="88">
        <f>VLOOKUP(Table91213[[#This Row],[Date]],'DB Details'!$A:$L,6)</f>
        <v/>
      </c>
      <c r="G601" s="41">
        <f>VLOOKUP(Table91213[[#This Row],[Date]],'DB Details'!$A:$L,7)</f>
        <v/>
      </c>
      <c r="H601" s="88">
        <f>VLOOKUP(Table91213[[#This Row],[Date]],'DB Details'!$A:$L,8)</f>
        <v/>
      </c>
      <c r="I601" s="88">
        <f>VLOOKUP(Table91213[[#This Row],[Date]],'DB Details'!$A:$L,9)</f>
        <v/>
      </c>
      <c r="J601" s="88">
        <f>VLOOKUP(Table91213[[#This Row],[Date]],'DB Details'!$A:$L,10)</f>
        <v/>
      </c>
      <c r="K601" s="41">
        <f>VLOOKUP(Table91213[[#This Row],[Date]],'DB Details'!$A:$L,11)</f>
        <v/>
      </c>
      <c r="L601" s="88">
        <f>VLOOKUP(Table91213[[#This Row],[Date]],'DB Details'!$A:$L,12)</f>
        <v/>
      </c>
    </row>
    <row r="602">
      <c r="A602" s="39" t="n">
        <v>35674</v>
      </c>
      <c r="B602" s="57">
        <f>VLOOKUP(Table91213[[#This Row],[Date]],'DB Details'!$A:$L,2)</f>
        <v/>
      </c>
      <c r="C602" s="41">
        <f>VLOOKUP(Table91213[[#This Row],[Date]],'DB Details'!$A:$L,3)</f>
        <v/>
      </c>
      <c r="D602" s="55">
        <f>VLOOKUP(Table91213[[#This Row],[Date]],'DB Details'!$A:$L,4)</f>
        <v/>
      </c>
      <c r="E602" s="88">
        <f>VLOOKUP(Table91213[[#This Row],[Date]],'DB Details'!$A:$L,5)</f>
        <v/>
      </c>
      <c r="F602" s="88">
        <f>VLOOKUP(Table91213[[#This Row],[Date]],'DB Details'!$A:$L,6)</f>
        <v/>
      </c>
      <c r="G602" s="41">
        <f>VLOOKUP(Table91213[[#This Row],[Date]],'DB Details'!$A:$L,7)</f>
        <v/>
      </c>
      <c r="H602" s="88">
        <f>VLOOKUP(Table91213[[#This Row],[Date]],'DB Details'!$A:$L,8)</f>
        <v/>
      </c>
      <c r="I602" s="88">
        <f>VLOOKUP(Table91213[[#This Row],[Date]],'DB Details'!$A:$L,9)</f>
        <v/>
      </c>
      <c r="J602" s="88">
        <f>VLOOKUP(Table91213[[#This Row],[Date]],'DB Details'!$A:$L,10)</f>
        <v/>
      </c>
      <c r="K602" s="41">
        <f>VLOOKUP(Table91213[[#This Row],[Date]],'DB Details'!$A:$L,11)</f>
        <v/>
      </c>
      <c r="L602" s="88">
        <f>VLOOKUP(Table91213[[#This Row],[Date]],'DB Details'!$A:$L,12)</f>
        <v/>
      </c>
    </row>
    <row r="603">
      <c r="A603" s="39" t="n">
        <v>35704</v>
      </c>
      <c r="B603" s="57">
        <f>VLOOKUP(Table91213[[#This Row],[Date]],'DB Details'!$A:$L,2)</f>
        <v/>
      </c>
      <c r="C603" s="41">
        <f>VLOOKUP(Table91213[[#This Row],[Date]],'DB Details'!$A:$L,3)</f>
        <v/>
      </c>
      <c r="D603" s="55">
        <f>VLOOKUP(Table91213[[#This Row],[Date]],'DB Details'!$A:$L,4)</f>
        <v/>
      </c>
      <c r="E603" s="88">
        <f>VLOOKUP(Table91213[[#This Row],[Date]],'DB Details'!$A:$L,5)</f>
        <v/>
      </c>
      <c r="F603" s="88">
        <f>VLOOKUP(Table91213[[#This Row],[Date]],'DB Details'!$A:$L,6)</f>
        <v/>
      </c>
      <c r="G603" s="41">
        <f>VLOOKUP(Table91213[[#This Row],[Date]],'DB Details'!$A:$L,7)</f>
        <v/>
      </c>
      <c r="H603" s="88">
        <f>VLOOKUP(Table91213[[#This Row],[Date]],'DB Details'!$A:$L,8)</f>
        <v/>
      </c>
      <c r="I603" s="88">
        <f>VLOOKUP(Table91213[[#This Row],[Date]],'DB Details'!$A:$L,9)</f>
        <v/>
      </c>
      <c r="J603" s="88">
        <f>VLOOKUP(Table91213[[#This Row],[Date]],'DB Details'!$A:$L,10)</f>
        <v/>
      </c>
      <c r="K603" s="41">
        <f>VLOOKUP(Table91213[[#This Row],[Date]],'DB Details'!$A:$L,11)</f>
        <v/>
      </c>
      <c r="L603" s="88">
        <f>VLOOKUP(Table91213[[#This Row],[Date]],'DB Details'!$A:$L,12)</f>
        <v/>
      </c>
    </row>
    <row r="604">
      <c r="A604" s="39" t="n">
        <v>35735</v>
      </c>
      <c r="B604" s="57">
        <f>VLOOKUP(Table91213[[#This Row],[Date]],'DB Details'!$A:$L,2)</f>
        <v/>
      </c>
      <c r="C604" s="41">
        <f>VLOOKUP(Table91213[[#This Row],[Date]],'DB Details'!$A:$L,3)</f>
        <v/>
      </c>
      <c r="D604" s="55">
        <f>VLOOKUP(Table91213[[#This Row],[Date]],'DB Details'!$A:$L,4)</f>
        <v/>
      </c>
      <c r="E604" s="88">
        <f>VLOOKUP(Table91213[[#This Row],[Date]],'DB Details'!$A:$L,5)</f>
        <v/>
      </c>
      <c r="F604" s="88">
        <f>VLOOKUP(Table91213[[#This Row],[Date]],'DB Details'!$A:$L,6)</f>
        <v/>
      </c>
      <c r="G604" s="41">
        <f>VLOOKUP(Table91213[[#This Row],[Date]],'DB Details'!$A:$L,7)</f>
        <v/>
      </c>
      <c r="H604" s="88">
        <f>VLOOKUP(Table91213[[#This Row],[Date]],'DB Details'!$A:$L,8)</f>
        <v/>
      </c>
      <c r="I604" s="88">
        <f>VLOOKUP(Table91213[[#This Row],[Date]],'DB Details'!$A:$L,9)</f>
        <v/>
      </c>
      <c r="J604" s="88">
        <f>VLOOKUP(Table91213[[#This Row],[Date]],'DB Details'!$A:$L,10)</f>
        <v/>
      </c>
      <c r="K604" s="41">
        <f>VLOOKUP(Table91213[[#This Row],[Date]],'DB Details'!$A:$L,11)</f>
        <v/>
      </c>
      <c r="L604" s="88">
        <f>VLOOKUP(Table91213[[#This Row],[Date]],'DB Details'!$A:$L,12)</f>
        <v/>
      </c>
    </row>
    <row r="605">
      <c r="A605" s="39" t="n">
        <v>35765</v>
      </c>
      <c r="B605" s="57">
        <f>VLOOKUP(Table91213[[#This Row],[Date]],'DB Details'!$A:$L,2)</f>
        <v/>
      </c>
      <c r="C605" s="41">
        <f>VLOOKUP(Table91213[[#This Row],[Date]],'DB Details'!$A:$L,3)</f>
        <v/>
      </c>
      <c r="D605" s="55">
        <f>VLOOKUP(Table91213[[#This Row],[Date]],'DB Details'!$A:$L,4)</f>
        <v/>
      </c>
      <c r="E605" s="88">
        <f>VLOOKUP(Table91213[[#This Row],[Date]],'DB Details'!$A:$L,5)</f>
        <v/>
      </c>
      <c r="F605" s="88">
        <f>VLOOKUP(Table91213[[#This Row],[Date]],'DB Details'!$A:$L,6)</f>
        <v/>
      </c>
      <c r="G605" s="41">
        <f>VLOOKUP(Table91213[[#This Row],[Date]],'DB Details'!$A:$L,7)</f>
        <v/>
      </c>
      <c r="H605" s="88">
        <f>VLOOKUP(Table91213[[#This Row],[Date]],'DB Details'!$A:$L,8)</f>
        <v/>
      </c>
      <c r="I605" s="88">
        <f>VLOOKUP(Table91213[[#This Row],[Date]],'DB Details'!$A:$L,9)</f>
        <v/>
      </c>
      <c r="J605" s="88">
        <f>VLOOKUP(Table91213[[#This Row],[Date]],'DB Details'!$A:$L,10)</f>
        <v/>
      </c>
      <c r="K605" s="41">
        <f>VLOOKUP(Table91213[[#This Row],[Date]],'DB Details'!$A:$L,11)</f>
        <v/>
      </c>
      <c r="L605" s="88">
        <f>VLOOKUP(Table91213[[#This Row],[Date]],'DB Details'!$A:$L,12)</f>
        <v/>
      </c>
    </row>
    <row r="606">
      <c r="A606" s="39" t="n">
        <v>35796</v>
      </c>
      <c r="B606" s="57">
        <f>VLOOKUP(Table91213[[#This Row],[Date]],'DB Details'!$A:$L,2)</f>
        <v/>
      </c>
      <c r="C606" s="41">
        <f>VLOOKUP(Table91213[[#This Row],[Date]],'DB Details'!$A:$L,3)</f>
        <v/>
      </c>
      <c r="D606" s="55">
        <f>VLOOKUP(Table91213[[#This Row],[Date]],'DB Details'!$A:$L,4)</f>
        <v/>
      </c>
      <c r="E606" s="88">
        <f>VLOOKUP(Table91213[[#This Row],[Date]],'DB Details'!$A:$L,5)</f>
        <v/>
      </c>
      <c r="F606" s="88">
        <f>VLOOKUP(Table91213[[#This Row],[Date]],'DB Details'!$A:$L,6)</f>
        <v/>
      </c>
      <c r="G606" s="41">
        <f>VLOOKUP(Table91213[[#This Row],[Date]],'DB Details'!$A:$L,7)</f>
        <v/>
      </c>
      <c r="H606" s="88">
        <f>VLOOKUP(Table91213[[#This Row],[Date]],'DB Details'!$A:$L,8)</f>
        <v/>
      </c>
      <c r="I606" s="88">
        <f>VLOOKUP(Table91213[[#This Row],[Date]],'DB Details'!$A:$L,9)</f>
        <v/>
      </c>
      <c r="J606" s="88">
        <f>VLOOKUP(Table91213[[#This Row],[Date]],'DB Details'!$A:$L,10)</f>
        <v/>
      </c>
      <c r="K606" s="41">
        <f>VLOOKUP(Table91213[[#This Row],[Date]],'DB Details'!$A:$L,11)</f>
        <v/>
      </c>
      <c r="L606" s="88">
        <f>VLOOKUP(Table91213[[#This Row],[Date]],'DB Details'!$A:$L,12)</f>
        <v/>
      </c>
    </row>
    <row r="607">
      <c r="A607" s="39" t="n">
        <v>35827</v>
      </c>
      <c r="B607" s="57">
        <f>VLOOKUP(Table91213[[#This Row],[Date]],'DB Details'!$A:$L,2)</f>
        <v/>
      </c>
      <c r="C607" s="41">
        <f>VLOOKUP(Table91213[[#This Row],[Date]],'DB Details'!$A:$L,3)</f>
        <v/>
      </c>
      <c r="D607" s="55">
        <f>VLOOKUP(Table91213[[#This Row],[Date]],'DB Details'!$A:$L,4)</f>
        <v/>
      </c>
      <c r="E607" s="88">
        <f>VLOOKUP(Table91213[[#This Row],[Date]],'DB Details'!$A:$L,5)</f>
        <v/>
      </c>
      <c r="F607" s="88">
        <f>VLOOKUP(Table91213[[#This Row],[Date]],'DB Details'!$A:$L,6)</f>
        <v/>
      </c>
      <c r="G607" s="41">
        <f>VLOOKUP(Table91213[[#This Row],[Date]],'DB Details'!$A:$L,7)</f>
        <v/>
      </c>
      <c r="H607" s="88">
        <f>VLOOKUP(Table91213[[#This Row],[Date]],'DB Details'!$A:$L,8)</f>
        <v/>
      </c>
      <c r="I607" s="88">
        <f>VLOOKUP(Table91213[[#This Row],[Date]],'DB Details'!$A:$L,9)</f>
        <v/>
      </c>
      <c r="J607" s="88">
        <f>VLOOKUP(Table91213[[#This Row],[Date]],'DB Details'!$A:$L,10)</f>
        <v/>
      </c>
      <c r="K607" s="41">
        <f>VLOOKUP(Table91213[[#This Row],[Date]],'DB Details'!$A:$L,11)</f>
        <v/>
      </c>
      <c r="L607" s="88">
        <f>VLOOKUP(Table91213[[#This Row],[Date]],'DB Details'!$A:$L,12)</f>
        <v/>
      </c>
    </row>
    <row r="608">
      <c r="A608" s="39" t="n">
        <v>35855</v>
      </c>
      <c r="B608" s="57">
        <f>VLOOKUP(Table91213[[#This Row],[Date]],'DB Details'!$A:$L,2)</f>
        <v/>
      </c>
      <c r="C608" s="41">
        <f>VLOOKUP(Table91213[[#This Row],[Date]],'DB Details'!$A:$L,3)</f>
        <v/>
      </c>
      <c r="D608" s="55">
        <f>VLOOKUP(Table91213[[#This Row],[Date]],'DB Details'!$A:$L,4)</f>
        <v/>
      </c>
      <c r="E608" s="88">
        <f>VLOOKUP(Table91213[[#This Row],[Date]],'DB Details'!$A:$L,5)</f>
        <v/>
      </c>
      <c r="F608" s="88">
        <f>VLOOKUP(Table91213[[#This Row],[Date]],'DB Details'!$A:$L,6)</f>
        <v/>
      </c>
      <c r="G608" s="41">
        <f>VLOOKUP(Table91213[[#This Row],[Date]],'DB Details'!$A:$L,7)</f>
        <v/>
      </c>
      <c r="H608" s="88">
        <f>VLOOKUP(Table91213[[#This Row],[Date]],'DB Details'!$A:$L,8)</f>
        <v/>
      </c>
      <c r="I608" s="88">
        <f>VLOOKUP(Table91213[[#This Row],[Date]],'DB Details'!$A:$L,9)</f>
        <v/>
      </c>
      <c r="J608" s="88">
        <f>VLOOKUP(Table91213[[#This Row],[Date]],'DB Details'!$A:$L,10)</f>
        <v/>
      </c>
      <c r="K608" s="41">
        <f>VLOOKUP(Table91213[[#This Row],[Date]],'DB Details'!$A:$L,11)</f>
        <v/>
      </c>
      <c r="L608" s="88">
        <f>VLOOKUP(Table91213[[#This Row],[Date]],'DB Details'!$A:$L,12)</f>
        <v/>
      </c>
    </row>
    <row r="609">
      <c r="A609" s="39" t="n">
        <v>35886</v>
      </c>
      <c r="B609" s="57">
        <f>VLOOKUP(Table91213[[#This Row],[Date]],'DB Details'!$A:$L,2)</f>
        <v/>
      </c>
      <c r="C609" s="41">
        <f>VLOOKUP(Table91213[[#This Row],[Date]],'DB Details'!$A:$L,3)</f>
        <v/>
      </c>
      <c r="D609" s="55">
        <f>VLOOKUP(Table91213[[#This Row],[Date]],'DB Details'!$A:$L,4)</f>
        <v/>
      </c>
      <c r="E609" s="88">
        <f>VLOOKUP(Table91213[[#This Row],[Date]],'DB Details'!$A:$L,5)</f>
        <v/>
      </c>
      <c r="F609" s="88">
        <f>VLOOKUP(Table91213[[#This Row],[Date]],'DB Details'!$A:$L,6)</f>
        <v/>
      </c>
      <c r="G609" s="41">
        <f>VLOOKUP(Table91213[[#This Row],[Date]],'DB Details'!$A:$L,7)</f>
        <v/>
      </c>
      <c r="H609" s="88">
        <f>VLOOKUP(Table91213[[#This Row],[Date]],'DB Details'!$A:$L,8)</f>
        <v/>
      </c>
      <c r="I609" s="88">
        <f>VLOOKUP(Table91213[[#This Row],[Date]],'DB Details'!$A:$L,9)</f>
        <v/>
      </c>
      <c r="J609" s="88">
        <f>VLOOKUP(Table91213[[#This Row],[Date]],'DB Details'!$A:$L,10)</f>
        <v/>
      </c>
      <c r="K609" s="41">
        <f>VLOOKUP(Table91213[[#This Row],[Date]],'DB Details'!$A:$L,11)</f>
        <v/>
      </c>
      <c r="L609" s="88">
        <f>VLOOKUP(Table91213[[#This Row],[Date]],'DB Details'!$A:$L,12)</f>
        <v/>
      </c>
    </row>
    <row r="610">
      <c r="A610" s="39" t="n">
        <v>35916</v>
      </c>
      <c r="B610" s="57">
        <f>VLOOKUP(Table91213[[#This Row],[Date]],'DB Details'!$A:$L,2)</f>
        <v/>
      </c>
      <c r="C610" s="41">
        <f>VLOOKUP(Table91213[[#This Row],[Date]],'DB Details'!$A:$L,3)</f>
        <v/>
      </c>
      <c r="D610" s="55">
        <f>VLOOKUP(Table91213[[#This Row],[Date]],'DB Details'!$A:$L,4)</f>
        <v/>
      </c>
      <c r="E610" s="88">
        <f>VLOOKUP(Table91213[[#This Row],[Date]],'DB Details'!$A:$L,5)</f>
        <v/>
      </c>
      <c r="F610" s="88">
        <f>VLOOKUP(Table91213[[#This Row],[Date]],'DB Details'!$A:$L,6)</f>
        <v/>
      </c>
      <c r="G610" s="41">
        <f>VLOOKUP(Table91213[[#This Row],[Date]],'DB Details'!$A:$L,7)</f>
        <v/>
      </c>
      <c r="H610" s="88">
        <f>VLOOKUP(Table91213[[#This Row],[Date]],'DB Details'!$A:$L,8)</f>
        <v/>
      </c>
      <c r="I610" s="88">
        <f>VLOOKUP(Table91213[[#This Row],[Date]],'DB Details'!$A:$L,9)</f>
        <v/>
      </c>
      <c r="J610" s="88">
        <f>VLOOKUP(Table91213[[#This Row],[Date]],'DB Details'!$A:$L,10)</f>
        <v/>
      </c>
      <c r="K610" s="41">
        <f>VLOOKUP(Table91213[[#This Row],[Date]],'DB Details'!$A:$L,11)</f>
        <v/>
      </c>
      <c r="L610" s="88">
        <f>VLOOKUP(Table91213[[#This Row],[Date]],'DB Details'!$A:$L,12)</f>
        <v/>
      </c>
    </row>
    <row r="611">
      <c r="A611" s="39" t="n">
        <v>35947</v>
      </c>
      <c r="B611" s="57">
        <f>VLOOKUP(Table91213[[#This Row],[Date]],'DB Details'!$A:$L,2)</f>
        <v/>
      </c>
      <c r="C611" s="41">
        <f>VLOOKUP(Table91213[[#This Row],[Date]],'DB Details'!$A:$L,3)</f>
        <v/>
      </c>
      <c r="D611" s="55">
        <f>VLOOKUP(Table91213[[#This Row],[Date]],'DB Details'!$A:$L,4)</f>
        <v/>
      </c>
      <c r="E611" s="88">
        <f>VLOOKUP(Table91213[[#This Row],[Date]],'DB Details'!$A:$L,5)</f>
        <v/>
      </c>
      <c r="F611" s="88">
        <f>VLOOKUP(Table91213[[#This Row],[Date]],'DB Details'!$A:$L,6)</f>
        <v/>
      </c>
      <c r="G611" s="41">
        <f>VLOOKUP(Table91213[[#This Row],[Date]],'DB Details'!$A:$L,7)</f>
        <v/>
      </c>
      <c r="H611" s="88">
        <f>VLOOKUP(Table91213[[#This Row],[Date]],'DB Details'!$A:$L,8)</f>
        <v/>
      </c>
      <c r="I611" s="88">
        <f>VLOOKUP(Table91213[[#This Row],[Date]],'DB Details'!$A:$L,9)</f>
        <v/>
      </c>
      <c r="J611" s="88">
        <f>VLOOKUP(Table91213[[#This Row],[Date]],'DB Details'!$A:$L,10)</f>
        <v/>
      </c>
      <c r="K611" s="41">
        <f>VLOOKUP(Table91213[[#This Row],[Date]],'DB Details'!$A:$L,11)</f>
        <v/>
      </c>
      <c r="L611" s="88">
        <f>VLOOKUP(Table91213[[#This Row],[Date]],'DB Details'!$A:$L,12)</f>
        <v/>
      </c>
    </row>
    <row r="612">
      <c r="A612" s="39" t="n">
        <v>35977</v>
      </c>
      <c r="B612" s="57">
        <f>VLOOKUP(Table91213[[#This Row],[Date]],'DB Details'!$A:$L,2)</f>
        <v/>
      </c>
      <c r="C612" s="41">
        <f>VLOOKUP(Table91213[[#This Row],[Date]],'DB Details'!$A:$L,3)</f>
        <v/>
      </c>
      <c r="D612" s="55">
        <f>VLOOKUP(Table91213[[#This Row],[Date]],'DB Details'!$A:$L,4)</f>
        <v/>
      </c>
      <c r="E612" s="88">
        <f>VLOOKUP(Table91213[[#This Row],[Date]],'DB Details'!$A:$L,5)</f>
        <v/>
      </c>
      <c r="F612" s="88">
        <f>VLOOKUP(Table91213[[#This Row],[Date]],'DB Details'!$A:$L,6)</f>
        <v/>
      </c>
      <c r="G612" s="41">
        <f>VLOOKUP(Table91213[[#This Row],[Date]],'DB Details'!$A:$L,7)</f>
        <v/>
      </c>
      <c r="H612" s="88">
        <f>VLOOKUP(Table91213[[#This Row],[Date]],'DB Details'!$A:$L,8)</f>
        <v/>
      </c>
      <c r="I612" s="88">
        <f>VLOOKUP(Table91213[[#This Row],[Date]],'DB Details'!$A:$L,9)</f>
        <v/>
      </c>
      <c r="J612" s="88">
        <f>VLOOKUP(Table91213[[#This Row],[Date]],'DB Details'!$A:$L,10)</f>
        <v/>
      </c>
      <c r="K612" s="41">
        <f>VLOOKUP(Table91213[[#This Row],[Date]],'DB Details'!$A:$L,11)</f>
        <v/>
      </c>
      <c r="L612" s="88">
        <f>VLOOKUP(Table91213[[#This Row],[Date]],'DB Details'!$A:$L,12)</f>
        <v/>
      </c>
    </row>
    <row r="613">
      <c r="A613" s="39" t="n">
        <v>36008</v>
      </c>
      <c r="B613" s="57">
        <f>VLOOKUP(Table91213[[#This Row],[Date]],'DB Details'!$A:$L,2)</f>
        <v/>
      </c>
      <c r="C613" s="41">
        <f>VLOOKUP(Table91213[[#This Row],[Date]],'DB Details'!$A:$L,3)</f>
        <v/>
      </c>
      <c r="D613" s="55">
        <f>VLOOKUP(Table91213[[#This Row],[Date]],'DB Details'!$A:$L,4)</f>
        <v/>
      </c>
      <c r="E613" s="88">
        <f>VLOOKUP(Table91213[[#This Row],[Date]],'DB Details'!$A:$L,5)</f>
        <v/>
      </c>
      <c r="F613" s="88">
        <f>VLOOKUP(Table91213[[#This Row],[Date]],'DB Details'!$A:$L,6)</f>
        <v/>
      </c>
      <c r="G613" s="41">
        <f>VLOOKUP(Table91213[[#This Row],[Date]],'DB Details'!$A:$L,7)</f>
        <v/>
      </c>
      <c r="H613" s="88">
        <f>VLOOKUP(Table91213[[#This Row],[Date]],'DB Details'!$A:$L,8)</f>
        <v/>
      </c>
      <c r="I613" s="88">
        <f>VLOOKUP(Table91213[[#This Row],[Date]],'DB Details'!$A:$L,9)</f>
        <v/>
      </c>
      <c r="J613" s="88">
        <f>VLOOKUP(Table91213[[#This Row],[Date]],'DB Details'!$A:$L,10)</f>
        <v/>
      </c>
      <c r="K613" s="41">
        <f>VLOOKUP(Table91213[[#This Row],[Date]],'DB Details'!$A:$L,11)</f>
        <v/>
      </c>
      <c r="L613" s="88">
        <f>VLOOKUP(Table91213[[#This Row],[Date]],'DB Details'!$A:$L,12)</f>
        <v/>
      </c>
    </row>
    <row r="614">
      <c r="A614" s="39" t="n">
        <v>36039</v>
      </c>
      <c r="B614" s="57">
        <f>VLOOKUP(Table91213[[#This Row],[Date]],'DB Details'!$A:$L,2)</f>
        <v/>
      </c>
      <c r="C614" s="41">
        <f>VLOOKUP(Table91213[[#This Row],[Date]],'DB Details'!$A:$L,3)</f>
        <v/>
      </c>
      <c r="D614" s="55">
        <f>VLOOKUP(Table91213[[#This Row],[Date]],'DB Details'!$A:$L,4)</f>
        <v/>
      </c>
      <c r="E614" s="88">
        <f>VLOOKUP(Table91213[[#This Row],[Date]],'DB Details'!$A:$L,5)</f>
        <v/>
      </c>
      <c r="F614" s="88">
        <f>VLOOKUP(Table91213[[#This Row],[Date]],'DB Details'!$A:$L,6)</f>
        <v/>
      </c>
      <c r="G614" s="41">
        <f>VLOOKUP(Table91213[[#This Row],[Date]],'DB Details'!$A:$L,7)</f>
        <v/>
      </c>
      <c r="H614" s="88">
        <f>VLOOKUP(Table91213[[#This Row],[Date]],'DB Details'!$A:$L,8)</f>
        <v/>
      </c>
      <c r="I614" s="88">
        <f>VLOOKUP(Table91213[[#This Row],[Date]],'DB Details'!$A:$L,9)</f>
        <v/>
      </c>
      <c r="J614" s="88">
        <f>VLOOKUP(Table91213[[#This Row],[Date]],'DB Details'!$A:$L,10)</f>
        <v/>
      </c>
      <c r="K614" s="41">
        <f>VLOOKUP(Table91213[[#This Row],[Date]],'DB Details'!$A:$L,11)</f>
        <v/>
      </c>
      <c r="L614" s="88">
        <f>VLOOKUP(Table91213[[#This Row],[Date]],'DB Details'!$A:$L,12)</f>
        <v/>
      </c>
    </row>
    <row r="615">
      <c r="A615" s="39" t="n">
        <v>36069</v>
      </c>
      <c r="B615" s="57">
        <f>VLOOKUP(Table91213[[#This Row],[Date]],'DB Details'!$A:$L,2)</f>
        <v/>
      </c>
      <c r="C615" s="41">
        <f>VLOOKUP(Table91213[[#This Row],[Date]],'DB Details'!$A:$L,3)</f>
        <v/>
      </c>
      <c r="D615" s="55">
        <f>VLOOKUP(Table91213[[#This Row],[Date]],'DB Details'!$A:$L,4)</f>
        <v/>
      </c>
      <c r="E615" s="88">
        <f>VLOOKUP(Table91213[[#This Row],[Date]],'DB Details'!$A:$L,5)</f>
        <v/>
      </c>
      <c r="F615" s="88">
        <f>VLOOKUP(Table91213[[#This Row],[Date]],'DB Details'!$A:$L,6)</f>
        <v/>
      </c>
      <c r="G615" s="41">
        <f>VLOOKUP(Table91213[[#This Row],[Date]],'DB Details'!$A:$L,7)</f>
        <v/>
      </c>
      <c r="H615" s="88">
        <f>VLOOKUP(Table91213[[#This Row],[Date]],'DB Details'!$A:$L,8)</f>
        <v/>
      </c>
      <c r="I615" s="88">
        <f>VLOOKUP(Table91213[[#This Row],[Date]],'DB Details'!$A:$L,9)</f>
        <v/>
      </c>
      <c r="J615" s="88">
        <f>VLOOKUP(Table91213[[#This Row],[Date]],'DB Details'!$A:$L,10)</f>
        <v/>
      </c>
      <c r="K615" s="41">
        <f>VLOOKUP(Table91213[[#This Row],[Date]],'DB Details'!$A:$L,11)</f>
        <v/>
      </c>
      <c r="L615" s="88">
        <f>VLOOKUP(Table91213[[#This Row],[Date]],'DB Details'!$A:$L,12)</f>
        <v/>
      </c>
    </row>
    <row r="616">
      <c r="A616" s="39" t="n">
        <v>36100</v>
      </c>
      <c r="B616" s="57">
        <f>VLOOKUP(Table91213[[#This Row],[Date]],'DB Details'!$A:$L,2)</f>
        <v/>
      </c>
      <c r="C616" s="41">
        <f>VLOOKUP(Table91213[[#This Row],[Date]],'DB Details'!$A:$L,3)</f>
        <v/>
      </c>
      <c r="D616" s="55">
        <f>VLOOKUP(Table91213[[#This Row],[Date]],'DB Details'!$A:$L,4)</f>
        <v/>
      </c>
      <c r="E616" s="88">
        <f>VLOOKUP(Table91213[[#This Row],[Date]],'DB Details'!$A:$L,5)</f>
        <v/>
      </c>
      <c r="F616" s="88">
        <f>VLOOKUP(Table91213[[#This Row],[Date]],'DB Details'!$A:$L,6)</f>
        <v/>
      </c>
      <c r="G616" s="41">
        <f>VLOOKUP(Table91213[[#This Row],[Date]],'DB Details'!$A:$L,7)</f>
        <v/>
      </c>
      <c r="H616" s="88">
        <f>VLOOKUP(Table91213[[#This Row],[Date]],'DB Details'!$A:$L,8)</f>
        <v/>
      </c>
      <c r="I616" s="88">
        <f>VLOOKUP(Table91213[[#This Row],[Date]],'DB Details'!$A:$L,9)</f>
        <v/>
      </c>
      <c r="J616" s="88">
        <f>VLOOKUP(Table91213[[#This Row],[Date]],'DB Details'!$A:$L,10)</f>
        <v/>
      </c>
      <c r="K616" s="41">
        <f>VLOOKUP(Table91213[[#This Row],[Date]],'DB Details'!$A:$L,11)</f>
        <v/>
      </c>
      <c r="L616" s="88">
        <f>VLOOKUP(Table91213[[#This Row],[Date]],'DB Details'!$A:$L,12)</f>
        <v/>
      </c>
    </row>
    <row r="617">
      <c r="A617" s="39" t="n">
        <v>36130</v>
      </c>
      <c r="B617" s="57">
        <f>VLOOKUP(Table91213[[#This Row],[Date]],'DB Details'!$A:$L,2)</f>
        <v/>
      </c>
      <c r="C617" s="41">
        <f>VLOOKUP(Table91213[[#This Row],[Date]],'DB Details'!$A:$L,3)</f>
        <v/>
      </c>
      <c r="D617" s="55">
        <f>VLOOKUP(Table91213[[#This Row],[Date]],'DB Details'!$A:$L,4)</f>
        <v/>
      </c>
      <c r="E617" s="88">
        <f>VLOOKUP(Table91213[[#This Row],[Date]],'DB Details'!$A:$L,5)</f>
        <v/>
      </c>
      <c r="F617" s="88">
        <f>VLOOKUP(Table91213[[#This Row],[Date]],'DB Details'!$A:$L,6)</f>
        <v/>
      </c>
      <c r="G617" s="41">
        <f>VLOOKUP(Table91213[[#This Row],[Date]],'DB Details'!$A:$L,7)</f>
        <v/>
      </c>
      <c r="H617" s="88">
        <f>VLOOKUP(Table91213[[#This Row],[Date]],'DB Details'!$A:$L,8)</f>
        <v/>
      </c>
      <c r="I617" s="88">
        <f>VLOOKUP(Table91213[[#This Row],[Date]],'DB Details'!$A:$L,9)</f>
        <v/>
      </c>
      <c r="J617" s="88">
        <f>VLOOKUP(Table91213[[#This Row],[Date]],'DB Details'!$A:$L,10)</f>
        <v/>
      </c>
      <c r="K617" s="41">
        <f>VLOOKUP(Table91213[[#This Row],[Date]],'DB Details'!$A:$L,11)</f>
        <v/>
      </c>
      <c r="L617" s="88">
        <f>VLOOKUP(Table91213[[#This Row],[Date]],'DB Details'!$A:$L,12)</f>
        <v/>
      </c>
    </row>
    <row r="618">
      <c r="A618" s="39" t="n">
        <v>36161</v>
      </c>
      <c r="B618" s="57">
        <f>VLOOKUP(Table91213[[#This Row],[Date]],'DB Details'!$A:$L,2)</f>
        <v/>
      </c>
      <c r="C618" s="41">
        <f>VLOOKUP(Table91213[[#This Row],[Date]],'DB Details'!$A:$L,3)</f>
        <v/>
      </c>
      <c r="D618" s="55">
        <f>VLOOKUP(Table91213[[#This Row],[Date]],'DB Details'!$A:$L,4)</f>
        <v/>
      </c>
      <c r="E618" s="88">
        <f>VLOOKUP(Table91213[[#This Row],[Date]],'DB Details'!$A:$L,5)</f>
        <v/>
      </c>
      <c r="F618" s="88">
        <f>VLOOKUP(Table91213[[#This Row],[Date]],'DB Details'!$A:$L,6)</f>
        <v/>
      </c>
      <c r="G618" s="41">
        <f>VLOOKUP(Table91213[[#This Row],[Date]],'DB Details'!$A:$L,7)</f>
        <v/>
      </c>
      <c r="H618" s="88">
        <f>VLOOKUP(Table91213[[#This Row],[Date]],'DB Details'!$A:$L,8)</f>
        <v/>
      </c>
      <c r="I618" s="88">
        <f>VLOOKUP(Table91213[[#This Row],[Date]],'DB Details'!$A:$L,9)</f>
        <v/>
      </c>
      <c r="J618" s="88">
        <f>VLOOKUP(Table91213[[#This Row],[Date]],'DB Details'!$A:$L,10)</f>
        <v/>
      </c>
      <c r="K618" s="41">
        <f>VLOOKUP(Table91213[[#This Row],[Date]],'DB Details'!$A:$L,11)</f>
        <v/>
      </c>
      <c r="L618" s="88">
        <f>VLOOKUP(Table91213[[#This Row],[Date]],'DB Details'!$A:$L,12)</f>
        <v/>
      </c>
    </row>
    <row r="619">
      <c r="A619" s="39" t="n">
        <v>36192</v>
      </c>
      <c r="B619" s="57">
        <f>VLOOKUP(Table91213[[#This Row],[Date]],'DB Details'!$A:$L,2)</f>
        <v/>
      </c>
      <c r="C619" s="41">
        <f>VLOOKUP(Table91213[[#This Row],[Date]],'DB Details'!$A:$L,3)</f>
        <v/>
      </c>
      <c r="D619" s="55">
        <f>VLOOKUP(Table91213[[#This Row],[Date]],'DB Details'!$A:$L,4)</f>
        <v/>
      </c>
      <c r="E619" s="88">
        <f>VLOOKUP(Table91213[[#This Row],[Date]],'DB Details'!$A:$L,5)</f>
        <v/>
      </c>
      <c r="F619" s="88">
        <f>VLOOKUP(Table91213[[#This Row],[Date]],'DB Details'!$A:$L,6)</f>
        <v/>
      </c>
      <c r="G619" s="41">
        <f>VLOOKUP(Table91213[[#This Row],[Date]],'DB Details'!$A:$L,7)</f>
        <v/>
      </c>
      <c r="H619" s="88">
        <f>VLOOKUP(Table91213[[#This Row],[Date]],'DB Details'!$A:$L,8)</f>
        <v/>
      </c>
      <c r="I619" s="88">
        <f>VLOOKUP(Table91213[[#This Row],[Date]],'DB Details'!$A:$L,9)</f>
        <v/>
      </c>
      <c r="J619" s="88">
        <f>VLOOKUP(Table91213[[#This Row],[Date]],'DB Details'!$A:$L,10)</f>
        <v/>
      </c>
      <c r="K619" s="41">
        <f>VLOOKUP(Table91213[[#This Row],[Date]],'DB Details'!$A:$L,11)</f>
        <v/>
      </c>
      <c r="L619" s="88">
        <f>VLOOKUP(Table91213[[#This Row],[Date]],'DB Details'!$A:$L,12)</f>
        <v/>
      </c>
    </row>
    <row r="620">
      <c r="A620" s="39" t="n">
        <v>36220</v>
      </c>
      <c r="B620" s="57">
        <f>VLOOKUP(Table91213[[#This Row],[Date]],'DB Details'!$A:$L,2)</f>
        <v/>
      </c>
      <c r="C620" s="41">
        <f>VLOOKUP(Table91213[[#This Row],[Date]],'DB Details'!$A:$L,3)</f>
        <v/>
      </c>
      <c r="D620" s="55">
        <f>VLOOKUP(Table91213[[#This Row],[Date]],'DB Details'!$A:$L,4)</f>
        <v/>
      </c>
      <c r="E620" s="88">
        <f>VLOOKUP(Table91213[[#This Row],[Date]],'DB Details'!$A:$L,5)</f>
        <v/>
      </c>
      <c r="F620" s="88">
        <f>VLOOKUP(Table91213[[#This Row],[Date]],'DB Details'!$A:$L,6)</f>
        <v/>
      </c>
      <c r="G620" s="41">
        <f>VLOOKUP(Table91213[[#This Row],[Date]],'DB Details'!$A:$L,7)</f>
        <v/>
      </c>
      <c r="H620" s="88">
        <f>VLOOKUP(Table91213[[#This Row],[Date]],'DB Details'!$A:$L,8)</f>
        <v/>
      </c>
      <c r="I620" s="88">
        <f>VLOOKUP(Table91213[[#This Row],[Date]],'DB Details'!$A:$L,9)</f>
        <v/>
      </c>
      <c r="J620" s="88">
        <f>VLOOKUP(Table91213[[#This Row],[Date]],'DB Details'!$A:$L,10)</f>
        <v/>
      </c>
      <c r="K620" s="41">
        <f>VLOOKUP(Table91213[[#This Row],[Date]],'DB Details'!$A:$L,11)</f>
        <v/>
      </c>
      <c r="L620" s="88">
        <f>VLOOKUP(Table91213[[#This Row],[Date]],'DB Details'!$A:$L,12)</f>
        <v/>
      </c>
    </row>
    <row r="621">
      <c r="A621" s="39" t="n">
        <v>36251</v>
      </c>
      <c r="B621" s="57">
        <f>VLOOKUP(Table91213[[#This Row],[Date]],'DB Details'!$A:$L,2)</f>
        <v/>
      </c>
      <c r="C621" s="41">
        <f>VLOOKUP(Table91213[[#This Row],[Date]],'DB Details'!$A:$L,3)</f>
        <v/>
      </c>
      <c r="D621" s="55">
        <f>VLOOKUP(Table91213[[#This Row],[Date]],'DB Details'!$A:$L,4)</f>
        <v/>
      </c>
      <c r="E621" s="88">
        <f>VLOOKUP(Table91213[[#This Row],[Date]],'DB Details'!$A:$L,5)</f>
        <v/>
      </c>
      <c r="F621" s="88">
        <f>VLOOKUP(Table91213[[#This Row],[Date]],'DB Details'!$A:$L,6)</f>
        <v/>
      </c>
      <c r="G621" s="41">
        <f>VLOOKUP(Table91213[[#This Row],[Date]],'DB Details'!$A:$L,7)</f>
        <v/>
      </c>
      <c r="H621" s="88">
        <f>VLOOKUP(Table91213[[#This Row],[Date]],'DB Details'!$A:$L,8)</f>
        <v/>
      </c>
      <c r="I621" s="88">
        <f>VLOOKUP(Table91213[[#This Row],[Date]],'DB Details'!$A:$L,9)</f>
        <v/>
      </c>
      <c r="J621" s="88">
        <f>VLOOKUP(Table91213[[#This Row],[Date]],'DB Details'!$A:$L,10)</f>
        <v/>
      </c>
      <c r="K621" s="41">
        <f>VLOOKUP(Table91213[[#This Row],[Date]],'DB Details'!$A:$L,11)</f>
        <v/>
      </c>
      <c r="L621" s="88">
        <f>VLOOKUP(Table91213[[#This Row],[Date]],'DB Details'!$A:$L,12)</f>
        <v/>
      </c>
    </row>
    <row r="622">
      <c r="A622" s="39" t="n">
        <v>36281</v>
      </c>
      <c r="B622" s="57">
        <f>VLOOKUP(Table91213[[#This Row],[Date]],'DB Details'!$A:$L,2)</f>
        <v/>
      </c>
      <c r="C622" s="41">
        <f>VLOOKUP(Table91213[[#This Row],[Date]],'DB Details'!$A:$L,3)</f>
        <v/>
      </c>
      <c r="D622" s="55">
        <f>VLOOKUP(Table91213[[#This Row],[Date]],'DB Details'!$A:$L,4)</f>
        <v/>
      </c>
      <c r="E622" s="88">
        <f>VLOOKUP(Table91213[[#This Row],[Date]],'DB Details'!$A:$L,5)</f>
        <v/>
      </c>
      <c r="F622" s="88">
        <f>VLOOKUP(Table91213[[#This Row],[Date]],'DB Details'!$A:$L,6)</f>
        <v/>
      </c>
      <c r="G622" s="41">
        <f>VLOOKUP(Table91213[[#This Row],[Date]],'DB Details'!$A:$L,7)</f>
        <v/>
      </c>
      <c r="H622" s="88">
        <f>VLOOKUP(Table91213[[#This Row],[Date]],'DB Details'!$A:$L,8)</f>
        <v/>
      </c>
      <c r="I622" s="88">
        <f>VLOOKUP(Table91213[[#This Row],[Date]],'DB Details'!$A:$L,9)</f>
        <v/>
      </c>
      <c r="J622" s="88">
        <f>VLOOKUP(Table91213[[#This Row],[Date]],'DB Details'!$A:$L,10)</f>
        <v/>
      </c>
      <c r="K622" s="41">
        <f>VLOOKUP(Table91213[[#This Row],[Date]],'DB Details'!$A:$L,11)</f>
        <v/>
      </c>
      <c r="L622" s="88">
        <f>VLOOKUP(Table91213[[#This Row],[Date]],'DB Details'!$A:$L,12)</f>
        <v/>
      </c>
    </row>
    <row r="623">
      <c r="A623" s="39" t="n">
        <v>36312</v>
      </c>
      <c r="B623" s="57">
        <f>VLOOKUP(Table91213[[#This Row],[Date]],'DB Details'!$A:$L,2)</f>
        <v/>
      </c>
      <c r="C623" s="41">
        <f>VLOOKUP(Table91213[[#This Row],[Date]],'DB Details'!$A:$L,3)</f>
        <v/>
      </c>
      <c r="D623" s="55">
        <f>VLOOKUP(Table91213[[#This Row],[Date]],'DB Details'!$A:$L,4)</f>
        <v/>
      </c>
      <c r="E623" s="88">
        <f>VLOOKUP(Table91213[[#This Row],[Date]],'DB Details'!$A:$L,5)</f>
        <v/>
      </c>
      <c r="F623" s="88">
        <f>VLOOKUP(Table91213[[#This Row],[Date]],'DB Details'!$A:$L,6)</f>
        <v/>
      </c>
      <c r="G623" s="41">
        <f>VLOOKUP(Table91213[[#This Row],[Date]],'DB Details'!$A:$L,7)</f>
        <v/>
      </c>
      <c r="H623" s="88">
        <f>VLOOKUP(Table91213[[#This Row],[Date]],'DB Details'!$A:$L,8)</f>
        <v/>
      </c>
      <c r="I623" s="88">
        <f>VLOOKUP(Table91213[[#This Row],[Date]],'DB Details'!$A:$L,9)</f>
        <v/>
      </c>
      <c r="J623" s="88">
        <f>VLOOKUP(Table91213[[#This Row],[Date]],'DB Details'!$A:$L,10)</f>
        <v/>
      </c>
      <c r="K623" s="41">
        <f>VLOOKUP(Table91213[[#This Row],[Date]],'DB Details'!$A:$L,11)</f>
        <v/>
      </c>
      <c r="L623" s="88">
        <f>VLOOKUP(Table91213[[#This Row],[Date]],'DB Details'!$A:$L,12)</f>
        <v/>
      </c>
    </row>
    <row r="624">
      <c r="A624" s="39" t="n">
        <v>36342</v>
      </c>
      <c r="B624" s="57">
        <f>VLOOKUP(Table91213[[#This Row],[Date]],'DB Details'!$A:$L,2)</f>
        <v/>
      </c>
      <c r="C624" s="41">
        <f>VLOOKUP(Table91213[[#This Row],[Date]],'DB Details'!$A:$L,3)</f>
        <v/>
      </c>
      <c r="D624" s="55">
        <f>VLOOKUP(Table91213[[#This Row],[Date]],'DB Details'!$A:$L,4)</f>
        <v/>
      </c>
      <c r="E624" s="88">
        <f>VLOOKUP(Table91213[[#This Row],[Date]],'DB Details'!$A:$L,5)</f>
        <v/>
      </c>
      <c r="F624" s="88">
        <f>VLOOKUP(Table91213[[#This Row],[Date]],'DB Details'!$A:$L,6)</f>
        <v/>
      </c>
      <c r="G624" s="41">
        <f>VLOOKUP(Table91213[[#This Row],[Date]],'DB Details'!$A:$L,7)</f>
        <v/>
      </c>
      <c r="H624" s="88">
        <f>VLOOKUP(Table91213[[#This Row],[Date]],'DB Details'!$A:$L,8)</f>
        <v/>
      </c>
      <c r="I624" s="88">
        <f>VLOOKUP(Table91213[[#This Row],[Date]],'DB Details'!$A:$L,9)</f>
        <v/>
      </c>
      <c r="J624" s="88">
        <f>VLOOKUP(Table91213[[#This Row],[Date]],'DB Details'!$A:$L,10)</f>
        <v/>
      </c>
      <c r="K624" s="41">
        <f>VLOOKUP(Table91213[[#This Row],[Date]],'DB Details'!$A:$L,11)</f>
        <v/>
      </c>
      <c r="L624" s="88">
        <f>VLOOKUP(Table91213[[#This Row],[Date]],'DB Details'!$A:$L,12)</f>
        <v/>
      </c>
    </row>
    <row r="625">
      <c r="A625" s="39" t="n">
        <v>36373</v>
      </c>
      <c r="B625" s="57">
        <f>VLOOKUP(Table91213[[#This Row],[Date]],'DB Details'!$A:$L,2)</f>
        <v/>
      </c>
      <c r="C625" s="41">
        <f>VLOOKUP(Table91213[[#This Row],[Date]],'DB Details'!$A:$L,3)</f>
        <v/>
      </c>
      <c r="D625" s="55">
        <f>VLOOKUP(Table91213[[#This Row],[Date]],'DB Details'!$A:$L,4)</f>
        <v/>
      </c>
      <c r="E625" s="88">
        <f>VLOOKUP(Table91213[[#This Row],[Date]],'DB Details'!$A:$L,5)</f>
        <v/>
      </c>
      <c r="F625" s="88">
        <f>VLOOKUP(Table91213[[#This Row],[Date]],'DB Details'!$A:$L,6)</f>
        <v/>
      </c>
      <c r="G625" s="41">
        <f>VLOOKUP(Table91213[[#This Row],[Date]],'DB Details'!$A:$L,7)</f>
        <v/>
      </c>
      <c r="H625" s="88">
        <f>VLOOKUP(Table91213[[#This Row],[Date]],'DB Details'!$A:$L,8)</f>
        <v/>
      </c>
      <c r="I625" s="88">
        <f>VLOOKUP(Table91213[[#This Row],[Date]],'DB Details'!$A:$L,9)</f>
        <v/>
      </c>
      <c r="J625" s="88">
        <f>VLOOKUP(Table91213[[#This Row],[Date]],'DB Details'!$A:$L,10)</f>
        <v/>
      </c>
      <c r="K625" s="41">
        <f>VLOOKUP(Table91213[[#This Row],[Date]],'DB Details'!$A:$L,11)</f>
        <v/>
      </c>
      <c r="L625" s="88">
        <f>VLOOKUP(Table91213[[#This Row],[Date]],'DB Details'!$A:$L,12)</f>
        <v/>
      </c>
    </row>
    <row r="626">
      <c r="A626" s="39" t="n">
        <v>36404</v>
      </c>
      <c r="B626" s="57">
        <f>VLOOKUP(Table91213[[#This Row],[Date]],'DB Details'!$A:$L,2)</f>
        <v/>
      </c>
      <c r="C626" s="41">
        <f>VLOOKUP(Table91213[[#This Row],[Date]],'DB Details'!$A:$L,3)</f>
        <v/>
      </c>
      <c r="D626" s="55">
        <f>VLOOKUP(Table91213[[#This Row],[Date]],'DB Details'!$A:$L,4)</f>
        <v/>
      </c>
      <c r="E626" s="88">
        <f>VLOOKUP(Table91213[[#This Row],[Date]],'DB Details'!$A:$L,5)</f>
        <v/>
      </c>
      <c r="F626" s="88">
        <f>VLOOKUP(Table91213[[#This Row],[Date]],'DB Details'!$A:$L,6)</f>
        <v/>
      </c>
      <c r="G626" s="41">
        <f>VLOOKUP(Table91213[[#This Row],[Date]],'DB Details'!$A:$L,7)</f>
        <v/>
      </c>
      <c r="H626" s="88">
        <f>VLOOKUP(Table91213[[#This Row],[Date]],'DB Details'!$A:$L,8)</f>
        <v/>
      </c>
      <c r="I626" s="88">
        <f>VLOOKUP(Table91213[[#This Row],[Date]],'DB Details'!$A:$L,9)</f>
        <v/>
      </c>
      <c r="J626" s="88">
        <f>VLOOKUP(Table91213[[#This Row],[Date]],'DB Details'!$A:$L,10)</f>
        <v/>
      </c>
      <c r="K626" s="41">
        <f>VLOOKUP(Table91213[[#This Row],[Date]],'DB Details'!$A:$L,11)</f>
        <v/>
      </c>
      <c r="L626" s="88">
        <f>VLOOKUP(Table91213[[#This Row],[Date]],'DB Details'!$A:$L,12)</f>
        <v/>
      </c>
    </row>
    <row r="627">
      <c r="A627" s="39" t="n">
        <v>36434</v>
      </c>
      <c r="B627" s="57">
        <f>VLOOKUP(Table91213[[#This Row],[Date]],'DB Details'!$A:$L,2)</f>
        <v/>
      </c>
      <c r="C627" s="41">
        <f>VLOOKUP(Table91213[[#This Row],[Date]],'DB Details'!$A:$L,3)</f>
        <v/>
      </c>
      <c r="D627" s="55">
        <f>VLOOKUP(Table91213[[#This Row],[Date]],'DB Details'!$A:$L,4)</f>
        <v/>
      </c>
      <c r="E627" s="88">
        <f>VLOOKUP(Table91213[[#This Row],[Date]],'DB Details'!$A:$L,5)</f>
        <v/>
      </c>
      <c r="F627" s="88">
        <f>VLOOKUP(Table91213[[#This Row],[Date]],'DB Details'!$A:$L,6)</f>
        <v/>
      </c>
      <c r="G627" s="41">
        <f>VLOOKUP(Table91213[[#This Row],[Date]],'DB Details'!$A:$L,7)</f>
        <v/>
      </c>
      <c r="H627" s="88">
        <f>VLOOKUP(Table91213[[#This Row],[Date]],'DB Details'!$A:$L,8)</f>
        <v/>
      </c>
      <c r="I627" s="88">
        <f>VLOOKUP(Table91213[[#This Row],[Date]],'DB Details'!$A:$L,9)</f>
        <v/>
      </c>
      <c r="J627" s="88">
        <f>VLOOKUP(Table91213[[#This Row],[Date]],'DB Details'!$A:$L,10)</f>
        <v/>
      </c>
      <c r="K627" s="41">
        <f>VLOOKUP(Table91213[[#This Row],[Date]],'DB Details'!$A:$L,11)</f>
        <v/>
      </c>
      <c r="L627" s="88">
        <f>VLOOKUP(Table91213[[#This Row],[Date]],'DB Details'!$A:$L,12)</f>
        <v/>
      </c>
    </row>
    <row r="628">
      <c r="A628" s="39" t="n">
        <v>36465</v>
      </c>
      <c r="B628" s="57">
        <f>VLOOKUP(Table91213[[#This Row],[Date]],'DB Details'!$A:$L,2)</f>
        <v/>
      </c>
      <c r="C628" s="41">
        <f>VLOOKUP(Table91213[[#This Row],[Date]],'DB Details'!$A:$L,3)</f>
        <v/>
      </c>
      <c r="D628" s="55">
        <f>VLOOKUP(Table91213[[#This Row],[Date]],'DB Details'!$A:$L,4)</f>
        <v/>
      </c>
      <c r="E628" s="88">
        <f>VLOOKUP(Table91213[[#This Row],[Date]],'DB Details'!$A:$L,5)</f>
        <v/>
      </c>
      <c r="F628" s="88">
        <f>VLOOKUP(Table91213[[#This Row],[Date]],'DB Details'!$A:$L,6)</f>
        <v/>
      </c>
      <c r="G628" s="41">
        <f>VLOOKUP(Table91213[[#This Row],[Date]],'DB Details'!$A:$L,7)</f>
        <v/>
      </c>
      <c r="H628" s="88">
        <f>VLOOKUP(Table91213[[#This Row],[Date]],'DB Details'!$A:$L,8)</f>
        <v/>
      </c>
      <c r="I628" s="88">
        <f>VLOOKUP(Table91213[[#This Row],[Date]],'DB Details'!$A:$L,9)</f>
        <v/>
      </c>
      <c r="J628" s="88">
        <f>VLOOKUP(Table91213[[#This Row],[Date]],'DB Details'!$A:$L,10)</f>
        <v/>
      </c>
      <c r="K628" s="41">
        <f>VLOOKUP(Table91213[[#This Row],[Date]],'DB Details'!$A:$L,11)</f>
        <v/>
      </c>
      <c r="L628" s="88">
        <f>VLOOKUP(Table91213[[#This Row],[Date]],'DB Details'!$A:$L,12)</f>
        <v/>
      </c>
    </row>
    <row r="629">
      <c r="A629" s="39" t="n">
        <v>36495</v>
      </c>
      <c r="B629" s="57">
        <f>VLOOKUP(Table91213[[#This Row],[Date]],'DB Details'!$A:$L,2)</f>
        <v/>
      </c>
      <c r="C629" s="41">
        <f>VLOOKUP(Table91213[[#This Row],[Date]],'DB Details'!$A:$L,3)</f>
        <v/>
      </c>
      <c r="D629" s="55">
        <f>VLOOKUP(Table91213[[#This Row],[Date]],'DB Details'!$A:$L,4)</f>
        <v/>
      </c>
      <c r="E629" s="88">
        <f>VLOOKUP(Table91213[[#This Row],[Date]],'DB Details'!$A:$L,5)</f>
        <v/>
      </c>
      <c r="F629" s="88">
        <f>VLOOKUP(Table91213[[#This Row],[Date]],'DB Details'!$A:$L,6)</f>
        <v/>
      </c>
      <c r="G629" s="41">
        <f>VLOOKUP(Table91213[[#This Row],[Date]],'DB Details'!$A:$L,7)</f>
        <v/>
      </c>
      <c r="H629" s="88">
        <f>VLOOKUP(Table91213[[#This Row],[Date]],'DB Details'!$A:$L,8)</f>
        <v/>
      </c>
      <c r="I629" s="88">
        <f>VLOOKUP(Table91213[[#This Row],[Date]],'DB Details'!$A:$L,9)</f>
        <v/>
      </c>
      <c r="J629" s="88">
        <f>VLOOKUP(Table91213[[#This Row],[Date]],'DB Details'!$A:$L,10)</f>
        <v/>
      </c>
      <c r="K629" s="41">
        <f>VLOOKUP(Table91213[[#This Row],[Date]],'DB Details'!$A:$L,11)</f>
        <v/>
      </c>
      <c r="L629" s="88">
        <f>VLOOKUP(Table91213[[#This Row],[Date]],'DB Details'!$A:$L,12)</f>
        <v/>
      </c>
    </row>
    <row r="630">
      <c r="A630" s="39" t="n">
        <v>36526</v>
      </c>
      <c r="B630" s="57">
        <f>VLOOKUP(Table91213[[#This Row],[Date]],'DB Details'!$A:$L,2)</f>
        <v/>
      </c>
      <c r="C630" s="41">
        <f>VLOOKUP(Table91213[[#This Row],[Date]],'DB Details'!$A:$L,3)</f>
        <v/>
      </c>
      <c r="D630" s="55">
        <f>VLOOKUP(Table91213[[#This Row],[Date]],'DB Details'!$A:$L,4)</f>
        <v/>
      </c>
      <c r="E630" s="88">
        <f>VLOOKUP(Table91213[[#This Row],[Date]],'DB Details'!$A:$L,5)</f>
        <v/>
      </c>
      <c r="F630" s="88">
        <f>VLOOKUP(Table91213[[#This Row],[Date]],'DB Details'!$A:$L,6)</f>
        <v/>
      </c>
      <c r="G630" s="41">
        <f>VLOOKUP(Table91213[[#This Row],[Date]],'DB Details'!$A:$L,7)</f>
        <v/>
      </c>
      <c r="H630" s="88">
        <f>VLOOKUP(Table91213[[#This Row],[Date]],'DB Details'!$A:$L,8)</f>
        <v/>
      </c>
      <c r="I630" s="88">
        <f>VLOOKUP(Table91213[[#This Row],[Date]],'DB Details'!$A:$L,9)</f>
        <v/>
      </c>
      <c r="J630" s="88">
        <f>VLOOKUP(Table91213[[#This Row],[Date]],'DB Details'!$A:$L,10)</f>
        <v/>
      </c>
      <c r="K630" s="41">
        <f>VLOOKUP(Table91213[[#This Row],[Date]],'DB Details'!$A:$L,11)</f>
        <v/>
      </c>
      <c r="L630" s="88">
        <f>VLOOKUP(Table91213[[#This Row],[Date]],'DB Details'!$A:$L,12)</f>
        <v/>
      </c>
    </row>
    <row r="631">
      <c r="A631" s="39" t="n">
        <v>36557</v>
      </c>
      <c r="B631" s="57">
        <f>VLOOKUP(Table91213[[#This Row],[Date]],'DB Details'!$A:$L,2)</f>
        <v/>
      </c>
      <c r="C631" s="41">
        <f>VLOOKUP(Table91213[[#This Row],[Date]],'DB Details'!$A:$L,3)</f>
        <v/>
      </c>
      <c r="D631" s="55">
        <f>VLOOKUP(Table91213[[#This Row],[Date]],'DB Details'!$A:$L,4)</f>
        <v/>
      </c>
      <c r="E631" s="88">
        <f>VLOOKUP(Table91213[[#This Row],[Date]],'DB Details'!$A:$L,5)</f>
        <v/>
      </c>
      <c r="F631" s="88">
        <f>VLOOKUP(Table91213[[#This Row],[Date]],'DB Details'!$A:$L,6)</f>
        <v/>
      </c>
      <c r="G631" s="41">
        <f>VLOOKUP(Table91213[[#This Row],[Date]],'DB Details'!$A:$L,7)</f>
        <v/>
      </c>
      <c r="H631" s="88">
        <f>VLOOKUP(Table91213[[#This Row],[Date]],'DB Details'!$A:$L,8)</f>
        <v/>
      </c>
      <c r="I631" s="88">
        <f>VLOOKUP(Table91213[[#This Row],[Date]],'DB Details'!$A:$L,9)</f>
        <v/>
      </c>
      <c r="J631" s="88">
        <f>VLOOKUP(Table91213[[#This Row],[Date]],'DB Details'!$A:$L,10)</f>
        <v/>
      </c>
      <c r="K631" s="41">
        <f>VLOOKUP(Table91213[[#This Row],[Date]],'DB Details'!$A:$L,11)</f>
        <v/>
      </c>
      <c r="L631" s="88">
        <f>VLOOKUP(Table91213[[#This Row],[Date]],'DB Details'!$A:$L,12)</f>
        <v/>
      </c>
    </row>
    <row r="632">
      <c r="A632" s="39" t="n">
        <v>36586</v>
      </c>
      <c r="B632" s="57">
        <f>VLOOKUP(Table91213[[#This Row],[Date]],'DB Details'!$A:$L,2)</f>
        <v/>
      </c>
      <c r="C632" s="41">
        <f>VLOOKUP(Table91213[[#This Row],[Date]],'DB Details'!$A:$L,3)</f>
        <v/>
      </c>
      <c r="D632" s="55">
        <f>VLOOKUP(Table91213[[#This Row],[Date]],'DB Details'!$A:$L,4)</f>
        <v/>
      </c>
      <c r="E632" s="88">
        <f>VLOOKUP(Table91213[[#This Row],[Date]],'DB Details'!$A:$L,5)</f>
        <v/>
      </c>
      <c r="F632" s="88">
        <f>VLOOKUP(Table91213[[#This Row],[Date]],'DB Details'!$A:$L,6)</f>
        <v/>
      </c>
      <c r="G632" s="41">
        <f>VLOOKUP(Table91213[[#This Row],[Date]],'DB Details'!$A:$L,7)</f>
        <v/>
      </c>
      <c r="H632" s="88">
        <f>VLOOKUP(Table91213[[#This Row],[Date]],'DB Details'!$A:$L,8)</f>
        <v/>
      </c>
      <c r="I632" s="88">
        <f>VLOOKUP(Table91213[[#This Row],[Date]],'DB Details'!$A:$L,9)</f>
        <v/>
      </c>
      <c r="J632" s="88">
        <f>VLOOKUP(Table91213[[#This Row],[Date]],'DB Details'!$A:$L,10)</f>
        <v/>
      </c>
      <c r="K632" s="41">
        <f>VLOOKUP(Table91213[[#This Row],[Date]],'DB Details'!$A:$L,11)</f>
        <v/>
      </c>
      <c r="L632" s="88">
        <f>VLOOKUP(Table91213[[#This Row],[Date]],'DB Details'!$A:$L,12)</f>
        <v/>
      </c>
    </row>
    <row r="633">
      <c r="A633" s="39" t="n">
        <v>36617</v>
      </c>
      <c r="B633" s="57">
        <f>VLOOKUP(Table91213[[#This Row],[Date]],'DB Details'!$A:$L,2)</f>
        <v/>
      </c>
      <c r="C633" s="41">
        <f>VLOOKUP(Table91213[[#This Row],[Date]],'DB Details'!$A:$L,3)</f>
        <v/>
      </c>
      <c r="D633" s="55">
        <f>VLOOKUP(Table91213[[#This Row],[Date]],'DB Details'!$A:$L,4)</f>
        <v/>
      </c>
      <c r="E633" s="88">
        <f>VLOOKUP(Table91213[[#This Row],[Date]],'DB Details'!$A:$L,5)</f>
        <v/>
      </c>
      <c r="F633" s="88">
        <f>VLOOKUP(Table91213[[#This Row],[Date]],'DB Details'!$A:$L,6)</f>
        <v/>
      </c>
      <c r="G633" s="41">
        <f>VLOOKUP(Table91213[[#This Row],[Date]],'DB Details'!$A:$L,7)</f>
        <v/>
      </c>
      <c r="H633" s="88">
        <f>VLOOKUP(Table91213[[#This Row],[Date]],'DB Details'!$A:$L,8)</f>
        <v/>
      </c>
      <c r="I633" s="88">
        <f>VLOOKUP(Table91213[[#This Row],[Date]],'DB Details'!$A:$L,9)</f>
        <v/>
      </c>
      <c r="J633" s="88">
        <f>VLOOKUP(Table91213[[#This Row],[Date]],'DB Details'!$A:$L,10)</f>
        <v/>
      </c>
      <c r="K633" s="41">
        <f>VLOOKUP(Table91213[[#This Row],[Date]],'DB Details'!$A:$L,11)</f>
        <v/>
      </c>
      <c r="L633" s="88">
        <f>VLOOKUP(Table91213[[#This Row],[Date]],'DB Details'!$A:$L,12)</f>
        <v/>
      </c>
    </row>
    <row r="634">
      <c r="A634" s="39" t="n">
        <v>36647</v>
      </c>
      <c r="B634" s="57">
        <f>VLOOKUP(Table91213[[#This Row],[Date]],'DB Details'!$A:$L,2)</f>
        <v/>
      </c>
      <c r="C634" s="41">
        <f>VLOOKUP(Table91213[[#This Row],[Date]],'DB Details'!$A:$L,3)</f>
        <v/>
      </c>
      <c r="D634" s="55">
        <f>VLOOKUP(Table91213[[#This Row],[Date]],'DB Details'!$A:$L,4)</f>
        <v/>
      </c>
      <c r="E634" s="88">
        <f>VLOOKUP(Table91213[[#This Row],[Date]],'DB Details'!$A:$L,5)</f>
        <v/>
      </c>
      <c r="F634" s="88">
        <f>VLOOKUP(Table91213[[#This Row],[Date]],'DB Details'!$A:$L,6)</f>
        <v/>
      </c>
      <c r="G634" s="41">
        <f>VLOOKUP(Table91213[[#This Row],[Date]],'DB Details'!$A:$L,7)</f>
        <v/>
      </c>
      <c r="H634" s="88">
        <f>VLOOKUP(Table91213[[#This Row],[Date]],'DB Details'!$A:$L,8)</f>
        <v/>
      </c>
      <c r="I634" s="88">
        <f>VLOOKUP(Table91213[[#This Row],[Date]],'DB Details'!$A:$L,9)</f>
        <v/>
      </c>
      <c r="J634" s="88">
        <f>VLOOKUP(Table91213[[#This Row],[Date]],'DB Details'!$A:$L,10)</f>
        <v/>
      </c>
      <c r="K634" s="41">
        <f>VLOOKUP(Table91213[[#This Row],[Date]],'DB Details'!$A:$L,11)</f>
        <v/>
      </c>
      <c r="L634" s="88">
        <f>VLOOKUP(Table91213[[#This Row],[Date]],'DB Details'!$A:$L,12)</f>
        <v/>
      </c>
    </row>
    <row r="635">
      <c r="A635" s="39" t="n">
        <v>36678</v>
      </c>
      <c r="B635" s="57">
        <f>VLOOKUP(Table91213[[#This Row],[Date]],'DB Details'!$A:$L,2)</f>
        <v/>
      </c>
      <c r="C635" s="41">
        <f>VLOOKUP(Table91213[[#This Row],[Date]],'DB Details'!$A:$L,3)</f>
        <v/>
      </c>
      <c r="D635" s="55">
        <f>VLOOKUP(Table91213[[#This Row],[Date]],'DB Details'!$A:$L,4)</f>
        <v/>
      </c>
      <c r="E635" s="88">
        <f>VLOOKUP(Table91213[[#This Row],[Date]],'DB Details'!$A:$L,5)</f>
        <v/>
      </c>
      <c r="F635" s="88">
        <f>VLOOKUP(Table91213[[#This Row],[Date]],'DB Details'!$A:$L,6)</f>
        <v/>
      </c>
      <c r="G635" s="41">
        <f>VLOOKUP(Table91213[[#This Row],[Date]],'DB Details'!$A:$L,7)</f>
        <v/>
      </c>
      <c r="H635" s="88">
        <f>VLOOKUP(Table91213[[#This Row],[Date]],'DB Details'!$A:$L,8)</f>
        <v/>
      </c>
      <c r="I635" s="88">
        <f>VLOOKUP(Table91213[[#This Row],[Date]],'DB Details'!$A:$L,9)</f>
        <v/>
      </c>
      <c r="J635" s="88">
        <f>VLOOKUP(Table91213[[#This Row],[Date]],'DB Details'!$A:$L,10)</f>
        <v/>
      </c>
      <c r="K635" s="41">
        <f>VLOOKUP(Table91213[[#This Row],[Date]],'DB Details'!$A:$L,11)</f>
        <v/>
      </c>
      <c r="L635" s="88">
        <f>VLOOKUP(Table91213[[#This Row],[Date]],'DB Details'!$A:$L,12)</f>
        <v/>
      </c>
    </row>
    <row r="636">
      <c r="A636" s="39" t="n">
        <v>36708</v>
      </c>
      <c r="B636" s="57">
        <f>VLOOKUP(Table91213[[#This Row],[Date]],'DB Details'!$A:$L,2)</f>
        <v/>
      </c>
      <c r="C636" s="41">
        <f>VLOOKUP(Table91213[[#This Row],[Date]],'DB Details'!$A:$L,3)</f>
        <v/>
      </c>
      <c r="D636" s="55">
        <f>VLOOKUP(Table91213[[#This Row],[Date]],'DB Details'!$A:$L,4)</f>
        <v/>
      </c>
      <c r="E636" s="88">
        <f>VLOOKUP(Table91213[[#This Row],[Date]],'DB Details'!$A:$L,5)</f>
        <v/>
      </c>
      <c r="F636" s="88">
        <f>VLOOKUP(Table91213[[#This Row],[Date]],'DB Details'!$A:$L,6)</f>
        <v/>
      </c>
      <c r="G636" s="41">
        <f>VLOOKUP(Table91213[[#This Row],[Date]],'DB Details'!$A:$L,7)</f>
        <v/>
      </c>
      <c r="H636" s="88">
        <f>VLOOKUP(Table91213[[#This Row],[Date]],'DB Details'!$A:$L,8)</f>
        <v/>
      </c>
      <c r="I636" s="88">
        <f>VLOOKUP(Table91213[[#This Row],[Date]],'DB Details'!$A:$L,9)</f>
        <v/>
      </c>
      <c r="J636" s="88">
        <f>VLOOKUP(Table91213[[#This Row],[Date]],'DB Details'!$A:$L,10)</f>
        <v/>
      </c>
      <c r="K636" s="41">
        <f>VLOOKUP(Table91213[[#This Row],[Date]],'DB Details'!$A:$L,11)</f>
        <v/>
      </c>
      <c r="L636" s="88">
        <f>VLOOKUP(Table91213[[#This Row],[Date]],'DB Details'!$A:$L,12)</f>
        <v/>
      </c>
    </row>
    <row r="637">
      <c r="A637" s="39" t="n">
        <v>36739</v>
      </c>
      <c r="B637" s="57">
        <f>VLOOKUP(Table91213[[#This Row],[Date]],'DB Details'!$A:$L,2)</f>
        <v/>
      </c>
      <c r="C637" s="41">
        <f>VLOOKUP(Table91213[[#This Row],[Date]],'DB Details'!$A:$L,3)</f>
        <v/>
      </c>
      <c r="D637" s="55">
        <f>VLOOKUP(Table91213[[#This Row],[Date]],'DB Details'!$A:$L,4)</f>
        <v/>
      </c>
      <c r="E637" s="88">
        <f>VLOOKUP(Table91213[[#This Row],[Date]],'DB Details'!$A:$L,5)</f>
        <v/>
      </c>
      <c r="F637" s="88">
        <f>VLOOKUP(Table91213[[#This Row],[Date]],'DB Details'!$A:$L,6)</f>
        <v/>
      </c>
      <c r="G637" s="41">
        <f>VLOOKUP(Table91213[[#This Row],[Date]],'DB Details'!$A:$L,7)</f>
        <v/>
      </c>
      <c r="H637" s="88">
        <f>VLOOKUP(Table91213[[#This Row],[Date]],'DB Details'!$A:$L,8)</f>
        <v/>
      </c>
      <c r="I637" s="88">
        <f>VLOOKUP(Table91213[[#This Row],[Date]],'DB Details'!$A:$L,9)</f>
        <v/>
      </c>
      <c r="J637" s="88">
        <f>VLOOKUP(Table91213[[#This Row],[Date]],'DB Details'!$A:$L,10)</f>
        <v/>
      </c>
      <c r="K637" s="41">
        <f>VLOOKUP(Table91213[[#This Row],[Date]],'DB Details'!$A:$L,11)</f>
        <v/>
      </c>
      <c r="L637" s="88">
        <f>VLOOKUP(Table91213[[#This Row],[Date]],'DB Details'!$A:$L,12)</f>
        <v/>
      </c>
    </row>
    <row r="638">
      <c r="A638" s="39" t="n">
        <v>36770</v>
      </c>
      <c r="B638" s="57">
        <f>VLOOKUP(Table91213[[#This Row],[Date]],'DB Details'!$A:$L,2)</f>
        <v/>
      </c>
      <c r="C638" s="41">
        <f>VLOOKUP(Table91213[[#This Row],[Date]],'DB Details'!$A:$L,3)</f>
        <v/>
      </c>
      <c r="D638" s="55">
        <f>VLOOKUP(Table91213[[#This Row],[Date]],'DB Details'!$A:$L,4)</f>
        <v/>
      </c>
      <c r="E638" s="88">
        <f>VLOOKUP(Table91213[[#This Row],[Date]],'DB Details'!$A:$L,5)</f>
        <v/>
      </c>
      <c r="F638" s="88">
        <f>VLOOKUP(Table91213[[#This Row],[Date]],'DB Details'!$A:$L,6)</f>
        <v/>
      </c>
      <c r="G638" s="41">
        <f>VLOOKUP(Table91213[[#This Row],[Date]],'DB Details'!$A:$L,7)</f>
        <v/>
      </c>
      <c r="H638" s="88">
        <f>VLOOKUP(Table91213[[#This Row],[Date]],'DB Details'!$A:$L,8)</f>
        <v/>
      </c>
      <c r="I638" s="88">
        <f>VLOOKUP(Table91213[[#This Row],[Date]],'DB Details'!$A:$L,9)</f>
        <v/>
      </c>
      <c r="J638" s="88">
        <f>VLOOKUP(Table91213[[#This Row],[Date]],'DB Details'!$A:$L,10)</f>
        <v/>
      </c>
      <c r="K638" s="41">
        <f>VLOOKUP(Table91213[[#This Row],[Date]],'DB Details'!$A:$L,11)</f>
        <v/>
      </c>
      <c r="L638" s="88">
        <f>VLOOKUP(Table91213[[#This Row],[Date]],'DB Details'!$A:$L,12)</f>
        <v/>
      </c>
    </row>
    <row r="639">
      <c r="A639" s="39" t="n">
        <v>36800</v>
      </c>
      <c r="B639" s="57">
        <f>VLOOKUP(Table91213[[#This Row],[Date]],'DB Details'!$A:$L,2)</f>
        <v/>
      </c>
      <c r="C639" s="41">
        <f>VLOOKUP(Table91213[[#This Row],[Date]],'DB Details'!$A:$L,3)</f>
        <v/>
      </c>
      <c r="D639" s="55">
        <f>VLOOKUP(Table91213[[#This Row],[Date]],'DB Details'!$A:$L,4)</f>
        <v/>
      </c>
      <c r="E639" s="88">
        <f>VLOOKUP(Table91213[[#This Row],[Date]],'DB Details'!$A:$L,5)</f>
        <v/>
      </c>
      <c r="F639" s="88">
        <f>VLOOKUP(Table91213[[#This Row],[Date]],'DB Details'!$A:$L,6)</f>
        <v/>
      </c>
      <c r="G639" s="41">
        <f>VLOOKUP(Table91213[[#This Row],[Date]],'DB Details'!$A:$L,7)</f>
        <v/>
      </c>
      <c r="H639" s="88">
        <f>VLOOKUP(Table91213[[#This Row],[Date]],'DB Details'!$A:$L,8)</f>
        <v/>
      </c>
      <c r="I639" s="88">
        <f>VLOOKUP(Table91213[[#This Row],[Date]],'DB Details'!$A:$L,9)</f>
        <v/>
      </c>
      <c r="J639" s="88">
        <f>VLOOKUP(Table91213[[#This Row],[Date]],'DB Details'!$A:$L,10)</f>
        <v/>
      </c>
      <c r="K639" s="41">
        <f>VLOOKUP(Table91213[[#This Row],[Date]],'DB Details'!$A:$L,11)</f>
        <v/>
      </c>
      <c r="L639" s="88">
        <f>VLOOKUP(Table91213[[#This Row],[Date]],'DB Details'!$A:$L,12)</f>
        <v/>
      </c>
    </row>
    <row r="640">
      <c r="A640" s="39" t="n">
        <v>36831</v>
      </c>
      <c r="B640" s="57">
        <f>VLOOKUP(Table91213[[#This Row],[Date]],'DB Details'!$A:$L,2)</f>
        <v/>
      </c>
      <c r="C640" s="41">
        <f>VLOOKUP(Table91213[[#This Row],[Date]],'DB Details'!$A:$L,3)</f>
        <v/>
      </c>
      <c r="D640" s="55">
        <f>VLOOKUP(Table91213[[#This Row],[Date]],'DB Details'!$A:$L,4)</f>
        <v/>
      </c>
      <c r="E640" s="88">
        <f>VLOOKUP(Table91213[[#This Row],[Date]],'DB Details'!$A:$L,5)</f>
        <v/>
      </c>
      <c r="F640" s="88">
        <f>VLOOKUP(Table91213[[#This Row],[Date]],'DB Details'!$A:$L,6)</f>
        <v/>
      </c>
      <c r="G640" s="41">
        <f>VLOOKUP(Table91213[[#This Row],[Date]],'DB Details'!$A:$L,7)</f>
        <v/>
      </c>
      <c r="H640" s="88">
        <f>VLOOKUP(Table91213[[#This Row],[Date]],'DB Details'!$A:$L,8)</f>
        <v/>
      </c>
      <c r="I640" s="88">
        <f>VLOOKUP(Table91213[[#This Row],[Date]],'DB Details'!$A:$L,9)</f>
        <v/>
      </c>
      <c r="J640" s="88">
        <f>VLOOKUP(Table91213[[#This Row],[Date]],'DB Details'!$A:$L,10)</f>
        <v/>
      </c>
      <c r="K640" s="41">
        <f>VLOOKUP(Table91213[[#This Row],[Date]],'DB Details'!$A:$L,11)</f>
        <v/>
      </c>
      <c r="L640" s="88">
        <f>VLOOKUP(Table91213[[#This Row],[Date]],'DB Details'!$A:$L,12)</f>
        <v/>
      </c>
    </row>
    <row r="641">
      <c r="A641" s="39" t="n">
        <v>36861</v>
      </c>
      <c r="B641" s="57">
        <f>VLOOKUP(Table91213[[#This Row],[Date]],'DB Details'!$A:$L,2)</f>
        <v/>
      </c>
      <c r="C641" s="41">
        <f>VLOOKUP(Table91213[[#This Row],[Date]],'DB Details'!$A:$L,3)</f>
        <v/>
      </c>
      <c r="D641" s="55">
        <f>VLOOKUP(Table91213[[#This Row],[Date]],'DB Details'!$A:$L,4)</f>
        <v/>
      </c>
      <c r="E641" s="88">
        <f>VLOOKUP(Table91213[[#This Row],[Date]],'DB Details'!$A:$L,5)</f>
        <v/>
      </c>
      <c r="F641" s="88">
        <f>VLOOKUP(Table91213[[#This Row],[Date]],'DB Details'!$A:$L,6)</f>
        <v/>
      </c>
      <c r="G641" s="41">
        <f>VLOOKUP(Table91213[[#This Row],[Date]],'DB Details'!$A:$L,7)</f>
        <v/>
      </c>
      <c r="H641" s="88">
        <f>VLOOKUP(Table91213[[#This Row],[Date]],'DB Details'!$A:$L,8)</f>
        <v/>
      </c>
      <c r="I641" s="88">
        <f>VLOOKUP(Table91213[[#This Row],[Date]],'DB Details'!$A:$L,9)</f>
        <v/>
      </c>
      <c r="J641" s="88">
        <f>VLOOKUP(Table91213[[#This Row],[Date]],'DB Details'!$A:$L,10)</f>
        <v/>
      </c>
      <c r="K641" s="41">
        <f>VLOOKUP(Table91213[[#This Row],[Date]],'DB Details'!$A:$L,11)</f>
        <v/>
      </c>
      <c r="L641" s="88">
        <f>VLOOKUP(Table91213[[#This Row],[Date]],'DB Details'!$A:$L,12)</f>
        <v/>
      </c>
    </row>
    <row r="642">
      <c r="A642" s="39" t="n">
        <v>36892</v>
      </c>
      <c r="B642" s="57">
        <f>VLOOKUP(Table91213[[#This Row],[Date]],'DB Details'!$A:$L,2)</f>
        <v/>
      </c>
      <c r="C642" s="41">
        <f>VLOOKUP(Table91213[[#This Row],[Date]],'DB Details'!$A:$L,3)</f>
        <v/>
      </c>
      <c r="D642" s="55">
        <f>VLOOKUP(Table91213[[#This Row],[Date]],'DB Details'!$A:$L,4)</f>
        <v/>
      </c>
      <c r="E642" s="88">
        <f>VLOOKUP(Table91213[[#This Row],[Date]],'DB Details'!$A:$L,5)</f>
        <v/>
      </c>
      <c r="F642" s="88">
        <f>VLOOKUP(Table91213[[#This Row],[Date]],'DB Details'!$A:$L,6)</f>
        <v/>
      </c>
      <c r="G642" s="41">
        <f>VLOOKUP(Table91213[[#This Row],[Date]],'DB Details'!$A:$L,7)</f>
        <v/>
      </c>
      <c r="H642" s="88">
        <f>VLOOKUP(Table91213[[#This Row],[Date]],'DB Details'!$A:$L,8)</f>
        <v/>
      </c>
      <c r="I642" s="88">
        <f>VLOOKUP(Table91213[[#This Row],[Date]],'DB Details'!$A:$L,9)</f>
        <v/>
      </c>
      <c r="J642" s="88">
        <f>VLOOKUP(Table91213[[#This Row],[Date]],'DB Details'!$A:$L,10)</f>
        <v/>
      </c>
      <c r="K642" s="41">
        <f>VLOOKUP(Table91213[[#This Row],[Date]],'DB Details'!$A:$L,11)</f>
        <v/>
      </c>
      <c r="L642" s="88">
        <f>VLOOKUP(Table91213[[#This Row],[Date]],'DB Details'!$A:$L,12)</f>
        <v/>
      </c>
    </row>
    <row r="643">
      <c r="A643" s="39" t="n">
        <v>36923</v>
      </c>
      <c r="B643" s="57">
        <f>VLOOKUP(Table91213[[#This Row],[Date]],'DB Details'!$A:$L,2)</f>
        <v/>
      </c>
      <c r="C643" s="41">
        <f>VLOOKUP(Table91213[[#This Row],[Date]],'DB Details'!$A:$L,3)</f>
        <v/>
      </c>
      <c r="D643" s="55">
        <f>VLOOKUP(Table91213[[#This Row],[Date]],'DB Details'!$A:$L,4)</f>
        <v/>
      </c>
      <c r="E643" s="88">
        <f>VLOOKUP(Table91213[[#This Row],[Date]],'DB Details'!$A:$L,5)</f>
        <v/>
      </c>
      <c r="F643" s="88">
        <f>VLOOKUP(Table91213[[#This Row],[Date]],'DB Details'!$A:$L,6)</f>
        <v/>
      </c>
      <c r="G643" s="41">
        <f>VLOOKUP(Table91213[[#This Row],[Date]],'DB Details'!$A:$L,7)</f>
        <v/>
      </c>
      <c r="H643" s="88">
        <f>VLOOKUP(Table91213[[#This Row],[Date]],'DB Details'!$A:$L,8)</f>
        <v/>
      </c>
      <c r="I643" s="88">
        <f>VLOOKUP(Table91213[[#This Row],[Date]],'DB Details'!$A:$L,9)</f>
        <v/>
      </c>
      <c r="J643" s="88">
        <f>VLOOKUP(Table91213[[#This Row],[Date]],'DB Details'!$A:$L,10)</f>
        <v/>
      </c>
      <c r="K643" s="41">
        <f>VLOOKUP(Table91213[[#This Row],[Date]],'DB Details'!$A:$L,11)</f>
        <v/>
      </c>
      <c r="L643" s="88">
        <f>VLOOKUP(Table91213[[#This Row],[Date]],'DB Details'!$A:$L,12)</f>
        <v/>
      </c>
    </row>
    <row r="644">
      <c r="A644" s="39" t="n">
        <v>36951</v>
      </c>
      <c r="B644" s="57">
        <f>VLOOKUP(Table91213[[#This Row],[Date]],'DB Details'!$A:$L,2)</f>
        <v/>
      </c>
      <c r="C644" s="41">
        <f>VLOOKUP(Table91213[[#This Row],[Date]],'DB Details'!$A:$L,3)</f>
        <v/>
      </c>
      <c r="D644" s="55">
        <f>VLOOKUP(Table91213[[#This Row],[Date]],'DB Details'!$A:$L,4)</f>
        <v/>
      </c>
      <c r="E644" s="88">
        <f>VLOOKUP(Table91213[[#This Row],[Date]],'DB Details'!$A:$L,5)</f>
        <v/>
      </c>
      <c r="F644" s="88">
        <f>VLOOKUP(Table91213[[#This Row],[Date]],'DB Details'!$A:$L,6)</f>
        <v/>
      </c>
      <c r="G644" s="41">
        <f>VLOOKUP(Table91213[[#This Row],[Date]],'DB Details'!$A:$L,7)</f>
        <v/>
      </c>
      <c r="H644" s="88">
        <f>VLOOKUP(Table91213[[#This Row],[Date]],'DB Details'!$A:$L,8)</f>
        <v/>
      </c>
      <c r="I644" s="88">
        <f>VLOOKUP(Table91213[[#This Row],[Date]],'DB Details'!$A:$L,9)</f>
        <v/>
      </c>
      <c r="J644" s="88">
        <f>VLOOKUP(Table91213[[#This Row],[Date]],'DB Details'!$A:$L,10)</f>
        <v/>
      </c>
      <c r="K644" s="41">
        <f>VLOOKUP(Table91213[[#This Row],[Date]],'DB Details'!$A:$L,11)</f>
        <v/>
      </c>
      <c r="L644" s="88">
        <f>VLOOKUP(Table91213[[#This Row],[Date]],'DB Details'!$A:$L,12)</f>
        <v/>
      </c>
    </row>
    <row r="645">
      <c r="A645" s="39" t="n">
        <v>36982</v>
      </c>
      <c r="B645" s="57">
        <f>VLOOKUP(Table91213[[#This Row],[Date]],'DB Details'!$A:$L,2)</f>
        <v/>
      </c>
      <c r="C645" s="41">
        <f>VLOOKUP(Table91213[[#This Row],[Date]],'DB Details'!$A:$L,3)</f>
        <v/>
      </c>
      <c r="D645" s="55">
        <f>VLOOKUP(Table91213[[#This Row],[Date]],'DB Details'!$A:$L,4)</f>
        <v/>
      </c>
      <c r="E645" s="88">
        <f>VLOOKUP(Table91213[[#This Row],[Date]],'DB Details'!$A:$L,5)</f>
        <v/>
      </c>
      <c r="F645" s="88">
        <f>VLOOKUP(Table91213[[#This Row],[Date]],'DB Details'!$A:$L,6)</f>
        <v/>
      </c>
      <c r="G645" s="41">
        <f>VLOOKUP(Table91213[[#This Row],[Date]],'DB Details'!$A:$L,7)</f>
        <v/>
      </c>
      <c r="H645" s="88">
        <f>VLOOKUP(Table91213[[#This Row],[Date]],'DB Details'!$A:$L,8)</f>
        <v/>
      </c>
      <c r="I645" s="88">
        <f>VLOOKUP(Table91213[[#This Row],[Date]],'DB Details'!$A:$L,9)</f>
        <v/>
      </c>
      <c r="J645" s="88">
        <f>VLOOKUP(Table91213[[#This Row],[Date]],'DB Details'!$A:$L,10)</f>
        <v/>
      </c>
      <c r="K645" s="41">
        <f>VLOOKUP(Table91213[[#This Row],[Date]],'DB Details'!$A:$L,11)</f>
        <v/>
      </c>
      <c r="L645" s="88">
        <f>VLOOKUP(Table91213[[#This Row],[Date]],'DB Details'!$A:$L,12)</f>
        <v/>
      </c>
    </row>
    <row r="646">
      <c r="A646" s="39" t="n">
        <v>37012</v>
      </c>
      <c r="B646" s="57">
        <f>VLOOKUP(Table91213[[#This Row],[Date]],'DB Details'!$A:$L,2)</f>
        <v/>
      </c>
      <c r="C646" s="41">
        <f>VLOOKUP(Table91213[[#This Row],[Date]],'DB Details'!$A:$L,3)</f>
        <v/>
      </c>
      <c r="D646" s="55">
        <f>VLOOKUP(Table91213[[#This Row],[Date]],'DB Details'!$A:$L,4)</f>
        <v/>
      </c>
      <c r="E646" s="88">
        <f>VLOOKUP(Table91213[[#This Row],[Date]],'DB Details'!$A:$L,5)</f>
        <v/>
      </c>
      <c r="F646" s="88">
        <f>VLOOKUP(Table91213[[#This Row],[Date]],'DB Details'!$A:$L,6)</f>
        <v/>
      </c>
      <c r="G646" s="41">
        <f>VLOOKUP(Table91213[[#This Row],[Date]],'DB Details'!$A:$L,7)</f>
        <v/>
      </c>
      <c r="H646" s="88">
        <f>VLOOKUP(Table91213[[#This Row],[Date]],'DB Details'!$A:$L,8)</f>
        <v/>
      </c>
      <c r="I646" s="88">
        <f>VLOOKUP(Table91213[[#This Row],[Date]],'DB Details'!$A:$L,9)</f>
        <v/>
      </c>
      <c r="J646" s="88">
        <f>VLOOKUP(Table91213[[#This Row],[Date]],'DB Details'!$A:$L,10)</f>
        <v/>
      </c>
      <c r="K646" s="41">
        <f>VLOOKUP(Table91213[[#This Row],[Date]],'DB Details'!$A:$L,11)</f>
        <v/>
      </c>
      <c r="L646" s="88">
        <f>VLOOKUP(Table91213[[#This Row],[Date]],'DB Details'!$A:$L,12)</f>
        <v/>
      </c>
    </row>
    <row r="647">
      <c r="A647" s="39" t="n">
        <v>37043</v>
      </c>
      <c r="B647" s="57">
        <f>VLOOKUP(Table91213[[#This Row],[Date]],'DB Details'!$A:$L,2)</f>
        <v/>
      </c>
      <c r="C647" s="41">
        <f>VLOOKUP(Table91213[[#This Row],[Date]],'DB Details'!$A:$L,3)</f>
        <v/>
      </c>
      <c r="D647" s="55">
        <f>VLOOKUP(Table91213[[#This Row],[Date]],'DB Details'!$A:$L,4)</f>
        <v/>
      </c>
      <c r="E647" s="88">
        <f>VLOOKUP(Table91213[[#This Row],[Date]],'DB Details'!$A:$L,5)</f>
        <v/>
      </c>
      <c r="F647" s="88">
        <f>VLOOKUP(Table91213[[#This Row],[Date]],'DB Details'!$A:$L,6)</f>
        <v/>
      </c>
      <c r="G647" s="41">
        <f>VLOOKUP(Table91213[[#This Row],[Date]],'DB Details'!$A:$L,7)</f>
        <v/>
      </c>
      <c r="H647" s="88">
        <f>VLOOKUP(Table91213[[#This Row],[Date]],'DB Details'!$A:$L,8)</f>
        <v/>
      </c>
      <c r="I647" s="88">
        <f>VLOOKUP(Table91213[[#This Row],[Date]],'DB Details'!$A:$L,9)</f>
        <v/>
      </c>
      <c r="J647" s="88">
        <f>VLOOKUP(Table91213[[#This Row],[Date]],'DB Details'!$A:$L,10)</f>
        <v/>
      </c>
      <c r="K647" s="41">
        <f>VLOOKUP(Table91213[[#This Row],[Date]],'DB Details'!$A:$L,11)</f>
        <v/>
      </c>
      <c r="L647" s="88">
        <f>VLOOKUP(Table91213[[#This Row],[Date]],'DB Details'!$A:$L,12)</f>
        <v/>
      </c>
    </row>
    <row r="648">
      <c r="A648" s="39" t="n">
        <v>37073</v>
      </c>
      <c r="B648" s="57">
        <f>VLOOKUP(Table91213[[#This Row],[Date]],'DB Details'!$A:$L,2)</f>
        <v/>
      </c>
      <c r="C648" s="41">
        <f>VLOOKUP(Table91213[[#This Row],[Date]],'DB Details'!$A:$L,3)</f>
        <v/>
      </c>
      <c r="D648" s="55">
        <f>VLOOKUP(Table91213[[#This Row],[Date]],'DB Details'!$A:$L,4)</f>
        <v/>
      </c>
      <c r="E648" s="88">
        <f>VLOOKUP(Table91213[[#This Row],[Date]],'DB Details'!$A:$L,5)</f>
        <v/>
      </c>
      <c r="F648" s="88">
        <f>VLOOKUP(Table91213[[#This Row],[Date]],'DB Details'!$A:$L,6)</f>
        <v/>
      </c>
      <c r="G648" s="41">
        <f>VLOOKUP(Table91213[[#This Row],[Date]],'DB Details'!$A:$L,7)</f>
        <v/>
      </c>
      <c r="H648" s="88">
        <f>VLOOKUP(Table91213[[#This Row],[Date]],'DB Details'!$A:$L,8)</f>
        <v/>
      </c>
      <c r="I648" s="88">
        <f>VLOOKUP(Table91213[[#This Row],[Date]],'DB Details'!$A:$L,9)</f>
        <v/>
      </c>
      <c r="J648" s="88">
        <f>VLOOKUP(Table91213[[#This Row],[Date]],'DB Details'!$A:$L,10)</f>
        <v/>
      </c>
      <c r="K648" s="41">
        <f>VLOOKUP(Table91213[[#This Row],[Date]],'DB Details'!$A:$L,11)</f>
        <v/>
      </c>
      <c r="L648" s="88">
        <f>VLOOKUP(Table91213[[#This Row],[Date]],'DB Details'!$A:$L,12)</f>
        <v/>
      </c>
    </row>
    <row r="649">
      <c r="A649" s="39" t="n">
        <v>37104</v>
      </c>
      <c r="B649" s="57">
        <f>VLOOKUP(Table91213[[#This Row],[Date]],'DB Details'!$A:$L,2)</f>
        <v/>
      </c>
      <c r="C649" s="41">
        <f>VLOOKUP(Table91213[[#This Row],[Date]],'DB Details'!$A:$L,3)</f>
        <v/>
      </c>
      <c r="D649" s="55">
        <f>VLOOKUP(Table91213[[#This Row],[Date]],'DB Details'!$A:$L,4)</f>
        <v/>
      </c>
      <c r="E649" s="88">
        <f>VLOOKUP(Table91213[[#This Row],[Date]],'DB Details'!$A:$L,5)</f>
        <v/>
      </c>
      <c r="F649" s="88">
        <f>VLOOKUP(Table91213[[#This Row],[Date]],'DB Details'!$A:$L,6)</f>
        <v/>
      </c>
      <c r="G649" s="41">
        <f>VLOOKUP(Table91213[[#This Row],[Date]],'DB Details'!$A:$L,7)</f>
        <v/>
      </c>
      <c r="H649" s="88">
        <f>VLOOKUP(Table91213[[#This Row],[Date]],'DB Details'!$A:$L,8)</f>
        <v/>
      </c>
      <c r="I649" s="88">
        <f>VLOOKUP(Table91213[[#This Row],[Date]],'DB Details'!$A:$L,9)</f>
        <v/>
      </c>
      <c r="J649" s="88">
        <f>VLOOKUP(Table91213[[#This Row],[Date]],'DB Details'!$A:$L,10)</f>
        <v/>
      </c>
      <c r="K649" s="41">
        <f>VLOOKUP(Table91213[[#This Row],[Date]],'DB Details'!$A:$L,11)</f>
        <v/>
      </c>
      <c r="L649" s="88">
        <f>VLOOKUP(Table91213[[#This Row],[Date]],'DB Details'!$A:$L,12)</f>
        <v/>
      </c>
    </row>
    <row r="650">
      <c r="A650" s="39" t="n">
        <v>37135</v>
      </c>
      <c r="B650" s="57">
        <f>VLOOKUP(Table91213[[#This Row],[Date]],'DB Details'!$A:$L,2)</f>
        <v/>
      </c>
      <c r="C650" s="41">
        <f>VLOOKUP(Table91213[[#This Row],[Date]],'DB Details'!$A:$L,3)</f>
        <v/>
      </c>
      <c r="D650" s="55">
        <f>VLOOKUP(Table91213[[#This Row],[Date]],'DB Details'!$A:$L,4)</f>
        <v/>
      </c>
      <c r="E650" s="88">
        <f>VLOOKUP(Table91213[[#This Row],[Date]],'DB Details'!$A:$L,5)</f>
        <v/>
      </c>
      <c r="F650" s="88">
        <f>VLOOKUP(Table91213[[#This Row],[Date]],'DB Details'!$A:$L,6)</f>
        <v/>
      </c>
      <c r="G650" s="41">
        <f>VLOOKUP(Table91213[[#This Row],[Date]],'DB Details'!$A:$L,7)</f>
        <v/>
      </c>
      <c r="H650" s="88">
        <f>VLOOKUP(Table91213[[#This Row],[Date]],'DB Details'!$A:$L,8)</f>
        <v/>
      </c>
      <c r="I650" s="88">
        <f>VLOOKUP(Table91213[[#This Row],[Date]],'DB Details'!$A:$L,9)</f>
        <v/>
      </c>
      <c r="J650" s="88">
        <f>VLOOKUP(Table91213[[#This Row],[Date]],'DB Details'!$A:$L,10)</f>
        <v/>
      </c>
      <c r="K650" s="41">
        <f>VLOOKUP(Table91213[[#This Row],[Date]],'DB Details'!$A:$L,11)</f>
        <v/>
      </c>
      <c r="L650" s="88">
        <f>VLOOKUP(Table91213[[#This Row],[Date]],'DB Details'!$A:$L,12)</f>
        <v/>
      </c>
    </row>
    <row r="651">
      <c r="A651" s="39" t="n">
        <v>37165</v>
      </c>
      <c r="B651" s="57">
        <f>VLOOKUP(Table91213[[#This Row],[Date]],'DB Details'!$A:$L,2)</f>
        <v/>
      </c>
      <c r="C651" s="41">
        <f>VLOOKUP(Table91213[[#This Row],[Date]],'DB Details'!$A:$L,3)</f>
        <v/>
      </c>
      <c r="D651" s="55">
        <f>VLOOKUP(Table91213[[#This Row],[Date]],'DB Details'!$A:$L,4)</f>
        <v/>
      </c>
      <c r="E651" s="88">
        <f>VLOOKUP(Table91213[[#This Row],[Date]],'DB Details'!$A:$L,5)</f>
        <v/>
      </c>
      <c r="F651" s="88">
        <f>VLOOKUP(Table91213[[#This Row],[Date]],'DB Details'!$A:$L,6)</f>
        <v/>
      </c>
      <c r="G651" s="41">
        <f>VLOOKUP(Table91213[[#This Row],[Date]],'DB Details'!$A:$L,7)</f>
        <v/>
      </c>
      <c r="H651" s="88">
        <f>VLOOKUP(Table91213[[#This Row],[Date]],'DB Details'!$A:$L,8)</f>
        <v/>
      </c>
      <c r="I651" s="88">
        <f>VLOOKUP(Table91213[[#This Row],[Date]],'DB Details'!$A:$L,9)</f>
        <v/>
      </c>
      <c r="J651" s="88">
        <f>VLOOKUP(Table91213[[#This Row],[Date]],'DB Details'!$A:$L,10)</f>
        <v/>
      </c>
      <c r="K651" s="41">
        <f>VLOOKUP(Table91213[[#This Row],[Date]],'DB Details'!$A:$L,11)</f>
        <v/>
      </c>
      <c r="L651" s="88">
        <f>VLOOKUP(Table91213[[#This Row],[Date]],'DB Details'!$A:$L,12)</f>
        <v/>
      </c>
    </row>
    <row r="652">
      <c r="A652" s="39" t="n">
        <v>37196</v>
      </c>
      <c r="B652" s="57">
        <f>VLOOKUP(Table91213[[#This Row],[Date]],'DB Details'!$A:$L,2)</f>
        <v/>
      </c>
      <c r="C652" s="41">
        <f>VLOOKUP(Table91213[[#This Row],[Date]],'DB Details'!$A:$L,3)</f>
        <v/>
      </c>
      <c r="D652" s="55">
        <f>VLOOKUP(Table91213[[#This Row],[Date]],'DB Details'!$A:$L,4)</f>
        <v/>
      </c>
      <c r="E652" s="88">
        <f>VLOOKUP(Table91213[[#This Row],[Date]],'DB Details'!$A:$L,5)</f>
        <v/>
      </c>
      <c r="F652" s="88">
        <f>VLOOKUP(Table91213[[#This Row],[Date]],'DB Details'!$A:$L,6)</f>
        <v/>
      </c>
      <c r="G652" s="41">
        <f>VLOOKUP(Table91213[[#This Row],[Date]],'DB Details'!$A:$L,7)</f>
        <v/>
      </c>
      <c r="H652" s="88">
        <f>VLOOKUP(Table91213[[#This Row],[Date]],'DB Details'!$A:$L,8)</f>
        <v/>
      </c>
      <c r="I652" s="88">
        <f>VLOOKUP(Table91213[[#This Row],[Date]],'DB Details'!$A:$L,9)</f>
        <v/>
      </c>
      <c r="J652" s="88">
        <f>VLOOKUP(Table91213[[#This Row],[Date]],'DB Details'!$A:$L,10)</f>
        <v/>
      </c>
      <c r="K652" s="41">
        <f>VLOOKUP(Table91213[[#This Row],[Date]],'DB Details'!$A:$L,11)</f>
        <v/>
      </c>
      <c r="L652" s="88">
        <f>VLOOKUP(Table91213[[#This Row],[Date]],'DB Details'!$A:$L,12)</f>
        <v/>
      </c>
    </row>
    <row r="653">
      <c r="A653" s="39" t="n">
        <v>37226</v>
      </c>
      <c r="B653" s="57">
        <f>VLOOKUP(Table91213[[#This Row],[Date]],'DB Details'!$A:$L,2)</f>
        <v/>
      </c>
      <c r="C653" s="41">
        <f>VLOOKUP(Table91213[[#This Row],[Date]],'DB Details'!$A:$L,3)</f>
        <v/>
      </c>
      <c r="D653" s="55">
        <f>VLOOKUP(Table91213[[#This Row],[Date]],'DB Details'!$A:$L,4)</f>
        <v/>
      </c>
      <c r="E653" s="88">
        <f>VLOOKUP(Table91213[[#This Row],[Date]],'DB Details'!$A:$L,5)</f>
        <v/>
      </c>
      <c r="F653" s="88">
        <f>VLOOKUP(Table91213[[#This Row],[Date]],'DB Details'!$A:$L,6)</f>
        <v/>
      </c>
      <c r="G653" s="41">
        <f>VLOOKUP(Table91213[[#This Row],[Date]],'DB Details'!$A:$L,7)</f>
        <v/>
      </c>
      <c r="H653" s="88">
        <f>VLOOKUP(Table91213[[#This Row],[Date]],'DB Details'!$A:$L,8)</f>
        <v/>
      </c>
      <c r="I653" s="88">
        <f>VLOOKUP(Table91213[[#This Row],[Date]],'DB Details'!$A:$L,9)</f>
        <v/>
      </c>
      <c r="J653" s="88">
        <f>VLOOKUP(Table91213[[#This Row],[Date]],'DB Details'!$A:$L,10)</f>
        <v/>
      </c>
      <c r="K653" s="41">
        <f>VLOOKUP(Table91213[[#This Row],[Date]],'DB Details'!$A:$L,11)</f>
        <v/>
      </c>
      <c r="L653" s="88">
        <f>VLOOKUP(Table91213[[#This Row],[Date]],'DB Details'!$A:$L,12)</f>
        <v/>
      </c>
    </row>
    <row r="654">
      <c r="A654" s="39" t="n">
        <v>37257</v>
      </c>
      <c r="B654" s="57">
        <f>VLOOKUP(Table91213[[#This Row],[Date]],'DB Details'!$A:$L,2)</f>
        <v/>
      </c>
      <c r="C654" s="41">
        <f>VLOOKUP(Table91213[[#This Row],[Date]],'DB Details'!$A:$L,3)</f>
        <v/>
      </c>
      <c r="D654" s="55">
        <f>VLOOKUP(Table91213[[#This Row],[Date]],'DB Details'!$A:$L,4)</f>
        <v/>
      </c>
      <c r="E654" s="88">
        <f>VLOOKUP(Table91213[[#This Row],[Date]],'DB Details'!$A:$L,5)</f>
        <v/>
      </c>
      <c r="F654" s="88">
        <f>VLOOKUP(Table91213[[#This Row],[Date]],'DB Details'!$A:$L,6)</f>
        <v/>
      </c>
      <c r="G654" s="41">
        <f>VLOOKUP(Table91213[[#This Row],[Date]],'DB Details'!$A:$L,7)</f>
        <v/>
      </c>
      <c r="H654" s="88">
        <f>VLOOKUP(Table91213[[#This Row],[Date]],'DB Details'!$A:$L,8)</f>
        <v/>
      </c>
      <c r="I654" s="88">
        <f>VLOOKUP(Table91213[[#This Row],[Date]],'DB Details'!$A:$L,9)</f>
        <v/>
      </c>
      <c r="J654" s="88">
        <f>VLOOKUP(Table91213[[#This Row],[Date]],'DB Details'!$A:$L,10)</f>
        <v/>
      </c>
      <c r="K654" s="41">
        <f>VLOOKUP(Table91213[[#This Row],[Date]],'DB Details'!$A:$L,11)</f>
        <v/>
      </c>
      <c r="L654" s="88">
        <f>VLOOKUP(Table91213[[#This Row],[Date]],'DB Details'!$A:$L,12)</f>
        <v/>
      </c>
    </row>
    <row r="655">
      <c r="A655" s="39" t="n">
        <v>37288</v>
      </c>
      <c r="B655" s="57">
        <f>VLOOKUP(Table91213[[#This Row],[Date]],'DB Details'!$A:$L,2)</f>
        <v/>
      </c>
      <c r="C655" s="41">
        <f>VLOOKUP(Table91213[[#This Row],[Date]],'DB Details'!$A:$L,3)</f>
        <v/>
      </c>
      <c r="D655" s="55">
        <f>VLOOKUP(Table91213[[#This Row],[Date]],'DB Details'!$A:$L,4)</f>
        <v/>
      </c>
      <c r="E655" s="88">
        <f>VLOOKUP(Table91213[[#This Row],[Date]],'DB Details'!$A:$L,5)</f>
        <v/>
      </c>
      <c r="F655" s="88">
        <f>VLOOKUP(Table91213[[#This Row],[Date]],'DB Details'!$A:$L,6)</f>
        <v/>
      </c>
      <c r="G655" s="41">
        <f>VLOOKUP(Table91213[[#This Row],[Date]],'DB Details'!$A:$L,7)</f>
        <v/>
      </c>
      <c r="H655" s="88">
        <f>VLOOKUP(Table91213[[#This Row],[Date]],'DB Details'!$A:$L,8)</f>
        <v/>
      </c>
      <c r="I655" s="88">
        <f>VLOOKUP(Table91213[[#This Row],[Date]],'DB Details'!$A:$L,9)</f>
        <v/>
      </c>
      <c r="J655" s="88">
        <f>VLOOKUP(Table91213[[#This Row],[Date]],'DB Details'!$A:$L,10)</f>
        <v/>
      </c>
      <c r="K655" s="41">
        <f>VLOOKUP(Table91213[[#This Row],[Date]],'DB Details'!$A:$L,11)</f>
        <v/>
      </c>
      <c r="L655" s="88">
        <f>VLOOKUP(Table91213[[#This Row],[Date]],'DB Details'!$A:$L,12)</f>
        <v/>
      </c>
    </row>
    <row r="656">
      <c r="A656" s="39" t="n">
        <v>37316</v>
      </c>
      <c r="B656" s="57">
        <f>VLOOKUP(Table91213[[#This Row],[Date]],'DB Details'!$A:$L,2)</f>
        <v/>
      </c>
      <c r="C656" s="41">
        <f>VLOOKUP(Table91213[[#This Row],[Date]],'DB Details'!$A:$L,3)</f>
        <v/>
      </c>
      <c r="D656" s="55">
        <f>VLOOKUP(Table91213[[#This Row],[Date]],'DB Details'!$A:$L,4)</f>
        <v/>
      </c>
      <c r="E656" s="88">
        <f>VLOOKUP(Table91213[[#This Row],[Date]],'DB Details'!$A:$L,5)</f>
        <v/>
      </c>
      <c r="F656" s="88">
        <f>VLOOKUP(Table91213[[#This Row],[Date]],'DB Details'!$A:$L,6)</f>
        <v/>
      </c>
      <c r="G656" s="41">
        <f>VLOOKUP(Table91213[[#This Row],[Date]],'DB Details'!$A:$L,7)</f>
        <v/>
      </c>
      <c r="H656" s="88">
        <f>VLOOKUP(Table91213[[#This Row],[Date]],'DB Details'!$A:$L,8)</f>
        <v/>
      </c>
      <c r="I656" s="88">
        <f>VLOOKUP(Table91213[[#This Row],[Date]],'DB Details'!$A:$L,9)</f>
        <v/>
      </c>
      <c r="J656" s="88">
        <f>VLOOKUP(Table91213[[#This Row],[Date]],'DB Details'!$A:$L,10)</f>
        <v/>
      </c>
      <c r="K656" s="41">
        <f>VLOOKUP(Table91213[[#This Row],[Date]],'DB Details'!$A:$L,11)</f>
        <v/>
      </c>
      <c r="L656" s="88">
        <f>VLOOKUP(Table91213[[#This Row],[Date]],'DB Details'!$A:$L,12)</f>
        <v/>
      </c>
    </row>
    <row r="657">
      <c r="A657" s="39" t="n">
        <v>37347</v>
      </c>
      <c r="B657" s="57">
        <f>VLOOKUP(Table91213[[#This Row],[Date]],'DB Details'!$A:$L,2)</f>
        <v/>
      </c>
      <c r="C657" s="41">
        <f>VLOOKUP(Table91213[[#This Row],[Date]],'DB Details'!$A:$L,3)</f>
        <v/>
      </c>
      <c r="D657" s="55">
        <f>VLOOKUP(Table91213[[#This Row],[Date]],'DB Details'!$A:$L,4)</f>
        <v/>
      </c>
      <c r="E657" s="88">
        <f>VLOOKUP(Table91213[[#This Row],[Date]],'DB Details'!$A:$L,5)</f>
        <v/>
      </c>
      <c r="F657" s="88">
        <f>VLOOKUP(Table91213[[#This Row],[Date]],'DB Details'!$A:$L,6)</f>
        <v/>
      </c>
      <c r="G657" s="41">
        <f>VLOOKUP(Table91213[[#This Row],[Date]],'DB Details'!$A:$L,7)</f>
        <v/>
      </c>
      <c r="H657" s="88">
        <f>VLOOKUP(Table91213[[#This Row],[Date]],'DB Details'!$A:$L,8)</f>
        <v/>
      </c>
      <c r="I657" s="88">
        <f>VLOOKUP(Table91213[[#This Row],[Date]],'DB Details'!$A:$L,9)</f>
        <v/>
      </c>
      <c r="J657" s="88">
        <f>VLOOKUP(Table91213[[#This Row],[Date]],'DB Details'!$A:$L,10)</f>
        <v/>
      </c>
      <c r="K657" s="41">
        <f>VLOOKUP(Table91213[[#This Row],[Date]],'DB Details'!$A:$L,11)</f>
        <v/>
      </c>
      <c r="L657" s="88">
        <f>VLOOKUP(Table91213[[#This Row],[Date]],'DB Details'!$A:$L,12)</f>
        <v/>
      </c>
    </row>
    <row r="658">
      <c r="A658" s="39" t="n">
        <v>37377</v>
      </c>
      <c r="B658" s="57">
        <f>VLOOKUP(Table91213[[#This Row],[Date]],'DB Details'!$A:$L,2)</f>
        <v/>
      </c>
      <c r="C658" s="41">
        <f>VLOOKUP(Table91213[[#This Row],[Date]],'DB Details'!$A:$L,3)</f>
        <v/>
      </c>
      <c r="D658" s="55">
        <f>VLOOKUP(Table91213[[#This Row],[Date]],'DB Details'!$A:$L,4)</f>
        <v/>
      </c>
      <c r="E658" s="88">
        <f>VLOOKUP(Table91213[[#This Row],[Date]],'DB Details'!$A:$L,5)</f>
        <v/>
      </c>
      <c r="F658" s="88">
        <f>VLOOKUP(Table91213[[#This Row],[Date]],'DB Details'!$A:$L,6)</f>
        <v/>
      </c>
      <c r="G658" s="41">
        <f>VLOOKUP(Table91213[[#This Row],[Date]],'DB Details'!$A:$L,7)</f>
        <v/>
      </c>
      <c r="H658" s="88">
        <f>VLOOKUP(Table91213[[#This Row],[Date]],'DB Details'!$A:$L,8)</f>
        <v/>
      </c>
      <c r="I658" s="88">
        <f>VLOOKUP(Table91213[[#This Row],[Date]],'DB Details'!$A:$L,9)</f>
        <v/>
      </c>
      <c r="J658" s="88">
        <f>VLOOKUP(Table91213[[#This Row],[Date]],'DB Details'!$A:$L,10)</f>
        <v/>
      </c>
      <c r="K658" s="41">
        <f>VLOOKUP(Table91213[[#This Row],[Date]],'DB Details'!$A:$L,11)</f>
        <v/>
      </c>
      <c r="L658" s="88">
        <f>VLOOKUP(Table91213[[#This Row],[Date]],'DB Details'!$A:$L,12)</f>
        <v/>
      </c>
    </row>
    <row r="659">
      <c r="A659" s="39" t="n">
        <v>37408</v>
      </c>
      <c r="B659" s="57">
        <f>VLOOKUP(Table91213[[#This Row],[Date]],'DB Details'!$A:$L,2)</f>
        <v/>
      </c>
      <c r="C659" s="41">
        <f>VLOOKUP(Table91213[[#This Row],[Date]],'DB Details'!$A:$L,3)</f>
        <v/>
      </c>
      <c r="D659" s="55">
        <f>VLOOKUP(Table91213[[#This Row],[Date]],'DB Details'!$A:$L,4)</f>
        <v/>
      </c>
      <c r="E659" s="88">
        <f>VLOOKUP(Table91213[[#This Row],[Date]],'DB Details'!$A:$L,5)</f>
        <v/>
      </c>
      <c r="F659" s="88">
        <f>VLOOKUP(Table91213[[#This Row],[Date]],'DB Details'!$A:$L,6)</f>
        <v/>
      </c>
      <c r="G659" s="41">
        <f>VLOOKUP(Table91213[[#This Row],[Date]],'DB Details'!$A:$L,7)</f>
        <v/>
      </c>
      <c r="H659" s="88">
        <f>VLOOKUP(Table91213[[#This Row],[Date]],'DB Details'!$A:$L,8)</f>
        <v/>
      </c>
      <c r="I659" s="88">
        <f>VLOOKUP(Table91213[[#This Row],[Date]],'DB Details'!$A:$L,9)</f>
        <v/>
      </c>
      <c r="J659" s="88">
        <f>VLOOKUP(Table91213[[#This Row],[Date]],'DB Details'!$A:$L,10)</f>
        <v/>
      </c>
      <c r="K659" s="41">
        <f>VLOOKUP(Table91213[[#This Row],[Date]],'DB Details'!$A:$L,11)</f>
        <v/>
      </c>
      <c r="L659" s="88">
        <f>VLOOKUP(Table91213[[#This Row],[Date]],'DB Details'!$A:$L,12)</f>
        <v/>
      </c>
    </row>
    <row r="660">
      <c r="A660" s="39" t="n">
        <v>37438</v>
      </c>
      <c r="B660" s="57">
        <f>VLOOKUP(Table91213[[#This Row],[Date]],'DB Details'!$A:$L,2)</f>
        <v/>
      </c>
      <c r="C660" s="41">
        <f>VLOOKUP(Table91213[[#This Row],[Date]],'DB Details'!$A:$L,3)</f>
        <v/>
      </c>
      <c r="D660" s="55">
        <f>VLOOKUP(Table91213[[#This Row],[Date]],'DB Details'!$A:$L,4)</f>
        <v/>
      </c>
      <c r="E660" s="88">
        <f>VLOOKUP(Table91213[[#This Row],[Date]],'DB Details'!$A:$L,5)</f>
        <v/>
      </c>
      <c r="F660" s="88">
        <f>VLOOKUP(Table91213[[#This Row],[Date]],'DB Details'!$A:$L,6)</f>
        <v/>
      </c>
      <c r="G660" s="41">
        <f>VLOOKUP(Table91213[[#This Row],[Date]],'DB Details'!$A:$L,7)</f>
        <v/>
      </c>
      <c r="H660" s="88">
        <f>VLOOKUP(Table91213[[#This Row],[Date]],'DB Details'!$A:$L,8)</f>
        <v/>
      </c>
      <c r="I660" s="88">
        <f>VLOOKUP(Table91213[[#This Row],[Date]],'DB Details'!$A:$L,9)</f>
        <v/>
      </c>
      <c r="J660" s="88">
        <f>VLOOKUP(Table91213[[#This Row],[Date]],'DB Details'!$A:$L,10)</f>
        <v/>
      </c>
      <c r="K660" s="41">
        <f>VLOOKUP(Table91213[[#This Row],[Date]],'DB Details'!$A:$L,11)</f>
        <v/>
      </c>
      <c r="L660" s="88">
        <f>VLOOKUP(Table91213[[#This Row],[Date]],'DB Details'!$A:$L,12)</f>
        <v/>
      </c>
    </row>
    <row r="661">
      <c r="A661" s="39" t="n">
        <v>37469</v>
      </c>
      <c r="B661" s="57">
        <f>VLOOKUP(Table91213[[#This Row],[Date]],'DB Details'!$A:$L,2)</f>
        <v/>
      </c>
      <c r="C661" s="41">
        <f>VLOOKUP(Table91213[[#This Row],[Date]],'DB Details'!$A:$L,3)</f>
        <v/>
      </c>
      <c r="D661" s="55">
        <f>VLOOKUP(Table91213[[#This Row],[Date]],'DB Details'!$A:$L,4)</f>
        <v/>
      </c>
      <c r="E661" s="88">
        <f>VLOOKUP(Table91213[[#This Row],[Date]],'DB Details'!$A:$L,5)</f>
        <v/>
      </c>
      <c r="F661" s="88">
        <f>VLOOKUP(Table91213[[#This Row],[Date]],'DB Details'!$A:$L,6)</f>
        <v/>
      </c>
      <c r="G661" s="41">
        <f>VLOOKUP(Table91213[[#This Row],[Date]],'DB Details'!$A:$L,7)</f>
        <v/>
      </c>
      <c r="H661" s="88">
        <f>VLOOKUP(Table91213[[#This Row],[Date]],'DB Details'!$A:$L,8)</f>
        <v/>
      </c>
      <c r="I661" s="88">
        <f>VLOOKUP(Table91213[[#This Row],[Date]],'DB Details'!$A:$L,9)</f>
        <v/>
      </c>
      <c r="J661" s="88">
        <f>VLOOKUP(Table91213[[#This Row],[Date]],'DB Details'!$A:$L,10)</f>
        <v/>
      </c>
      <c r="K661" s="41">
        <f>VLOOKUP(Table91213[[#This Row],[Date]],'DB Details'!$A:$L,11)</f>
        <v/>
      </c>
      <c r="L661" s="88">
        <f>VLOOKUP(Table91213[[#This Row],[Date]],'DB Details'!$A:$L,12)</f>
        <v/>
      </c>
    </row>
    <row r="662">
      <c r="A662" s="39" t="n">
        <v>37500</v>
      </c>
      <c r="B662" s="57">
        <f>VLOOKUP(Table91213[[#This Row],[Date]],'DB Details'!$A:$L,2)</f>
        <v/>
      </c>
      <c r="C662" s="41">
        <f>VLOOKUP(Table91213[[#This Row],[Date]],'DB Details'!$A:$L,3)</f>
        <v/>
      </c>
      <c r="D662" s="55">
        <f>VLOOKUP(Table91213[[#This Row],[Date]],'DB Details'!$A:$L,4)</f>
        <v/>
      </c>
      <c r="E662" s="88">
        <f>VLOOKUP(Table91213[[#This Row],[Date]],'DB Details'!$A:$L,5)</f>
        <v/>
      </c>
      <c r="F662" s="88">
        <f>VLOOKUP(Table91213[[#This Row],[Date]],'DB Details'!$A:$L,6)</f>
        <v/>
      </c>
      <c r="G662" s="41">
        <f>VLOOKUP(Table91213[[#This Row],[Date]],'DB Details'!$A:$L,7)</f>
        <v/>
      </c>
      <c r="H662" s="88">
        <f>VLOOKUP(Table91213[[#This Row],[Date]],'DB Details'!$A:$L,8)</f>
        <v/>
      </c>
      <c r="I662" s="88">
        <f>VLOOKUP(Table91213[[#This Row],[Date]],'DB Details'!$A:$L,9)</f>
        <v/>
      </c>
      <c r="J662" s="88">
        <f>VLOOKUP(Table91213[[#This Row],[Date]],'DB Details'!$A:$L,10)</f>
        <v/>
      </c>
      <c r="K662" s="41">
        <f>VLOOKUP(Table91213[[#This Row],[Date]],'DB Details'!$A:$L,11)</f>
        <v/>
      </c>
      <c r="L662" s="88">
        <f>VLOOKUP(Table91213[[#This Row],[Date]],'DB Details'!$A:$L,12)</f>
        <v/>
      </c>
    </row>
    <row r="663">
      <c r="A663" s="39" t="n">
        <v>37530</v>
      </c>
      <c r="B663" s="57">
        <f>VLOOKUP(Table91213[[#This Row],[Date]],'DB Details'!$A:$L,2)</f>
        <v/>
      </c>
      <c r="C663" s="41">
        <f>VLOOKUP(Table91213[[#This Row],[Date]],'DB Details'!$A:$L,3)</f>
        <v/>
      </c>
      <c r="D663" s="55">
        <f>VLOOKUP(Table91213[[#This Row],[Date]],'DB Details'!$A:$L,4)</f>
        <v/>
      </c>
      <c r="E663" s="88">
        <f>VLOOKUP(Table91213[[#This Row],[Date]],'DB Details'!$A:$L,5)</f>
        <v/>
      </c>
      <c r="F663" s="88">
        <f>VLOOKUP(Table91213[[#This Row],[Date]],'DB Details'!$A:$L,6)</f>
        <v/>
      </c>
      <c r="G663" s="41">
        <f>VLOOKUP(Table91213[[#This Row],[Date]],'DB Details'!$A:$L,7)</f>
        <v/>
      </c>
      <c r="H663" s="88">
        <f>VLOOKUP(Table91213[[#This Row],[Date]],'DB Details'!$A:$L,8)</f>
        <v/>
      </c>
      <c r="I663" s="88">
        <f>VLOOKUP(Table91213[[#This Row],[Date]],'DB Details'!$A:$L,9)</f>
        <v/>
      </c>
      <c r="J663" s="88">
        <f>VLOOKUP(Table91213[[#This Row],[Date]],'DB Details'!$A:$L,10)</f>
        <v/>
      </c>
      <c r="K663" s="41">
        <f>VLOOKUP(Table91213[[#This Row],[Date]],'DB Details'!$A:$L,11)</f>
        <v/>
      </c>
      <c r="L663" s="88">
        <f>VLOOKUP(Table91213[[#This Row],[Date]],'DB Details'!$A:$L,12)</f>
        <v/>
      </c>
    </row>
    <row r="664">
      <c r="A664" s="39" t="n">
        <v>37561</v>
      </c>
      <c r="B664" s="57">
        <f>VLOOKUP(Table91213[[#This Row],[Date]],'DB Details'!$A:$L,2)</f>
        <v/>
      </c>
      <c r="C664" s="41">
        <f>VLOOKUP(Table91213[[#This Row],[Date]],'DB Details'!$A:$L,3)</f>
        <v/>
      </c>
      <c r="D664" s="55">
        <f>VLOOKUP(Table91213[[#This Row],[Date]],'DB Details'!$A:$L,4)</f>
        <v/>
      </c>
      <c r="E664" s="88">
        <f>VLOOKUP(Table91213[[#This Row],[Date]],'DB Details'!$A:$L,5)</f>
        <v/>
      </c>
      <c r="F664" s="88">
        <f>VLOOKUP(Table91213[[#This Row],[Date]],'DB Details'!$A:$L,6)</f>
        <v/>
      </c>
      <c r="G664" s="41">
        <f>VLOOKUP(Table91213[[#This Row],[Date]],'DB Details'!$A:$L,7)</f>
        <v/>
      </c>
      <c r="H664" s="88">
        <f>VLOOKUP(Table91213[[#This Row],[Date]],'DB Details'!$A:$L,8)</f>
        <v/>
      </c>
      <c r="I664" s="88">
        <f>VLOOKUP(Table91213[[#This Row],[Date]],'DB Details'!$A:$L,9)</f>
        <v/>
      </c>
      <c r="J664" s="88">
        <f>VLOOKUP(Table91213[[#This Row],[Date]],'DB Details'!$A:$L,10)</f>
        <v/>
      </c>
      <c r="K664" s="41">
        <f>VLOOKUP(Table91213[[#This Row],[Date]],'DB Details'!$A:$L,11)</f>
        <v/>
      </c>
      <c r="L664" s="88">
        <f>VLOOKUP(Table91213[[#This Row],[Date]],'DB Details'!$A:$L,12)</f>
        <v/>
      </c>
    </row>
    <row r="665">
      <c r="A665" s="39" t="n">
        <v>37591</v>
      </c>
      <c r="B665" s="57">
        <f>VLOOKUP(Table91213[[#This Row],[Date]],'DB Details'!$A:$L,2)</f>
        <v/>
      </c>
      <c r="C665" s="41">
        <f>VLOOKUP(Table91213[[#This Row],[Date]],'DB Details'!$A:$L,3)</f>
        <v/>
      </c>
      <c r="D665" s="55">
        <f>VLOOKUP(Table91213[[#This Row],[Date]],'DB Details'!$A:$L,4)</f>
        <v/>
      </c>
      <c r="E665" s="88">
        <f>VLOOKUP(Table91213[[#This Row],[Date]],'DB Details'!$A:$L,5)</f>
        <v/>
      </c>
      <c r="F665" s="88">
        <f>VLOOKUP(Table91213[[#This Row],[Date]],'DB Details'!$A:$L,6)</f>
        <v/>
      </c>
      <c r="G665" s="41">
        <f>VLOOKUP(Table91213[[#This Row],[Date]],'DB Details'!$A:$L,7)</f>
        <v/>
      </c>
      <c r="H665" s="88">
        <f>VLOOKUP(Table91213[[#This Row],[Date]],'DB Details'!$A:$L,8)</f>
        <v/>
      </c>
      <c r="I665" s="88">
        <f>VLOOKUP(Table91213[[#This Row],[Date]],'DB Details'!$A:$L,9)</f>
        <v/>
      </c>
      <c r="J665" s="88">
        <f>VLOOKUP(Table91213[[#This Row],[Date]],'DB Details'!$A:$L,10)</f>
        <v/>
      </c>
      <c r="K665" s="41">
        <f>VLOOKUP(Table91213[[#This Row],[Date]],'DB Details'!$A:$L,11)</f>
        <v/>
      </c>
      <c r="L665" s="88">
        <f>VLOOKUP(Table91213[[#This Row],[Date]],'DB Details'!$A:$L,12)</f>
        <v/>
      </c>
    </row>
    <row r="666">
      <c r="A666" s="39" t="n">
        <v>37622</v>
      </c>
      <c r="B666" s="57">
        <f>VLOOKUP(Table91213[[#This Row],[Date]],'DB Details'!$A:$L,2)</f>
        <v/>
      </c>
      <c r="C666" s="41">
        <f>VLOOKUP(Table91213[[#This Row],[Date]],'DB Details'!$A:$L,3)</f>
        <v/>
      </c>
      <c r="D666" s="55">
        <f>VLOOKUP(Table91213[[#This Row],[Date]],'DB Details'!$A:$L,4)</f>
        <v/>
      </c>
      <c r="E666" s="88">
        <f>VLOOKUP(Table91213[[#This Row],[Date]],'DB Details'!$A:$L,5)</f>
        <v/>
      </c>
      <c r="F666" s="88">
        <f>VLOOKUP(Table91213[[#This Row],[Date]],'DB Details'!$A:$L,6)</f>
        <v/>
      </c>
      <c r="G666" s="41">
        <f>VLOOKUP(Table91213[[#This Row],[Date]],'DB Details'!$A:$L,7)</f>
        <v/>
      </c>
      <c r="H666" s="88">
        <f>VLOOKUP(Table91213[[#This Row],[Date]],'DB Details'!$A:$L,8)</f>
        <v/>
      </c>
      <c r="I666" s="88">
        <f>VLOOKUP(Table91213[[#This Row],[Date]],'DB Details'!$A:$L,9)</f>
        <v/>
      </c>
      <c r="J666" s="88">
        <f>VLOOKUP(Table91213[[#This Row],[Date]],'DB Details'!$A:$L,10)</f>
        <v/>
      </c>
      <c r="K666" s="41">
        <f>VLOOKUP(Table91213[[#This Row],[Date]],'DB Details'!$A:$L,11)</f>
        <v/>
      </c>
      <c r="L666" s="88">
        <f>VLOOKUP(Table91213[[#This Row],[Date]],'DB Details'!$A:$L,12)</f>
        <v/>
      </c>
    </row>
    <row r="667">
      <c r="A667" s="39" t="n">
        <v>37653</v>
      </c>
      <c r="B667" s="57">
        <f>VLOOKUP(Table91213[[#This Row],[Date]],'DB Details'!$A:$L,2)</f>
        <v/>
      </c>
      <c r="C667" s="41">
        <f>VLOOKUP(Table91213[[#This Row],[Date]],'DB Details'!$A:$L,3)</f>
        <v/>
      </c>
      <c r="D667" s="55">
        <f>VLOOKUP(Table91213[[#This Row],[Date]],'DB Details'!$A:$L,4)</f>
        <v/>
      </c>
      <c r="E667" s="88">
        <f>VLOOKUP(Table91213[[#This Row],[Date]],'DB Details'!$A:$L,5)</f>
        <v/>
      </c>
      <c r="F667" s="88">
        <f>VLOOKUP(Table91213[[#This Row],[Date]],'DB Details'!$A:$L,6)</f>
        <v/>
      </c>
      <c r="G667" s="41">
        <f>VLOOKUP(Table91213[[#This Row],[Date]],'DB Details'!$A:$L,7)</f>
        <v/>
      </c>
      <c r="H667" s="88">
        <f>VLOOKUP(Table91213[[#This Row],[Date]],'DB Details'!$A:$L,8)</f>
        <v/>
      </c>
      <c r="I667" s="88">
        <f>VLOOKUP(Table91213[[#This Row],[Date]],'DB Details'!$A:$L,9)</f>
        <v/>
      </c>
      <c r="J667" s="88">
        <f>VLOOKUP(Table91213[[#This Row],[Date]],'DB Details'!$A:$L,10)</f>
        <v/>
      </c>
      <c r="K667" s="41">
        <f>VLOOKUP(Table91213[[#This Row],[Date]],'DB Details'!$A:$L,11)</f>
        <v/>
      </c>
      <c r="L667" s="88">
        <f>VLOOKUP(Table91213[[#This Row],[Date]],'DB Details'!$A:$L,12)</f>
        <v/>
      </c>
    </row>
    <row r="668">
      <c r="A668" s="39" t="n">
        <v>37681</v>
      </c>
      <c r="B668" s="57">
        <f>VLOOKUP(Table91213[[#This Row],[Date]],'DB Details'!$A:$L,2)</f>
        <v/>
      </c>
      <c r="C668" s="41">
        <f>VLOOKUP(Table91213[[#This Row],[Date]],'DB Details'!$A:$L,3)</f>
        <v/>
      </c>
      <c r="D668" s="55">
        <f>VLOOKUP(Table91213[[#This Row],[Date]],'DB Details'!$A:$L,4)</f>
        <v/>
      </c>
      <c r="E668" s="88">
        <f>VLOOKUP(Table91213[[#This Row],[Date]],'DB Details'!$A:$L,5)</f>
        <v/>
      </c>
      <c r="F668" s="88">
        <f>VLOOKUP(Table91213[[#This Row],[Date]],'DB Details'!$A:$L,6)</f>
        <v/>
      </c>
      <c r="G668" s="41">
        <f>VLOOKUP(Table91213[[#This Row],[Date]],'DB Details'!$A:$L,7)</f>
        <v/>
      </c>
      <c r="H668" s="88">
        <f>VLOOKUP(Table91213[[#This Row],[Date]],'DB Details'!$A:$L,8)</f>
        <v/>
      </c>
      <c r="I668" s="88">
        <f>VLOOKUP(Table91213[[#This Row],[Date]],'DB Details'!$A:$L,9)</f>
        <v/>
      </c>
      <c r="J668" s="88">
        <f>VLOOKUP(Table91213[[#This Row],[Date]],'DB Details'!$A:$L,10)</f>
        <v/>
      </c>
      <c r="K668" s="41">
        <f>VLOOKUP(Table91213[[#This Row],[Date]],'DB Details'!$A:$L,11)</f>
        <v/>
      </c>
      <c r="L668" s="88">
        <f>VLOOKUP(Table91213[[#This Row],[Date]],'DB Details'!$A:$L,12)</f>
        <v/>
      </c>
    </row>
    <row r="669">
      <c r="A669" s="39" t="n">
        <v>37712</v>
      </c>
      <c r="B669" s="57">
        <f>VLOOKUP(Table91213[[#This Row],[Date]],'DB Details'!$A:$L,2)</f>
        <v/>
      </c>
      <c r="C669" s="41">
        <f>VLOOKUP(Table91213[[#This Row],[Date]],'DB Details'!$A:$L,3)</f>
        <v/>
      </c>
      <c r="D669" s="55">
        <f>VLOOKUP(Table91213[[#This Row],[Date]],'DB Details'!$A:$L,4)</f>
        <v/>
      </c>
      <c r="E669" s="88">
        <f>VLOOKUP(Table91213[[#This Row],[Date]],'DB Details'!$A:$L,5)</f>
        <v/>
      </c>
      <c r="F669" s="88">
        <f>VLOOKUP(Table91213[[#This Row],[Date]],'DB Details'!$A:$L,6)</f>
        <v/>
      </c>
      <c r="G669" s="41">
        <f>VLOOKUP(Table91213[[#This Row],[Date]],'DB Details'!$A:$L,7)</f>
        <v/>
      </c>
      <c r="H669" s="88">
        <f>VLOOKUP(Table91213[[#This Row],[Date]],'DB Details'!$A:$L,8)</f>
        <v/>
      </c>
      <c r="I669" s="88">
        <f>VLOOKUP(Table91213[[#This Row],[Date]],'DB Details'!$A:$L,9)</f>
        <v/>
      </c>
      <c r="J669" s="88">
        <f>VLOOKUP(Table91213[[#This Row],[Date]],'DB Details'!$A:$L,10)</f>
        <v/>
      </c>
      <c r="K669" s="41">
        <f>VLOOKUP(Table91213[[#This Row],[Date]],'DB Details'!$A:$L,11)</f>
        <v/>
      </c>
      <c r="L669" s="88">
        <f>VLOOKUP(Table91213[[#This Row],[Date]],'DB Details'!$A:$L,12)</f>
        <v/>
      </c>
    </row>
    <row r="670">
      <c r="A670" s="39" t="n">
        <v>37742</v>
      </c>
      <c r="B670" s="57">
        <f>VLOOKUP(Table91213[[#This Row],[Date]],'DB Details'!$A:$L,2)</f>
        <v/>
      </c>
      <c r="C670" s="41">
        <f>VLOOKUP(Table91213[[#This Row],[Date]],'DB Details'!$A:$L,3)</f>
        <v/>
      </c>
      <c r="D670" s="55">
        <f>VLOOKUP(Table91213[[#This Row],[Date]],'DB Details'!$A:$L,4)</f>
        <v/>
      </c>
      <c r="E670" s="88">
        <f>VLOOKUP(Table91213[[#This Row],[Date]],'DB Details'!$A:$L,5)</f>
        <v/>
      </c>
      <c r="F670" s="88">
        <f>VLOOKUP(Table91213[[#This Row],[Date]],'DB Details'!$A:$L,6)</f>
        <v/>
      </c>
      <c r="G670" s="41">
        <f>VLOOKUP(Table91213[[#This Row],[Date]],'DB Details'!$A:$L,7)</f>
        <v/>
      </c>
      <c r="H670" s="88">
        <f>VLOOKUP(Table91213[[#This Row],[Date]],'DB Details'!$A:$L,8)</f>
        <v/>
      </c>
      <c r="I670" s="88">
        <f>VLOOKUP(Table91213[[#This Row],[Date]],'DB Details'!$A:$L,9)</f>
        <v/>
      </c>
      <c r="J670" s="88">
        <f>VLOOKUP(Table91213[[#This Row],[Date]],'DB Details'!$A:$L,10)</f>
        <v/>
      </c>
      <c r="K670" s="41">
        <f>VLOOKUP(Table91213[[#This Row],[Date]],'DB Details'!$A:$L,11)</f>
        <v/>
      </c>
      <c r="L670" s="88">
        <f>VLOOKUP(Table91213[[#This Row],[Date]],'DB Details'!$A:$L,12)</f>
        <v/>
      </c>
    </row>
    <row r="671">
      <c r="A671" s="39" t="n">
        <v>37773</v>
      </c>
      <c r="B671" s="57">
        <f>VLOOKUP(Table91213[[#This Row],[Date]],'DB Details'!$A:$L,2)</f>
        <v/>
      </c>
      <c r="C671" s="41">
        <f>VLOOKUP(Table91213[[#This Row],[Date]],'DB Details'!$A:$L,3)</f>
        <v/>
      </c>
      <c r="D671" s="55">
        <f>VLOOKUP(Table91213[[#This Row],[Date]],'DB Details'!$A:$L,4)</f>
        <v/>
      </c>
      <c r="E671" s="88">
        <f>VLOOKUP(Table91213[[#This Row],[Date]],'DB Details'!$A:$L,5)</f>
        <v/>
      </c>
      <c r="F671" s="88">
        <f>VLOOKUP(Table91213[[#This Row],[Date]],'DB Details'!$A:$L,6)</f>
        <v/>
      </c>
      <c r="G671" s="41">
        <f>VLOOKUP(Table91213[[#This Row],[Date]],'DB Details'!$A:$L,7)</f>
        <v/>
      </c>
      <c r="H671" s="88">
        <f>VLOOKUP(Table91213[[#This Row],[Date]],'DB Details'!$A:$L,8)</f>
        <v/>
      </c>
      <c r="I671" s="88">
        <f>VLOOKUP(Table91213[[#This Row],[Date]],'DB Details'!$A:$L,9)</f>
        <v/>
      </c>
      <c r="J671" s="88">
        <f>VLOOKUP(Table91213[[#This Row],[Date]],'DB Details'!$A:$L,10)</f>
        <v/>
      </c>
      <c r="K671" s="41">
        <f>VLOOKUP(Table91213[[#This Row],[Date]],'DB Details'!$A:$L,11)</f>
        <v/>
      </c>
      <c r="L671" s="88">
        <f>VLOOKUP(Table91213[[#This Row],[Date]],'DB Details'!$A:$L,12)</f>
        <v/>
      </c>
    </row>
    <row r="672">
      <c r="A672" s="39" t="n">
        <v>37803</v>
      </c>
      <c r="B672" s="57">
        <f>VLOOKUP(Table91213[[#This Row],[Date]],'DB Details'!$A:$L,2)</f>
        <v/>
      </c>
      <c r="C672" s="41">
        <f>VLOOKUP(Table91213[[#This Row],[Date]],'DB Details'!$A:$L,3)</f>
        <v/>
      </c>
      <c r="D672" s="55">
        <f>VLOOKUP(Table91213[[#This Row],[Date]],'DB Details'!$A:$L,4)</f>
        <v/>
      </c>
      <c r="E672" s="88">
        <f>VLOOKUP(Table91213[[#This Row],[Date]],'DB Details'!$A:$L,5)</f>
        <v/>
      </c>
      <c r="F672" s="88">
        <f>VLOOKUP(Table91213[[#This Row],[Date]],'DB Details'!$A:$L,6)</f>
        <v/>
      </c>
      <c r="G672" s="41">
        <f>VLOOKUP(Table91213[[#This Row],[Date]],'DB Details'!$A:$L,7)</f>
        <v/>
      </c>
      <c r="H672" s="88">
        <f>VLOOKUP(Table91213[[#This Row],[Date]],'DB Details'!$A:$L,8)</f>
        <v/>
      </c>
      <c r="I672" s="88">
        <f>VLOOKUP(Table91213[[#This Row],[Date]],'DB Details'!$A:$L,9)</f>
        <v/>
      </c>
      <c r="J672" s="88">
        <f>VLOOKUP(Table91213[[#This Row],[Date]],'DB Details'!$A:$L,10)</f>
        <v/>
      </c>
      <c r="K672" s="41">
        <f>VLOOKUP(Table91213[[#This Row],[Date]],'DB Details'!$A:$L,11)</f>
        <v/>
      </c>
      <c r="L672" s="88">
        <f>VLOOKUP(Table91213[[#This Row],[Date]],'DB Details'!$A:$L,12)</f>
        <v/>
      </c>
    </row>
    <row r="673">
      <c r="A673" s="39" t="n">
        <v>37834</v>
      </c>
      <c r="B673" s="57">
        <f>VLOOKUP(Table91213[[#This Row],[Date]],'DB Details'!$A:$L,2)</f>
        <v/>
      </c>
      <c r="C673" s="41">
        <f>VLOOKUP(Table91213[[#This Row],[Date]],'DB Details'!$A:$L,3)</f>
        <v/>
      </c>
      <c r="D673" s="55">
        <f>VLOOKUP(Table91213[[#This Row],[Date]],'DB Details'!$A:$L,4)</f>
        <v/>
      </c>
      <c r="E673" s="88">
        <f>VLOOKUP(Table91213[[#This Row],[Date]],'DB Details'!$A:$L,5)</f>
        <v/>
      </c>
      <c r="F673" s="88">
        <f>VLOOKUP(Table91213[[#This Row],[Date]],'DB Details'!$A:$L,6)</f>
        <v/>
      </c>
      <c r="G673" s="41">
        <f>VLOOKUP(Table91213[[#This Row],[Date]],'DB Details'!$A:$L,7)</f>
        <v/>
      </c>
      <c r="H673" s="88">
        <f>VLOOKUP(Table91213[[#This Row],[Date]],'DB Details'!$A:$L,8)</f>
        <v/>
      </c>
      <c r="I673" s="88">
        <f>VLOOKUP(Table91213[[#This Row],[Date]],'DB Details'!$A:$L,9)</f>
        <v/>
      </c>
      <c r="J673" s="88">
        <f>VLOOKUP(Table91213[[#This Row],[Date]],'DB Details'!$A:$L,10)</f>
        <v/>
      </c>
      <c r="K673" s="41">
        <f>VLOOKUP(Table91213[[#This Row],[Date]],'DB Details'!$A:$L,11)</f>
        <v/>
      </c>
      <c r="L673" s="88">
        <f>VLOOKUP(Table91213[[#This Row],[Date]],'DB Details'!$A:$L,12)</f>
        <v/>
      </c>
    </row>
    <row r="674">
      <c r="A674" s="39" t="n">
        <v>37865</v>
      </c>
      <c r="B674" s="57">
        <f>VLOOKUP(Table91213[[#This Row],[Date]],'DB Details'!$A:$L,2)</f>
        <v/>
      </c>
      <c r="C674" s="41">
        <f>VLOOKUP(Table91213[[#This Row],[Date]],'DB Details'!$A:$L,3)</f>
        <v/>
      </c>
      <c r="D674" s="55">
        <f>VLOOKUP(Table91213[[#This Row],[Date]],'DB Details'!$A:$L,4)</f>
        <v/>
      </c>
      <c r="E674" s="88">
        <f>VLOOKUP(Table91213[[#This Row],[Date]],'DB Details'!$A:$L,5)</f>
        <v/>
      </c>
      <c r="F674" s="88">
        <f>VLOOKUP(Table91213[[#This Row],[Date]],'DB Details'!$A:$L,6)</f>
        <v/>
      </c>
      <c r="G674" s="41">
        <f>VLOOKUP(Table91213[[#This Row],[Date]],'DB Details'!$A:$L,7)</f>
        <v/>
      </c>
      <c r="H674" s="88">
        <f>VLOOKUP(Table91213[[#This Row],[Date]],'DB Details'!$A:$L,8)</f>
        <v/>
      </c>
      <c r="I674" s="88">
        <f>VLOOKUP(Table91213[[#This Row],[Date]],'DB Details'!$A:$L,9)</f>
        <v/>
      </c>
      <c r="J674" s="88">
        <f>VLOOKUP(Table91213[[#This Row],[Date]],'DB Details'!$A:$L,10)</f>
        <v/>
      </c>
      <c r="K674" s="41">
        <f>VLOOKUP(Table91213[[#This Row],[Date]],'DB Details'!$A:$L,11)</f>
        <v/>
      </c>
      <c r="L674" s="88">
        <f>VLOOKUP(Table91213[[#This Row],[Date]],'DB Details'!$A:$L,12)</f>
        <v/>
      </c>
    </row>
    <row r="675">
      <c r="A675" s="39" t="n">
        <v>37895</v>
      </c>
      <c r="B675" s="57">
        <f>VLOOKUP(Table91213[[#This Row],[Date]],'DB Details'!$A:$L,2)</f>
        <v/>
      </c>
      <c r="C675" s="41">
        <f>VLOOKUP(Table91213[[#This Row],[Date]],'DB Details'!$A:$L,3)</f>
        <v/>
      </c>
      <c r="D675" s="55">
        <f>VLOOKUP(Table91213[[#This Row],[Date]],'DB Details'!$A:$L,4)</f>
        <v/>
      </c>
      <c r="E675" s="88">
        <f>VLOOKUP(Table91213[[#This Row],[Date]],'DB Details'!$A:$L,5)</f>
        <v/>
      </c>
      <c r="F675" s="88">
        <f>VLOOKUP(Table91213[[#This Row],[Date]],'DB Details'!$A:$L,6)</f>
        <v/>
      </c>
      <c r="G675" s="41">
        <f>VLOOKUP(Table91213[[#This Row],[Date]],'DB Details'!$A:$L,7)</f>
        <v/>
      </c>
      <c r="H675" s="88">
        <f>VLOOKUP(Table91213[[#This Row],[Date]],'DB Details'!$A:$L,8)</f>
        <v/>
      </c>
      <c r="I675" s="88">
        <f>VLOOKUP(Table91213[[#This Row],[Date]],'DB Details'!$A:$L,9)</f>
        <v/>
      </c>
      <c r="J675" s="88">
        <f>VLOOKUP(Table91213[[#This Row],[Date]],'DB Details'!$A:$L,10)</f>
        <v/>
      </c>
      <c r="K675" s="41">
        <f>VLOOKUP(Table91213[[#This Row],[Date]],'DB Details'!$A:$L,11)</f>
        <v/>
      </c>
      <c r="L675" s="88">
        <f>VLOOKUP(Table91213[[#This Row],[Date]],'DB Details'!$A:$L,12)</f>
        <v/>
      </c>
    </row>
    <row r="676">
      <c r="A676" s="39" t="n">
        <v>37926</v>
      </c>
      <c r="B676" s="57">
        <f>VLOOKUP(Table91213[[#This Row],[Date]],'DB Details'!$A:$L,2)</f>
        <v/>
      </c>
      <c r="C676" s="41">
        <f>VLOOKUP(Table91213[[#This Row],[Date]],'DB Details'!$A:$L,3)</f>
        <v/>
      </c>
      <c r="D676" s="55">
        <f>VLOOKUP(Table91213[[#This Row],[Date]],'DB Details'!$A:$L,4)</f>
        <v/>
      </c>
      <c r="E676" s="88">
        <f>VLOOKUP(Table91213[[#This Row],[Date]],'DB Details'!$A:$L,5)</f>
        <v/>
      </c>
      <c r="F676" s="88">
        <f>VLOOKUP(Table91213[[#This Row],[Date]],'DB Details'!$A:$L,6)</f>
        <v/>
      </c>
      <c r="G676" s="41">
        <f>VLOOKUP(Table91213[[#This Row],[Date]],'DB Details'!$A:$L,7)</f>
        <v/>
      </c>
      <c r="H676" s="88">
        <f>VLOOKUP(Table91213[[#This Row],[Date]],'DB Details'!$A:$L,8)</f>
        <v/>
      </c>
      <c r="I676" s="88">
        <f>VLOOKUP(Table91213[[#This Row],[Date]],'DB Details'!$A:$L,9)</f>
        <v/>
      </c>
      <c r="J676" s="88">
        <f>VLOOKUP(Table91213[[#This Row],[Date]],'DB Details'!$A:$L,10)</f>
        <v/>
      </c>
      <c r="K676" s="41">
        <f>VLOOKUP(Table91213[[#This Row],[Date]],'DB Details'!$A:$L,11)</f>
        <v/>
      </c>
      <c r="L676" s="88">
        <f>VLOOKUP(Table91213[[#This Row],[Date]],'DB Details'!$A:$L,12)</f>
        <v/>
      </c>
    </row>
    <row r="677">
      <c r="A677" s="39" t="n">
        <v>37956</v>
      </c>
      <c r="B677" s="57">
        <f>VLOOKUP(Table91213[[#This Row],[Date]],'DB Details'!$A:$L,2)</f>
        <v/>
      </c>
      <c r="C677" s="41">
        <f>VLOOKUP(Table91213[[#This Row],[Date]],'DB Details'!$A:$L,3)</f>
        <v/>
      </c>
      <c r="D677" s="55">
        <f>VLOOKUP(Table91213[[#This Row],[Date]],'DB Details'!$A:$L,4)</f>
        <v/>
      </c>
      <c r="E677" s="88">
        <f>VLOOKUP(Table91213[[#This Row],[Date]],'DB Details'!$A:$L,5)</f>
        <v/>
      </c>
      <c r="F677" s="88">
        <f>VLOOKUP(Table91213[[#This Row],[Date]],'DB Details'!$A:$L,6)</f>
        <v/>
      </c>
      <c r="G677" s="41">
        <f>VLOOKUP(Table91213[[#This Row],[Date]],'DB Details'!$A:$L,7)</f>
        <v/>
      </c>
      <c r="H677" s="88">
        <f>VLOOKUP(Table91213[[#This Row],[Date]],'DB Details'!$A:$L,8)</f>
        <v/>
      </c>
      <c r="I677" s="88">
        <f>VLOOKUP(Table91213[[#This Row],[Date]],'DB Details'!$A:$L,9)</f>
        <v/>
      </c>
      <c r="J677" s="88">
        <f>VLOOKUP(Table91213[[#This Row],[Date]],'DB Details'!$A:$L,10)</f>
        <v/>
      </c>
      <c r="K677" s="41">
        <f>VLOOKUP(Table91213[[#This Row],[Date]],'DB Details'!$A:$L,11)</f>
        <v/>
      </c>
      <c r="L677" s="88">
        <f>VLOOKUP(Table91213[[#This Row],[Date]],'DB Details'!$A:$L,12)</f>
        <v/>
      </c>
    </row>
    <row r="678">
      <c r="A678" s="39" t="n">
        <v>37987</v>
      </c>
      <c r="B678" s="57">
        <f>VLOOKUP(Table91213[[#This Row],[Date]],'DB Details'!$A:$L,2)</f>
        <v/>
      </c>
      <c r="C678" s="41">
        <f>VLOOKUP(Table91213[[#This Row],[Date]],'DB Details'!$A:$L,3)</f>
        <v/>
      </c>
      <c r="D678" s="55">
        <f>VLOOKUP(Table91213[[#This Row],[Date]],'DB Details'!$A:$L,4)</f>
        <v/>
      </c>
      <c r="E678" s="88">
        <f>VLOOKUP(Table91213[[#This Row],[Date]],'DB Details'!$A:$L,5)</f>
        <v/>
      </c>
      <c r="F678" s="88">
        <f>VLOOKUP(Table91213[[#This Row],[Date]],'DB Details'!$A:$L,6)</f>
        <v/>
      </c>
      <c r="G678" s="41">
        <f>VLOOKUP(Table91213[[#This Row],[Date]],'DB Details'!$A:$L,7)</f>
        <v/>
      </c>
      <c r="H678" s="88">
        <f>VLOOKUP(Table91213[[#This Row],[Date]],'DB Details'!$A:$L,8)</f>
        <v/>
      </c>
      <c r="I678" s="88">
        <f>VLOOKUP(Table91213[[#This Row],[Date]],'DB Details'!$A:$L,9)</f>
        <v/>
      </c>
      <c r="J678" s="88">
        <f>VLOOKUP(Table91213[[#This Row],[Date]],'DB Details'!$A:$L,10)</f>
        <v/>
      </c>
      <c r="K678" s="41">
        <f>VLOOKUP(Table91213[[#This Row],[Date]],'DB Details'!$A:$L,11)</f>
        <v/>
      </c>
      <c r="L678" s="88">
        <f>VLOOKUP(Table91213[[#This Row],[Date]],'DB Details'!$A:$L,12)</f>
        <v/>
      </c>
    </row>
    <row r="679">
      <c r="A679" s="39" t="n">
        <v>38018</v>
      </c>
      <c r="B679" s="57">
        <f>VLOOKUP(Table91213[[#This Row],[Date]],'DB Details'!$A:$L,2)</f>
        <v/>
      </c>
      <c r="C679" s="41">
        <f>VLOOKUP(Table91213[[#This Row],[Date]],'DB Details'!$A:$L,3)</f>
        <v/>
      </c>
      <c r="D679" s="55">
        <f>VLOOKUP(Table91213[[#This Row],[Date]],'DB Details'!$A:$L,4)</f>
        <v/>
      </c>
      <c r="E679" s="88">
        <f>VLOOKUP(Table91213[[#This Row],[Date]],'DB Details'!$A:$L,5)</f>
        <v/>
      </c>
      <c r="F679" s="88">
        <f>VLOOKUP(Table91213[[#This Row],[Date]],'DB Details'!$A:$L,6)</f>
        <v/>
      </c>
      <c r="G679" s="41">
        <f>VLOOKUP(Table91213[[#This Row],[Date]],'DB Details'!$A:$L,7)</f>
        <v/>
      </c>
      <c r="H679" s="88">
        <f>VLOOKUP(Table91213[[#This Row],[Date]],'DB Details'!$A:$L,8)</f>
        <v/>
      </c>
      <c r="I679" s="88">
        <f>VLOOKUP(Table91213[[#This Row],[Date]],'DB Details'!$A:$L,9)</f>
        <v/>
      </c>
      <c r="J679" s="88">
        <f>VLOOKUP(Table91213[[#This Row],[Date]],'DB Details'!$A:$L,10)</f>
        <v/>
      </c>
      <c r="K679" s="41">
        <f>VLOOKUP(Table91213[[#This Row],[Date]],'DB Details'!$A:$L,11)</f>
        <v/>
      </c>
      <c r="L679" s="88">
        <f>VLOOKUP(Table91213[[#This Row],[Date]],'DB Details'!$A:$L,12)</f>
        <v/>
      </c>
    </row>
    <row r="680">
      <c r="A680" s="39" t="n">
        <v>38047</v>
      </c>
      <c r="B680" s="57">
        <f>VLOOKUP(Table91213[[#This Row],[Date]],'DB Details'!$A:$L,2)</f>
        <v/>
      </c>
      <c r="C680" s="41">
        <f>VLOOKUP(Table91213[[#This Row],[Date]],'DB Details'!$A:$L,3)</f>
        <v/>
      </c>
      <c r="D680" s="55">
        <f>VLOOKUP(Table91213[[#This Row],[Date]],'DB Details'!$A:$L,4)</f>
        <v/>
      </c>
      <c r="E680" s="88">
        <f>VLOOKUP(Table91213[[#This Row],[Date]],'DB Details'!$A:$L,5)</f>
        <v/>
      </c>
      <c r="F680" s="88">
        <f>VLOOKUP(Table91213[[#This Row],[Date]],'DB Details'!$A:$L,6)</f>
        <v/>
      </c>
      <c r="G680" s="41">
        <f>VLOOKUP(Table91213[[#This Row],[Date]],'DB Details'!$A:$L,7)</f>
        <v/>
      </c>
      <c r="H680" s="88">
        <f>VLOOKUP(Table91213[[#This Row],[Date]],'DB Details'!$A:$L,8)</f>
        <v/>
      </c>
      <c r="I680" s="88">
        <f>VLOOKUP(Table91213[[#This Row],[Date]],'DB Details'!$A:$L,9)</f>
        <v/>
      </c>
      <c r="J680" s="88">
        <f>VLOOKUP(Table91213[[#This Row],[Date]],'DB Details'!$A:$L,10)</f>
        <v/>
      </c>
      <c r="K680" s="41">
        <f>VLOOKUP(Table91213[[#This Row],[Date]],'DB Details'!$A:$L,11)</f>
        <v/>
      </c>
      <c r="L680" s="88">
        <f>VLOOKUP(Table91213[[#This Row],[Date]],'DB Details'!$A:$L,12)</f>
        <v/>
      </c>
    </row>
    <row r="681">
      <c r="A681" s="39" t="n">
        <v>38078</v>
      </c>
      <c r="B681" s="57">
        <f>VLOOKUP(Table91213[[#This Row],[Date]],'DB Details'!$A:$L,2)</f>
        <v/>
      </c>
      <c r="C681" s="41">
        <f>VLOOKUP(Table91213[[#This Row],[Date]],'DB Details'!$A:$L,3)</f>
        <v/>
      </c>
      <c r="D681" s="55">
        <f>VLOOKUP(Table91213[[#This Row],[Date]],'DB Details'!$A:$L,4)</f>
        <v/>
      </c>
      <c r="E681" s="88">
        <f>VLOOKUP(Table91213[[#This Row],[Date]],'DB Details'!$A:$L,5)</f>
        <v/>
      </c>
      <c r="F681" s="88">
        <f>VLOOKUP(Table91213[[#This Row],[Date]],'DB Details'!$A:$L,6)</f>
        <v/>
      </c>
      <c r="G681" s="41">
        <f>VLOOKUP(Table91213[[#This Row],[Date]],'DB Details'!$A:$L,7)</f>
        <v/>
      </c>
      <c r="H681" s="88">
        <f>VLOOKUP(Table91213[[#This Row],[Date]],'DB Details'!$A:$L,8)</f>
        <v/>
      </c>
      <c r="I681" s="88">
        <f>VLOOKUP(Table91213[[#This Row],[Date]],'DB Details'!$A:$L,9)</f>
        <v/>
      </c>
      <c r="J681" s="88">
        <f>VLOOKUP(Table91213[[#This Row],[Date]],'DB Details'!$A:$L,10)</f>
        <v/>
      </c>
      <c r="K681" s="41">
        <f>VLOOKUP(Table91213[[#This Row],[Date]],'DB Details'!$A:$L,11)</f>
        <v/>
      </c>
      <c r="L681" s="88">
        <f>VLOOKUP(Table91213[[#This Row],[Date]],'DB Details'!$A:$L,12)</f>
        <v/>
      </c>
    </row>
    <row r="682">
      <c r="A682" s="39" t="n">
        <v>38108</v>
      </c>
      <c r="B682" s="57">
        <f>VLOOKUP(Table91213[[#This Row],[Date]],'DB Details'!$A:$L,2)</f>
        <v/>
      </c>
      <c r="C682" s="41">
        <f>VLOOKUP(Table91213[[#This Row],[Date]],'DB Details'!$A:$L,3)</f>
        <v/>
      </c>
      <c r="D682" s="55">
        <f>VLOOKUP(Table91213[[#This Row],[Date]],'DB Details'!$A:$L,4)</f>
        <v/>
      </c>
      <c r="E682" s="88">
        <f>VLOOKUP(Table91213[[#This Row],[Date]],'DB Details'!$A:$L,5)</f>
        <v/>
      </c>
      <c r="F682" s="88">
        <f>VLOOKUP(Table91213[[#This Row],[Date]],'DB Details'!$A:$L,6)</f>
        <v/>
      </c>
      <c r="G682" s="41">
        <f>VLOOKUP(Table91213[[#This Row],[Date]],'DB Details'!$A:$L,7)</f>
        <v/>
      </c>
      <c r="H682" s="88">
        <f>VLOOKUP(Table91213[[#This Row],[Date]],'DB Details'!$A:$L,8)</f>
        <v/>
      </c>
      <c r="I682" s="88">
        <f>VLOOKUP(Table91213[[#This Row],[Date]],'DB Details'!$A:$L,9)</f>
        <v/>
      </c>
      <c r="J682" s="88">
        <f>VLOOKUP(Table91213[[#This Row],[Date]],'DB Details'!$A:$L,10)</f>
        <v/>
      </c>
      <c r="K682" s="41">
        <f>VLOOKUP(Table91213[[#This Row],[Date]],'DB Details'!$A:$L,11)</f>
        <v/>
      </c>
      <c r="L682" s="88">
        <f>VLOOKUP(Table91213[[#This Row],[Date]],'DB Details'!$A:$L,12)</f>
        <v/>
      </c>
    </row>
    <row r="683">
      <c r="A683" s="39" t="n">
        <v>38139</v>
      </c>
      <c r="B683" s="57">
        <f>VLOOKUP(Table91213[[#This Row],[Date]],'DB Details'!$A:$L,2)</f>
        <v/>
      </c>
      <c r="C683" s="41">
        <f>VLOOKUP(Table91213[[#This Row],[Date]],'DB Details'!$A:$L,3)</f>
        <v/>
      </c>
      <c r="D683" s="55">
        <f>VLOOKUP(Table91213[[#This Row],[Date]],'DB Details'!$A:$L,4)</f>
        <v/>
      </c>
      <c r="E683" s="88">
        <f>VLOOKUP(Table91213[[#This Row],[Date]],'DB Details'!$A:$L,5)</f>
        <v/>
      </c>
      <c r="F683" s="88">
        <f>VLOOKUP(Table91213[[#This Row],[Date]],'DB Details'!$A:$L,6)</f>
        <v/>
      </c>
      <c r="G683" s="41">
        <f>VLOOKUP(Table91213[[#This Row],[Date]],'DB Details'!$A:$L,7)</f>
        <v/>
      </c>
      <c r="H683" s="88">
        <f>VLOOKUP(Table91213[[#This Row],[Date]],'DB Details'!$A:$L,8)</f>
        <v/>
      </c>
      <c r="I683" s="88">
        <f>VLOOKUP(Table91213[[#This Row],[Date]],'DB Details'!$A:$L,9)</f>
        <v/>
      </c>
      <c r="J683" s="88">
        <f>VLOOKUP(Table91213[[#This Row],[Date]],'DB Details'!$A:$L,10)</f>
        <v/>
      </c>
      <c r="K683" s="41">
        <f>VLOOKUP(Table91213[[#This Row],[Date]],'DB Details'!$A:$L,11)</f>
        <v/>
      </c>
      <c r="L683" s="88">
        <f>VLOOKUP(Table91213[[#This Row],[Date]],'DB Details'!$A:$L,12)</f>
        <v/>
      </c>
    </row>
    <row r="684">
      <c r="A684" s="39" t="n">
        <v>38169</v>
      </c>
      <c r="B684" s="57">
        <f>VLOOKUP(Table91213[[#This Row],[Date]],'DB Details'!$A:$L,2)</f>
        <v/>
      </c>
      <c r="C684" s="41">
        <f>VLOOKUP(Table91213[[#This Row],[Date]],'DB Details'!$A:$L,3)</f>
        <v/>
      </c>
      <c r="D684" s="55">
        <f>VLOOKUP(Table91213[[#This Row],[Date]],'DB Details'!$A:$L,4)</f>
        <v/>
      </c>
      <c r="E684" s="88">
        <f>VLOOKUP(Table91213[[#This Row],[Date]],'DB Details'!$A:$L,5)</f>
        <v/>
      </c>
      <c r="F684" s="88">
        <f>VLOOKUP(Table91213[[#This Row],[Date]],'DB Details'!$A:$L,6)</f>
        <v/>
      </c>
      <c r="G684" s="41">
        <f>VLOOKUP(Table91213[[#This Row],[Date]],'DB Details'!$A:$L,7)</f>
        <v/>
      </c>
      <c r="H684" s="88">
        <f>VLOOKUP(Table91213[[#This Row],[Date]],'DB Details'!$A:$L,8)</f>
        <v/>
      </c>
      <c r="I684" s="88">
        <f>VLOOKUP(Table91213[[#This Row],[Date]],'DB Details'!$A:$L,9)</f>
        <v/>
      </c>
      <c r="J684" s="88">
        <f>VLOOKUP(Table91213[[#This Row],[Date]],'DB Details'!$A:$L,10)</f>
        <v/>
      </c>
      <c r="K684" s="41">
        <f>VLOOKUP(Table91213[[#This Row],[Date]],'DB Details'!$A:$L,11)</f>
        <v/>
      </c>
      <c r="L684" s="88">
        <f>VLOOKUP(Table91213[[#This Row],[Date]],'DB Details'!$A:$L,12)</f>
        <v/>
      </c>
    </row>
    <row r="685">
      <c r="A685" s="39" t="n">
        <v>38200</v>
      </c>
      <c r="B685" s="57">
        <f>VLOOKUP(Table91213[[#This Row],[Date]],'DB Details'!$A:$L,2)</f>
        <v/>
      </c>
      <c r="C685" s="41">
        <f>VLOOKUP(Table91213[[#This Row],[Date]],'DB Details'!$A:$L,3)</f>
        <v/>
      </c>
      <c r="D685" s="55">
        <f>VLOOKUP(Table91213[[#This Row],[Date]],'DB Details'!$A:$L,4)</f>
        <v/>
      </c>
      <c r="E685" s="88">
        <f>VLOOKUP(Table91213[[#This Row],[Date]],'DB Details'!$A:$L,5)</f>
        <v/>
      </c>
      <c r="F685" s="88">
        <f>VLOOKUP(Table91213[[#This Row],[Date]],'DB Details'!$A:$L,6)</f>
        <v/>
      </c>
      <c r="G685" s="41">
        <f>VLOOKUP(Table91213[[#This Row],[Date]],'DB Details'!$A:$L,7)</f>
        <v/>
      </c>
      <c r="H685" s="88">
        <f>VLOOKUP(Table91213[[#This Row],[Date]],'DB Details'!$A:$L,8)</f>
        <v/>
      </c>
      <c r="I685" s="88">
        <f>VLOOKUP(Table91213[[#This Row],[Date]],'DB Details'!$A:$L,9)</f>
        <v/>
      </c>
      <c r="J685" s="88">
        <f>VLOOKUP(Table91213[[#This Row],[Date]],'DB Details'!$A:$L,10)</f>
        <v/>
      </c>
      <c r="K685" s="41">
        <f>VLOOKUP(Table91213[[#This Row],[Date]],'DB Details'!$A:$L,11)</f>
        <v/>
      </c>
      <c r="L685" s="88">
        <f>VLOOKUP(Table91213[[#This Row],[Date]],'DB Details'!$A:$L,12)</f>
        <v/>
      </c>
    </row>
    <row r="686">
      <c r="A686" s="39" t="n">
        <v>38231</v>
      </c>
      <c r="B686" s="57">
        <f>VLOOKUP(Table91213[[#This Row],[Date]],'DB Details'!$A:$L,2)</f>
        <v/>
      </c>
      <c r="C686" s="41">
        <f>VLOOKUP(Table91213[[#This Row],[Date]],'DB Details'!$A:$L,3)</f>
        <v/>
      </c>
      <c r="D686" s="55">
        <f>VLOOKUP(Table91213[[#This Row],[Date]],'DB Details'!$A:$L,4)</f>
        <v/>
      </c>
      <c r="E686" s="88">
        <f>VLOOKUP(Table91213[[#This Row],[Date]],'DB Details'!$A:$L,5)</f>
        <v/>
      </c>
      <c r="F686" s="88">
        <f>VLOOKUP(Table91213[[#This Row],[Date]],'DB Details'!$A:$L,6)</f>
        <v/>
      </c>
      <c r="G686" s="41">
        <f>VLOOKUP(Table91213[[#This Row],[Date]],'DB Details'!$A:$L,7)</f>
        <v/>
      </c>
      <c r="H686" s="88">
        <f>VLOOKUP(Table91213[[#This Row],[Date]],'DB Details'!$A:$L,8)</f>
        <v/>
      </c>
      <c r="I686" s="88">
        <f>VLOOKUP(Table91213[[#This Row],[Date]],'DB Details'!$A:$L,9)</f>
        <v/>
      </c>
      <c r="J686" s="88">
        <f>VLOOKUP(Table91213[[#This Row],[Date]],'DB Details'!$A:$L,10)</f>
        <v/>
      </c>
      <c r="K686" s="41">
        <f>VLOOKUP(Table91213[[#This Row],[Date]],'DB Details'!$A:$L,11)</f>
        <v/>
      </c>
      <c r="L686" s="88">
        <f>VLOOKUP(Table91213[[#This Row],[Date]],'DB Details'!$A:$L,12)</f>
        <v/>
      </c>
    </row>
    <row r="687">
      <c r="A687" s="39" t="n">
        <v>38261</v>
      </c>
      <c r="B687" s="57">
        <f>VLOOKUP(Table91213[[#This Row],[Date]],'DB Details'!$A:$L,2)</f>
        <v/>
      </c>
      <c r="C687" s="41">
        <f>VLOOKUP(Table91213[[#This Row],[Date]],'DB Details'!$A:$L,3)</f>
        <v/>
      </c>
      <c r="D687" s="55">
        <f>VLOOKUP(Table91213[[#This Row],[Date]],'DB Details'!$A:$L,4)</f>
        <v/>
      </c>
      <c r="E687" s="88">
        <f>VLOOKUP(Table91213[[#This Row],[Date]],'DB Details'!$A:$L,5)</f>
        <v/>
      </c>
      <c r="F687" s="88">
        <f>VLOOKUP(Table91213[[#This Row],[Date]],'DB Details'!$A:$L,6)</f>
        <v/>
      </c>
      <c r="G687" s="41">
        <f>VLOOKUP(Table91213[[#This Row],[Date]],'DB Details'!$A:$L,7)</f>
        <v/>
      </c>
      <c r="H687" s="88">
        <f>VLOOKUP(Table91213[[#This Row],[Date]],'DB Details'!$A:$L,8)</f>
        <v/>
      </c>
      <c r="I687" s="88">
        <f>VLOOKUP(Table91213[[#This Row],[Date]],'DB Details'!$A:$L,9)</f>
        <v/>
      </c>
      <c r="J687" s="88">
        <f>VLOOKUP(Table91213[[#This Row],[Date]],'DB Details'!$A:$L,10)</f>
        <v/>
      </c>
      <c r="K687" s="41">
        <f>VLOOKUP(Table91213[[#This Row],[Date]],'DB Details'!$A:$L,11)</f>
        <v/>
      </c>
      <c r="L687" s="88">
        <f>VLOOKUP(Table91213[[#This Row],[Date]],'DB Details'!$A:$L,12)</f>
        <v/>
      </c>
    </row>
    <row r="688">
      <c r="A688" s="39" t="n">
        <v>38292</v>
      </c>
      <c r="B688" s="57">
        <f>VLOOKUP(Table91213[[#This Row],[Date]],'DB Details'!$A:$L,2)</f>
        <v/>
      </c>
      <c r="C688" s="41">
        <f>VLOOKUP(Table91213[[#This Row],[Date]],'DB Details'!$A:$L,3)</f>
        <v/>
      </c>
      <c r="D688" s="55">
        <f>VLOOKUP(Table91213[[#This Row],[Date]],'DB Details'!$A:$L,4)</f>
        <v/>
      </c>
      <c r="E688" s="88">
        <f>VLOOKUP(Table91213[[#This Row],[Date]],'DB Details'!$A:$L,5)</f>
        <v/>
      </c>
      <c r="F688" s="88">
        <f>VLOOKUP(Table91213[[#This Row],[Date]],'DB Details'!$A:$L,6)</f>
        <v/>
      </c>
      <c r="G688" s="41">
        <f>VLOOKUP(Table91213[[#This Row],[Date]],'DB Details'!$A:$L,7)</f>
        <v/>
      </c>
      <c r="H688" s="88">
        <f>VLOOKUP(Table91213[[#This Row],[Date]],'DB Details'!$A:$L,8)</f>
        <v/>
      </c>
      <c r="I688" s="88">
        <f>VLOOKUP(Table91213[[#This Row],[Date]],'DB Details'!$A:$L,9)</f>
        <v/>
      </c>
      <c r="J688" s="88">
        <f>VLOOKUP(Table91213[[#This Row],[Date]],'DB Details'!$A:$L,10)</f>
        <v/>
      </c>
      <c r="K688" s="41">
        <f>VLOOKUP(Table91213[[#This Row],[Date]],'DB Details'!$A:$L,11)</f>
        <v/>
      </c>
      <c r="L688" s="88">
        <f>VLOOKUP(Table91213[[#This Row],[Date]],'DB Details'!$A:$L,12)</f>
        <v/>
      </c>
    </row>
    <row r="689">
      <c r="A689" s="39" t="n">
        <v>38322</v>
      </c>
      <c r="B689" s="57">
        <f>VLOOKUP(Table91213[[#This Row],[Date]],'DB Details'!$A:$L,2)</f>
        <v/>
      </c>
      <c r="C689" s="41">
        <f>VLOOKUP(Table91213[[#This Row],[Date]],'DB Details'!$A:$L,3)</f>
        <v/>
      </c>
      <c r="D689" s="55">
        <f>VLOOKUP(Table91213[[#This Row],[Date]],'DB Details'!$A:$L,4)</f>
        <v/>
      </c>
      <c r="E689" s="88">
        <f>VLOOKUP(Table91213[[#This Row],[Date]],'DB Details'!$A:$L,5)</f>
        <v/>
      </c>
      <c r="F689" s="88">
        <f>VLOOKUP(Table91213[[#This Row],[Date]],'DB Details'!$A:$L,6)</f>
        <v/>
      </c>
      <c r="G689" s="41">
        <f>VLOOKUP(Table91213[[#This Row],[Date]],'DB Details'!$A:$L,7)</f>
        <v/>
      </c>
      <c r="H689" s="88">
        <f>VLOOKUP(Table91213[[#This Row],[Date]],'DB Details'!$A:$L,8)</f>
        <v/>
      </c>
      <c r="I689" s="88">
        <f>VLOOKUP(Table91213[[#This Row],[Date]],'DB Details'!$A:$L,9)</f>
        <v/>
      </c>
      <c r="J689" s="88">
        <f>VLOOKUP(Table91213[[#This Row],[Date]],'DB Details'!$A:$L,10)</f>
        <v/>
      </c>
      <c r="K689" s="41">
        <f>VLOOKUP(Table91213[[#This Row],[Date]],'DB Details'!$A:$L,11)</f>
        <v/>
      </c>
      <c r="L689" s="88">
        <f>VLOOKUP(Table91213[[#This Row],[Date]],'DB Details'!$A:$L,12)</f>
        <v/>
      </c>
    </row>
    <row r="690">
      <c r="A690" s="39" t="n">
        <v>38353</v>
      </c>
      <c r="B690" s="57">
        <f>VLOOKUP(Table91213[[#This Row],[Date]],'DB Details'!$A:$L,2)</f>
        <v/>
      </c>
      <c r="C690" s="41">
        <f>VLOOKUP(Table91213[[#This Row],[Date]],'DB Details'!$A:$L,3)</f>
        <v/>
      </c>
      <c r="D690" s="55">
        <f>VLOOKUP(Table91213[[#This Row],[Date]],'DB Details'!$A:$L,4)</f>
        <v/>
      </c>
      <c r="E690" s="88">
        <f>VLOOKUP(Table91213[[#This Row],[Date]],'DB Details'!$A:$L,5)</f>
        <v/>
      </c>
      <c r="F690" s="88">
        <f>VLOOKUP(Table91213[[#This Row],[Date]],'DB Details'!$A:$L,6)</f>
        <v/>
      </c>
      <c r="G690" s="41">
        <f>VLOOKUP(Table91213[[#This Row],[Date]],'DB Details'!$A:$L,7)</f>
        <v/>
      </c>
      <c r="H690" s="88">
        <f>VLOOKUP(Table91213[[#This Row],[Date]],'DB Details'!$A:$L,8)</f>
        <v/>
      </c>
      <c r="I690" s="88">
        <f>VLOOKUP(Table91213[[#This Row],[Date]],'DB Details'!$A:$L,9)</f>
        <v/>
      </c>
      <c r="J690" s="88">
        <f>VLOOKUP(Table91213[[#This Row],[Date]],'DB Details'!$A:$L,10)</f>
        <v/>
      </c>
      <c r="K690" s="41">
        <f>VLOOKUP(Table91213[[#This Row],[Date]],'DB Details'!$A:$L,11)</f>
        <v/>
      </c>
      <c r="L690" s="88">
        <f>VLOOKUP(Table91213[[#This Row],[Date]],'DB Details'!$A:$L,12)</f>
        <v/>
      </c>
    </row>
    <row r="691">
      <c r="A691" s="39" t="n">
        <v>38384</v>
      </c>
      <c r="B691" s="57">
        <f>VLOOKUP(Table91213[[#This Row],[Date]],'DB Details'!$A:$L,2)</f>
        <v/>
      </c>
      <c r="C691" s="41">
        <f>VLOOKUP(Table91213[[#This Row],[Date]],'DB Details'!$A:$L,3)</f>
        <v/>
      </c>
      <c r="D691" s="55">
        <f>VLOOKUP(Table91213[[#This Row],[Date]],'DB Details'!$A:$L,4)</f>
        <v/>
      </c>
      <c r="E691" s="88">
        <f>VLOOKUP(Table91213[[#This Row],[Date]],'DB Details'!$A:$L,5)</f>
        <v/>
      </c>
      <c r="F691" s="88">
        <f>VLOOKUP(Table91213[[#This Row],[Date]],'DB Details'!$A:$L,6)</f>
        <v/>
      </c>
      <c r="G691" s="41">
        <f>VLOOKUP(Table91213[[#This Row],[Date]],'DB Details'!$A:$L,7)</f>
        <v/>
      </c>
      <c r="H691" s="88">
        <f>VLOOKUP(Table91213[[#This Row],[Date]],'DB Details'!$A:$L,8)</f>
        <v/>
      </c>
      <c r="I691" s="88">
        <f>VLOOKUP(Table91213[[#This Row],[Date]],'DB Details'!$A:$L,9)</f>
        <v/>
      </c>
      <c r="J691" s="88">
        <f>VLOOKUP(Table91213[[#This Row],[Date]],'DB Details'!$A:$L,10)</f>
        <v/>
      </c>
      <c r="K691" s="41">
        <f>VLOOKUP(Table91213[[#This Row],[Date]],'DB Details'!$A:$L,11)</f>
        <v/>
      </c>
      <c r="L691" s="88">
        <f>VLOOKUP(Table91213[[#This Row],[Date]],'DB Details'!$A:$L,12)</f>
        <v/>
      </c>
    </row>
    <row r="692">
      <c r="A692" s="39" t="n">
        <v>38412</v>
      </c>
      <c r="B692" s="57">
        <f>VLOOKUP(Table91213[[#This Row],[Date]],'DB Details'!$A:$L,2)</f>
        <v/>
      </c>
      <c r="C692" s="41">
        <f>VLOOKUP(Table91213[[#This Row],[Date]],'DB Details'!$A:$L,3)</f>
        <v/>
      </c>
      <c r="D692" s="55">
        <f>VLOOKUP(Table91213[[#This Row],[Date]],'DB Details'!$A:$L,4)</f>
        <v/>
      </c>
      <c r="E692" s="88">
        <f>VLOOKUP(Table91213[[#This Row],[Date]],'DB Details'!$A:$L,5)</f>
        <v/>
      </c>
      <c r="F692" s="88">
        <f>VLOOKUP(Table91213[[#This Row],[Date]],'DB Details'!$A:$L,6)</f>
        <v/>
      </c>
      <c r="G692" s="41">
        <f>VLOOKUP(Table91213[[#This Row],[Date]],'DB Details'!$A:$L,7)</f>
        <v/>
      </c>
      <c r="H692" s="88">
        <f>VLOOKUP(Table91213[[#This Row],[Date]],'DB Details'!$A:$L,8)</f>
        <v/>
      </c>
      <c r="I692" s="88">
        <f>VLOOKUP(Table91213[[#This Row],[Date]],'DB Details'!$A:$L,9)</f>
        <v/>
      </c>
      <c r="J692" s="88">
        <f>VLOOKUP(Table91213[[#This Row],[Date]],'DB Details'!$A:$L,10)</f>
        <v/>
      </c>
      <c r="K692" s="41">
        <f>VLOOKUP(Table91213[[#This Row],[Date]],'DB Details'!$A:$L,11)</f>
        <v/>
      </c>
      <c r="L692" s="88">
        <f>VLOOKUP(Table91213[[#This Row],[Date]],'DB Details'!$A:$L,12)</f>
        <v/>
      </c>
    </row>
    <row r="693">
      <c r="A693" s="39" t="n">
        <v>38443</v>
      </c>
      <c r="B693" s="57">
        <f>VLOOKUP(Table91213[[#This Row],[Date]],'DB Details'!$A:$L,2)</f>
        <v/>
      </c>
      <c r="C693" s="41">
        <f>VLOOKUP(Table91213[[#This Row],[Date]],'DB Details'!$A:$L,3)</f>
        <v/>
      </c>
      <c r="D693" s="55">
        <f>VLOOKUP(Table91213[[#This Row],[Date]],'DB Details'!$A:$L,4)</f>
        <v/>
      </c>
      <c r="E693" s="88">
        <f>VLOOKUP(Table91213[[#This Row],[Date]],'DB Details'!$A:$L,5)</f>
        <v/>
      </c>
      <c r="F693" s="88">
        <f>VLOOKUP(Table91213[[#This Row],[Date]],'DB Details'!$A:$L,6)</f>
        <v/>
      </c>
      <c r="G693" s="41">
        <f>VLOOKUP(Table91213[[#This Row],[Date]],'DB Details'!$A:$L,7)</f>
        <v/>
      </c>
      <c r="H693" s="88">
        <f>VLOOKUP(Table91213[[#This Row],[Date]],'DB Details'!$A:$L,8)</f>
        <v/>
      </c>
      <c r="I693" s="88">
        <f>VLOOKUP(Table91213[[#This Row],[Date]],'DB Details'!$A:$L,9)</f>
        <v/>
      </c>
      <c r="J693" s="88">
        <f>VLOOKUP(Table91213[[#This Row],[Date]],'DB Details'!$A:$L,10)</f>
        <v/>
      </c>
      <c r="K693" s="41">
        <f>VLOOKUP(Table91213[[#This Row],[Date]],'DB Details'!$A:$L,11)</f>
        <v/>
      </c>
      <c r="L693" s="88">
        <f>VLOOKUP(Table91213[[#This Row],[Date]],'DB Details'!$A:$L,12)</f>
        <v/>
      </c>
    </row>
    <row r="694">
      <c r="A694" s="39" t="n">
        <v>38473</v>
      </c>
      <c r="B694" s="57">
        <f>VLOOKUP(Table91213[[#This Row],[Date]],'DB Details'!$A:$L,2)</f>
        <v/>
      </c>
      <c r="C694" s="41">
        <f>VLOOKUP(Table91213[[#This Row],[Date]],'DB Details'!$A:$L,3)</f>
        <v/>
      </c>
      <c r="D694" s="55">
        <f>VLOOKUP(Table91213[[#This Row],[Date]],'DB Details'!$A:$L,4)</f>
        <v/>
      </c>
      <c r="E694" s="88">
        <f>VLOOKUP(Table91213[[#This Row],[Date]],'DB Details'!$A:$L,5)</f>
        <v/>
      </c>
      <c r="F694" s="88">
        <f>VLOOKUP(Table91213[[#This Row],[Date]],'DB Details'!$A:$L,6)</f>
        <v/>
      </c>
      <c r="G694" s="41">
        <f>VLOOKUP(Table91213[[#This Row],[Date]],'DB Details'!$A:$L,7)</f>
        <v/>
      </c>
      <c r="H694" s="88">
        <f>VLOOKUP(Table91213[[#This Row],[Date]],'DB Details'!$A:$L,8)</f>
        <v/>
      </c>
      <c r="I694" s="88">
        <f>VLOOKUP(Table91213[[#This Row],[Date]],'DB Details'!$A:$L,9)</f>
        <v/>
      </c>
      <c r="J694" s="88">
        <f>VLOOKUP(Table91213[[#This Row],[Date]],'DB Details'!$A:$L,10)</f>
        <v/>
      </c>
      <c r="K694" s="41">
        <f>VLOOKUP(Table91213[[#This Row],[Date]],'DB Details'!$A:$L,11)</f>
        <v/>
      </c>
      <c r="L694" s="88">
        <f>VLOOKUP(Table91213[[#This Row],[Date]],'DB Details'!$A:$L,12)</f>
        <v/>
      </c>
    </row>
    <row r="695">
      <c r="A695" s="39" t="n">
        <v>38504</v>
      </c>
      <c r="B695" s="57">
        <f>VLOOKUP(Table91213[[#This Row],[Date]],'DB Details'!$A:$L,2)</f>
        <v/>
      </c>
      <c r="C695" s="41">
        <f>VLOOKUP(Table91213[[#This Row],[Date]],'DB Details'!$A:$L,3)</f>
        <v/>
      </c>
      <c r="D695" s="55">
        <f>VLOOKUP(Table91213[[#This Row],[Date]],'DB Details'!$A:$L,4)</f>
        <v/>
      </c>
      <c r="E695" s="88">
        <f>VLOOKUP(Table91213[[#This Row],[Date]],'DB Details'!$A:$L,5)</f>
        <v/>
      </c>
      <c r="F695" s="88">
        <f>VLOOKUP(Table91213[[#This Row],[Date]],'DB Details'!$A:$L,6)</f>
        <v/>
      </c>
      <c r="G695" s="41">
        <f>VLOOKUP(Table91213[[#This Row],[Date]],'DB Details'!$A:$L,7)</f>
        <v/>
      </c>
      <c r="H695" s="88">
        <f>VLOOKUP(Table91213[[#This Row],[Date]],'DB Details'!$A:$L,8)</f>
        <v/>
      </c>
      <c r="I695" s="88">
        <f>VLOOKUP(Table91213[[#This Row],[Date]],'DB Details'!$A:$L,9)</f>
        <v/>
      </c>
      <c r="J695" s="88">
        <f>VLOOKUP(Table91213[[#This Row],[Date]],'DB Details'!$A:$L,10)</f>
        <v/>
      </c>
      <c r="K695" s="41">
        <f>VLOOKUP(Table91213[[#This Row],[Date]],'DB Details'!$A:$L,11)</f>
        <v/>
      </c>
      <c r="L695" s="88">
        <f>VLOOKUP(Table91213[[#This Row],[Date]],'DB Details'!$A:$L,12)</f>
        <v/>
      </c>
    </row>
    <row r="696">
      <c r="A696" s="39" t="n">
        <v>38534</v>
      </c>
      <c r="B696" s="57">
        <f>VLOOKUP(Table91213[[#This Row],[Date]],'DB Details'!$A:$L,2)</f>
        <v/>
      </c>
      <c r="C696" s="41">
        <f>VLOOKUP(Table91213[[#This Row],[Date]],'DB Details'!$A:$L,3)</f>
        <v/>
      </c>
      <c r="D696" s="55">
        <f>VLOOKUP(Table91213[[#This Row],[Date]],'DB Details'!$A:$L,4)</f>
        <v/>
      </c>
      <c r="E696" s="88">
        <f>VLOOKUP(Table91213[[#This Row],[Date]],'DB Details'!$A:$L,5)</f>
        <v/>
      </c>
      <c r="F696" s="88">
        <f>VLOOKUP(Table91213[[#This Row],[Date]],'DB Details'!$A:$L,6)</f>
        <v/>
      </c>
      <c r="G696" s="41">
        <f>VLOOKUP(Table91213[[#This Row],[Date]],'DB Details'!$A:$L,7)</f>
        <v/>
      </c>
      <c r="H696" s="88">
        <f>VLOOKUP(Table91213[[#This Row],[Date]],'DB Details'!$A:$L,8)</f>
        <v/>
      </c>
      <c r="I696" s="88">
        <f>VLOOKUP(Table91213[[#This Row],[Date]],'DB Details'!$A:$L,9)</f>
        <v/>
      </c>
      <c r="J696" s="88">
        <f>VLOOKUP(Table91213[[#This Row],[Date]],'DB Details'!$A:$L,10)</f>
        <v/>
      </c>
      <c r="K696" s="41">
        <f>VLOOKUP(Table91213[[#This Row],[Date]],'DB Details'!$A:$L,11)</f>
        <v/>
      </c>
      <c r="L696" s="88">
        <f>VLOOKUP(Table91213[[#This Row],[Date]],'DB Details'!$A:$L,12)</f>
        <v/>
      </c>
    </row>
    <row r="697">
      <c r="A697" s="39" t="n">
        <v>38565</v>
      </c>
      <c r="B697" s="57">
        <f>VLOOKUP(Table91213[[#This Row],[Date]],'DB Details'!$A:$L,2)</f>
        <v/>
      </c>
      <c r="C697" s="41">
        <f>VLOOKUP(Table91213[[#This Row],[Date]],'DB Details'!$A:$L,3)</f>
        <v/>
      </c>
      <c r="D697" s="55">
        <f>VLOOKUP(Table91213[[#This Row],[Date]],'DB Details'!$A:$L,4)</f>
        <v/>
      </c>
      <c r="E697" s="88">
        <f>VLOOKUP(Table91213[[#This Row],[Date]],'DB Details'!$A:$L,5)</f>
        <v/>
      </c>
      <c r="F697" s="88">
        <f>VLOOKUP(Table91213[[#This Row],[Date]],'DB Details'!$A:$L,6)</f>
        <v/>
      </c>
      <c r="G697" s="41">
        <f>VLOOKUP(Table91213[[#This Row],[Date]],'DB Details'!$A:$L,7)</f>
        <v/>
      </c>
      <c r="H697" s="88">
        <f>VLOOKUP(Table91213[[#This Row],[Date]],'DB Details'!$A:$L,8)</f>
        <v/>
      </c>
      <c r="I697" s="88">
        <f>VLOOKUP(Table91213[[#This Row],[Date]],'DB Details'!$A:$L,9)</f>
        <v/>
      </c>
      <c r="J697" s="88">
        <f>VLOOKUP(Table91213[[#This Row],[Date]],'DB Details'!$A:$L,10)</f>
        <v/>
      </c>
      <c r="K697" s="41">
        <f>VLOOKUP(Table91213[[#This Row],[Date]],'DB Details'!$A:$L,11)</f>
        <v/>
      </c>
      <c r="L697" s="88">
        <f>VLOOKUP(Table91213[[#This Row],[Date]],'DB Details'!$A:$L,12)</f>
        <v/>
      </c>
    </row>
    <row r="698">
      <c r="A698" s="39" t="n">
        <v>38596</v>
      </c>
      <c r="B698" s="57">
        <f>VLOOKUP(Table91213[[#This Row],[Date]],'DB Details'!$A:$L,2)</f>
        <v/>
      </c>
      <c r="C698" s="41">
        <f>VLOOKUP(Table91213[[#This Row],[Date]],'DB Details'!$A:$L,3)</f>
        <v/>
      </c>
      <c r="D698" s="55">
        <f>VLOOKUP(Table91213[[#This Row],[Date]],'DB Details'!$A:$L,4)</f>
        <v/>
      </c>
      <c r="E698" s="88">
        <f>VLOOKUP(Table91213[[#This Row],[Date]],'DB Details'!$A:$L,5)</f>
        <v/>
      </c>
      <c r="F698" s="88">
        <f>VLOOKUP(Table91213[[#This Row],[Date]],'DB Details'!$A:$L,6)</f>
        <v/>
      </c>
      <c r="G698" s="41">
        <f>VLOOKUP(Table91213[[#This Row],[Date]],'DB Details'!$A:$L,7)</f>
        <v/>
      </c>
      <c r="H698" s="88">
        <f>VLOOKUP(Table91213[[#This Row],[Date]],'DB Details'!$A:$L,8)</f>
        <v/>
      </c>
      <c r="I698" s="88">
        <f>VLOOKUP(Table91213[[#This Row],[Date]],'DB Details'!$A:$L,9)</f>
        <v/>
      </c>
      <c r="J698" s="88">
        <f>VLOOKUP(Table91213[[#This Row],[Date]],'DB Details'!$A:$L,10)</f>
        <v/>
      </c>
      <c r="K698" s="41">
        <f>VLOOKUP(Table91213[[#This Row],[Date]],'DB Details'!$A:$L,11)</f>
        <v/>
      </c>
      <c r="L698" s="88">
        <f>VLOOKUP(Table91213[[#This Row],[Date]],'DB Details'!$A:$L,12)</f>
        <v/>
      </c>
    </row>
    <row r="699">
      <c r="A699" s="39" t="n">
        <v>38626</v>
      </c>
      <c r="B699" s="57">
        <f>VLOOKUP(Table91213[[#This Row],[Date]],'DB Details'!$A:$L,2)</f>
        <v/>
      </c>
      <c r="C699" s="41">
        <f>VLOOKUP(Table91213[[#This Row],[Date]],'DB Details'!$A:$L,3)</f>
        <v/>
      </c>
      <c r="D699" s="55">
        <f>VLOOKUP(Table91213[[#This Row],[Date]],'DB Details'!$A:$L,4)</f>
        <v/>
      </c>
      <c r="E699" s="88">
        <f>VLOOKUP(Table91213[[#This Row],[Date]],'DB Details'!$A:$L,5)</f>
        <v/>
      </c>
      <c r="F699" s="88">
        <f>VLOOKUP(Table91213[[#This Row],[Date]],'DB Details'!$A:$L,6)</f>
        <v/>
      </c>
      <c r="G699" s="41">
        <f>VLOOKUP(Table91213[[#This Row],[Date]],'DB Details'!$A:$L,7)</f>
        <v/>
      </c>
      <c r="H699" s="88">
        <f>VLOOKUP(Table91213[[#This Row],[Date]],'DB Details'!$A:$L,8)</f>
        <v/>
      </c>
      <c r="I699" s="88">
        <f>VLOOKUP(Table91213[[#This Row],[Date]],'DB Details'!$A:$L,9)</f>
        <v/>
      </c>
      <c r="J699" s="88">
        <f>VLOOKUP(Table91213[[#This Row],[Date]],'DB Details'!$A:$L,10)</f>
        <v/>
      </c>
      <c r="K699" s="41">
        <f>VLOOKUP(Table91213[[#This Row],[Date]],'DB Details'!$A:$L,11)</f>
        <v/>
      </c>
      <c r="L699" s="88">
        <f>VLOOKUP(Table91213[[#This Row],[Date]],'DB Details'!$A:$L,12)</f>
        <v/>
      </c>
    </row>
    <row r="700">
      <c r="A700" s="39" t="n">
        <v>38657</v>
      </c>
      <c r="B700" s="57">
        <f>VLOOKUP(Table91213[[#This Row],[Date]],'DB Details'!$A:$L,2)</f>
        <v/>
      </c>
      <c r="C700" s="41">
        <f>VLOOKUP(Table91213[[#This Row],[Date]],'DB Details'!$A:$L,3)</f>
        <v/>
      </c>
      <c r="D700" s="55">
        <f>VLOOKUP(Table91213[[#This Row],[Date]],'DB Details'!$A:$L,4)</f>
        <v/>
      </c>
      <c r="E700" s="88">
        <f>VLOOKUP(Table91213[[#This Row],[Date]],'DB Details'!$A:$L,5)</f>
        <v/>
      </c>
      <c r="F700" s="88">
        <f>VLOOKUP(Table91213[[#This Row],[Date]],'DB Details'!$A:$L,6)</f>
        <v/>
      </c>
      <c r="G700" s="41">
        <f>VLOOKUP(Table91213[[#This Row],[Date]],'DB Details'!$A:$L,7)</f>
        <v/>
      </c>
      <c r="H700" s="88">
        <f>VLOOKUP(Table91213[[#This Row],[Date]],'DB Details'!$A:$L,8)</f>
        <v/>
      </c>
      <c r="I700" s="88">
        <f>VLOOKUP(Table91213[[#This Row],[Date]],'DB Details'!$A:$L,9)</f>
        <v/>
      </c>
      <c r="J700" s="88">
        <f>VLOOKUP(Table91213[[#This Row],[Date]],'DB Details'!$A:$L,10)</f>
        <v/>
      </c>
      <c r="K700" s="41">
        <f>VLOOKUP(Table91213[[#This Row],[Date]],'DB Details'!$A:$L,11)</f>
        <v/>
      </c>
      <c r="L700" s="88">
        <f>VLOOKUP(Table91213[[#This Row],[Date]],'DB Details'!$A:$L,12)</f>
        <v/>
      </c>
    </row>
    <row r="701">
      <c r="A701" s="39" t="n">
        <v>38687</v>
      </c>
      <c r="B701" s="57">
        <f>VLOOKUP(Table91213[[#This Row],[Date]],'DB Details'!$A:$L,2)</f>
        <v/>
      </c>
      <c r="C701" s="41">
        <f>VLOOKUP(Table91213[[#This Row],[Date]],'DB Details'!$A:$L,3)</f>
        <v/>
      </c>
      <c r="D701" s="55">
        <f>VLOOKUP(Table91213[[#This Row],[Date]],'DB Details'!$A:$L,4)</f>
        <v/>
      </c>
      <c r="E701" s="88">
        <f>VLOOKUP(Table91213[[#This Row],[Date]],'DB Details'!$A:$L,5)</f>
        <v/>
      </c>
      <c r="F701" s="88">
        <f>VLOOKUP(Table91213[[#This Row],[Date]],'DB Details'!$A:$L,6)</f>
        <v/>
      </c>
      <c r="G701" s="41">
        <f>VLOOKUP(Table91213[[#This Row],[Date]],'DB Details'!$A:$L,7)</f>
        <v/>
      </c>
      <c r="H701" s="88">
        <f>VLOOKUP(Table91213[[#This Row],[Date]],'DB Details'!$A:$L,8)</f>
        <v/>
      </c>
      <c r="I701" s="88">
        <f>VLOOKUP(Table91213[[#This Row],[Date]],'DB Details'!$A:$L,9)</f>
        <v/>
      </c>
      <c r="J701" s="88">
        <f>VLOOKUP(Table91213[[#This Row],[Date]],'DB Details'!$A:$L,10)</f>
        <v/>
      </c>
      <c r="K701" s="41">
        <f>VLOOKUP(Table91213[[#This Row],[Date]],'DB Details'!$A:$L,11)</f>
        <v/>
      </c>
      <c r="L701" s="88">
        <f>VLOOKUP(Table91213[[#This Row],[Date]],'DB Details'!$A:$L,12)</f>
        <v/>
      </c>
    </row>
    <row r="702">
      <c r="A702" s="39" t="n">
        <v>38718</v>
      </c>
      <c r="B702" s="57">
        <f>VLOOKUP(Table91213[[#This Row],[Date]],'DB Details'!$A:$L,2)</f>
        <v/>
      </c>
      <c r="C702" s="41">
        <f>VLOOKUP(Table91213[[#This Row],[Date]],'DB Details'!$A:$L,3)</f>
        <v/>
      </c>
      <c r="D702" s="55">
        <f>VLOOKUP(Table91213[[#This Row],[Date]],'DB Details'!$A:$L,4)</f>
        <v/>
      </c>
      <c r="E702" s="88">
        <f>VLOOKUP(Table91213[[#This Row],[Date]],'DB Details'!$A:$L,5)</f>
        <v/>
      </c>
      <c r="F702" s="88">
        <f>VLOOKUP(Table91213[[#This Row],[Date]],'DB Details'!$A:$L,6)</f>
        <v/>
      </c>
      <c r="G702" s="41">
        <f>VLOOKUP(Table91213[[#This Row],[Date]],'DB Details'!$A:$L,7)</f>
        <v/>
      </c>
      <c r="H702" s="88">
        <f>VLOOKUP(Table91213[[#This Row],[Date]],'DB Details'!$A:$L,8)</f>
        <v/>
      </c>
      <c r="I702" s="88">
        <f>VLOOKUP(Table91213[[#This Row],[Date]],'DB Details'!$A:$L,9)</f>
        <v/>
      </c>
      <c r="J702" s="88">
        <f>VLOOKUP(Table91213[[#This Row],[Date]],'DB Details'!$A:$L,10)</f>
        <v/>
      </c>
      <c r="K702" s="41">
        <f>VLOOKUP(Table91213[[#This Row],[Date]],'DB Details'!$A:$L,11)</f>
        <v/>
      </c>
      <c r="L702" s="88">
        <f>VLOOKUP(Table91213[[#This Row],[Date]],'DB Details'!$A:$L,12)</f>
        <v/>
      </c>
    </row>
    <row r="703">
      <c r="A703" s="39" t="n">
        <v>38749</v>
      </c>
      <c r="B703" s="57">
        <f>VLOOKUP(Table91213[[#This Row],[Date]],'DB Details'!$A:$L,2)</f>
        <v/>
      </c>
      <c r="C703" s="41">
        <f>VLOOKUP(Table91213[[#This Row],[Date]],'DB Details'!$A:$L,3)</f>
        <v/>
      </c>
      <c r="D703" s="55">
        <f>VLOOKUP(Table91213[[#This Row],[Date]],'DB Details'!$A:$L,4)</f>
        <v/>
      </c>
      <c r="E703" s="88">
        <f>VLOOKUP(Table91213[[#This Row],[Date]],'DB Details'!$A:$L,5)</f>
        <v/>
      </c>
      <c r="F703" s="88">
        <f>VLOOKUP(Table91213[[#This Row],[Date]],'DB Details'!$A:$L,6)</f>
        <v/>
      </c>
      <c r="G703" s="41">
        <f>VLOOKUP(Table91213[[#This Row],[Date]],'DB Details'!$A:$L,7)</f>
        <v/>
      </c>
      <c r="H703" s="88">
        <f>VLOOKUP(Table91213[[#This Row],[Date]],'DB Details'!$A:$L,8)</f>
        <v/>
      </c>
      <c r="I703" s="88">
        <f>VLOOKUP(Table91213[[#This Row],[Date]],'DB Details'!$A:$L,9)</f>
        <v/>
      </c>
      <c r="J703" s="88">
        <f>VLOOKUP(Table91213[[#This Row],[Date]],'DB Details'!$A:$L,10)</f>
        <v/>
      </c>
      <c r="K703" s="41">
        <f>VLOOKUP(Table91213[[#This Row],[Date]],'DB Details'!$A:$L,11)</f>
        <v/>
      </c>
      <c r="L703" s="88">
        <f>VLOOKUP(Table91213[[#This Row],[Date]],'DB Details'!$A:$L,12)</f>
        <v/>
      </c>
    </row>
    <row r="704">
      <c r="A704" s="39" t="n">
        <v>38777</v>
      </c>
      <c r="B704" s="57">
        <f>VLOOKUP(Table91213[[#This Row],[Date]],'DB Details'!$A:$L,2)</f>
        <v/>
      </c>
      <c r="C704" s="41">
        <f>VLOOKUP(Table91213[[#This Row],[Date]],'DB Details'!$A:$L,3)</f>
        <v/>
      </c>
      <c r="D704" s="55">
        <f>VLOOKUP(Table91213[[#This Row],[Date]],'DB Details'!$A:$L,4)</f>
        <v/>
      </c>
      <c r="E704" s="88">
        <f>VLOOKUP(Table91213[[#This Row],[Date]],'DB Details'!$A:$L,5)</f>
        <v/>
      </c>
      <c r="F704" s="88">
        <f>VLOOKUP(Table91213[[#This Row],[Date]],'DB Details'!$A:$L,6)</f>
        <v/>
      </c>
      <c r="G704" s="41">
        <f>VLOOKUP(Table91213[[#This Row],[Date]],'DB Details'!$A:$L,7)</f>
        <v/>
      </c>
      <c r="H704" s="88">
        <f>VLOOKUP(Table91213[[#This Row],[Date]],'DB Details'!$A:$L,8)</f>
        <v/>
      </c>
      <c r="I704" s="88">
        <f>VLOOKUP(Table91213[[#This Row],[Date]],'DB Details'!$A:$L,9)</f>
        <v/>
      </c>
      <c r="J704" s="88">
        <f>VLOOKUP(Table91213[[#This Row],[Date]],'DB Details'!$A:$L,10)</f>
        <v/>
      </c>
      <c r="K704" s="41">
        <f>VLOOKUP(Table91213[[#This Row],[Date]],'DB Details'!$A:$L,11)</f>
        <v/>
      </c>
      <c r="L704" s="88">
        <f>VLOOKUP(Table91213[[#This Row],[Date]],'DB Details'!$A:$L,12)</f>
        <v/>
      </c>
    </row>
    <row r="705">
      <c r="A705" s="39" t="n">
        <v>38808</v>
      </c>
      <c r="B705" s="57">
        <f>VLOOKUP(Table91213[[#This Row],[Date]],'DB Details'!$A:$L,2)</f>
        <v/>
      </c>
      <c r="C705" s="41">
        <f>VLOOKUP(Table91213[[#This Row],[Date]],'DB Details'!$A:$L,3)</f>
        <v/>
      </c>
      <c r="D705" s="55">
        <f>VLOOKUP(Table91213[[#This Row],[Date]],'DB Details'!$A:$L,4)</f>
        <v/>
      </c>
      <c r="E705" s="88">
        <f>VLOOKUP(Table91213[[#This Row],[Date]],'DB Details'!$A:$L,5)</f>
        <v/>
      </c>
      <c r="F705" s="88">
        <f>VLOOKUP(Table91213[[#This Row],[Date]],'DB Details'!$A:$L,6)</f>
        <v/>
      </c>
      <c r="G705" s="41">
        <f>VLOOKUP(Table91213[[#This Row],[Date]],'DB Details'!$A:$L,7)</f>
        <v/>
      </c>
      <c r="H705" s="88">
        <f>VLOOKUP(Table91213[[#This Row],[Date]],'DB Details'!$A:$L,8)</f>
        <v/>
      </c>
      <c r="I705" s="88">
        <f>VLOOKUP(Table91213[[#This Row],[Date]],'DB Details'!$A:$L,9)</f>
        <v/>
      </c>
      <c r="J705" s="88">
        <f>VLOOKUP(Table91213[[#This Row],[Date]],'DB Details'!$A:$L,10)</f>
        <v/>
      </c>
      <c r="K705" s="41">
        <f>VLOOKUP(Table91213[[#This Row],[Date]],'DB Details'!$A:$L,11)</f>
        <v/>
      </c>
      <c r="L705" s="88">
        <f>VLOOKUP(Table91213[[#This Row],[Date]],'DB Details'!$A:$L,12)</f>
        <v/>
      </c>
    </row>
    <row r="706">
      <c r="A706" s="39" t="n">
        <v>38838</v>
      </c>
      <c r="B706" s="57">
        <f>VLOOKUP(Table91213[[#This Row],[Date]],'DB Details'!$A:$L,2)</f>
        <v/>
      </c>
      <c r="C706" s="41">
        <f>VLOOKUP(Table91213[[#This Row],[Date]],'DB Details'!$A:$L,3)</f>
        <v/>
      </c>
      <c r="D706" s="55">
        <f>VLOOKUP(Table91213[[#This Row],[Date]],'DB Details'!$A:$L,4)</f>
        <v/>
      </c>
      <c r="E706" s="88">
        <f>VLOOKUP(Table91213[[#This Row],[Date]],'DB Details'!$A:$L,5)</f>
        <v/>
      </c>
      <c r="F706" s="88">
        <f>VLOOKUP(Table91213[[#This Row],[Date]],'DB Details'!$A:$L,6)</f>
        <v/>
      </c>
      <c r="G706" s="41">
        <f>VLOOKUP(Table91213[[#This Row],[Date]],'DB Details'!$A:$L,7)</f>
        <v/>
      </c>
      <c r="H706" s="88">
        <f>VLOOKUP(Table91213[[#This Row],[Date]],'DB Details'!$A:$L,8)</f>
        <v/>
      </c>
      <c r="I706" s="88">
        <f>VLOOKUP(Table91213[[#This Row],[Date]],'DB Details'!$A:$L,9)</f>
        <v/>
      </c>
      <c r="J706" s="88">
        <f>VLOOKUP(Table91213[[#This Row],[Date]],'DB Details'!$A:$L,10)</f>
        <v/>
      </c>
      <c r="K706" s="41">
        <f>VLOOKUP(Table91213[[#This Row],[Date]],'DB Details'!$A:$L,11)</f>
        <v/>
      </c>
      <c r="L706" s="88">
        <f>VLOOKUP(Table91213[[#This Row],[Date]],'DB Details'!$A:$L,12)</f>
        <v/>
      </c>
    </row>
    <row r="707">
      <c r="A707" s="39" t="n">
        <v>38869</v>
      </c>
      <c r="B707" s="57">
        <f>VLOOKUP(Table91213[[#This Row],[Date]],'DB Details'!$A:$L,2)</f>
        <v/>
      </c>
      <c r="C707" s="41">
        <f>VLOOKUP(Table91213[[#This Row],[Date]],'DB Details'!$A:$L,3)</f>
        <v/>
      </c>
      <c r="D707" s="55">
        <f>VLOOKUP(Table91213[[#This Row],[Date]],'DB Details'!$A:$L,4)</f>
        <v/>
      </c>
      <c r="E707" s="88">
        <f>VLOOKUP(Table91213[[#This Row],[Date]],'DB Details'!$A:$L,5)</f>
        <v/>
      </c>
      <c r="F707" s="88">
        <f>VLOOKUP(Table91213[[#This Row],[Date]],'DB Details'!$A:$L,6)</f>
        <v/>
      </c>
      <c r="G707" s="41">
        <f>VLOOKUP(Table91213[[#This Row],[Date]],'DB Details'!$A:$L,7)</f>
        <v/>
      </c>
      <c r="H707" s="88">
        <f>VLOOKUP(Table91213[[#This Row],[Date]],'DB Details'!$A:$L,8)</f>
        <v/>
      </c>
      <c r="I707" s="88">
        <f>VLOOKUP(Table91213[[#This Row],[Date]],'DB Details'!$A:$L,9)</f>
        <v/>
      </c>
      <c r="J707" s="88">
        <f>VLOOKUP(Table91213[[#This Row],[Date]],'DB Details'!$A:$L,10)</f>
        <v/>
      </c>
      <c r="K707" s="41">
        <f>VLOOKUP(Table91213[[#This Row],[Date]],'DB Details'!$A:$L,11)</f>
        <v/>
      </c>
      <c r="L707" s="88">
        <f>VLOOKUP(Table91213[[#This Row],[Date]],'DB Details'!$A:$L,12)</f>
        <v/>
      </c>
    </row>
    <row r="708">
      <c r="A708" s="39" t="n">
        <v>38899</v>
      </c>
      <c r="B708" s="57">
        <f>VLOOKUP(Table91213[[#This Row],[Date]],'DB Details'!$A:$L,2)</f>
        <v/>
      </c>
      <c r="C708" s="41">
        <f>VLOOKUP(Table91213[[#This Row],[Date]],'DB Details'!$A:$L,3)</f>
        <v/>
      </c>
      <c r="D708" s="55">
        <f>VLOOKUP(Table91213[[#This Row],[Date]],'DB Details'!$A:$L,4)</f>
        <v/>
      </c>
      <c r="E708" s="88">
        <f>VLOOKUP(Table91213[[#This Row],[Date]],'DB Details'!$A:$L,5)</f>
        <v/>
      </c>
      <c r="F708" s="88">
        <f>VLOOKUP(Table91213[[#This Row],[Date]],'DB Details'!$A:$L,6)</f>
        <v/>
      </c>
      <c r="G708" s="41">
        <f>VLOOKUP(Table91213[[#This Row],[Date]],'DB Details'!$A:$L,7)</f>
        <v/>
      </c>
      <c r="H708" s="88">
        <f>VLOOKUP(Table91213[[#This Row],[Date]],'DB Details'!$A:$L,8)</f>
        <v/>
      </c>
      <c r="I708" s="88">
        <f>VLOOKUP(Table91213[[#This Row],[Date]],'DB Details'!$A:$L,9)</f>
        <v/>
      </c>
      <c r="J708" s="88">
        <f>VLOOKUP(Table91213[[#This Row],[Date]],'DB Details'!$A:$L,10)</f>
        <v/>
      </c>
      <c r="K708" s="41">
        <f>VLOOKUP(Table91213[[#This Row],[Date]],'DB Details'!$A:$L,11)</f>
        <v/>
      </c>
      <c r="L708" s="88">
        <f>VLOOKUP(Table91213[[#This Row],[Date]],'DB Details'!$A:$L,12)</f>
        <v/>
      </c>
    </row>
    <row r="709">
      <c r="A709" s="39" t="n">
        <v>38930</v>
      </c>
      <c r="B709" s="57">
        <f>VLOOKUP(Table91213[[#This Row],[Date]],'DB Details'!$A:$L,2)</f>
        <v/>
      </c>
      <c r="C709" s="41">
        <f>VLOOKUP(Table91213[[#This Row],[Date]],'DB Details'!$A:$L,3)</f>
        <v/>
      </c>
      <c r="D709" s="55">
        <f>VLOOKUP(Table91213[[#This Row],[Date]],'DB Details'!$A:$L,4)</f>
        <v/>
      </c>
      <c r="E709" s="88">
        <f>VLOOKUP(Table91213[[#This Row],[Date]],'DB Details'!$A:$L,5)</f>
        <v/>
      </c>
      <c r="F709" s="88">
        <f>VLOOKUP(Table91213[[#This Row],[Date]],'DB Details'!$A:$L,6)</f>
        <v/>
      </c>
      <c r="G709" s="41">
        <f>VLOOKUP(Table91213[[#This Row],[Date]],'DB Details'!$A:$L,7)</f>
        <v/>
      </c>
      <c r="H709" s="88">
        <f>VLOOKUP(Table91213[[#This Row],[Date]],'DB Details'!$A:$L,8)</f>
        <v/>
      </c>
      <c r="I709" s="88">
        <f>VLOOKUP(Table91213[[#This Row],[Date]],'DB Details'!$A:$L,9)</f>
        <v/>
      </c>
      <c r="J709" s="88">
        <f>VLOOKUP(Table91213[[#This Row],[Date]],'DB Details'!$A:$L,10)</f>
        <v/>
      </c>
      <c r="K709" s="41">
        <f>VLOOKUP(Table91213[[#This Row],[Date]],'DB Details'!$A:$L,11)</f>
        <v/>
      </c>
      <c r="L709" s="88">
        <f>VLOOKUP(Table91213[[#This Row],[Date]],'DB Details'!$A:$L,12)</f>
        <v/>
      </c>
    </row>
    <row r="710">
      <c r="A710" s="39" t="n">
        <v>38961</v>
      </c>
      <c r="B710" s="57">
        <f>VLOOKUP(Table91213[[#This Row],[Date]],'DB Details'!$A:$L,2)</f>
        <v/>
      </c>
      <c r="C710" s="41">
        <f>VLOOKUP(Table91213[[#This Row],[Date]],'DB Details'!$A:$L,3)</f>
        <v/>
      </c>
      <c r="D710" s="55">
        <f>VLOOKUP(Table91213[[#This Row],[Date]],'DB Details'!$A:$L,4)</f>
        <v/>
      </c>
      <c r="E710" s="88">
        <f>VLOOKUP(Table91213[[#This Row],[Date]],'DB Details'!$A:$L,5)</f>
        <v/>
      </c>
      <c r="F710" s="88">
        <f>VLOOKUP(Table91213[[#This Row],[Date]],'DB Details'!$A:$L,6)</f>
        <v/>
      </c>
      <c r="G710" s="41">
        <f>VLOOKUP(Table91213[[#This Row],[Date]],'DB Details'!$A:$L,7)</f>
        <v/>
      </c>
      <c r="H710" s="88">
        <f>VLOOKUP(Table91213[[#This Row],[Date]],'DB Details'!$A:$L,8)</f>
        <v/>
      </c>
      <c r="I710" s="88">
        <f>VLOOKUP(Table91213[[#This Row],[Date]],'DB Details'!$A:$L,9)</f>
        <v/>
      </c>
      <c r="J710" s="88">
        <f>VLOOKUP(Table91213[[#This Row],[Date]],'DB Details'!$A:$L,10)</f>
        <v/>
      </c>
      <c r="K710" s="41">
        <f>VLOOKUP(Table91213[[#This Row],[Date]],'DB Details'!$A:$L,11)</f>
        <v/>
      </c>
      <c r="L710" s="88">
        <f>VLOOKUP(Table91213[[#This Row],[Date]],'DB Details'!$A:$L,12)</f>
        <v/>
      </c>
    </row>
    <row r="711">
      <c r="A711" s="39" t="n">
        <v>38991</v>
      </c>
      <c r="B711" s="57">
        <f>VLOOKUP(Table91213[[#This Row],[Date]],'DB Details'!$A:$L,2)</f>
        <v/>
      </c>
      <c r="C711" s="41">
        <f>VLOOKUP(Table91213[[#This Row],[Date]],'DB Details'!$A:$L,3)</f>
        <v/>
      </c>
      <c r="D711" s="55">
        <f>VLOOKUP(Table91213[[#This Row],[Date]],'DB Details'!$A:$L,4)</f>
        <v/>
      </c>
      <c r="E711" s="88">
        <f>VLOOKUP(Table91213[[#This Row],[Date]],'DB Details'!$A:$L,5)</f>
        <v/>
      </c>
      <c r="F711" s="88">
        <f>VLOOKUP(Table91213[[#This Row],[Date]],'DB Details'!$A:$L,6)</f>
        <v/>
      </c>
      <c r="G711" s="41">
        <f>VLOOKUP(Table91213[[#This Row],[Date]],'DB Details'!$A:$L,7)</f>
        <v/>
      </c>
      <c r="H711" s="88">
        <f>VLOOKUP(Table91213[[#This Row],[Date]],'DB Details'!$A:$L,8)</f>
        <v/>
      </c>
      <c r="I711" s="88">
        <f>VLOOKUP(Table91213[[#This Row],[Date]],'DB Details'!$A:$L,9)</f>
        <v/>
      </c>
      <c r="J711" s="88">
        <f>VLOOKUP(Table91213[[#This Row],[Date]],'DB Details'!$A:$L,10)</f>
        <v/>
      </c>
      <c r="K711" s="41">
        <f>VLOOKUP(Table91213[[#This Row],[Date]],'DB Details'!$A:$L,11)</f>
        <v/>
      </c>
      <c r="L711" s="88">
        <f>VLOOKUP(Table91213[[#This Row],[Date]],'DB Details'!$A:$L,12)</f>
        <v/>
      </c>
    </row>
    <row r="712">
      <c r="A712" s="39" t="n">
        <v>39022</v>
      </c>
      <c r="B712" s="57">
        <f>VLOOKUP(Table91213[[#This Row],[Date]],'DB Details'!$A:$L,2)</f>
        <v/>
      </c>
      <c r="C712" s="41">
        <f>VLOOKUP(Table91213[[#This Row],[Date]],'DB Details'!$A:$L,3)</f>
        <v/>
      </c>
      <c r="D712" s="55">
        <f>VLOOKUP(Table91213[[#This Row],[Date]],'DB Details'!$A:$L,4)</f>
        <v/>
      </c>
      <c r="E712" s="88">
        <f>VLOOKUP(Table91213[[#This Row],[Date]],'DB Details'!$A:$L,5)</f>
        <v/>
      </c>
      <c r="F712" s="88">
        <f>VLOOKUP(Table91213[[#This Row],[Date]],'DB Details'!$A:$L,6)</f>
        <v/>
      </c>
      <c r="G712" s="41">
        <f>VLOOKUP(Table91213[[#This Row],[Date]],'DB Details'!$A:$L,7)</f>
        <v/>
      </c>
      <c r="H712" s="88">
        <f>VLOOKUP(Table91213[[#This Row],[Date]],'DB Details'!$A:$L,8)</f>
        <v/>
      </c>
      <c r="I712" s="88">
        <f>VLOOKUP(Table91213[[#This Row],[Date]],'DB Details'!$A:$L,9)</f>
        <v/>
      </c>
      <c r="J712" s="88">
        <f>VLOOKUP(Table91213[[#This Row],[Date]],'DB Details'!$A:$L,10)</f>
        <v/>
      </c>
      <c r="K712" s="41">
        <f>VLOOKUP(Table91213[[#This Row],[Date]],'DB Details'!$A:$L,11)</f>
        <v/>
      </c>
      <c r="L712" s="88">
        <f>VLOOKUP(Table91213[[#This Row],[Date]],'DB Details'!$A:$L,12)</f>
        <v/>
      </c>
    </row>
    <row r="713">
      <c r="A713" s="39" t="n">
        <v>39052</v>
      </c>
      <c r="B713" s="57">
        <f>VLOOKUP(Table91213[[#This Row],[Date]],'DB Details'!$A:$L,2)</f>
        <v/>
      </c>
      <c r="C713" s="41">
        <f>VLOOKUP(Table91213[[#This Row],[Date]],'DB Details'!$A:$L,3)</f>
        <v/>
      </c>
      <c r="D713" s="55">
        <f>VLOOKUP(Table91213[[#This Row],[Date]],'DB Details'!$A:$L,4)</f>
        <v/>
      </c>
      <c r="E713" s="88">
        <f>VLOOKUP(Table91213[[#This Row],[Date]],'DB Details'!$A:$L,5)</f>
        <v/>
      </c>
      <c r="F713" s="88">
        <f>VLOOKUP(Table91213[[#This Row],[Date]],'DB Details'!$A:$L,6)</f>
        <v/>
      </c>
      <c r="G713" s="41">
        <f>VLOOKUP(Table91213[[#This Row],[Date]],'DB Details'!$A:$L,7)</f>
        <v/>
      </c>
      <c r="H713" s="88">
        <f>VLOOKUP(Table91213[[#This Row],[Date]],'DB Details'!$A:$L,8)</f>
        <v/>
      </c>
      <c r="I713" s="88">
        <f>VLOOKUP(Table91213[[#This Row],[Date]],'DB Details'!$A:$L,9)</f>
        <v/>
      </c>
      <c r="J713" s="88">
        <f>VLOOKUP(Table91213[[#This Row],[Date]],'DB Details'!$A:$L,10)</f>
        <v/>
      </c>
      <c r="K713" s="41">
        <f>VLOOKUP(Table91213[[#This Row],[Date]],'DB Details'!$A:$L,11)</f>
        <v/>
      </c>
      <c r="L713" s="88">
        <f>VLOOKUP(Table91213[[#This Row],[Date]],'DB Details'!$A:$L,12)</f>
        <v/>
      </c>
    </row>
    <row r="714">
      <c r="A714" s="39" t="n">
        <v>39083</v>
      </c>
      <c r="B714" s="57">
        <f>VLOOKUP(Table91213[[#This Row],[Date]],'DB Details'!$A:$L,2)</f>
        <v/>
      </c>
      <c r="C714" s="41">
        <f>VLOOKUP(Table91213[[#This Row],[Date]],'DB Details'!$A:$L,3)</f>
        <v/>
      </c>
      <c r="D714" s="55">
        <f>VLOOKUP(Table91213[[#This Row],[Date]],'DB Details'!$A:$L,4)</f>
        <v/>
      </c>
      <c r="E714" s="88">
        <f>VLOOKUP(Table91213[[#This Row],[Date]],'DB Details'!$A:$L,5)</f>
        <v/>
      </c>
      <c r="F714" s="88">
        <f>VLOOKUP(Table91213[[#This Row],[Date]],'DB Details'!$A:$L,6)</f>
        <v/>
      </c>
      <c r="G714" s="41">
        <f>VLOOKUP(Table91213[[#This Row],[Date]],'DB Details'!$A:$L,7)</f>
        <v/>
      </c>
      <c r="H714" s="88">
        <f>VLOOKUP(Table91213[[#This Row],[Date]],'DB Details'!$A:$L,8)</f>
        <v/>
      </c>
      <c r="I714" s="88">
        <f>VLOOKUP(Table91213[[#This Row],[Date]],'DB Details'!$A:$L,9)</f>
        <v/>
      </c>
      <c r="J714" s="88">
        <f>VLOOKUP(Table91213[[#This Row],[Date]],'DB Details'!$A:$L,10)</f>
        <v/>
      </c>
      <c r="K714" s="41">
        <f>VLOOKUP(Table91213[[#This Row],[Date]],'DB Details'!$A:$L,11)</f>
        <v/>
      </c>
      <c r="L714" s="88">
        <f>VLOOKUP(Table91213[[#This Row],[Date]],'DB Details'!$A:$L,12)</f>
        <v/>
      </c>
    </row>
    <row r="715">
      <c r="A715" s="39" t="n">
        <v>39114</v>
      </c>
      <c r="B715" s="57">
        <f>VLOOKUP(Table91213[[#This Row],[Date]],'DB Details'!$A:$L,2)</f>
        <v/>
      </c>
      <c r="C715" s="41">
        <f>VLOOKUP(Table91213[[#This Row],[Date]],'DB Details'!$A:$L,3)</f>
        <v/>
      </c>
      <c r="D715" s="55">
        <f>VLOOKUP(Table91213[[#This Row],[Date]],'DB Details'!$A:$L,4)</f>
        <v/>
      </c>
      <c r="E715" s="88">
        <f>VLOOKUP(Table91213[[#This Row],[Date]],'DB Details'!$A:$L,5)</f>
        <v/>
      </c>
      <c r="F715" s="88">
        <f>VLOOKUP(Table91213[[#This Row],[Date]],'DB Details'!$A:$L,6)</f>
        <v/>
      </c>
      <c r="G715" s="41">
        <f>VLOOKUP(Table91213[[#This Row],[Date]],'DB Details'!$A:$L,7)</f>
        <v/>
      </c>
      <c r="H715" s="88">
        <f>VLOOKUP(Table91213[[#This Row],[Date]],'DB Details'!$A:$L,8)</f>
        <v/>
      </c>
      <c r="I715" s="88">
        <f>VLOOKUP(Table91213[[#This Row],[Date]],'DB Details'!$A:$L,9)</f>
        <v/>
      </c>
      <c r="J715" s="88">
        <f>VLOOKUP(Table91213[[#This Row],[Date]],'DB Details'!$A:$L,10)</f>
        <v/>
      </c>
      <c r="K715" s="41">
        <f>VLOOKUP(Table91213[[#This Row],[Date]],'DB Details'!$A:$L,11)</f>
        <v/>
      </c>
      <c r="L715" s="88">
        <f>VLOOKUP(Table91213[[#This Row],[Date]],'DB Details'!$A:$L,12)</f>
        <v/>
      </c>
    </row>
    <row r="716">
      <c r="A716" s="39" t="n">
        <v>39142</v>
      </c>
      <c r="B716" s="57">
        <f>VLOOKUP(Table91213[[#This Row],[Date]],'DB Details'!$A:$L,2)</f>
        <v/>
      </c>
      <c r="C716" s="41">
        <f>VLOOKUP(Table91213[[#This Row],[Date]],'DB Details'!$A:$L,3)</f>
        <v/>
      </c>
      <c r="D716" s="55">
        <f>VLOOKUP(Table91213[[#This Row],[Date]],'DB Details'!$A:$L,4)</f>
        <v/>
      </c>
      <c r="E716" s="88">
        <f>VLOOKUP(Table91213[[#This Row],[Date]],'DB Details'!$A:$L,5)</f>
        <v/>
      </c>
      <c r="F716" s="88">
        <f>VLOOKUP(Table91213[[#This Row],[Date]],'DB Details'!$A:$L,6)</f>
        <v/>
      </c>
      <c r="G716" s="41">
        <f>VLOOKUP(Table91213[[#This Row],[Date]],'DB Details'!$A:$L,7)</f>
        <v/>
      </c>
      <c r="H716" s="88">
        <f>VLOOKUP(Table91213[[#This Row],[Date]],'DB Details'!$A:$L,8)</f>
        <v/>
      </c>
      <c r="I716" s="88">
        <f>VLOOKUP(Table91213[[#This Row],[Date]],'DB Details'!$A:$L,9)</f>
        <v/>
      </c>
      <c r="J716" s="88">
        <f>VLOOKUP(Table91213[[#This Row],[Date]],'DB Details'!$A:$L,10)</f>
        <v/>
      </c>
      <c r="K716" s="41">
        <f>VLOOKUP(Table91213[[#This Row],[Date]],'DB Details'!$A:$L,11)</f>
        <v/>
      </c>
      <c r="L716" s="88">
        <f>VLOOKUP(Table91213[[#This Row],[Date]],'DB Details'!$A:$L,12)</f>
        <v/>
      </c>
    </row>
    <row r="717">
      <c r="A717" s="39" t="n">
        <v>39173</v>
      </c>
      <c r="B717" s="57">
        <f>VLOOKUP(Table91213[[#This Row],[Date]],'DB Details'!$A:$L,2)</f>
        <v/>
      </c>
      <c r="C717" s="41">
        <f>VLOOKUP(Table91213[[#This Row],[Date]],'DB Details'!$A:$L,3)</f>
        <v/>
      </c>
      <c r="D717" s="55">
        <f>VLOOKUP(Table91213[[#This Row],[Date]],'DB Details'!$A:$L,4)</f>
        <v/>
      </c>
      <c r="E717" s="88">
        <f>VLOOKUP(Table91213[[#This Row],[Date]],'DB Details'!$A:$L,5)</f>
        <v/>
      </c>
      <c r="F717" s="88">
        <f>VLOOKUP(Table91213[[#This Row],[Date]],'DB Details'!$A:$L,6)</f>
        <v/>
      </c>
      <c r="G717" s="41">
        <f>VLOOKUP(Table91213[[#This Row],[Date]],'DB Details'!$A:$L,7)</f>
        <v/>
      </c>
      <c r="H717" s="88">
        <f>VLOOKUP(Table91213[[#This Row],[Date]],'DB Details'!$A:$L,8)</f>
        <v/>
      </c>
      <c r="I717" s="88">
        <f>VLOOKUP(Table91213[[#This Row],[Date]],'DB Details'!$A:$L,9)</f>
        <v/>
      </c>
      <c r="J717" s="88">
        <f>VLOOKUP(Table91213[[#This Row],[Date]],'DB Details'!$A:$L,10)</f>
        <v/>
      </c>
      <c r="K717" s="41">
        <f>VLOOKUP(Table91213[[#This Row],[Date]],'DB Details'!$A:$L,11)</f>
        <v/>
      </c>
      <c r="L717" s="88">
        <f>VLOOKUP(Table91213[[#This Row],[Date]],'DB Details'!$A:$L,12)</f>
        <v/>
      </c>
    </row>
    <row r="718">
      <c r="A718" s="39" t="n">
        <v>39203</v>
      </c>
      <c r="B718" s="57">
        <f>VLOOKUP(Table91213[[#This Row],[Date]],'DB Details'!$A:$L,2)</f>
        <v/>
      </c>
      <c r="C718" s="41">
        <f>VLOOKUP(Table91213[[#This Row],[Date]],'DB Details'!$A:$L,3)</f>
        <v/>
      </c>
      <c r="D718" s="55">
        <f>VLOOKUP(Table91213[[#This Row],[Date]],'DB Details'!$A:$L,4)</f>
        <v/>
      </c>
      <c r="E718" s="88">
        <f>VLOOKUP(Table91213[[#This Row],[Date]],'DB Details'!$A:$L,5)</f>
        <v/>
      </c>
      <c r="F718" s="88">
        <f>VLOOKUP(Table91213[[#This Row],[Date]],'DB Details'!$A:$L,6)</f>
        <v/>
      </c>
      <c r="G718" s="41">
        <f>VLOOKUP(Table91213[[#This Row],[Date]],'DB Details'!$A:$L,7)</f>
        <v/>
      </c>
      <c r="H718" s="88">
        <f>VLOOKUP(Table91213[[#This Row],[Date]],'DB Details'!$A:$L,8)</f>
        <v/>
      </c>
      <c r="I718" s="88">
        <f>VLOOKUP(Table91213[[#This Row],[Date]],'DB Details'!$A:$L,9)</f>
        <v/>
      </c>
      <c r="J718" s="88">
        <f>VLOOKUP(Table91213[[#This Row],[Date]],'DB Details'!$A:$L,10)</f>
        <v/>
      </c>
      <c r="K718" s="41">
        <f>VLOOKUP(Table91213[[#This Row],[Date]],'DB Details'!$A:$L,11)</f>
        <v/>
      </c>
      <c r="L718" s="88">
        <f>VLOOKUP(Table91213[[#This Row],[Date]],'DB Details'!$A:$L,12)</f>
        <v/>
      </c>
    </row>
    <row r="719">
      <c r="A719" s="39" t="n">
        <v>39234</v>
      </c>
      <c r="B719" s="57">
        <f>VLOOKUP(Table91213[[#This Row],[Date]],'DB Details'!$A:$L,2)</f>
        <v/>
      </c>
      <c r="C719" s="41">
        <f>VLOOKUP(Table91213[[#This Row],[Date]],'DB Details'!$A:$L,3)</f>
        <v/>
      </c>
      <c r="D719" s="55">
        <f>VLOOKUP(Table91213[[#This Row],[Date]],'DB Details'!$A:$L,4)</f>
        <v/>
      </c>
      <c r="E719" s="88">
        <f>VLOOKUP(Table91213[[#This Row],[Date]],'DB Details'!$A:$L,5)</f>
        <v/>
      </c>
      <c r="F719" s="88">
        <f>VLOOKUP(Table91213[[#This Row],[Date]],'DB Details'!$A:$L,6)</f>
        <v/>
      </c>
      <c r="G719" s="41">
        <f>VLOOKUP(Table91213[[#This Row],[Date]],'DB Details'!$A:$L,7)</f>
        <v/>
      </c>
      <c r="H719" s="88">
        <f>VLOOKUP(Table91213[[#This Row],[Date]],'DB Details'!$A:$L,8)</f>
        <v/>
      </c>
      <c r="I719" s="88">
        <f>VLOOKUP(Table91213[[#This Row],[Date]],'DB Details'!$A:$L,9)</f>
        <v/>
      </c>
      <c r="J719" s="88">
        <f>VLOOKUP(Table91213[[#This Row],[Date]],'DB Details'!$A:$L,10)</f>
        <v/>
      </c>
      <c r="K719" s="41">
        <f>VLOOKUP(Table91213[[#This Row],[Date]],'DB Details'!$A:$L,11)</f>
        <v/>
      </c>
      <c r="L719" s="88">
        <f>VLOOKUP(Table91213[[#This Row],[Date]],'DB Details'!$A:$L,12)</f>
        <v/>
      </c>
    </row>
    <row r="720">
      <c r="A720" s="39" t="n">
        <v>39264</v>
      </c>
      <c r="B720" s="57">
        <f>VLOOKUP(Table91213[[#This Row],[Date]],'DB Details'!$A:$L,2)</f>
        <v/>
      </c>
      <c r="C720" s="41">
        <f>VLOOKUP(Table91213[[#This Row],[Date]],'DB Details'!$A:$L,3)</f>
        <v/>
      </c>
      <c r="D720" s="55">
        <f>VLOOKUP(Table91213[[#This Row],[Date]],'DB Details'!$A:$L,4)</f>
        <v/>
      </c>
      <c r="E720" s="88">
        <f>VLOOKUP(Table91213[[#This Row],[Date]],'DB Details'!$A:$L,5)</f>
        <v/>
      </c>
      <c r="F720" s="88">
        <f>VLOOKUP(Table91213[[#This Row],[Date]],'DB Details'!$A:$L,6)</f>
        <v/>
      </c>
      <c r="G720" s="41">
        <f>VLOOKUP(Table91213[[#This Row],[Date]],'DB Details'!$A:$L,7)</f>
        <v/>
      </c>
      <c r="H720" s="88">
        <f>VLOOKUP(Table91213[[#This Row],[Date]],'DB Details'!$A:$L,8)</f>
        <v/>
      </c>
      <c r="I720" s="88">
        <f>VLOOKUP(Table91213[[#This Row],[Date]],'DB Details'!$A:$L,9)</f>
        <v/>
      </c>
      <c r="J720" s="88">
        <f>VLOOKUP(Table91213[[#This Row],[Date]],'DB Details'!$A:$L,10)</f>
        <v/>
      </c>
      <c r="K720" s="41">
        <f>VLOOKUP(Table91213[[#This Row],[Date]],'DB Details'!$A:$L,11)</f>
        <v/>
      </c>
      <c r="L720" s="88">
        <f>VLOOKUP(Table91213[[#This Row],[Date]],'DB Details'!$A:$L,12)</f>
        <v/>
      </c>
    </row>
    <row r="721">
      <c r="A721" s="39" t="n">
        <v>39295</v>
      </c>
      <c r="B721" s="57">
        <f>VLOOKUP(Table91213[[#This Row],[Date]],'DB Details'!$A:$L,2)</f>
        <v/>
      </c>
      <c r="C721" s="41">
        <f>VLOOKUP(Table91213[[#This Row],[Date]],'DB Details'!$A:$L,3)</f>
        <v/>
      </c>
      <c r="D721" s="55">
        <f>VLOOKUP(Table91213[[#This Row],[Date]],'DB Details'!$A:$L,4)</f>
        <v/>
      </c>
      <c r="E721" s="88">
        <f>VLOOKUP(Table91213[[#This Row],[Date]],'DB Details'!$A:$L,5)</f>
        <v/>
      </c>
      <c r="F721" s="88">
        <f>VLOOKUP(Table91213[[#This Row],[Date]],'DB Details'!$A:$L,6)</f>
        <v/>
      </c>
      <c r="G721" s="41">
        <f>VLOOKUP(Table91213[[#This Row],[Date]],'DB Details'!$A:$L,7)</f>
        <v/>
      </c>
      <c r="H721" s="88">
        <f>VLOOKUP(Table91213[[#This Row],[Date]],'DB Details'!$A:$L,8)</f>
        <v/>
      </c>
      <c r="I721" s="88">
        <f>VLOOKUP(Table91213[[#This Row],[Date]],'DB Details'!$A:$L,9)</f>
        <v/>
      </c>
      <c r="J721" s="88">
        <f>VLOOKUP(Table91213[[#This Row],[Date]],'DB Details'!$A:$L,10)</f>
        <v/>
      </c>
      <c r="K721" s="41">
        <f>VLOOKUP(Table91213[[#This Row],[Date]],'DB Details'!$A:$L,11)</f>
        <v/>
      </c>
      <c r="L721" s="88">
        <f>VLOOKUP(Table91213[[#This Row],[Date]],'DB Details'!$A:$L,12)</f>
        <v/>
      </c>
    </row>
    <row r="722">
      <c r="A722" s="39" t="n">
        <v>39326</v>
      </c>
      <c r="B722" s="57">
        <f>VLOOKUP(Table91213[[#This Row],[Date]],'DB Details'!$A:$L,2)</f>
        <v/>
      </c>
      <c r="C722" s="41">
        <f>VLOOKUP(Table91213[[#This Row],[Date]],'DB Details'!$A:$L,3)</f>
        <v/>
      </c>
      <c r="D722" s="55">
        <f>VLOOKUP(Table91213[[#This Row],[Date]],'DB Details'!$A:$L,4)</f>
        <v/>
      </c>
      <c r="E722" s="88">
        <f>VLOOKUP(Table91213[[#This Row],[Date]],'DB Details'!$A:$L,5)</f>
        <v/>
      </c>
      <c r="F722" s="88">
        <f>VLOOKUP(Table91213[[#This Row],[Date]],'DB Details'!$A:$L,6)</f>
        <v/>
      </c>
      <c r="G722" s="41">
        <f>VLOOKUP(Table91213[[#This Row],[Date]],'DB Details'!$A:$L,7)</f>
        <v/>
      </c>
      <c r="H722" s="88">
        <f>VLOOKUP(Table91213[[#This Row],[Date]],'DB Details'!$A:$L,8)</f>
        <v/>
      </c>
      <c r="I722" s="88">
        <f>VLOOKUP(Table91213[[#This Row],[Date]],'DB Details'!$A:$L,9)</f>
        <v/>
      </c>
      <c r="J722" s="88">
        <f>VLOOKUP(Table91213[[#This Row],[Date]],'DB Details'!$A:$L,10)</f>
        <v/>
      </c>
      <c r="K722" s="41">
        <f>VLOOKUP(Table91213[[#This Row],[Date]],'DB Details'!$A:$L,11)</f>
        <v/>
      </c>
      <c r="L722" s="88">
        <f>VLOOKUP(Table91213[[#This Row],[Date]],'DB Details'!$A:$L,12)</f>
        <v/>
      </c>
    </row>
    <row r="723">
      <c r="A723" s="39" t="n">
        <v>39356</v>
      </c>
      <c r="B723" s="57">
        <f>VLOOKUP(Table91213[[#This Row],[Date]],'DB Details'!$A:$L,2)</f>
        <v/>
      </c>
      <c r="C723" s="41">
        <f>VLOOKUP(Table91213[[#This Row],[Date]],'DB Details'!$A:$L,3)</f>
        <v/>
      </c>
      <c r="D723" s="55">
        <f>VLOOKUP(Table91213[[#This Row],[Date]],'DB Details'!$A:$L,4)</f>
        <v/>
      </c>
      <c r="E723" s="88">
        <f>VLOOKUP(Table91213[[#This Row],[Date]],'DB Details'!$A:$L,5)</f>
        <v/>
      </c>
      <c r="F723" s="88">
        <f>VLOOKUP(Table91213[[#This Row],[Date]],'DB Details'!$A:$L,6)</f>
        <v/>
      </c>
      <c r="G723" s="41">
        <f>VLOOKUP(Table91213[[#This Row],[Date]],'DB Details'!$A:$L,7)</f>
        <v/>
      </c>
      <c r="H723" s="88">
        <f>VLOOKUP(Table91213[[#This Row],[Date]],'DB Details'!$A:$L,8)</f>
        <v/>
      </c>
      <c r="I723" s="88">
        <f>VLOOKUP(Table91213[[#This Row],[Date]],'DB Details'!$A:$L,9)</f>
        <v/>
      </c>
      <c r="J723" s="88">
        <f>VLOOKUP(Table91213[[#This Row],[Date]],'DB Details'!$A:$L,10)</f>
        <v/>
      </c>
      <c r="K723" s="41">
        <f>VLOOKUP(Table91213[[#This Row],[Date]],'DB Details'!$A:$L,11)</f>
        <v/>
      </c>
      <c r="L723" s="88">
        <f>VLOOKUP(Table91213[[#This Row],[Date]],'DB Details'!$A:$L,12)</f>
        <v/>
      </c>
    </row>
    <row r="724">
      <c r="A724" s="39" t="n">
        <v>39387</v>
      </c>
      <c r="B724" s="57">
        <f>VLOOKUP(Table91213[[#This Row],[Date]],'DB Details'!$A:$L,2)</f>
        <v/>
      </c>
      <c r="C724" s="41">
        <f>VLOOKUP(Table91213[[#This Row],[Date]],'DB Details'!$A:$L,3)</f>
        <v/>
      </c>
      <c r="D724" s="55">
        <f>VLOOKUP(Table91213[[#This Row],[Date]],'DB Details'!$A:$L,4)</f>
        <v/>
      </c>
      <c r="E724" s="88">
        <f>VLOOKUP(Table91213[[#This Row],[Date]],'DB Details'!$A:$L,5)</f>
        <v/>
      </c>
      <c r="F724" s="88">
        <f>VLOOKUP(Table91213[[#This Row],[Date]],'DB Details'!$A:$L,6)</f>
        <v/>
      </c>
      <c r="G724" s="41">
        <f>VLOOKUP(Table91213[[#This Row],[Date]],'DB Details'!$A:$L,7)</f>
        <v/>
      </c>
      <c r="H724" s="88">
        <f>VLOOKUP(Table91213[[#This Row],[Date]],'DB Details'!$A:$L,8)</f>
        <v/>
      </c>
      <c r="I724" s="88">
        <f>VLOOKUP(Table91213[[#This Row],[Date]],'DB Details'!$A:$L,9)</f>
        <v/>
      </c>
      <c r="J724" s="88">
        <f>VLOOKUP(Table91213[[#This Row],[Date]],'DB Details'!$A:$L,10)</f>
        <v/>
      </c>
      <c r="K724" s="41">
        <f>VLOOKUP(Table91213[[#This Row],[Date]],'DB Details'!$A:$L,11)</f>
        <v/>
      </c>
      <c r="L724" s="88">
        <f>VLOOKUP(Table91213[[#This Row],[Date]],'DB Details'!$A:$L,12)</f>
        <v/>
      </c>
    </row>
    <row r="725">
      <c r="A725" s="39" t="n">
        <v>39417</v>
      </c>
      <c r="B725" s="57">
        <f>VLOOKUP(Table91213[[#This Row],[Date]],'DB Details'!$A:$L,2)</f>
        <v/>
      </c>
      <c r="C725" s="41">
        <f>VLOOKUP(Table91213[[#This Row],[Date]],'DB Details'!$A:$L,3)</f>
        <v/>
      </c>
      <c r="D725" s="55">
        <f>VLOOKUP(Table91213[[#This Row],[Date]],'DB Details'!$A:$L,4)</f>
        <v/>
      </c>
      <c r="E725" s="88">
        <f>VLOOKUP(Table91213[[#This Row],[Date]],'DB Details'!$A:$L,5)</f>
        <v/>
      </c>
      <c r="F725" s="88">
        <f>VLOOKUP(Table91213[[#This Row],[Date]],'DB Details'!$A:$L,6)</f>
        <v/>
      </c>
      <c r="G725" s="41">
        <f>VLOOKUP(Table91213[[#This Row],[Date]],'DB Details'!$A:$L,7)</f>
        <v/>
      </c>
      <c r="H725" s="88">
        <f>VLOOKUP(Table91213[[#This Row],[Date]],'DB Details'!$A:$L,8)</f>
        <v/>
      </c>
      <c r="I725" s="88">
        <f>VLOOKUP(Table91213[[#This Row],[Date]],'DB Details'!$A:$L,9)</f>
        <v/>
      </c>
      <c r="J725" s="88">
        <f>VLOOKUP(Table91213[[#This Row],[Date]],'DB Details'!$A:$L,10)</f>
        <v/>
      </c>
      <c r="K725" s="41">
        <f>VLOOKUP(Table91213[[#This Row],[Date]],'DB Details'!$A:$L,11)</f>
        <v/>
      </c>
      <c r="L725" s="88">
        <f>VLOOKUP(Table91213[[#This Row],[Date]],'DB Details'!$A:$L,12)</f>
        <v/>
      </c>
    </row>
    <row r="726">
      <c r="A726" s="39" t="n">
        <v>39448</v>
      </c>
      <c r="B726" s="57">
        <f>VLOOKUP(Table91213[[#This Row],[Date]],'DB Details'!$A:$L,2)</f>
        <v/>
      </c>
      <c r="C726" s="41">
        <f>VLOOKUP(Table91213[[#This Row],[Date]],'DB Details'!$A:$L,3)</f>
        <v/>
      </c>
      <c r="D726" s="55">
        <f>VLOOKUP(Table91213[[#This Row],[Date]],'DB Details'!$A:$L,4)</f>
        <v/>
      </c>
      <c r="E726" s="88">
        <f>VLOOKUP(Table91213[[#This Row],[Date]],'DB Details'!$A:$L,5)</f>
        <v/>
      </c>
      <c r="F726" s="88">
        <f>VLOOKUP(Table91213[[#This Row],[Date]],'DB Details'!$A:$L,6)</f>
        <v/>
      </c>
      <c r="G726" s="41">
        <f>VLOOKUP(Table91213[[#This Row],[Date]],'DB Details'!$A:$L,7)</f>
        <v/>
      </c>
      <c r="H726" s="88">
        <f>VLOOKUP(Table91213[[#This Row],[Date]],'DB Details'!$A:$L,8)</f>
        <v/>
      </c>
      <c r="I726" s="88">
        <f>VLOOKUP(Table91213[[#This Row],[Date]],'DB Details'!$A:$L,9)</f>
        <v/>
      </c>
      <c r="J726" s="88">
        <f>VLOOKUP(Table91213[[#This Row],[Date]],'DB Details'!$A:$L,10)</f>
        <v/>
      </c>
      <c r="K726" s="41">
        <f>VLOOKUP(Table91213[[#This Row],[Date]],'DB Details'!$A:$L,11)</f>
        <v/>
      </c>
      <c r="L726" s="88">
        <f>VLOOKUP(Table91213[[#This Row],[Date]],'DB Details'!$A:$L,12)</f>
        <v/>
      </c>
    </row>
    <row r="727">
      <c r="A727" s="39" t="n">
        <v>39479</v>
      </c>
      <c r="B727" s="57">
        <f>VLOOKUP(Table91213[[#This Row],[Date]],'DB Details'!$A:$L,2)</f>
        <v/>
      </c>
      <c r="C727" s="41">
        <f>VLOOKUP(Table91213[[#This Row],[Date]],'DB Details'!$A:$L,3)</f>
        <v/>
      </c>
      <c r="D727" s="55">
        <f>VLOOKUP(Table91213[[#This Row],[Date]],'DB Details'!$A:$L,4)</f>
        <v/>
      </c>
      <c r="E727" s="88">
        <f>VLOOKUP(Table91213[[#This Row],[Date]],'DB Details'!$A:$L,5)</f>
        <v/>
      </c>
      <c r="F727" s="88">
        <f>VLOOKUP(Table91213[[#This Row],[Date]],'DB Details'!$A:$L,6)</f>
        <v/>
      </c>
      <c r="G727" s="41">
        <f>VLOOKUP(Table91213[[#This Row],[Date]],'DB Details'!$A:$L,7)</f>
        <v/>
      </c>
      <c r="H727" s="88">
        <f>VLOOKUP(Table91213[[#This Row],[Date]],'DB Details'!$A:$L,8)</f>
        <v/>
      </c>
      <c r="I727" s="88">
        <f>VLOOKUP(Table91213[[#This Row],[Date]],'DB Details'!$A:$L,9)</f>
        <v/>
      </c>
      <c r="J727" s="88">
        <f>VLOOKUP(Table91213[[#This Row],[Date]],'DB Details'!$A:$L,10)</f>
        <v/>
      </c>
      <c r="K727" s="41">
        <f>VLOOKUP(Table91213[[#This Row],[Date]],'DB Details'!$A:$L,11)</f>
        <v/>
      </c>
      <c r="L727" s="88">
        <f>VLOOKUP(Table91213[[#This Row],[Date]],'DB Details'!$A:$L,12)</f>
        <v/>
      </c>
    </row>
    <row r="728">
      <c r="A728" s="39" t="n">
        <v>39508</v>
      </c>
      <c r="B728" s="57">
        <f>VLOOKUP(Table91213[[#This Row],[Date]],'DB Details'!$A:$L,2)</f>
        <v/>
      </c>
      <c r="C728" s="41">
        <f>VLOOKUP(Table91213[[#This Row],[Date]],'DB Details'!$A:$L,3)</f>
        <v/>
      </c>
      <c r="D728" s="55">
        <f>VLOOKUP(Table91213[[#This Row],[Date]],'DB Details'!$A:$L,4)</f>
        <v/>
      </c>
      <c r="E728" s="88">
        <f>VLOOKUP(Table91213[[#This Row],[Date]],'DB Details'!$A:$L,5)</f>
        <v/>
      </c>
      <c r="F728" s="88">
        <f>VLOOKUP(Table91213[[#This Row],[Date]],'DB Details'!$A:$L,6)</f>
        <v/>
      </c>
      <c r="G728" s="41">
        <f>VLOOKUP(Table91213[[#This Row],[Date]],'DB Details'!$A:$L,7)</f>
        <v/>
      </c>
      <c r="H728" s="88">
        <f>VLOOKUP(Table91213[[#This Row],[Date]],'DB Details'!$A:$L,8)</f>
        <v/>
      </c>
      <c r="I728" s="88">
        <f>VLOOKUP(Table91213[[#This Row],[Date]],'DB Details'!$A:$L,9)</f>
        <v/>
      </c>
      <c r="J728" s="88">
        <f>VLOOKUP(Table91213[[#This Row],[Date]],'DB Details'!$A:$L,10)</f>
        <v/>
      </c>
      <c r="K728" s="41">
        <f>VLOOKUP(Table91213[[#This Row],[Date]],'DB Details'!$A:$L,11)</f>
        <v/>
      </c>
      <c r="L728" s="88">
        <f>VLOOKUP(Table91213[[#This Row],[Date]],'DB Details'!$A:$L,12)</f>
        <v/>
      </c>
    </row>
    <row r="729">
      <c r="A729" s="39" t="n">
        <v>39539</v>
      </c>
      <c r="B729" s="57">
        <f>VLOOKUP(Table91213[[#This Row],[Date]],'DB Details'!$A:$L,2)</f>
        <v/>
      </c>
      <c r="C729" s="41">
        <f>VLOOKUP(Table91213[[#This Row],[Date]],'DB Details'!$A:$L,3)</f>
        <v/>
      </c>
      <c r="D729" s="55">
        <f>VLOOKUP(Table91213[[#This Row],[Date]],'DB Details'!$A:$L,4)</f>
        <v/>
      </c>
      <c r="E729" s="88">
        <f>VLOOKUP(Table91213[[#This Row],[Date]],'DB Details'!$A:$L,5)</f>
        <v/>
      </c>
      <c r="F729" s="88">
        <f>VLOOKUP(Table91213[[#This Row],[Date]],'DB Details'!$A:$L,6)</f>
        <v/>
      </c>
      <c r="G729" s="41">
        <f>VLOOKUP(Table91213[[#This Row],[Date]],'DB Details'!$A:$L,7)</f>
        <v/>
      </c>
      <c r="H729" s="88">
        <f>VLOOKUP(Table91213[[#This Row],[Date]],'DB Details'!$A:$L,8)</f>
        <v/>
      </c>
      <c r="I729" s="88">
        <f>VLOOKUP(Table91213[[#This Row],[Date]],'DB Details'!$A:$L,9)</f>
        <v/>
      </c>
      <c r="J729" s="88">
        <f>VLOOKUP(Table91213[[#This Row],[Date]],'DB Details'!$A:$L,10)</f>
        <v/>
      </c>
      <c r="K729" s="41">
        <f>VLOOKUP(Table91213[[#This Row],[Date]],'DB Details'!$A:$L,11)</f>
        <v/>
      </c>
      <c r="L729" s="88">
        <f>VLOOKUP(Table91213[[#This Row],[Date]],'DB Details'!$A:$L,12)</f>
        <v/>
      </c>
    </row>
    <row r="730">
      <c r="A730" s="39" t="n">
        <v>39569</v>
      </c>
      <c r="B730" s="57">
        <f>VLOOKUP(Table91213[[#This Row],[Date]],'DB Details'!$A:$L,2)</f>
        <v/>
      </c>
      <c r="C730" s="41">
        <f>VLOOKUP(Table91213[[#This Row],[Date]],'DB Details'!$A:$L,3)</f>
        <v/>
      </c>
      <c r="D730" s="55">
        <f>VLOOKUP(Table91213[[#This Row],[Date]],'DB Details'!$A:$L,4)</f>
        <v/>
      </c>
      <c r="E730" s="88">
        <f>VLOOKUP(Table91213[[#This Row],[Date]],'DB Details'!$A:$L,5)</f>
        <v/>
      </c>
      <c r="F730" s="88">
        <f>VLOOKUP(Table91213[[#This Row],[Date]],'DB Details'!$A:$L,6)</f>
        <v/>
      </c>
      <c r="G730" s="41">
        <f>VLOOKUP(Table91213[[#This Row],[Date]],'DB Details'!$A:$L,7)</f>
        <v/>
      </c>
      <c r="H730" s="88">
        <f>VLOOKUP(Table91213[[#This Row],[Date]],'DB Details'!$A:$L,8)</f>
        <v/>
      </c>
      <c r="I730" s="88">
        <f>VLOOKUP(Table91213[[#This Row],[Date]],'DB Details'!$A:$L,9)</f>
        <v/>
      </c>
      <c r="J730" s="88">
        <f>VLOOKUP(Table91213[[#This Row],[Date]],'DB Details'!$A:$L,10)</f>
        <v/>
      </c>
      <c r="K730" s="41">
        <f>VLOOKUP(Table91213[[#This Row],[Date]],'DB Details'!$A:$L,11)</f>
        <v/>
      </c>
      <c r="L730" s="88">
        <f>VLOOKUP(Table91213[[#This Row],[Date]],'DB Details'!$A:$L,12)</f>
        <v/>
      </c>
    </row>
    <row r="731">
      <c r="A731" s="39" t="n">
        <v>39600</v>
      </c>
      <c r="B731" s="57">
        <f>VLOOKUP(Table91213[[#This Row],[Date]],'DB Details'!$A:$L,2)</f>
        <v/>
      </c>
      <c r="C731" s="41">
        <f>VLOOKUP(Table91213[[#This Row],[Date]],'DB Details'!$A:$L,3)</f>
        <v/>
      </c>
      <c r="D731" s="55">
        <f>VLOOKUP(Table91213[[#This Row],[Date]],'DB Details'!$A:$L,4)</f>
        <v/>
      </c>
      <c r="E731" s="88">
        <f>VLOOKUP(Table91213[[#This Row],[Date]],'DB Details'!$A:$L,5)</f>
        <v/>
      </c>
      <c r="F731" s="88">
        <f>VLOOKUP(Table91213[[#This Row],[Date]],'DB Details'!$A:$L,6)</f>
        <v/>
      </c>
      <c r="G731" s="41">
        <f>VLOOKUP(Table91213[[#This Row],[Date]],'DB Details'!$A:$L,7)</f>
        <v/>
      </c>
      <c r="H731" s="88">
        <f>VLOOKUP(Table91213[[#This Row],[Date]],'DB Details'!$A:$L,8)</f>
        <v/>
      </c>
      <c r="I731" s="88">
        <f>VLOOKUP(Table91213[[#This Row],[Date]],'DB Details'!$A:$L,9)</f>
        <v/>
      </c>
      <c r="J731" s="88">
        <f>VLOOKUP(Table91213[[#This Row],[Date]],'DB Details'!$A:$L,10)</f>
        <v/>
      </c>
      <c r="K731" s="41">
        <f>VLOOKUP(Table91213[[#This Row],[Date]],'DB Details'!$A:$L,11)</f>
        <v/>
      </c>
      <c r="L731" s="88">
        <f>VLOOKUP(Table91213[[#This Row],[Date]],'DB Details'!$A:$L,12)</f>
        <v/>
      </c>
    </row>
    <row r="732">
      <c r="A732" s="39" t="n">
        <v>39630</v>
      </c>
      <c r="B732" s="57">
        <f>VLOOKUP(Table91213[[#This Row],[Date]],'DB Details'!$A:$L,2)</f>
        <v/>
      </c>
      <c r="C732" s="41">
        <f>VLOOKUP(Table91213[[#This Row],[Date]],'DB Details'!$A:$L,3)</f>
        <v/>
      </c>
      <c r="D732" s="55">
        <f>VLOOKUP(Table91213[[#This Row],[Date]],'DB Details'!$A:$L,4)</f>
        <v/>
      </c>
      <c r="E732" s="88">
        <f>VLOOKUP(Table91213[[#This Row],[Date]],'DB Details'!$A:$L,5)</f>
        <v/>
      </c>
      <c r="F732" s="88">
        <f>VLOOKUP(Table91213[[#This Row],[Date]],'DB Details'!$A:$L,6)</f>
        <v/>
      </c>
      <c r="G732" s="41">
        <f>VLOOKUP(Table91213[[#This Row],[Date]],'DB Details'!$A:$L,7)</f>
        <v/>
      </c>
      <c r="H732" s="88">
        <f>VLOOKUP(Table91213[[#This Row],[Date]],'DB Details'!$A:$L,8)</f>
        <v/>
      </c>
      <c r="I732" s="88">
        <f>VLOOKUP(Table91213[[#This Row],[Date]],'DB Details'!$A:$L,9)</f>
        <v/>
      </c>
      <c r="J732" s="88">
        <f>VLOOKUP(Table91213[[#This Row],[Date]],'DB Details'!$A:$L,10)</f>
        <v/>
      </c>
      <c r="K732" s="41">
        <f>VLOOKUP(Table91213[[#This Row],[Date]],'DB Details'!$A:$L,11)</f>
        <v/>
      </c>
      <c r="L732" s="88">
        <f>VLOOKUP(Table91213[[#This Row],[Date]],'DB Details'!$A:$L,12)</f>
        <v/>
      </c>
    </row>
    <row r="733">
      <c r="A733" s="39" t="n">
        <v>39661</v>
      </c>
      <c r="B733" s="57">
        <f>VLOOKUP(Table91213[[#This Row],[Date]],'DB Details'!$A:$L,2)</f>
        <v/>
      </c>
      <c r="C733" s="41">
        <f>VLOOKUP(Table91213[[#This Row],[Date]],'DB Details'!$A:$L,3)</f>
        <v/>
      </c>
      <c r="D733" s="55">
        <f>VLOOKUP(Table91213[[#This Row],[Date]],'DB Details'!$A:$L,4)</f>
        <v/>
      </c>
      <c r="E733" s="88">
        <f>VLOOKUP(Table91213[[#This Row],[Date]],'DB Details'!$A:$L,5)</f>
        <v/>
      </c>
      <c r="F733" s="88">
        <f>VLOOKUP(Table91213[[#This Row],[Date]],'DB Details'!$A:$L,6)</f>
        <v/>
      </c>
      <c r="G733" s="41">
        <f>VLOOKUP(Table91213[[#This Row],[Date]],'DB Details'!$A:$L,7)</f>
        <v/>
      </c>
      <c r="H733" s="88">
        <f>VLOOKUP(Table91213[[#This Row],[Date]],'DB Details'!$A:$L,8)</f>
        <v/>
      </c>
      <c r="I733" s="88">
        <f>VLOOKUP(Table91213[[#This Row],[Date]],'DB Details'!$A:$L,9)</f>
        <v/>
      </c>
      <c r="J733" s="88">
        <f>VLOOKUP(Table91213[[#This Row],[Date]],'DB Details'!$A:$L,10)</f>
        <v/>
      </c>
      <c r="K733" s="41">
        <f>VLOOKUP(Table91213[[#This Row],[Date]],'DB Details'!$A:$L,11)</f>
        <v/>
      </c>
      <c r="L733" s="88">
        <f>VLOOKUP(Table91213[[#This Row],[Date]],'DB Details'!$A:$L,12)</f>
        <v/>
      </c>
    </row>
    <row r="734">
      <c r="A734" s="39" t="n">
        <v>39692</v>
      </c>
      <c r="B734" s="57">
        <f>VLOOKUP(Table91213[[#This Row],[Date]],'DB Details'!$A:$L,2)</f>
        <v/>
      </c>
      <c r="C734" s="41">
        <f>VLOOKUP(Table91213[[#This Row],[Date]],'DB Details'!$A:$L,3)</f>
        <v/>
      </c>
      <c r="D734" s="55">
        <f>VLOOKUP(Table91213[[#This Row],[Date]],'DB Details'!$A:$L,4)</f>
        <v/>
      </c>
      <c r="E734" s="88">
        <f>VLOOKUP(Table91213[[#This Row],[Date]],'DB Details'!$A:$L,5)</f>
        <v/>
      </c>
      <c r="F734" s="88">
        <f>VLOOKUP(Table91213[[#This Row],[Date]],'DB Details'!$A:$L,6)</f>
        <v/>
      </c>
      <c r="G734" s="41">
        <f>VLOOKUP(Table91213[[#This Row],[Date]],'DB Details'!$A:$L,7)</f>
        <v/>
      </c>
      <c r="H734" s="88">
        <f>VLOOKUP(Table91213[[#This Row],[Date]],'DB Details'!$A:$L,8)</f>
        <v/>
      </c>
      <c r="I734" s="88">
        <f>VLOOKUP(Table91213[[#This Row],[Date]],'DB Details'!$A:$L,9)</f>
        <v/>
      </c>
      <c r="J734" s="88">
        <f>VLOOKUP(Table91213[[#This Row],[Date]],'DB Details'!$A:$L,10)</f>
        <v/>
      </c>
      <c r="K734" s="41">
        <f>VLOOKUP(Table91213[[#This Row],[Date]],'DB Details'!$A:$L,11)</f>
        <v/>
      </c>
      <c r="L734" s="88">
        <f>VLOOKUP(Table91213[[#This Row],[Date]],'DB Details'!$A:$L,12)</f>
        <v/>
      </c>
    </row>
    <row r="735">
      <c r="A735" s="39" t="n">
        <v>39722</v>
      </c>
      <c r="B735" s="57">
        <f>VLOOKUP(Table91213[[#This Row],[Date]],'DB Details'!$A:$L,2)</f>
        <v/>
      </c>
      <c r="C735" s="41">
        <f>VLOOKUP(Table91213[[#This Row],[Date]],'DB Details'!$A:$L,3)</f>
        <v/>
      </c>
      <c r="D735" s="55">
        <f>VLOOKUP(Table91213[[#This Row],[Date]],'DB Details'!$A:$L,4)</f>
        <v/>
      </c>
      <c r="E735" s="88">
        <f>VLOOKUP(Table91213[[#This Row],[Date]],'DB Details'!$A:$L,5)</f>
        <v/>
      </c>
      <c r="F735" s="88">
        <f>VLOOKUP(Table91213[[#This Row],[Date]],'DB Details'!$A:$L,6)</f>
        <v/>
      </c>
      <c r="G735" s="41">
        <f>VLOOKUP(Table91213[[#This Row],[Date]],'DB Details'!$A:$L,7)</f>
        <v/>
      </c>
      <c r="H735" s="88">
        <f>VLOOKUP(Table91213[[#This Row],[Date]],'DB Details'!$A:$L,8)</f>
        <v/>
      </c>
      <c r="I735" s="88">
        <f>VLOOKUP(Table91213[[#This Row],[Date]],'DB Details'!$A:$L,9)</f>
        <v/>
      </c>
      <c r="J735" s="88">
        <f>VLOOKUP(Table91213[[#This Row],[Date]],'DB Details'!$A:$L,10)</f>
        <v/>
      </c>
      <c r="K735" s="41">
        <f>VLOOKUP(Table91213[[#This Row],[Date]],'DB Details'!$A:$L,11)</f>
        <v/>
      </c>
      <c r="L735" s="88">
        <f>VLOOKUP(Table91213[[#This Row],[Date]],'DB Details'!$A:$L,12)</f>
        <v/>
      </c>
    </row>
    <row r="736">
      <c r="A736" s="39" t="n">
        <v>39753</v>
      </c>
      <c r="B736" s="57">
        <f>VLOOKUP(Table91213[[#This Row],[Date]],'DB Details'!$A:$L,2)</f>
        <v/>
      </c>
      <c r="C736" s="41">
        <f>VLOOKUP(Table91213[[#This Row],[Date]],'DB Details'!$A:$L,3)</f>
        <v/>
      </c>
      <c r="D736" s="55">
        <f>VLOOKUP(Table91213[[#This Row],[Date]],'DB Details'!$A:$L,4)</f>
        <v/>
      </c>
      <c r="E736" s="88">
        <f>VLOOKUP(Table91213[[#This Row],[Date]],'DB Details'!$A:$L,5)</f>
        <v/>
      </c>
      <c r="F736" s="88">
        <f>VLOOKUP(Table91213[[#This Row],[Date]],'DB Details'!$A:$L,6)</f>
        <v/>
      </c>
      <c r="G736" s="41">
        <f>VLOOKUP(Table91213[[#This Row],[Date]],'DB Details'!$A:$L,7)</f>
        <v/>
      </c>
      <c r="H736" s="88">
        <f>VLOOKUP(Table91213[[#This Row],[Date]],'DB Details'!$A:$L,8)</f>
        <v/>
      </c>
      <c r="I736" s="88">
        <f>VLOOKUP(Table91213[[#This Row],[Date]],'DB Details'!$A:$L,9)</f>
        <v/>
      </c>
      <c r="J736" s="88">
        <f>VLOOKUP(Table91213[[#This Row],[Date]],'DB Details'!$A:$L,10)</f>
        <v/>
      </c>
      <c r="K736" s="41">
        <f>VLOOKUP(Table91213[[#This Row],[Date]],'DB Details'!$A:$L,11)</f>
        <v/>
      </c>
      <c r="L736" s="88">
        <f>VLOOKUP(Table91213[[#This Row],[Date]],'DB Details'!$A:$L,12)</f>
        <v/>
      </c>
    </row>
    <row r="737">
      <c r="A737" s="39" t="n">
        <v>39783</v>
      </c>
      <c r="B737" s="57">
        <f>VLOOKUP(Table91213[[#This Row],[Date]],'DB Details'!$A:$L,2)</f>
        <v/>
      </c>
      <c r="C737" s="41">
        <f>VLOOKUP(Table91213[[#This Row],[Date]],'DB Details'!$A:$L,3)</f>
        <v/>
      </c>
      <c r="D737" s="55">
        <f>VLOOKUP(Table91213[[#This Row],[Date]],'DB Details'!$A:$L,4)</f>
        <v/>
      </c>
      <c r="E737" s="88">
        <f>VLOOKUP(Table91213[[#This Row],[Date]],'DB Details'!$A:$L,5)</f>
        <v/>
      </c>
      <c r="F737" s="88">
        <f>VLOOKUP(Table91213[[#This Row],[Date]],'DB Details'!$A:$L,6)</f>
        <v/>
      </c>
      <c r="G737" s="41">
        <f>VLOOKUP(Table91213[[#This Row],[Date]],'DB Details'!$A:$L,7)</f>
        <v/>
      </c>
      <c r="H737" s="88">
        <f>VLOOKUP(Table91213[[#This Row],[Date]],'DB Details'!$A:$L,8)</f>
        <v/>
      </c>
      <c r="I737" s="88">
        <f>VLOOKUP(Table91213[[#This Row],[Date]],'DB Details'!$A:$L,9)</f>
        <v/>
      </c>
      <c r="J737" s="88">
        <f>VLOOKUP(Table91213[[#This Row],[Date]],'DB Details'!$A:$L,10)</f>
        <v/>
      </c>
      <c r="K737" s="41">
        <f>VLOOKUP(Table91213[[#This Row],[Date]],'DB Details'!$A:$L,11)</f>
        <v/>
      </c>
      <c r="L737" s="88">
        <f>VLOOKUP(Table91213[[#This Row],[Date]],'DB Details'!$A:$L,12)</f>
        <v/>
      </c>
    </row>
    <row r="738">
      <c r="A738" s="39" t="n">
        <v>39814</v>
      </c>
      <c r="B738" s="57">
        <f>VLOOKUP(Table91213[[#This Row],[Date]],'DB Details'!$A:$L,2)</f>
        <v/>
      </c>
      <c r="C738" s="41">
        <f>VLOOKUP(Table91213[[#This Row],[Date]],'DB Details'!$A:$L,3)</f>
        <v/>
      </c>
      <c r="D738" s="55">
        <f>VLOOKUP(Table91213[[#This Row],[Date]],'DB Details'!$A:$L,4)</f>
        <v/>
      </c>
      <c r="E738" s="88">
        <f>VLOOKUP(Table91213[[#This Row],[Date]],'DB Details'!$A:$L,5)</f>
        <v/>
      </c>
      <c r="F738" s="88">
        <f>VLOOKUP(Table91213[[#This Row],[Date]],'DB Details'!$A:$L,6)</f>
        <v/>
      </c>
      <c r="G738" s="41">
        <f>VLOOKUP(Table91213[[#This Row],[Date]],'DB Details'!$A:$L,7)</f>
        <v/>
      </c>
      <c r="H738" s="88">
        <f>VLOOKUP(Table91213[[#This Row],[Date]],'DB Details'!$A:$L,8)</f>
        <v/>
      </c>
      <c r="I738" s="88">
        <f>VLOOKUP(Table91213[[#This Row],[Date]],'DB Details'!$A:$L,9)</f>
        <v/>
      </c>
      <c r="J738" s="88">
        <f>VLOOKUP(Table91213[[#This Row],[Date]],'DB Details'!$A:$L,10)</f>
        <v/>
      </c>
      <c r="K738" s="41">
        <f>VLOOKUP(Table91213[[#This Row],[Date]],'DB Details'!$A:$L,11)</f>
        <v/>
      </c>
      <c r="L738" s="88">
        <f>VLOOKUP(Table91213[[#This Row],[Date]],'DB Details'!$A:$L,12)</f>
        <v/>
      </c>
    </row>
    <row r="739">
      <c r="A739" s="39" t="n">
        <v>39845</v>
      </c>
      <c r="B739" s="57">
        <f>VLOOKUP(Table91213[[#This Row],[Date]],'DB Details'!$A:$L,2)</f>
        <v/>
      </c>
      <c r="C739" s="41">
        <f>VLOOKUP(Table91213[[#This Row],[Date]],'DB Details'!$A:$L,3)</f>
        <v/>
      </c>
      <c r="D739" s="55">
        <f>VLOOKUP(Table91213[[#This Row],[Date]],'DB Details'!$A:$L,4)</f>
        <v/>
      </c>
      <c r="E739" s="88">
        <f>VLOOKUP(Table91213[[#This Row],[Date]],'DB Details'!$A:$L,5)</f>
        <v/>
      </c>
      <c r="F739" s="88">
        <f>VLOOKUP(Table91213[[#This Row],[Date]],'DB Details'!$A:$L,6)</f>
        <v/>
      </c>
      <c r="G739" s="41">
        <f>VLOOKUP(Table91213[[#This Row],[Date]],'DB Details'!$A:$L,7)</f>
        <v/>
      </c>
      <c r="H739" s="88">
        <f>VLOOKUP(Table91213[[#This Row],[Date]],'DB Details'!$A:$L,8)</f>
        <v/>
      </c>
      <c r="I739" s="88">
        <f>VLOOKUP(Table91213[[#This Row],[Date]],'DB Details'!$A:$L,9)</f>
        <v/>
      </c>
      <c r="J739" s="88">
        <f>VLOOKUP(Table91213[[#This Row],[Date]],'DB Details'!$A:$L,10)</f>
        <v/>
      </c>
      <c r="K739" s="41">
        <f>VLOOKUP(Table91213[[#This Row],[Date]],'DB Details'!$A:$L,11)</f>
        <v/>
      </c>
      <c r="L739" s="88">
        <f>VLOOKUP(Table91213[[#This Row],[Date]],'DB Details'!$A:$L,12)</f>
        <v/>
      </c>
    </row>
    <row r="740">
      <c r="A740" s="39" t="n">
        <v>39873</v>
      </c>
      <c r="B740" s="57">
        <f>VLOOKUP(Table91213[[#This Row],[Date]],'DB Details'!$A:$L,2)</f>
        <v/>
      </c>
      <c r="C740" s="41">
        <f>VLOOKUP(Table91213[[#This Row],[Date]],'DB Details'!$A:$L,3)</f>
        <v/>
      </c>
      <c r="D740" s="55">
        <f>VLOOKUP(Table91213[[#This Row],[Date]],'DB Details'!$A:$L,4)</f>
        <v/>
      </c>
      <c r="E740" s="88">
        <f>VLOOKUP(Table91213[[#This Row],[Date]],'DB Details'!$A:$L,5)</f>
        <v/>
      </c>
      <c r="F740" s="88">
        <f>VLOOKUP(Table91213[[#This Row],[Date]],'DB Details'!$A:$L,6)</f>
        <v/>
      </c>
      <c r="G740" s="41">
        <f>VLOOKUP(Table91213[[#This Row],[Date]],'DB Details'!$A:$L,7)</f>
        <v/>
      </c>
      <c r="H740" s="88">
        <f>VLOOKUP(Table91213[[#This Row],[Date]],'DB Details'!$A:$L,8)</f>
        <v/>
      </c>
      <c r="I740" s="88">
        <f>VLOOKUP(Table91213[[#This Row],[Date]],'DB Details'!$A:$L,9)</f>
        <v/>
      </c>
      <c r="J740" s="88">
        <f>VLOOKUP(Table91213[[#This Row],[Date]],'DB Details'!$A:$L,10)</f>
        <v/>
      </c>
      <c r="K740" s="41">
        <f>VLOOKUP(Table91213[[#This Row],[Date]],'DB Details'!$A:$L,11)</f>
        <v/>
      </c>
      <c r="L740" s="88">
        <f>VLOOKUP(Table91213[[#This Row],[Date]],'DB Details'!$A:$L,12)</f>
        <v/>
      </c>
    </row>
    <row r="741">
      <c r="A741" s="39" t="n">
        <v>39904</v>
      </c>
      <c r="B741" s="57">
        <f>VLOOKUP(Table91213[[#This Row],[Date]],'DB Details'!$A:$L,2)</f>
        <v/>
      </c>
      <c r="C741" s="41">
        <f>VLOOKUP(Table91213[[#This Row],[Date]],'DB Details'!$A:$L,3)</f>
        <v/>
      </c>
      <c r="D741" s="55">
        <f>VLOOKUP(Table91213[[#This Row],[Date]],'DB Details'!$A:$L,4)</f>
        <v/>
      </c>
      <c r="E741" s="88">
        <f>VLOOKUP(Table91213[[#This Row],[Date]],'DB Details'!$A:$L,5)</f>
        <v/>
      </c>
      <c r="F741" s="88">
        <f>VLOOKUP(Table91213[[#This Row],[Date]],'DB Details'!$A:$L,6)</f>
        <v/>
      </c>
      <c r="G741" s="41">
        <f>VLOOKUP(Table91213[[#This Row],[Date]],'DB Details'!$A:$L,7)</f>
        <v/>
      </c>
      <c r="H741" s="88">
        <f>VLOOKUP(Table91213[[#This Row],[Date]],'DB Details'!$A:$L,8)</f>
        <v/>
      </c>
      <c r="I741" s="88">
        <f>VLOOKUP(Table91213[[#This Row],[Date]],'DB Details'!$A:$L,9)</f>
        <v/>
      </c>
      <c r="J741" s="88">
        <f>VLOOKUP(Table91213[[#This Row],[Date]],'DB Details'!$A:$L,10)</f>
        <v/>
      </c>
      <c r="K741" s="41">
        <f>VLOOKUP(Table91213[[#This Row],[Date]],'DB Details'!$A:$L,11)</f>
        <v/>
      </c>
      <c r="L741" s="88">
        <f>VLOOKUP(Table91213[[#This Row],[Date]],'DB Details'!$A:$L,12)</f>
        <v/>
      </c>
    </row>
    <row r="742">
      <c r="A742" s="39" t="n">
        <v>39934</v>
      </c>
      <c r="B742" s="57">
        <f>VLOOKUP(Table91213[[#This Row],[Date]],'DB Details'!$A:$L,2)</f>
        <v/>
      </c>
      <c r="C742" s="41">
        <f>VLOOKUP(Table91213[[#This Row],[Date]],'DB Details'!$A:$L,3)</f>
        <v/>
      </c>
      <c r="D742" s="55">
        <f>VLOOKUP(Table91213[[#This Row],[Date]],'DB Details'!$A:$L,4)</f>
        <v/>
      </c>
      <c r="E742" s="88">
        <f>VLOOKUP(Table91213[[#This Row],[Date]],'DB Details'!$A:$L,5)</f>
        <v/>
      </c>
      <c r="F742" s="88">
        <f>VLOOKUP(Table91213[[#This Row],[Date]],'DB Details'!$A:$L,6)</f>
        <v/>
      </c>
      <c r="G742" s="41">
        <f>VLOOKUP(Table91213[[#This Row],[Date]],'DB Details'!$A:$L,7)</f>
        <v/>
      </c>
      <c r="H742" s="88">
        <f>VLOOKUP(Table91213[[#This Row],[Date]],'DB Details'!$A:$L,8)</f>
        <v/>
      </c>
      <c r="I742" s="88">
        <f>VLOOKUP(Table91213[[#This Row],[Date]],'DB Details'!$A:$L,9)</f>
        <v/>
      </c>
      <c r="J742" s="88">
        <f>VLOOKUP(Table91213[[#This Row],[Date]],'DB Details'!$A:$L,10)</f>
        <v/>
      </c>
      <c r="K742" s="41">
        <f>VLOOKUP(Table91213[[#This Row],[Date]],'DB Details'!$A:$L,11)</f>
        <v/>
      </c>
      <c r="L742" s="88">
        <f>VLOOKUP(Table91213[[#This Row],[Date]],'DB Details'!$A:$L,12)</f>
        <v/>
      </c>
    </row>
    <row r="743">
      <c r="A743" s="39" t="n">
        <v>39965</v>
      </c>
      <c r="B743" s="57">
        <f>VLOOKUP(Table91213[[#This Row],[Date]],'DB Details'!$A:$L,2)</f>
        <v/>
      </c>
      <c r="C743" s="41">
        <f>VLOOKUP(Table91213[[#This Row],[Date]],'DB Details'!$A:$L,3)</f>
        <v/>
      </c>
      <c r="D743" s="55">
        <f>VLOOKUP(Table91213[[#This Row],[Date]],'DB Details'!$A:$L,4)</f>
        <v/>
      </c>
      <c r="E743" s="88">
        <f>VLOOKUP(Table91213[[#This Row],[Date]],'DB Details'!$A:$L,5)</f>
        <v/>
      </c>
      <c r="F743" s="88">
        <f>VLOOKUP(Table91213[[#This Row],[Date]],'DB Details'!$A:$L,6)</f>
        <v/>
      </c>
      <c r="G743" s="41">
        <f>VLOOKUP(Table91213[[#This Row],[Date]],'DB Details'!$A:$L,7)</f>
        <v/>
      </c>
      <c r="H743" s="88">
        <f>VLOOKUP(Table91213[[#This Row],[Date]],'DB Details'!$A:$L,8)</f>
        <v/>
      </c>
      <c r="I743" s="88">
        <f>VLOOKUP(Table91213[[#This Row],[Date]],'DB Details'!$A:$L,9)</f>
        <v/>
      </c>
      <c r="J743" s="88">
        <f>VLOOKUP(Table91213[[#This Row],[Date]],'DB Details'!$A:$L,10)</f>
        <v/>
      </c>
      <c r="K743" s="41">
        <f>VLOOKUP(Table91213[[#This Row],[Date]],'DB Details'!$A:$L,11)</f>
        <v/>
      </c>
      <c r="L743" s="88">
        <f>VLOOKUP(Table91213[[#This Row],[Date]],'DB Details'!$A:$L,12)</f>
        <v/>
      </c>
    </row>
    <row r="744">
      <c r="A744" s="39" t="n">
        <v>39995</v>
      </c>
      <c r="B744" s="57">
        <f>VLOOKUP(Table91213[[#This Row],[Date]],'DB Details'!$A:$L,2)</f>
        <v/>
      </c>
      <c r="C744" s="41">
        <f>VLOOKUP(Table91213[[#This Row],[Date]],'DB Details'!$A:$L,3)</f>
        <v/>
      </c>
      <c r="D744" s="55">
        <f>VLOOKUP(Table91213[[#This Row],[Date]],'DB Details'!$A:$L,4)</f>
        <v/>
      </c>
      <c r="E744" s="88">
        <f>VLOOKUP(Table91213[[#This Row],[Date]],'DB Details'!$A:$L,5)</f>
        <v/>
      </c>
      <c r="F744" s="88">
        <f>VLOOKUP(Table91213[[#This Row],[Date]],'DB Details'!$A:$L,6)</f>
        <v/>
      </c>
      <c r="G744" s="41">
        <f>VLOOKUP(Table91213[[#This Row],[Date]],'DB Details'!$A:$L,7)</f>
        <v/>
      </c>
      <c r="H744" s="88">
        <f>VLOOKUP(Table91213[[#This Row],[Date]],'DB Details'!$A:$L,8)</f>
        <v/>
      </c>
      <c r="I744" s="88">
        <f>VLOOKUP(Table91213[[#This Row],[Date]],'DB Details'!$A:$L,9)</f>
        <v/>
      </c>
      <c r="J744" s="88">
        <f>VLOOKUP(Table91213[[#This Row],[Date]],'DB Details'!$A:$L,10)</f>
        <v/>
      </c>
      <c r="K744" s="41">
        <f>VLOOKUP(Table91213[[#This Row],[Date]],'DB Details'!$A:$L,11)</f>
        <v/>
      </c>
      <c r="L744" s="88">
        <f>VLOOKUP(Table91213[[#This Row],[Date]],'DB Details'!$A:$L,12)</f>
        <v/>
      </c>
    </row>
    <row r="745">
      <c r="A745" s="39" t="n">
        <v>40026</v>
      </c>
      <c r="B745" s="57">
        <f>VLOOKUP(Table91213[[#This Row],[Date]],'DB Details'!$A:$L,2)</f>
        <v/>
      </c>
      <c r="C745" s="41">
        <f>VLOOKUP(Table91213[[#This Row],[Date]],'DB Details'!$A:$L,3)</f>
        <v/>
      </c>
      <c r="D745" s="55">
        <f>VLOOKUP(Table91213[[#This Row],[Date]],'DB Details'!$A:$L,4)</f>
        <v/>
      </c>
      <c r="E745" s="88">
        <f>VLOOKUP(Table91213[[#This Row],[Date]],'DB Details'!$A:$L,5)</f>
        <v/>
      </c>
      <c r="F745" s="88">
        <f>VLOOKUP(Table91213[[#This Row],[Date]],'DB Details'!$A:$L,6)</f>
        <v/>
      </c>
      <c r="G745" s="41">
        <f>VLOOKUP(Table91213[[#This Row],[Date]],'DB Details'!$A:$L,7)</f>
        <v/>
      </c>
      <c r="H745" s="88">
        <f>VLOOKUP(Table91213[[#This Row],[Date]],'DB Details'!$A:$L,8)</f>
        <v/>
      </c>
      <c r="I745" s="88">
        <f>VLOOKUP(Table91213[[#This Row],[Date]],'DB Details'!$A:$L,9)</f>
        <v/>
      </c>
      <c r="J745" s="88">
        <f>VLOOKUP(Table91213[[#This Row],[Date]],'DB Details'!$A:$L,10)</f>
        <v/>
      </c>
      <c r="K745" s="41">
        <f>VLOOKUP(Table91213[[#This Row],[Date]],'DB Details'!$A:$L,11)</f>
        <v/>
      </c>
      <c r="L745" s="88">
        <f>VLOOKUP(Table91213[[#This Row],[Date]],'DB Details'!$A:$L,12)</f>
        <v/>
      </c>
    </row>
    <row r="746">
      <c r="A746" s="39" t="n">
        <v>40057</v>
      </c>
      <c r="B746" s="57">
        <f>VLOOKUP(Table91213[[#This Row],[Date]],'DB Details'!$A:$L,2)</f>
        <v/>
      </c>
      <c r="C746" s="41">
        <f>VLOOKUP(Table91213[[#This Row],[Date]],'DB Details'!$A:$L,3)</f>
        <v/>
      </c>
      <c r="D746" s="55">
        <f>VLOOKUP(Table91213[[#This Row],[Date]],'DB Details'!$A:$L,4)</f>
        <v/>
      </c>
      <c r="E746" s="88">
        <f>VLOOKUP(Table91213[[#This Row],[Date]],'DB Details'!$A:$L,5)</f>
        <v/>
      </c>
      <c r="F746" s="88">
        <f>VLOOKUP(Table91213[[#This Row],[Date]],'DB Details'!$A:$L,6)</f>
        <v/>
      </c>
      <c r="G746" s="41">
        <f>VLOOKUP(Table91213[[#This Row],[Date]],'DB Details'!$A:$L,7)</f>
        <v/>
      </c>
      <c r="H746" s="88">
        <f>VLOOKUP(Table91213[[#This Row],[Date]],'DB Details'!$A:$L,8)</f>
        <v/>
      </c>
      <c r="I746" s="88">
        <f>VLOOKUP(Table91213[[#This Row],[Date]],'DB Details'!$A:$L,9)</f>
        <v/>
      </c>
      <c r="J746" s="88">
        <f>VLOOKUP(Table91213[[#This Row],[Date]],'DB Details'!$A:$L,10)</f>
        <v/>
      </c>
      <c r="K746" s="41">
        <f>VLOOKUP(Table91213[[#This Row],[Date]],'DB Details'!$A:$L,11)</f>
        <v/>
      </c>
      <c r="L746" s="88">
        <f>VLOOKUP(Table91213[[#This Row],[Date]],'DB Details'!$A:$L,12)</f>
        <v/>
      </c>
    </row>
    <row r="747">
      <c r="A747" s="39" t="n">
        <v>40087</v>
      </c>
      <c r="B747" s="57">
        <f>VLOOKUP(Table91213[[#This Row],[Date]],'DB Details'!$A:$L,2)</f>
        <v/>
      </c>
      <c r="C747" s="41">
        <f>VLOOKUP(Table91213[[#This Row],[Date]],'DB Details'!$A:$L,3)</f>
        <v/>
      </c>
      <c r="D747" s="55">
        <f>VLOOKUP(Table91213[[#This Row],[Date]],'DB Details'!$A:$L,4)</f>
        <v/>
      </c>
      <c r="E747" s="88">
        <f>VLOOKUP(Table91213[[#This Row],[Date]],'DB Details'!$A:$L,5)</f>
        <v/>
      </c>
      <c r="F747" s="88">
        <f>VLOOKUP(Table91213[[#This Row],[Date]],'DB Details'!$A:$L,6)</f>
        <v/>
      </c>
      <c r="G747" s="41">
        <f>VLOOKUP(Table91213[[#This Row],[Date]],'DB Details'!$A:$L,7)</f>
        <v/>
      </c>
      <c r="H747" s="88">
        <f>VLOOKUP(Table91213[[#This Row],[Date]],'DB Details'!$A:$L,8)</f>
        <v/>
      </c>
      <c r="I747" s="88">
        <f>VLOOKUP(Table91213[[#This Row],[Date]],'DB Details'!$A:$L,9)</f>
        <v/>
      </c>
      <c r="J747" s="88">
        <f>VLOOKUP(Table91213[[#This Row],[Date]],'DB Details'!$A:$L,10)</f>
        <v/>
      </c>
      <c r="K747" s="41">
        <f>VLOOKUP(Table91213[[#This Row],[Date]],'DB Details'!$A:$L,11)</f>
        <v/>
      </c>
      <c r="L747" s="88">
        <f>VLOOKUP(Table91213[[#This Row],[Date]],'DB Details'!$A:$L,12)</f>
        <v/>
      </c>
    </row>
    <row r="748">
      <c r="A748" s="39" t="n">
        <v>40118</v>
      </c>
      <c r="B748" s="57">
        <f>VLOOKUP(Table91213[[#This Row],[Date]],'DB Details'!$A:$L,2)</f>
        <v/>
      </c>
      <c r="C748" s="41">
        <f>VLOOKUP(Table91213[[#This Row],[Date]],'DB Details'!$A:$L,3)</f>
        <v/>
      </c>
      <c r="D748" s="55">
        <f>VLOOKUP(Table91213[[#This Row],[Date]],'DB Details'!$A:$L,4)</f>
        <v/>
      </c>
      <c r="E748" s="88">
        <f>VLOOKUP(Table91213[[#This Row],[Date]],'DB Details'!$A:$L,5)</f>
        <v/>
      </c>
      <c r="F748" s="88">
        <f>VLOOKUP(Table91213[[#This Row],[Date]],'DB Details'!$A:$L,6)</f>
        <v/>
      </c>
      <c r="G748" s="41">
        <f>VLOOKUP(Table91213[[#This Row],[Date]],'DB Details'!$A:$L,7)</f>
        <v/>
      </c>
      <c r="H748" s="88">
        <f>VLOOKUP(Table91213[[#This Row],[Date]],'DB Details'!$A:$L,8)</f>
        <v/>
      </c>
      <c r="I748" s="88">
        <f>VLOOKUP(Table91213[[#This Row],[Date]],'DB Details'!$A:$L,9)</f>
        <v/>
      </c>
      <c r="J748" s="88">
        <f>VLOOKUP(Table91213[[#This Row],[Date]],'DB Details'!$A:$L,10)</f>
        <v/>
      </c>
      <c r="K748" s="41">
        <f>VLOOKUP(Table91213[[#This Row],[Date]],'DB Details'!$A:$L,11)</f>
        <v/>
      </c>
      <c r="L748" s="88">
        <f>VLOOKUP(Table91213[[#This Row],[Date]],'DB Details'!$A:$L,12)</f>
        <v/>
      </c>
    </row>
    <row r="749">
      <c r="A749" s="39" t="n">
        <v>40148</v>
      </c>
      <c r="B749" s="57">
        <f>VLOOKUP(Table91213[[#This Row],[Date]],'DB Details'!$A:$L,2)</f>
        <v/>
      </c>
      <c r="C749" s="41">
        <f>VLOOKUP(Table91213[[#This Row],[Date]],'DB Details'!$A:$L,3)</f>
        <v/>
      </c>
      <c r="D749" s="55">
        <f>VLOOKUP(Table91213[[#This Row],[Date]],'DB Details'!$A:$L,4)</f>
        <v/>
      </c>
      <c r="E749" s="88">
        <f>VLOOKUP(Table91213[[#This Row],[Date]],'DB Details'!$A:$L,5)</f>
        <v/>
      </c>
      <c r="F749" s="88">
        <f>VLOOKUP(Table91213[[#This Row],[Date]],'DB Details'!$A:$L,6)</f>
        <v/>
      </c>
      <c r="G749" s="41">
        <f>VLOOKUP(Table91213[[#This Row],[Date]],'DB Details'!$A:$L,7)</f>
        <v/>
      </c>
      <c r="H749" s="88">
        <f>VLOOKUP(Table91213[[#This Row],[Date]],'DB Details'!$A:$L,8)</f>
        <v/>
      </c>
      <c r="I749" s="88">
        <f>VLOOKUP(Table91213[[#This Row],[Date]],'DB Details'!$A:$L,9)</f>
        <v/>
      </c>
      <c r="J749" s="88">
        <f>VLOOKUP(Table91213[[#This Row],[Date]],'DB Details'!$A:$L,10)</f>
        <v/>
      </c>
      <c r="K749" s="41">
        <f>VLOOKUP(Table91213[[#This Row],[Date]],'DB Details'!$A:$L,11)</f>
        <v/>
      </c>
      <c r="L749" s="88">
        <f>VLOOKUP(Table91213[[#This Row],[Date]],'DB Details'!$A:$L,12)</f>
        <v/>
      </c>
    </row>
    <row r="750">
      <c r="A750" s="39" t="n">
        <v>40179</v>
      </c>
      <c r="B750" s="57">
        <f>VLOOKUP(Table91213[[#This Row],[Date]],'DB Details'!$A:$L,2)</f>
        <v/>
      </c>
      <c r="C750" s="41">
        <f>VLOOKUP(Table91213[[#This Row],[Date]],'DB Details'!$A:$L,3)</f>
        <v/>
      </c>
      <c r="D750" s="55">
        <f>VLOOKUP(Table91213[[#This Row],[Date]],'DB Details'!$A:$L,4)</f>
        <v/>
      </c>
      <c r="E750" s="88">
        <f>VLOOKUP(Table91213[[#This Row],[Date]],'DB Details'!$A:$L,5)</f>
        <v/>
      </c>
      <c r="F750" s="88">
        <f>VLOOKUP(Table91213[[#This Row],[Date]],'DB Details'!$A:$L,6)</f>
        <v/>
      </c>
      <c r="G750" s="41">
        <f>VLOOKUP(Table91213[[#This Row],[Date]],'DB Details'!$A:$L,7)</f>
        <v/>
      </c>
      <c r="H750" s="88">
        <f>VLOOKUP(Table91213[[#This Row],[Date]],'DB Details'!$A:$L,8)</f>
        <v/>
      </c>
      <c r="I750" s="88">
        <f>VLOOKUP(Table91213[[#This Row],[Date]],'DB Details'!$A:$L,9)</f>
        <v/>
      </c>
      <c r="J750" s="88">
        <f>VLOOKUP(Table91213[[#This Row],[Date]],'DB Details'!$A:$L,10)</f>
        <v/>
      </c>
      <c r="K750" s="41">
        <f>VLOOKUP(Table91213[[#This Row],[Date]],'DB Details'!$A:$L,11)</f>
        <v/>
      </c>
      <c r="L750" s="88">
        <f>VLOOKUP(Table91213[[#This Row],[Date]],'DB Details'!$A:$L,12)</f>
        <v/>
      </c>
    </row>
    <row r="751">
      <c r="A751" s="39" t="n">
        <v>40210</v>
      </c>
      <c r="B751" s="57">
        <f>VLOOKUP(Table91213[[#This Row],[Date]],'DB Details'!$A:$L,2)</f>
        <v/>
      </c>
      <c r="C751" s="41">
        <f>VLOOKUP(Table91213[[#This Row],[Date]],'DB Details'!$A:$L,3)</f>
        <v/>
      </c>
      <c r="D751" s="55">
        <f>VLOOKUP(Table91213[[#This Row],[Date]],'DB Details'!$A:$L,4)</f>
        <v/>
      </c>
      <c r="E751" s="88">
        <f>VLOOKUP(Table91213[[#This Row],[Date]],'DB Details'!$A:$L,5)</f>
        <v/>
      </c>
      <c r="F751" s="88">
        <f>VLOOKUP(Table91213[[#This Row],[Date]],'DB Details'!$A:$L,6)</f>
        <v/>
      </c>
      <c r="G751" s="41">
        <f>VLOOKUP(Table91213[[#This Row],[Date]],'DB Details'!$A:$L,7)</f>
        <v/>
      </c>
      <c r="H751" s="88">
        <f>VLOOKUP(Table91213[[#This Row],[Date]],'DB Details'!$A:$L,8)</f>
        <v/>
      </c>
      <c r="I751" s="88">
        <f>VLOOKUP(Table91213[[#This Row],[Date]],'DB Details'!$A:$L,9)</f>
        <v/>
      </c>
      <c r="J751" s="88">
        <f>VLOOKUP(Table91213[[#This Row],[Date]],'DB Details'!$A:$L,10)</f>
        <v/>
      </c>
      <c r="K751" s="41">
        <f>VLOOKUP(Table91213[[#This Row],[Date]],'DB Details'!$A:$L,11)</f>
        <v/>
      </c>
      <c r="L751" s="88">
        <f>VLOOKUP(Table91213[[#This Row],[Date]],'DB Details'!$A:$L,12)</f>
        <v/>
      </c>
    </row>
    <row r="752">
      <c r="A752" s="39" t="n">
        <v>40238</v>
      </c>
      <c r="B752" s="57">
        <f>VLOOKUP(Table91213[[#This Row],[Date]],'DB Details'!$A:$L,2)</f>
        <v/>
      </c>
      <c r="C752" s="41">
        <f>VLOOKUP(Table91213[[#This Row],[Date]],'DB Details'!$A:$L,3)</f>
        <v/>
      </c>
      <c r="D752" s="55">
        <f>VLOOKUP(Table91213[[#This Row],[Date]],'DB Details'!$A:$L,4)</f>
        <v/>
      </c>
      <c r="E752" s="88">
        <f>VLOOKUP(Table91213[[#This Row],[Date]],'DB Details'!$A:$L,5)</f>
        <v/>
      </c>
      <c r="F752" s="88">
        <f>VLOOKUP(Table91213[[#This Row],[Date]],'DB Details'!$A:$L,6)</f>
        <v/>
      </c>
      <c r="G752" s="41">
        <f>VLOOKUP(Table91213[[#This Row],[Date]],'DB Details'!$A:$L,7)</f>
        <v/>
      </c>
      <c r="H752" s="88">
        <f>VLOOKUP(Table91213[[#This Row],[Date]],'DB Details'!$A:$L,8)</f>
        <v/>
      </c>
      <c r="I752" s="88">
        <f>VLOOKUP(Table91213[[#This Row],[Date]],'DB Details'!$A:$L,9)</f>
        <v/>
      </c>
      <c r="J752" s="88">
        <f>VLOOKUP(Table91213[[#This Row],[Date]],'DB Details'!$A:$L,10)</f>
        <v/>
      </c>
      <c r="K752" s="41">
        <f>VLOOKUP(Table91213[[#This Row],[Date]],'DB Details'!$A:$L,11)</f>
        <v/>
      </c>
      <c r="L752" s="88">
        <f>VLOOKUP(Table91213[[#This Row],[Date]],'DB Details'!$A:$L,12)</f>
        <v/>
      </c>
    </row>
    <row r="753">
      <c r="A753" s="39" t="n">
        <v>40269</v>
      </c>
      <c r="B753" s="57">
        <f>VLOOKUP(Table91213[[#This Row],[Date]],'DB Details'!$A:$L,2)</f>
        <v/>
      </c>
      <c r="C753" s="41">
        <f>VLOOKUP(Table91213[[#This Row],[Date]],'DB Details'!$A:$L,3)</f>
        <v/>
      </c>
      <c r="D753" s="55">
        <f>VLOOKUP(Table91213[[#This Row],[Date]],'DB Details'!$A:$L,4)</f>
        <v/>
      </c>
      <c r="E753" s="88">
        <f>VLOOKUP(Table91213[[#This Row],[Date]],'DB Details'!$A:$L,5)</f>
        <v/>
      </c>
      <c r="F753" s="88">
        <f>VLOOKUP(Table91213[[#This Row],[Date]],'DB Details'!$A:$L,6)</f>
        <v/>
      </c>
      <c r="G753" s="41">
        <f>VLOOKUP(Table91213[[#This Row],[Date]],'DB Details'!$A:$L,7)</f>
        <v/>
      </c>
      <c r="H753" s="88">
        <f>VLOOKUP(Table91213[[#This Row],[Date]],'DB Details'!$A:$L,8)</f>
        <v/>
      </c>
      <c r="I753" s="88">
        <f>VLOOKUP(Table91213[[#This Row],[Date]],'DB Details'!$A:$L,9)</f>
        <v/>
      </c>
      <c r="J753" s="88">
        <f>VLOOKUP(Table91213[[#This Row],[Date]],'DB Details'!$A:$L,10)</f>
        <v/>
      </c>
      <c r="K753" s="41">
        <f>VLOOKUP(Table91213[[#This Row],[Date]],'DB Details'!$A:$L,11)</f>
        <v/>
      </c>
      <c r="L753" s="88">
        <f>VLOOKUP(Table91213[[#This Row],[Date]],'DB Details'!$A:$L,12)</f>
        <v/>
      </c>
    </row>
    <row r="754">
      <c r="A754" s="39" t="n">
        <v>40299</v>
      </c>
      <c r="B754" s="57">
        <f>VLOOKUP(Table91213[[#This Row],[Date]],'DB Details'!$A:$L,2)</f>
        <v/>
      </c>
      <c r="C754" s="41">
        <f>VLOOKUP(Table91213[[#This Row],[Date]],'DB Details'!$A:$L,3)</f>
        <v/>
      </c>
      <c r="D754" s="55">
        <f>VLOOKUP(Table91213[[#This Row],[Date]],'DB Details'!$A:$L,4)</f>
        <v/>
      </c>
      <c r="E754" s="88">
        <f>VLOOKUP(Table91213[[#This Row],[Date]],'DB Details'!$A:$L,5)</f>
        <v/>
      </c>
      <c r="F754" s="88">
        <f>VLOOKUP(Table91213[[#This Row],[Date]],'DB Details'!$A:$L,6)</f>
        <v/>
      </c>
      <c r="G754" s="41">
        <f>VLOOKUP(Table91213[[#This Row],[Date]],'DB Details'!$A:$L,7)</f>
        <v/>
      </c>
      <c r="H754" s="88">
        <f>VLOOKUP(Table91213[[#This Row],[Date]],'DB Details'!$A:$L,8)</f>
        <v/>
      </c>
      <c r="I754" s="88">
        <f>VLOOKUP(Table91213[[#This Row],[Date]],'DB Details'!$A:$L,9)</f>
        <v/>
      </c>
      <c r="J754" s="88">
        <f>VLOOKUP(Table91213[[#This Row],[Date]],'DB Details'!$A:$L,10)</f>
        <v/>
      </c>
      <c r="K754" s="41">
        <f>VLOOKUP(Table91213[[#This Row],[Date]],'DB Details'!$A:$L,11)</f>
        <v/>
      </c>
      <c r="L754" s="88">
        <f>VLOOKUP(Table91213[[#This Row],[Date]],'DB Details'!$A:$L,12)</f>
        <v/>
      </c>
    </row>
    <row r="755">
      <c r="A755" s="39" t="n">
        <v>40330</v>
      </c>
      <c r="B755" s="57">
        <f>VLOOKUP(Table91213[[#This Row],[Date]],'DB Details'!$A:$L,2)</f>
        <v/>
      </c>
      <c r="C755" s="41">
        <f>VLOOKUP(Table91213[[#This Row],[Date]],'DB Details'!$A:$L,3)</f>
        <v/>
      </c>
      <c r="D755" s="55">
        <f>VLOOKUP(Table91213[[#This Row],[Date]],'DB Details'!$A:$L,4)</f>
        <v/>
      </c>
      <c r="E755" s="88">
        <f>VLOOKUP(Table91213[[#This Row],[Date]],'DB Details'!$A:$L,5)</f>
        <v/>
      </c>
      <c r="F755" s="88">
        <f>VLOOKUP(Table91213[[#This Row],[Date]],'DB Details'!$A:$L,6)</f>
        <v/>
      </c>
      <c r="G755" s="41">
        <f>VLOOKUP(Table91213[[#This Row],[Date]],'DB Details'!$A:$L,7)</f>
        <v/>
      </c>
      <c r="H755" s="88">
        <f>VLOOKUP(Table91213[[#This Row],[Date]],'DB Details'!$A:$L,8)</f>
        <v/>
      </c>
      <c r="I755" s="88">
        <f>VLOOKUP(Table91213[[#This Row],[Date]],'DB Details'!$A:$L,9)</f>
        <v/>
      </c>
      <c r="J755" s="88">
        <f>VLOOKUP(Table91213[[#This Row],[Date]],'DB Details'!$A:$L,10)</f>
        <v/>
      </c>
      <c r="K755" s="41">
        <f>VLOOKUP(Table91213[[#This Row],[Date]],'DB Details'!$A:$L,11)</f>
        <v/>
      </c>
      <c r="L755" s="88">
        <f>VLOOKUP(Table91213[[#This Row],[Date]],'DB Details'!$A:$L,12)</f>
        <v/>
      </c>
    </row>
    <row r="756">
      <c r="A756" s="39" t="n">
        <v>40360</v>
      </c>
      <c r="B756" s="57">
        <f>VLOOKUP(Table91213[[#This Row],[Date]],'DB Details'!$A:$L,2)</f>
        <v/>
      </c>
      <c r="C756" s="41">
        <f>VLOOKUP(Table91213[[#This Row],[Date]],'DB Details'!$A:$L,3)</f>
        <v/>
      </c>
      <c r="D756" s="55">
        <f>VLOOKUP(Table91213[[#This Row],[Date]],'DB Details'!$A:$L,4)</f>
        <v/>
      </c>
      <c r="E756" s="88">
        <f>VLOOKUP(Table91213[[#This Row],[Date]],'DB Details'!$A:$L,5)</f>
        <v/>
      </c>
      <c r="F756" s="88">
        <f>VLOOKUP(Table91213[[#This Row],[Date]],'DB Details'!$A:$L,6)</f>
        <v/>
      </c>
      <c r="G756" s="41">
        <f>VLOOKUP(Table91213[[#This Row],[Date]],'DB Details'!$A:$L,7)</f>
        <v/>
      </c>
      <c r="H756" s="88">
        <f>VLOOKUP(Table91213[[#This Row],[Date]],'DB Details'!$A:$L,8)</f>
        <v/>
      </c>
      <c r="I756" s="88">
        <f>VLOOKUP(Table91213[[#This Row],[Date]],'DB Details'!$A:$L,9)</f>
        <v/>
      </c>
      <c r="J756" s="88">
        <f>VLOOKUP(Table91213[[#This Row],[Date]],'DB Details'!$A:$L,10)</f>
        <v/>
      </c>
      <c r="K756" s="41">
        <f>VLOOKUP(Table91213[[#This Row],[Date]],'DB Details'!$A:$L,11)</f>
        <v/>
      </c>
      <c r="L756" s="88">
        <f>VLOOKUP(Table91213[[#This Row],[Date]],'DB Details'!$A:$L,12)</f>
        <v/>
      </c>
    </row>
    <row r="757">
      <c r="A757" s="39" t="n">
        <v>40391</v>
      </c>
      <c r="B757" s="57">
        <f>VLOOKUP(Table91213[[#This Row],[Date]],'DB Details'!$A:$L,2)</f>
        <v/>
      </c>
      <c r="C757" s="41">
        <f>VLOOKUP(Table91213[[#This Row],[Date]],'DB Details'!$A:$L,3)</f>
        <v/>
      </c>
      <c r="D757" s="55">
        <f>VLOOKUP(Table91213[[#This Row],[Date]],'DB Details'!$A:$L,4)</f>
        <v/>
      </c>
      <c r="E757" s="88">
        <f>VLOOKUP(Table91213[[#This Row],[Date]],'DB Details'!$A:$L,5)</f>
        <v/>
      </c>
      <c r="F757" s="88">
        <f>VLOOKUP(Table91213[[#This Row],[Date]],'DB Details'!$A:$L,6)</f>
        <v/>
      </c>
      <c r="G757" s="41">
        <f>VLOOKUP(Table91213[[#This Row],[Date]],'DB Details'!$A:$L,7)</f>
        <v/>
      </c>
      <c r="H757" s="88">
        <f>VLOOKUP(Table91213[[#This Row],[Date]],'DB Details'!$A:$L,8)</f>
        <v/>
      </c>
      <c r="I757" s="88">
        <f>VLOOKUP(Table91213[[#This Row],[Date]],'DB Details'!$A:$L,9)</f>
        <v/>
      </c>
      <c r="J757" s="88">
        <f>VLOOKUP(Table91213[[#This Row],[Date]],'DB Details'!$A:$L,10)</f>
        <v/>
      </c>
      <c r="K757" s="41">
        <f>VLOOKUP(Table91213[[#This Row],[Date]],'DB Details'!$A:$L,11)</f>
        <v/>
      </c>
      <c r="L757" s="88">
        <f>VLOOKUP(Table91213[[#This Row],[Date]],'DB Details'!$A:$L,12)</f>
        <v/>
      </c>
    </row>
    <row r="758">
      <c r="A758" s="39" t="n">
        <v>40422</v>
      </c>
      <c r="B758" s="57">
        <f>VLOOKUP(Table91213[[#This Row],[Date]],'DB Details'!$A:$L,2)</f>
        <v/>
      </c>
      <c r="C758" s="41">
        <f>VLOOKUP(Table91213[[#This Row],[Date]],'DB Details'!$A:$L,3)</f>
        <v/>
      </c>
      <c r="D758" s="55">
        <f>VLOOKUP(Table91213[[#This Row],[Date]],'DB Details'!$A:$L,4)</f>
        <v/>
      </c>
      <c r="E758" s="88">
        <f>VLOOKUP(Table91213[[#This Row],[Date]],'DB Details'!$A:$L,5)</f>
        <v/>
      </c>
      <c r="F758" s="88">
        <f>VLOOKUP(Table91213[[#This Row],[Date]],'DB Details'!$A:$L,6)</f>
        <v/>
      </c>
      <c r="G758" s="41">
        <f>VLOOKUP(Table91213[[#This Row],[Date]],'DB Details'!$A:$L,7)</f>
        <v/>
      </c>
      <c r="H758" s="88">
        <f>VLOOKUP(Table91213[[#This Row],[Date]],'DB Details'!$A:$L,8)</f>
        <v/>
      </c>
      <c r="I758" s="88">
        <f>VLOOKUP(Table91213[[#This Row],[Date]],'DB Details'!$A:$L,9)</f>
        <v/>
      </c>
      <c r="J758" s="88">
        <f>VLOOKUP(Table91213[[#This Row],[Date]],'DB Details'!$A:$L,10)</f>
        <v/>
      </c>
      <c r="K758" s="41">
        <f>VLOOKUP(Table91213[[#This Row],[Date]],'DB Details'!$A:$L,11)</f>
        <v/>
      </c>
      <c r="L758" s="88">
        <f>VLOOKUP(Table91213[[#This Row],[Date]],'DB Details'!$A:$L,12)</f>
        <v/>
      </c>
    </row>
    <row r="759">
      <c r="A759" s="39" t="n">
        <v>40452</v>
      </c>
      <c r="B759" s="57">
        <f>VLOOKUP(Table91213[[#This Row],[Date]],'DB Details'!$A:$L,2)</f>
        <v/>
      </c>
      <c r="C759" s="41">
        <f>VLOOKUP(Table91213[[#This Row],[Date]],'DB Details'!$A:$L,3)</f>
        <v/>
      </c>
      <c r="D759" s="55">
        <f>VLOOKUP(Table91213[[#This Row],[Date]],'DB Details'!$A:$L,4)</f>
        <v/>
      </c>
      <c r="E759" s="88">
        <f>VLOOKUP(Table91213[[#This Row],[Date]],'DB Details'!$A:$L,5)</f>
        <v/>
      </c>
      <c r="F759" s="88">
        <f>VLOOKUP(Table91213[[#This Row],[Date]],'DB Details'!$A:$L,6)</f>
        <v/>
      </c>
      <c r="G759" s="41">
        <f>VLOOKUP(Table91213[[#This Row],[Date]],'DB Details'!$A:$L,7)</f>
        <v/>
      </c>
      <c r="H759" s="88">
        <f>VLOOKUP(Table91213[[#This Row],[Date]],'DB Details'!$A:$L,8)</f>
        <v/>
      </c>
      <c r="I759" s="88">
        <f>VLOOKUP(Table91213[[#This Row],[Date]],'DB Details'!$A:$L,9)</f>
        <v/>
      </c>
      <c r="J759" s="88">
        <f>VLOOKUP(Table91213[[#This Row],[Date]],'DB Details'!$A:$L,10)</f>
        <v/>
      </c>
      <c r="K759" s="41">
        <f>VLOOKUP(Table91213[[#This Row],[Date]],'DB Details'!$A:$L,11)</f>
        <v/>
      </c>
      <c r="L759" s="88">
        <f>VLOOKUP(Table91213[[#This Row],[Date]],'DB Details'!$A:$L,12)</f>
        <v/>
      </c>
    </row>
    <row r="760">
      <c r="A760" s="39" t="n">
        <v>40483</v>
      </c>
      <c r="B760" s="57">
        <f>VLOOKUP(Table91213[[#This Row],[Date]],'DB Details'!$A:$L,2)</f>
        <v/>
      </c>
      <c r="C760" s="41">
        <f>VLOOKUP(Table91213[[#This Row],[Date]],'DB Details'!$A:$L,3)</f>
        <v/>
      </c>
      <c r="D760" s="55">
        <f>VLOOKUP(Table91213[[#This Row],[Date]],'DB Details'!$A:$L,4)</f>
        <v/>
      </c>
      <c r="E760" s="88">
        <f>VLOOKUP(Table91213[[#This Row],[Date]],'DB Details'!$A:$L,5)</f>
        <v/>
      </c>
      <c r="F760" s="88">
        <f>VLOOKUP(Table91213[[#This Row],[Date]],'DB Details'!$A:$L,6)</f>
        <v/>
      </c>
      <c r="G760" s="41">
        <f>VLOOKUP(Table91213[[#This Row],[Date]],'DB Details'!$A:$L,7)</f>
        <v/>
      </c>
      <c r="H760" s="88">
        <f>VLOOKUP(Table91213[[#This Row],[Date]],'DB Details'!$A:$L,8)</f>
        <v/>
      </c>
      <c r="I760" s="88">
        <f>VLOOKUP(Table91213[[#This Row],[Date]],'DB Details'!$A:$L,9)</f>
        <v/>
      </c>
      <c r="J760" s="88">
        <f>VLOOKUP(Table91213[[#This Row],[Date]],'DB Details'!$A:$L,10)</f>
        <v/>
      </c>
      <c r="K760" s="41">
        <f>VLOOKUP(Table91213[[#This Row],[Date]],'DB Details'!$A:$L,11)</f>
        <v/>
      </c>
      <c r="L760" s="88">
        <f>VLOOKUP(Table91213[[#This Row],[Date]],'DB Details'!$A:$L,12)</f>
        <v/>
      </c>
    </row>
    <row r="761">
      <c r="A761" s="39" t="n">
        <v>40513</v>
      </c>
      <c r="B761" s="57">
        <f>VLOOKUP(Table91213[[#This Row],[Date]],'DB Details'!$A:$L,2)</f>
        <v/>
      </c>
      <c r="C761" s="41">
        <f>VLOOKUP(Table91213[[#This Row],[Date]],'DB Details'!$A:$L,3)</f>
        <v/>
      </c>
      <c r="D761" s="55">
        <f>VLOOKUP(Table91213[[#This Row],[Date]],'DB Details'!$A:$L,4)</f>
        <v/>
      </c>
      <c r="E761" s="88">
        <f>VLOOKUP(Table91213[[#This Row],[Date]],'DB Details'!$A:$L,5)</f>
        <v/>
      </c>
      <c r="F761" s="88">
        <f>VLOOKUP(Table91213[[#This Row],[Date]],'DB Details'!$A:$L,6)</f>
        <v/>
      </c>
      <c r="G761" s="41">
        <f>VLOOKUP(Table91213[[#This Row],[Date]],'DB Details'!$A:$L,7)</f>
        <v/>
      </c>
      <c r="H761" s="88">
        <f>VLOOKUP(Table91213[[#This Row],[Date]],'DB Details'!$A:$L,8)</f>
        <v/>
      </c>
      <c r="I761" s="88">
        <f>VLOOKUP(Table91213[[#This Row],[Date]],'DB Details'!$A:$L,9)</f>
        <v/>
      </c>
      <c r="J761" s="88">
        <f>VLOOKUP(Table91213[[#This Row],[Date]],'DB Details'!$A:$L,10)</f>
        <v/>
      </c>
      <c r="K761" s="41">
        <f>VLOOKUP(Table91213[[#This Row],[Date]],'DB Details'!$A:$L,11)</f>
        <v/>
      </c>
      <c r="L761" s="88">
        <f>VLOOKUP(Table91213[[#This Row],[Date]],'DB Details'!$A:$L,12)</f>
        <v/>
      </c>
    </row>
    <row r="762">
      <c r="A762" s="39" t="n">
        <v>40544</v>
      </c>
      <c r="B762" s="57">
        <f>VLOOKUP(Table91213[[#This Row],[Date]],'DB Details'!$A:$L,2)</f>
        <v/>
      </c>
      <c r="C762" s="41">
        <f>VLOOKUP(Table91213[[#This Row],[Date]],'DB Details'!$A:$L,3)</f>
        <v/>
      </c>
      <c r="D762" s="55">
        <f>VLOOKUP(Table91213[[#This Row],[Date]],'DB Details'!$A:$L,4)</f>
        <v/>
      </c>
      <c r="E762" s="88">
        <f>VLOOKUP(Table91213[[#This Row],[Date]],'DB Details'!$A:$L,5)</f>
        <v/>
      </c>
      <c r="F762" s="88">
        <f>VLOOKUP(Table91213[[#This Row],[Date]],'DB Details'!$A:$L,6)</f>
        <v/>
      </c>
      <c r="G762" s="41">
        <f>VLOOKUP(Table91213[[#This Row],[Date]],'DB Details'!$A:$L,7)</f>
        <v/>
      </c>
      <c r="H762" s="88">
        <f>VLOOKUP(Table91213[[#This Row],[Date]],'DB Details'!$A:$L,8)</f>
        <v/>
      </c>
      <c r="I762" s="88">
        <f>VLOOKUP(Table91213[[#This Row],[Date]],'DB Details'!$A:$L,9)</f>
        <v/>
      </c>
      <c r="J762" s="88">
        <f>VLOOKUP(Table91213[[#This Row],[Date]],'DB Details'!$A:$L,10)</f>
        <v/>
      </c>
      <c r="K762" s="41">
        <f>VLOOKUP(Table91213[[#This Row],[Date]],'DB Details'!$A:$L,11)</f>
        <v/>
      </c>
      <c r="L762" s="88">
        <f>VLOOKUP(Table91213[[#This Row],[Date]],'DB Details'!$A:$L,12)</f>
        <v/>
      </c>
    </row>
    <row r="763">
      <c r="A763" s="39" t="n">
        <v>40575</v>
      </c>
      <c r="B763" s="57">
        <f>VLOOKUP(Table91213[[#This Row],[Date]],'DB Details'!$A:$L,2)</f>
        <v/>
      </c>
      <c r="C763" s="41">
        <f>VLOOKUP(Table91213[[#This Row],[Date]],'DB Details'!$A:$L,3)</f>
        <v/>
      </c>
      <c r="D763" s="55">
        <f>VLOOKUP(Table91213[[#This Row],[Date]],'DB Details'!$A:$L,4)</f>
        <v/>
      </c>
      <c r="E763" s="88">
        <f>VLOOKUP(Table91213[[#This Row],[Date]],'DB Details'!$A:$L,5)</f>
        <v/>
      </c>
      <c r="F763" s="88">
        <f>VLOOKUP(Table91213[[#This Row],[Date]],'DB Details'!$A:$L,6)</f>
        <v/>
      </c>
      <c r="G763" s="41">
        <f>VLOOKUP(Table91213[[#This Row],[Date]],'DB Details'!$A:$L,7)</f>
        <v/>
      </c>
      <c r="H763" s="88">
        <f>VLOOKUP(Table91213[[#This Row],[Date]],'DB Details'!$A:$L,8)</f>
        <v/>
      </c>
      <c r="I763" s="88">
        <f>VLOOKUP(Table91213[[#This Row],[Date]],'DB Details'!$A:$L,9)</f>
        <v/>
      </c>
      <c r="J763" s="88">
        <f>VLOOKUP(Table91213[[#This Row],[Date]],'DB Details'!$A:$L,10)</f>
        <v/>
      </c>
      <c r="K763" s="41">
        <f>VLOOKUP(Table91213[[#This Row],[Date]],'DB Details'!$A:$L,11)</f>
        <v/>
      </c>
      <c r="L763" s="88">
        <f>VLOOKUP(Table91213[[#This Row],[Date]],'DB Details'!$A:$L,12)</f>
        <v/>
      </c>
    </row>
    <row r="764">
      <c r="A764" s="39" t="n">
        <v>40603</v>
      </c>
      <c r="B764" s="57">
        <f>VLOOKUP(Table91213[[#This Row],[Date]],'DB Details'!$A:$L,2)</f>
        <v/>
      </c>
      <c r="C764" s="41">
        <f>VLOOKUP(Table91213[[#This Row],[Date]],'DB Details'!$A:$L,3)</f>
        <v/>
      </c>
      <c r="D764" s="55">
        <f>VLOOKUP(Table91213[[#This Row],[Date]],'DB Details'!$A:$L,4)</f>
        <v/>
      </c>
      <c r="E764" s="88">
        <f>VLOOKUP(Table91213[[#This Row],[Date]],'DB Details'!$A:$L,5)</f>
        <v/>
      </c>
      <c r="F764" s="88">
        <f>VLOOKUP(Table91213[[#This Row],[Date]],'DB Details'!$A:$L,6)</f>
        <v/>
      </c>
      <c r="G764" s="41">
        <f>VLOOKUP(Table91213[[#This Row],[Date]],'DB Details'!$A:$L,7)</f>
        <v/>
      </c>
      <c r="H764" s="88">
        <f>VLOOKUP(Table91213[[#This Row],[Date]],'DB Details'!$A:$L,8)</f>
        <v/>
      </c>
      <c r="I764" s="88">
        <f>VLOOKUP(Table91213[[#This Row],[Date]],'DB Details'!$A:$L,9)</f>
        <v/>
      </c>
      <c r="J764" s="88">
        <f>VLOOKUP(Table91213[[#This Row],[Date]],'DB Details'!$A:$L,10)</f>
        <v/>
      </c>
      <c r="K764" s="41">
        <f>VLOOKUP(Table91213[[#This Row],[Date]],'DB Details'!$A:$L,11)</f>
        <v/>
      </c>
      <c r="L764" s="88">
        <f>VLOOKUP(Table91213[[#This Row],[Date]],'DB Details'!$A:$L,12)</f>
        <v/>
      </c>
    </row>
    <row r="765">
      <c r="A765" s="39" t="n">
        <v>40634</v>
      </c>
      <c r="B765" s="57">
        <f>VLOOKUP(Table91213[[#This Row],[Date]],'DB Details'!$A:$L,2)</f>
        <v/>
      </c>
      <c r="C765" s="41">
        <f>VLOOKUP(Table91213[[#This Row],[Date]],'DB Details'!$A:$L,3)</f>
        <v/>
      </c>
      <c r="D765" s="55">
        <f>VLOOKUP(Table91213[[#This Row],[Date]],'DB Details'!$A:$L,4)</f>
        <v/>
      </c>
      <c r="E765" s="88">
        <f>VLOOKUP(Table91213[[#This Row],[Date]],'DB Details'!$A:$L,5)</f>
        <v/>
      </c>
      <c r="F765" s="88">
        <f>VLOOKUP(Table91213[[#This Row],[Date]],'DB Details'!$A:$L,6)</f>
        <v/>
      </c>
      <c r="G765" s="41">
        <f>VLOOKUP(Table91213[[#This Row],[Date]],'DB Details'!$A:$L,7)</f>
        <v/>
      </c>
      <c r="H765" s="88">
        <f>VLOOKUP(Table91213[[#This Row],[Date]],'DB Details'!$A:$L,8)</f>
        <v/>
      </c>
      <c r="I765" s="88">
        <f>VLOOKUP(Table91213[[#This Row],[Date]],'DB Details'!$A:$L,9)</f>
        <v/>
      </c>
      <c r="J765" s="88">
        <f>VLOOKUP(Table91213[[#This Row],[Date]],'DB Details'!$A:$L,10)</f>
        <v/>
      </c>
      <c r="K765" s="41">
        <f>VLOOKUP(Table91213[[#This Row],[Date]],'DB Details'!$A:$L,11)</f>
        <v/>
      </c>
      <c r="L765" s="88">
        <f>VLOOKUP(Table91213[[#This Row],[Date]],'DB Details'!$A:$L,12)</f>
        <v/>
      </c>
    </row>
    <row r="766">
      <c r="A766" s="39" t="n">
        <v>40664</v>
      </c>
      <c r="B766" s="57">
        <f>VLOOKUP(Table91213[[#This Row],[Date]],'DB Details'!$A:$L,2)</f>
        <v/>
      </c>
      <c r="C766" s="41">
        <f>VLOOKUP(Table91213[[#This Row],[Date]],'DB Details'!$A:$L,3)</f>
        <v/>
      </c>
      <c r="D766" s="55">
        <f>VLOOKUP(Table91213[[#This Row],[Date]],'DB Details'!$A:$L,4)</f>
        <v/>
      </c>
      <c r="E766" s="88">
        <f>VLOOKUP(Table91213[[#This Row],[Date]],'DB Details'!$A:$L,5)</f>
        <v/>
      </c>
      <c r="F766" s="88">
        <f>VLOOKUP(Table91213[[#This Row],[Date]],'DB Details'!$A:$L,6)</f>
        <v/>
      </c>
      <c r="G766" s="41">
        <f>VLOOKUP(Table91213[[#This Row],[Date]],'DB Details'!$A:$L,7)</f>
        <v/>
      </c>
      <c r="H766" s="88">
        <f>VLOOKUP(Table91213[[#This Row],[Date]],'DB Details'!$A:$L,8)</f>
        <v/>
      </c>
      <c r="I766" s="88">
        <f>VLOOKUP(Table91213[[#This Row],[Date]],'DB Details'!$A:$L,9)</f>
        <v/>
      </c>
      <c r="J766" s="88">
        <f>VLOOKUP(Table91213[[#This Row],[Date]],'DB Details'!$A:$L,10)</f>
        <v/>
      </c>
      <c r="K766" s="41">
        <f>VLOOKUP(Table91213[[#This Row],[Date]],'DB Details'!$A:$L,11)</f>
        <v/>
      </c>
      <c r="L766" s="88">
        <f>VLOOKUP(Table91213[[#This Row],[Date]],'DB Details'!$A:$L,12)</f>
        <v/>
      </c>
    </row>
    <row r="767">
      <c r="A767" s="39" t="n">
        <v>40695</v>
      </c>
      <c r="B767" s="57">
        <f>VLOOKUP(Table91213[[#This Row],[Date]],'DB Details'!$A:$L,2)</f>
        <v/>
      </c>
      <c r="C767" s="41">
        <f>VLOOKUP(Table91213[[#This Row],[Date]],'DB Details'!$A:$L,3)</f>
        <v/>
      </c>
      <c r="D767" s="55">
        <f>VLOOKUP(Table91213[[#This Row],[Date]],'DB Details'!$A:$L,4)</f>
        <v/>
      </c>
      <c r="E767" s="88">
        <f>VLOOKUP(Table91213[[#This Row],[Date]],'DB Details'!$A:$L,5)</f>
        <v/>
      </c>
      <c r="F767" s="88">
        <f>VLOOKUP(Table91213[[#This Row],[Date]],'DB Details'!$A:$L,6)</f>
        <v/>
      </c>
      <c r="G767" s="41">
        <f>VLOOKUP(Table91213[[#This Row],[Date]],'DB Details'!$A:$L,7)</f>
        <v/>
      </c>
      <c r="H767" s="88">
        <f>VLOOKUP(Table91213[[#This Row],[Date]],'DB Details'!$A:$L,8)</f>
        <v/>
      </c>
      <c r="I767" s="88">
        <f>VLOOKUP(Table91213[[#This Row],[Date]],'DB Details'!$A:$L,9)</f>
        <v/>
      </c>
      <c r="J767" s="88">
        <f>VLOOKUP(Table91213[[#This Row],[Date]],'DB Details'!$A:$L,10)</f>
        <v/>
      </c>
      <c r="K767" s="41">
        <f>VLOOKUP(Table91213[[#This Row],[Date]],'DB Details'!$A:$L,11)</f>
        <v/>
      </c>
      <c r="L767" s="88">
        <f>VLOOKUP(Table91213[[#This Row],[Date]],'DB Details'!$A:$L,12)</f>
        <v/>
      </c>
    </row>
    <row r="768">
      <c r="A768" s="39" t="n">
        <v>40725</v>
      </c>
      <c r="B768" s="57">
        <f>VLOOKUP(Table91213[[#This Row],[Date]],'DB Details'!$A:$L,2)</f>
        <v/>
      </c>
      <c r="C768" s="41">
        <f>VLOOKUP(Table91213[[#This Row],[Date]],'DB Details'!$A:$L,3)</f>
        <v/>
      </c>
      <c r="D768" s="55">
        <f>VLOOKUP(Table91213[[#This Row],[Date]],'DB Details'!$A:$L,4)</f>
        <v/>
      </c>
      <c r="E768" s="88">
        <f>VLOOKUP(Table91213[[#This Row],[Date]],'DB Details'!$A:$L,5)</f>
        <v/>
      </c>
      <c r="F768" s="88">
        <f>VLOOKUP(Table91213[[#This Row],[Date]],'DB Details'!$A:$L,6)</f>
        <v/>
      </c>
      <c r="G768" s="41">
        <f>VLOOKUP(Table91213[[#This Row],[Date]],'DB Details'!$A:$L,7)</f>
        <v/>
      </c>
      <c r="H768" s="88">
        <f>VLOOKUP(Table91213[[#This Row],[Date]],'DB Details'!$A:$L,8)</f>
        <v/>
      </c>
      <c r="I768" s="88">
        <f>VLOOKUP(Table91213[[#This Row],[Date]],'DB Details'!$A:$L,9)</f>
        <v/>
      </c>
      <c r="J768" s="88">
        <f>VLOOKUP(Table91213[[#This Row],[Date]],'DB Details'!$A:$L,10)</f>
        <v/>
      </c>
      <c r="K768" s="41">
        <f>VLOOKUP(Table91213[[#This Row],[Date]],'DB Details'!$A:$L,11)</f>
        <v/>
      </c>
      <c r="L768" s="88">
        <f>VLOOKUP(Table91213[[#This Row],[Date]],'DB Details'!$A:$L,12)</f>
        <v/>
      </c>
    </row>
    <row r="769">
      <c r="A769" s="39" t="n">
        <v>40756</v>
      </c>
      <c r="B769" s="57">
        <f>VLOOKUP(Table91213[[#This Row],[Date]],'DB Details'!$A:$L,2)</f>
        <v/>
      </c>
      <c r="C769" s="41">
        <f>VLOOKUP(Table91213[[#This Row],[Date]],'DB Details'!$A:$L,3)</f>
        <v/>
      </c>
      <c r="D769" s="55">
        <f>VLOOKUP(Table91213[[#This Row],[Date]],'DB Details'!$A:$L,4)</f>
        <v/>
      </c>
      <c r="E769" s="88">
        <f>VLOOKUP(Table91213[[#This Row],[Date]],'DB Details'!$A:$L,5)</f>
        <v/>
      </c>
      <c r="F769" s="88">
        <f>VLOOKUP(Table91213[[#This Row],[Date]],'DB Details'!$A:$L,6)</f>
        <v/>
      </c>
      <c r="G769" s="41">
        <f>VLOOKUP(Table91213[[#This Row],[Date]],'DB Details'!$A:$L,7)</f>
        <v/>
      </c>
      <c r="H769" s="88">
        <f>VLOOKUP(Table91213[[#This Row],[Date]],'DB Details'!$A:$L,8)</f>
        <v/>
      </c>
      <c r="I769" s="88">
        <f>VLOOKUP(Table91213[[#This Row],[Date]],'DB Details'!$A:$L,9)</f>
        <v/>
      </c>
      <c r="J769" s="88">
        <f>VLOOKUP(Table91213[[#This Row],[Date]],'DB Details'!$A:$L,10)</f>
        <v/>
      </c>
      <c r="K769" s="41">
        <f>VLOOKUP(Table91213[[#This Row],[Date]],'DB Details'!$A:$L,11)</f>
        <v/>
      </c>
      <c r="L769" s="88">
        <f>VLOOKUP(Table91213[[#This Row],[Date]],'DB Details'!$A:$L,12)</f>
        <v/>
      </c>
    </row>
    <row r="770">
      <c r="A770" s="39" t="n">
        <v>40787</v>
      </c>
      <c r="B770" s="57">
        <f>VLOOKUP(Table91213[[#This Row],[Date]],'DB Details'!$A:$L,2)</f>
        <v/>
      </c>
      <c r="C770" s="41">
        <f>VLOOKUP(Table91213[[#This Row],[Date]],'DB Details'!$A:$L,3)</f>
        <v/>
      </c>
      <c r="D770" s="55">
        <f>VLOOKUP(Table91213[[#This Row],[Date]],'DB Details'!$A:$L,4)</f>
        <v/>
      </c>
      <c r="E770" s="88">
        <f>VLOOKUP(Table91213[[#This Row],[Date]],'DB Details'!$A:$L,5)</f>
        <v/>
      </c>
      <c r="F770" s="88">
        <f>VLOOKUP(Table91213[[#This Row],[Date]],'DB Details'!$A:$L,6)</f>
        <v/>
      </c>
      <c r="G770" s="41">
        <f>VLOOKUP(Table91213[[#This Row],[Date]],'DB Details'!$A:$L,7)</f>
        <v/>
      </c>
      <c r="H770" s="88">
        <f>VLOOKUP(Table91213[[#This Row],[Date]],'DB Details'!$A:$L,8)</f>
        <v/>
      </c>
      <c r="I770" s="88">
        <f>VLOOKUP(Table91213[[#This Row],[Date]],'DB Details'!$A:$L,9)</f>
        <v/>
      </c>
      <c r="J770" s="88">
        <f>VLOOKUP(Table91213[[#This Row],[Date]],'DB Details'!$A:$L,10)</f>
        <v/>
      </c>
      <c r="K770" s="41">
        <f>VLOOKUP(Table91213[[#This Row],[Date]],'DB Details'!$A:$L,11)</f>
        <v/>
      </c>
      <c r="L770" s="88">
        <f>VLOOKUP(Table91213[[#This Row],[Date]],'DB Details'!$A:$L,12)</f>
        <v/>
      </c>
    </row>
    <row r="771">
      <c r="A771" s="39" t="n">
        <v>40817</v>
      </c>
      <c r="B771" s="57">
        <f>VLOOKUP(Table91213[[#This Row],[Date]],'DB Details'!$A:$L,2)</f>
        <v/>
      </c>
      <c r="C771" s="41">
        <f>VLOOKUP(Table91213[[#This Row],[Date]],'DB Details'!$A:$L,3)</f>
        <v/>
      </c>
      <c r="D771" s="55">
        <f>VLOOKUP(Table91213[[#This Row],[Date]],'DB Details'!$A:$L,4)</f>
        <v/>
      </c>
      <c r="E771" s="88">
        <f>VLOOKUP(Table91213[[#This Row],[Date]],'DB Details'!$A:$L,5)</f>
        <v/>
      </c>
      <c r="F771" s="88">
        <f>VLOOKUP(Table91213[[#This Row],[Date]],'DB Details'!$A:$L,6)</f>
        <v/>
      </c>
      <c r="G771" s="41">
        <f>VLOOKUP(Table91213[[#This Row],[Date]],'DB Details'!$A:$L,7)</f>
        <v/>
      </c>
      <c r="H771" s="88">
        <f>VLOOKUP(Table91213[[#This Row],[Date]],'DB Details'!$A:$L,8)</f>
        <v/>
      </c>
      <c r="I771" s="88">
        <f>VLOOKUP(Table91213[[#This Row],[Date]],'DB Details'!$A:$L,9)</f>
        <v/>
      </c>
      <c r="J771" s="88">
        <f>VLOOKUP(Table91213[[#This Row],[Date]],'DB Details'!$A:$L,10)</f>
        <v/>
      </c>
      <c r="K771" s="41">
        <f>VLOOKUP(Table91213[[#This Row],[Date]],'DB Details'!$A:$L,11)</f>
        <v/>
      </c>
      <c r="L771" s="88">
        <f>VLOOKUP(Table91213[[#This Row],[Date]],'DB Details'!$A:$L,12)</f>
        <v/>
      </c>
    </row>
    <row r="772">
      <c r="A772" s="39" t="n">
        <v>40848</v>
      </c>
      <c r="B772" s="57">
        <f>VLOOKUP(Table91213[[#This Row],[Date]],'DB Details'!$A:$L,2)</f>
        <v/>
      </c>
      <c r="C772" s="41">
        <f>VLOOKUP(Table91213[[#This Row],[Date]],'DB Details'!$A:$L,3)</f>
        <v/>
      </c>
      <c r="D772" s="55">
        <f>VLOOKUP(Table91213[[#This Row],[Date]],'DB Details'!$A:$L,4)</f>
        <v/>
      </c>
      <c r="E772" s="88">
        <f>VLOOKUP(Table91213[[#This Row],[Date]],'DB Details'!$A:$L,5)</f>
        <v/>
      </c>
      <c r="F772" s="88">
        <f>VLOOKUP(Table91213[[#This Row],[Date]],'DB Details'!$A:$L,6)</f>
        <v/>
      </c>
      <c r="G772" s="41">
        <f>VLOOKUP(Table91213[[#This Row],[Date]],'DB Details'!$A:$L,7)</f>
        <v/>
      </c>
      <c r="H772" s="88">
        <f>VLOOKUP(Table91213[[#This Row],[Date]],'DB Details'!$A:$L,8)</f>
        <v/>
      </c>
      <c r="I772" s="88">
        <f>VLOOKUP(Table91213[[#This Row],[Date]],'DB Details'!$A:$L,9)</f>
        <v/>
      </c>
      <c r="J772" s="88">
        <f>VLOOKUP(Table91213[[#This Row],[Date]],'DB Details'!$A:$L,10)</f>
        <v/>
      </c>
      <c r="K772" s="41">
        <f>VLOOKUP(Table91213[[#This Row],[Date]],'DB Details'!$A:$L,11)</f>
        <v/>
      </c>
      <c r="L772" s="88">
        <f>VLOOKUP(Table91213[[#This Row],[Date]],'DB Details'!$A:$L,12)</f>
        <v/>
      </c>
    </row>
    <row r="773">
      <c r="A773" s="39" t="n">
        <v>40878</v>
      </c>
      <c r="B773" s="57">
        <f>VLOOKUP(Table91213[[#This Row],[Date]],'DB Details'!$A:$L,2)</f>
        <v/>
      </c>
      <c r="C773" s="41">
        <f>VLOOKUP(Table91213[[#This Row],[Date]],'DB Details'!$A:$L,3)</f>
        <v/>
      </c>
      <c r="D773" s="55">
        <f>VLOOKUP(Table91213[[#This Row],[Date]],'DB Details'!$A:$L,4)</f>
        <v/>
      </c>
      <c r="E773" s="88">
        <f>VLOOKUP(Table91213[[#This Row],[Date]],'DB Details'!$A:$L,5)</f>
        <v/>
      </c>
      <c r="F773" s="88">
        <f>VLOOKUP(Table91213[[#This Row],[Date]],'DB Details'!$A:$L,6)</f>
        <v/>
      </c>
      <c r="G773" s="41">
        <f>VLOOKUP(Table91213[[#This Row],[Date]],'DB Details'!$A:$L,7)</f>
        <v/>
      </c>
      <c r="H773" s="88">
        <f>VLOOKUP(Table91213[[#This Row],[Date]],'DB Details'!$A:$L,8)</f>
        <v/>
      </c>
      <c r="I773" s="88">
        <f>VLOOKUP(Table91213[[#This Row],[Date]],'DB Details'!$A:$L,9)</f>
        <v/>
      </c>
      <c r="J773" s="88">
        <f>VLOOKUP(Table91213[[#This Row],[Date]],'DB Details'!$A:$L,10)</f>
        <v/>
      </c>
      <c r="K773" s="41">
        <f>VLOOKUP(Table91213[[#This Row],[Date]],'DB Details'!$A:$L,11)</f>
        <v/>
      </c>
      <c r="L773" s="88">
        <f>VLOOKUP(Table91213[[#This Row],[Date]],'DB Details'!$A:$L,12)</f>
        <v/>
      </c>
    </row>
    <row r="774">
      <c r="A774" s="39" t="n">
        <v>40909</v>
      </c>
      <c r="B774" s="57">
        <f>VLOOKUP(Table91213[[#This Row],[Date]],'DB Details'!$A:$L,2)</f>
        <v/>
      </c>
      <c r="C774" s="41">
        <f>VLOOKUP(Table91213[[#This Row],[Date]],'DB Details'!$A:$L,3)</f>
        <v/>
      </c>
      <c r="D774" s="55">
        <f>VLOOKUP(Table91213[[#This Row],[Date]],'DB Details'!$A:$L,4)</f>
        <v/>
      </c>
      <c r="E774" s="88">
        <f>VLOOKUP(Table91213[[#This Row],[Date]],'DB Details'!$A:$L,5)</f>
        <v/>
      </c>
      <c r="F774" s="88">
        <f>VLOOKUP(Table91213[[#This Row],[Date]],'DB Details'!$A:$L,6)</f>
        <v/>
      </c>
      <c r="G774" s="41">
        <f>VLOOKUP(Table91213[[#This Row],[Date]],'DB Details'!$A:$L,7)</f>
        <v/>
      </c>
      <c r="H774" s="88">
        <f>VLOOKUP(Table91213[[#This Row],[Date]],'DB Details'!$A:$L,8)</f>
        <v/>
      </c>
      <c r="I774" s="88">
        <f>VLOOKUP(Table91213[[#This Row],[Date]],'DB Details'!$A:$L,9)</f>
        <v/>
      </c>
      <c r="J774" s="88">
        <f>VLOOKUP(Table91213[[#This Row],[Date]],'DB Details'!$A:$L,10)</f>
        <v/>
      </c>
      <c r="K774" s="41">
        <f>VLOOKUP(Table91213[[#This Row],[Date]],'DB Details'!$A:$L,11)</f>
        <v/>
      </c>
      <c r="L774" s="88">
        <f>VLOOKUP(Table91213[[#This Row],[Date]],'DB Details'!$A:$L,12)</f>
        <v/>
      </c>
    </row>
    <row r="775">
      <c r="A775" s="39" t="n">
        <v>40940</v>
      </c>
      <c r="B775" s="57">
        <f>VLOOKUP(Table91213[[#This Row],[Date]],'DB Details'!$A:$L,2)</f>
        <v/>
      </c>
      <c r="C775" s="41">
        <f>VLOOKUP(Table91213[[#This Row],[Date]],'DB Details'!$A:$L,3)</f>
        <v/>
      </c>
      <c r="D775" s="55">
        <f>VLOOKUP(Table91213[[#This Row],[Date]],'DB Details'!$A:$L,4)</f>
        <v/>
      </c>
      <c r="E775" s="88">
        <f>VLOOKUP(Table91213[[#This Row],[Date]],'DB Details'!$A:$L,5)</f>
        <v/>
      </c>
      <c r="F775" s="88">
        <f>VLOOKUP(Table91213[[#This Row],[Date]],'DB Details'!$A:$L,6)</f>
        <v/>
      </c>
      <c r="G775" s="41">
        <f>VLOOKUP(Table91213[[#This Row],[Date]],'DB Details'!$A:$L,7)</f>
        <v/>
      </c>
      <c r="H775" s="88">
        <f>VLOOKUP(Table91213[[#This Row],[Date]],'DB Details'!$A:$L,8)</f>
        <v/>
      </c>
      <c r="I775" s="88">
        <f>VLOOKUP(Table91213[[#This Row],[Date]],'DB Details'!$A:$L,9)</f>
        <v/>
      </c>
      <c r="J775" s="88">
        <f>VLOOKUP(Table91213[[#This Row],[Date]],'DB Details'!$A:$L,10)</f>
        <v/>
      </c>
      <c r="K775" s="41">
        <f>VLOOKUP(Table91213[[#This Row],[Date]],'DB Details'!$A:$L,11)</f>
        <v/>
      </c>
      <c r="L775" s="88">
        <f>VLOOKUP(Table91213[[#This Row],[Date]],'DB Details'!$A:$L,12)</f>
        <v/>
      </c>
    </row>
    <row r="776">
      <c r="A776" s="39" t="n">
        <v>40969</v>
      </c>
      <c r="B776" s="57">
        <f>VLOOKUP(Table91213[[#This Row],[Date]],'DB Details'!$A:$L,2)</f>
        <v/>
      </c>
      <c r="C776" s="41">
        <f>VLOOKUP(Table91213[[#This Row],[Date]],'DB Details'!$A:$L,3)</f>
        <v/>
      </c>
      <c r="D776" s="55">
        <f>VLOOKUP(Table91213[[#This Row],[Date]],'DB Details'!$A:$L,4)</f>
        <v/>
      </c>
      <c r="E776" s="88">
        <f>VLOOKUP(Table91213[[#This Row],[Date]],'DB Details'!$A:$L,5)</f>
        <v/>
      </c>
      <c r="F776" s="88">
        <f>VLOOKUP(Table91213[[#This Row],[Date]],'DB Details'!$A:$L,6)</f>
        <v/>
      </c>
      <c r="G776" s="41">
        <f>VLOOKUP(Table91213[[#This Row],[Date]],'DB Details'!$A:$L,7)</f>
        <v/>
      </c>
      <c r="H776" s="88">
        <f>VLOOKUP(Table91213[[#This Row],[Date]],'DB Details'!$A:$L,8)</f>
        <v/>
      </c>
      <c r="I776" s="88">
        <f>VLOOKUP(Table91213[[#This Row],[Date]],'DB Details'!$A:$L,9)</f>
        <v/>
      </c>
      <c r="J776" s="88">
        <f>VLOOKUP(Table91213[[#This Row],[Date]],'DB Details'!$A:$L,10)</f>
        <v/>
      </c>
      <c r="K776" s="41">
        <f>VLOOKUP(Table91213[[#This Row],[Date]],'DB Details'!$A:$L,11)</f>
        <v/>
      </c>
      <c r="L776" s="88">
        <f>VLOOKUP(Table91213[[#This Row],[Date]],'DB Details'!$A:$L,12)</f>
        <v/>
      </c>
    </row>
    <row r="777">
      <c r="A777" s="39" t="n">
        <v>41000</v>
      </c>
      <c r="B777" s="57">
        <f>VLOOKUP(Table91213[[#This Row],[Date]],'DB Details'!$A:$L,2)</f>
        <v/>
      </c>
      <c r="C777" s="41">
        <f>VLOOKUP(Table91213[[#This Row],[Date]],'DB Details'!$A:$L,3)</f>
        <v/>
      </c>
      <c r="D777" s="55">
        <f>VLOOKUP(Table91213[[#This Row],[Date]],'DB Details'!$A:$L,4)</f>
        <v/>
      </c>
      <c r="E777" s="88">
        <f>VLOOKUP(Table91213[[#This Row],[Date]],'DB Details'!$A:$L,5)</f>
        <v/>
      </c>
      <c r="F777" s="88">
        <f>VLOOKUP(Table91213[[#This Row],[Date]],'DB Details'!$A:$L,6)</f>
        <v/>
      </c>
      <c r="G777" s="41">
        <f>VLOOKUP(Table91213[[#This Row],[Date]],'DB Details'!$A:$L,7)</f>
        <v/>
      </c>
      <c r="H777" s="88">
        <f>VLOOKUP(Table91213[[#This Row],[Date]],'DB Details'!$A:$L,8)</f>
        <v/>
      </c>
      <c r="I777" s="88">
        <f>VLOOKUP(Table91213[[#This Row],[Date]],'DB Details'!$A:$L,9)</f>
        <v/>
      </c>
      <c r="J777" s="88">
        <f>VLOOKUP(Table91213[[#This Row],[Date]],'DB Details'!$A:$L,10)</f>
        <v/>
      </c>
      <c r="K777" s="41">
        <f>VLOOKUP(Table91213[[#This Row],[Date]],'DB Details'!$A:$L,11)</f>
        <v/>
      </c>
      <c r="L777" s="88">
        <f>VLOOKUP(Table91213[[#This Row],[Date]],'DB Details'!$A:$L,12)</f>
        <v/>
      </c>
    </row>
    <row r="778">
      <c r="A778" s="39" t="n">
        <v>41030</v>
      </c>
      <c r="B778" s="57">
        <f>VLOOKUP(Table91213[[#This Row],[Date]],'DB Details'!$A:$L,2)</f>
        <v/>
      </c>
      <c r="C778" s="41">
        <f>VLOOKUP(Table91213[[#This Row],[Date]],'DB Details'!$A:$L,3)</f>
        <v/>
      </c>
      <c r="D778" s="55">
        <f>VLOOKUP(Table91213[[#This Row],[Date]],'DB Details'!$A:$L,4)</f>
        <v/>
      </c>
      <c r="E778" s="88">
        <f>VLOOKUP(Table91213[[#This Row],[Date]],'DB Details'!$A:$L,5)</f>
        <v/>
      </c>
      <c r="F778" s="88">
        <f>VLOOKUP(Table91213[[#This Row],[Date]],'DB Details'!$A:$L,6)</f>
        <v/>
      </c>
      <c r="G778" s="41">
        <f>VLOOKUP(Table91213[[#This Row],[Date]],'DB Details'!$A:$L,7)</f>
        <v/>
      </c>
      <c r="H778" s="88">
        <f>VLOOKUP(Table91213[[#This Row],[Date]],'DB Details'!$A:$L,8)</f>
        <v/>
      </c>
      <c r="I778" s="88">
        <f>VLOOKUP(Table91213[[#This Row],[Date]],'DB Details'!$A:$L,9)</f>
        <v/>
      </c>
      <c r="J778" s="88">
        <f>VLOOKUP(Table91213[[#This Row],[Date]],'DB Details'!$A:$L,10)</f>
        <v/>
      </c>
      <c r="K778" s="41">
        <f>VLOOKUP(Table91213[[#This Row],[Date]],'DB Details'!$A:$L,11)</f>
        <v/>
      </c>
      <c r="L778" s="88">
        <f>VLOOKUP(Table91213[[#This Row],[Date]],'DB Details'!$A:$L,12)</f>
        <v/>
      </c>
    </row>
    <row r="779">
      <c r="A779" s="39" t="n">
        <v>41061</v>
      </c>
      <c r="B779" s="57">
        <f>VLOOKUP(Table91213[[#This Row],[Date]],'DB Details'!$A:$L,2)</f>
        <v/>
      </c>
      <c r="C779" s="41">
        <f>VLOOKUP(Table91213[[#This Row],[Date]],'DB Details'!$A:$L,3)</f>
        <v/>
      </c>
      <c r="D779" s="55">
        <f>VLOOKUP(Table91213[[#This Row],[Date]],'DB Details'!$A:$L,4)</f>
        <v/>
      </c>
      <c r="E779" s="88">
        <f>VLOOKUP(Table91213[[#This Row],[Date]],'DB Details'!$A:$L,5)</f>
        <v/>
      </c>
      <c r="F779" s="88">
        <f>VLOOKUP(Table91213[[#This Row],[Date]],'DB Details'!$A:$L,6)</f>
        <v/>
      </c>
      <c r="G779" s="41">
        <f>VLOOKUP(Table91213[[#This Row],[Date]],'DB Details'!$A:$L,7)</f>
        <v/>
      </c>
      <c r="H779" s="88">
        <f>VLOOKUP(Table91213[[#This Row],[Date]],'DB Details'!$A:$L,8)</f>
        <v/>
      </c>
      <c r="I779" s="88">
        <f>VLOOKUP(Table91213[[#This Row],[Date]],'DB Details'!$A:$L,9)</f>
        <v/>
      </c>
      <c r="J779" s="88">
        <f>VLOOKUP(Table91213[[#This Row],[Date]],'DB Details'!$A:$L,10)</f>
        <v/>
      </c>
      <c r="K779" s="41">
        <f>VLOOKUP(Table91213[[#This Row],[Date]],'DB Details'!$A:$L,11)</f>
        <v/>
      </c>
      <c r="L779" s="88">
        <f>VLOOKUP(Table91213[[#This Row],[Date]],'DB Details'!$A:$L,12)</f>
        <v/>
      </c>
    </row>
    <row r="780">
      <c r="A780" s="39" t="n">
        <v>41091</v>
      </c>
      <c r="B780" s="57">
        <f>VLOOKUP(Table91213[[#This Row],[Date]],'DB Details'!$A:$L,2)</f>
        <v/>
      </c>
      <c r="C780" s="41">
        <f>VLOOKUP(Table91213[[#This Row],[Date]],'DB Details'!$A:$L,3)</f>
        <v/>
      </c>
      <c r="D780" s="55">
        <f>VLOOKUP(Table91213[[#This Row],[Date]],'DB Details'!$A:$L,4)</f>
        <v/>
      </c>
      <c r="E780" s="88">
        <f>VLOOKUP(Table91213[[#This Row],[Date]],'DB Details'!$A:$L,5)</f>
        <v/>
      </c>
      <c r="F780" s="88">
        <f>VLOOKUP(Table91213[[#This Row],[Date]],'DB Details'!$A:$L,6)</f>
        <v/>
      </c>
      <c r="G780" s="41">
        <f>VLOOKUP(Table91213[[#This Row],[Date]],'DB Details'!$A:$L,7)</f>
        <v/>
      </c>
      <c r="H780" s="88">
        <f>VLOOKUP(Table91213[[#This Row],[Date]],'DB Details'!$A:$L,8)</f>
        <v/>
      </c>
      <c r="I780" s="88">
        <f>VLOOKUP(Table91213[[#This Row],[Date]],'DB Details'!$A:$L,9)</f>
        <v/>
      </c>
      <c r="J780" s="88">
        <f>VLOOKUP(Table91213[[#This Row],[Date]],'DB Details'!$A:$L,10)</f>
        <v/>
      </c>
      <c r="K780" s="41">
        <f>VLOOKUP(Table91213[[#This Row],[Date]],'DB Details'!$A:$L,11)</f>
        <v/>
      </c>
      <c r="L780" s="88">
        <f>VLOOKUP(Table91213[[#This Row],[Date]],'DB Details'!$A:$L,12)</f>
        <v/>
      </c>
    </row>
    <row r="781">
      <c r="A781" s="39" t="n">
        <v>41122</v>
      </c>
      <c r="B781" s="57">
        <f>VLOOKUP(Table91213[[#This Row],[Date]],'DB Details'!$A:$L,2)</f>
        <v/>
      </c>
      <c r="C781" s="41">
        <f>VLOOKUP(Table91213[[#This Row],[Date]],'DB Details'!$A:$L,3)</f>
        <v/>
      </c>
      <c r="D781" s="55">
        <f>VLOOKUP(Table91213[[#This Row],[Date]],'DB Details'!$A:$L,4)</f>
        <v/>
      </c>
      <c r="E781" s="88">
        <f>VLOOKUP(Table91213[[#This Row],[Date]],'DB Details'!$A:$L,5)</f>
        <v/>
      </c>
      <c r="F781" s="88">
        <f>VLOOKUP(Table91213[[#This Row],[Date]],'DB Details'!$A:$L,6)</f>
        <v/>
      </c>
      <c r="G781" s="41">
        <f>VLOOKUP(Table91213[[#This Row],[Date]],'DB Details'!$A:$L,7)</f>
        <v/>
      </c>
      <c r="H781" s="88">
        <f>VLOOKUP(Table91213[[#This Row],[Date]],'DB Details'!$A:$L,8)</f>
        <v/>
      </c>
      <c r="I781" s="88">
        <f>VLOOKUP(Table91213[[#This Row],[Date]],'DB Details'!$A:$L,9)</f>
        <v/>
      </c>
      <c r="J781" s="88">
        <f>VLOOKUP(Table91213[[#This Row],[Date]],'DB Details'!$A:$L,10)</f>
        <v/>
      </c>
      <c r="K781" s="41">
        <f>VLOOKUP(Table91213[[#This Row],[Date]],'DB Details'!$A:$L,11)</f>
        <v/>
      </c>
      <c r="L781" s="88">
        <f>VLOOKUP(Table91213[[#This Row],[Date]],'DB Details'!$A:$L,12)</f>
        <v/>
      </c>
    </row>
    <row r="782">
      <c r="A782" s="39" t="n">
        <v>41153</v>
      </c>
      <c r="B782" s="57">
        <f>VLOOKUP(Table91213[[#This Row],[Date]],'DB Details'!$A:$L,2)</f>
        <v/>
      </c>
      <c r="C782" s="41">
        <f>VLOOKUP(Table91213[[#This Row],[Date]],'DB Details'!$A:$L,3)</f>
        <v/>
      </c>
      <c r="D782" s="55">
        <f>VLOOKUP(Table91213[[#This Row],[Date]],'DB Details'!$A:$L,4)</f>
        <v/>
      </c>
      <c r="E782" s="88">
        <f>VLOOKUP(Table91213[[#This Row],[Date]],'DB Details'!$A:$L,5)</f>
        <v/>
      </c>
      <c r="F782" s="88">
        <f>VLOOKUP(Table91213[[#This Row],[Date]],'DB Details'!$A:$L,6)</f>
        <v/>
      </c>
      <c r="G782" s="41">
        <f>VLOOKUP(Table91213[[#This Row],[Date]],'DB Details'!$A:$L,7)</f>
        <v/>
      </c>
      <c r="H782" s="88">
        <f>VLOOKUP(Table91213[[#This Row],[Date]],'DB Details'!$A:$L,8)</f>
        <v/>
      </c>
      <c r="I782" s="88">
        <f>VLOOKUP(Table91213[[#This Row],[Date]],'DB Details'!$A:$L,9)</f>
        <v/>
      </c>
      <c r="J782" s="88">
        <f>VLOOKUP(Table91213[[#This Row],[Date]],'DB Details'!$A:$L,10)</f>
        <v/>
      </c>
      <c r="K782" s="41">
        <f>VLOOKUP(Table91213[[#This Row],[Date]],'DB Details'!$A:$L,11)</f>
        <v/>
      </c>
      <c r="L782" s="88">
        <f>VLOOKUP(Table91213[[#This Row],[Date]],'DB Details'!$A:$L,12)</f>
        <v/>
      </c>
    </row>
    <row r="783">
      <c r="A783" s="39" t="n">
        <v>41183</v>
      </c>
      <c r="B783" s="57">
        <f>VLOOKUP(Table91213[[#This Row],[Date]],'DB Details'!$A:$L,2)</f>
        <v/>
      </c>
      <c r="C783" s="41">
        <f>VLOOKUP(Table91213[[#This Row],[Date]],'DB Details'!$A:$L,3)</f>
        <v/>
      </c>
      <c r="D783" s="55">
        <f>VLOOKUP(Table91213[[#This Row],[Date]],'DB Details'!$A:$L,4)</f>
        <v/>
      </c>
      <c r="E783" s="88">
        <f>VLOOKUP(Table91213[[#This Row],[Date]],'DB Details'!$A:$L,5)</f>
        <v/>
      </c>
      <c r="F783" s="88">
        <f>VLOOKUP(Table91213[[#This Row],[Date]],'DB Details'!$A:$L,6)</f>
        <v/>
      </c>
      <c r="G783" s="41">
        <f>VLOOKUP(Table91213[[#This Row],[Date]],'DB Details'!$A:$L,7)</f>
        <v/>
      </c>
      <c r="H783" s="88">
        <f>VLOOKUP(Table91213[[#This Row],[Date]],'DB Details'!$A:$L,8)</f>
        <v/>
      </c>
      <c r="I783" s="88">
        <f>VLOOKUP(Table91213[[#This Row],[Date]],'DB Details'!$A:$L,9)</f>
        <v/>
      </c>
      <c r="J783" s="88">
        <f>VLOOKUP(Table91213[[#This Row],[Date]],'DB Details'!$A:$L,10)</f>
        <v/>
      </c>
      <c r="K783" s="41">
        <f>VLOOKUP(Table91213[[#This Row],[Date]],'DB Details'!$A:$L,11)</f>
        <v/>
      </c>
      <c r="L783" s="88">
        <f>VLOOKUP(Table91213[[#This Row],[Date]],'DB Details'!$A:$L,12)</f>
        <v/>
      </c>
    </row>
    <row r="784">
      <c r="A784" s="39" t="n">
        <v>41214</v>
      </c>
      <c r="B784" s="57">
        <f>VLOOKUP(Table91213[[#This Row],[Date]],'DB Details'!$A:$L,2)</f>
        <v/>
      </c>
      <c r="C784" s="41">
        <f>VLOOKUP(Table91213[[#This Row],[Date]],'DB Details'!$A:$L,3)</f>
        <v/>
      </c>
      <c r="D784" s="55">
        <f>VLOOKUP(Table91213[[#This Row],[Date]],'DB Details'!$A:$L,4)</f>
        <v/>
      </c>
      <c r="E784" s="88">
        <f>VLOOKUP(Table91213[[#This Row],[Date]],'DB Details'!$A:$L,5)</f>
        <v/>
      </c>
      <c r="F784" s="88">
        <f>VLOOKUP(Table91213[[#This Row],[Date]],'DB Details'!$A:$L,6)</f>
        <v/>
      </c>
      <c r="G784" s="41">
        <f>VLOOKUP(Table91213[[#This Row],[Date]],'DB Details'!$A:$L,7)</f>
        <v/>
      </c>
      <c r="H784" s="88">
        <f>VLOOKUP(Table91213[[#This Row],[Date]],'DB Details'!$A:$L,8)</f>
        <v/>
      </c>
      <c r="I784" s="88">
        <f>VLOOKUP(Table91213[[#This Row],[Date]],'DB Details'!$A:$L,9)</f>
        <v/>
      </c>
      <c r="J784" s="88">
        <f>VLOOKUP(Table91213[[#This Row],[Date]],'DB Details'!$A:$L,10)</f>
        <v/>
      </c>
      <c r="K784" s="41">
        <f>VLOOKUP(Table91213[[#This Row],[Date]],'DB Details'!$A:$L,11)</f>
        <v/>
      </c>
      <c r="L784" s="88">
        <f>VLOOKUP(Table91213[[#This Row],[Date]],'DB Details'!$A:$L,12)</f>
        <v/>
      </c>
    </row>
    <row r="785">
      <c r="A785" s="39" t="n">
        <v>41244</v>
      </c>
      <c r="B785" s="57">
        <f>VLOOKUP(Table91213[[#This Row],[Date]],'DB Details'!$A:$L,2)</f>
        <v/>
      </c>
      <c r="C785" s="41">
        <f>VLOOKUP(Table91213[[#This Row],[Date]],'DB Details'!$A:$L,3)</f>
        <v/>
      </c>
      <c r="D785" s="55">
        <f>VLOOKUP(Table91213[[#This Row],[Date]],'DB Details'!$A:$L,4)</f>
        <v/>
      </c>
      <c r="E785" s="88">
        <f>VLOOKUP(Table91213[[#This Row],[Date]],'DB Details'!$A:$L,5)</f>
        <v/>
      </c>
      <c r="F785" s="88">
        <f>VLOOKUP(Table91213[[#This Row],[Date]],'DB Details'!$A:$L,6)</f>
        <v/>
      </c>
      <c r="G785" s="41">
        <f>VLOOKUP(Table91213[[#This Row],[Date]],'DB Details'!$A:$L,7)</f>
        <v/>
      </c>
      <c r="H785" s="88">
        <f>VLOOKUP(Table91213[[#This Row],[Date]],'DB Details'!$A:$L,8)</f>
        <v/>
      </c>
      <c r="I785" s="88">
        <f>VLOOKUP(Table91213[[#This Row],[Date]],'DB Details'!$A:$L,9)</f>
        <v/>
      </c>
      <c r="J785" s="88">
        <f>VLOOKUP(Table91213[[#This Row],[Date]],'DB Details'!$A:$L,10)</f>
        <v/>
      </c>
      <c r="K785" s="41">
        <f>VLOOKUP(Table91213[[#This Row],[Date]],'DB Details'!$A:$L,11)</f>
        <v/>
      </c>
      <c r="L785" s="88">
        <f>VLOOKUP(Table91213[[#This Row],[Date]],'DB Details'!$A:$L,12)</f>
        <v/>
      </c>
    </row>
    <row r="786">
      <c r="A786" s="39" t="n">
        <v>41275</v>
      </c>
      <c r="B786" s="57">
        <f>VLOOKUP(Table91213[[#This Row],[Date]],'DB Details'!$A:$L,2)</f>
        <v/>
      </c>
      <c r="C786" s="41">
        <f>VLOOKUP(Table91213[[#This Row],[Date]],'DB Details'!$A:$L,3)</f>
        <v/>
      </c>
      <c r="D786" s="55">
        <f>VLOOKUP(Table91213[[#This Row],[Date]],'DB Details'!$A:$L,4)</f>
        <v/>
      </c>
      <c r="E786" s="88">
        <f>VLOOKUP(Table91213[[#This Row],[Date]],'DB Details'!$A:$L,5)</f>
        <v/>
      </c>
      <c r="F786" s="88">
        <f>VLOOKUP(Table91213[[#This Row],[Date]],'DB Details'!$A:$L,6)</f>
        <v/>
      </c>
      <c r="G786" s="41">
        <f>VLOOKUP(Table91213[[#This Row],[Date]],'DB Details'!$A:$L,7)</f>
        <v/>
      </c>
      <c r="H786" s="88">
        <f>VLOOKUP(Table91213[[#This Row],[Date]],'DB Details'!$A:$L,8)</f>
        <v/>
      </c>
      <c r="I786" s="88">
        <f>VLOOKUP(Table91213[[#This Row],[Date]],'DB Details'!$A:$L,9)</f>
        <v/>
      </c>
      <c r="J786" s="88">
        <f>VLOOKUP(Table91213[[#This Row],[Date]],'DB Details'!$A:$L,10)</f>
        <v/>
      </c>
      <c r="K786" s="41">
        <f>VLOOKUP(Table91213[[#This Row],[Date]],'DB Details'!$A:$L,11)</f>
        <v/>
      </c>
      <c r="L786" s="88">
        <f>VLOOKUP(Table91213[[#This Row],[Date]],'DB Details'!$A:$L,12)</f>
        <v/>
      </c>
    </row>
    <row r="787">
      <c r="A787" s="39" t="n">
        <v>41306</v>
      </c>
      <c r="B787" s="57">
        <f>VLOOKUP(Table91213[[#This Row],[Date]],'DB Details'!$A:$L,2)</f>
        <v/>
      </c>
      <c r="C787" s="41">
        <f>VLOOKUP(Table91213[[#This Row],[Date]],'DB Details'!$A:$L,3)</f>
        <v/>
      </c>
      <c r="D787" s="55">
        <f>VLOOKUP(Table91213[[#This Row],[Date]],'DB Details'!$A:$L,4)</f>
        <v/>
      </c>
      <c r="E787" s="88">
        <f>VLOOKUP(Table91213[[#This Row],[Date]],'DB Details'!$A:$L,5)</f>
        <v/>
      </c>
      <c r="F787" s="88">
        <f>VLOOKUP(Table91213[[#This Row],[Date]],'DB Details'!$A:$L,6)</f>
        <v/>
      </c>
      <c r="G787" s="41">
        <f>VLOOKUP(Table91213[[#This Row],[Date]],'DB Details'!$A:$L,7)</f>
        <v/>
      </c>
      <c r="H787" s="88">
        <f>VLOOKUP(Table91213[[#This Row],[Date]],'DB Details'!$A:$L,8)</f>
        <v/>
      </c>
      <c r="I787" s="88">
        <f>VLOOKUP(Table91213[[#This Row],[Date]],'DB Details'!$A:$L,9)</f>
        <v/>
      </c>
      <c r="J787" s="88">
        <f>VLOOKUP(Table91213[[#This Row],[Date]],'DB Details'!$A:$L,10)</f>
        <v/>
      </c>
      <c r="K787" s="41">
        <f>VLOOKUP(Table91213[[#This Row],[Date]],'DB Details'!$A:$L,11)</f>
        <v/>
      </c>
      <c r="L787" s="88">
        <f>VLOOKUP(Table91213[[#This Row],[Date]],'DB Details'!$A:$L,12)</f>
        <v/>
      </c>
    </row>
    <row r="788">
      <c r="A788" s="39" t="n">
        <v>41334</v>
      </c>
      <c r="B788" s="57">
        <f>VLOOKUP(Table91213[[#This Row],[Date]],'DB Details'!$A:$L,2)</f>
        <v/>
      </c>
      <c r="C788" s="41">
        <f>VLOOKUP(Table91213[[#This Row],[Date]],'DB Details'!$A:$L,3)</f>
        <v/>
      </c>
      <c r="D788" s="55">
        <f>VLOOKUP(Table91213[[#This Row],[Date]],'DB Details'!$A:$L,4)</f>
        <v/>
      </c>
      <c r="E788" s="88">
        <f>VLOOKUP(Table91213[[#This Row],[Date]],'DB Details'!$A:$L,5)</f>
        <v/>
      </c>
      <c r="F788" s="88">
        <f>VLOOKUP(Table91213[[#This Row],[Date]],'DB Details'!$A:$L,6)</f>
        <v/>
      </c>
      <c r="G788" s="41">
        <f>VLOOKUP(Table91213[[#This Row],[Date]],'DB Details'!$A:$L,7)</f>
        <v/>
      </c>
      <c r="H788" s="88">
        <f>VLOOKUP(Table91213[[#This Row],[Date]],'DB Details'!$A:$L,8)</f>
        <v/>
      </c>
      <c r="I788" s="88">
        <f>VLOOKUP(Table91213[[#This Row],[Date]],'DB Details'!$A:$L,9)</f>
        <v/>
      </c>
      <c r="J788" s="88">
        <f>VLOOKUP(Table91213[[#This Row],[Date]],'DB Details'!$A:$L,10)</f>
        <v/>
      </c>
      <c r="K788" s="41">
        <f>VLOOKUP(Table91213[[#This Row],[Date]],'DB Details'!$A:$L,11)</f>
        <v/>
      </c>
      <c r="L788" s="88">
        <f>VLOOKUP(Table91213[[#This Row],[Date]],'DB Details'!$A:$L,12)</f>
        <v/>
      </c>
    </row>
    <row r="789">
      <c r="A789" s="39" t="n">
        <v>41365</v>
      </c>
      <c r="B789" s="57">
        <f>VLOOKUP(Table91213[[#This Row],[Date]],'DB Details'!$A:$L,2)</f>
        <v/>
      </c>
      <c r="C789" s="41">
        <f>VLOOKUP(Table91213[[#This Row],[Date]],'DB Details'!$A:$L,3)</f>
        <v/>
      </c>
      <c r="D789" s="55">
        <f>VLOOKUP(Table91213[[#This Row],[Date]],'DB Details'!$A:$L,4)</f>
        <v/>
      </c>
      <c r="E789" s="88">
        <f>VLOOKUP(Table91213[[#This Row],[Date]],'DB Details'!$A:$L,5)</f>
        <v/>
      </c>
      <c r="F789" s="88">
        <f>VLOOKUP(Table91213[[#This Row],[Date]],'DB Details'!$A:$L,6)</f>
        <v/>
      </c>
      <c r="G789" s="41">
        <f>VLOOKUP(Table91213[[#This Row],[Date]],'DB Details'!$A:$L,7)</f>
        <v/>
      </c>
      <c r="H789" s="88">
        <f>VLOOKUP(Table91213[[#This Row],[Date]],'DB Details'!$A:$L,8)</f>
        <v/>
      </c>
      <c r="I789" s="88">
        <f>VLOOKUP(Table91213[[#This Row],[Date]],'DB Details'!$A:$L,9)</f>
        <v/>
      </c>
      <c r="J789" s="88">
        <f>VLOOKUP(Table91213[[#This Row],[Date]],'DB Details'!$A:$L,10)</f>
        <v/>
      </c>
      <c r="K789" s="41">
        <f>VLOOKUP(Table91213[[#This Row],[Date]],'DB Details'!$A:$L,11)</f>
        <v/>
      </c>
      <c r="L789" s="88">
        <f>VLOOKUP(Table91213[[#This Row],[Date]],'DB Details'!$A:$L,12)</f>
        <v/>
      </c>
    </row>
    <row r="790">
      <c r="A790" s="39" t="n">
        <v>41395</v>
      </c>
      <c r="B790" s="57">
        <f>VLOOKUP(Table91213[[#This Row],[Date]],'DB Details'!$A:$L,2)</f>
        <v/>
      </c>
      <c r="C790" s="41">
        <f>VLOOKUP(Table91213[[#This Row],[Date]],'DB Details'!$A:$L,3)</f>
        <v/>
      </c>
      <c r="D790" s="55">
        <f>VLOOKUP(Table91213[[#This Row],[Date]],'DB Details'!$A:$L,4)</f>
        <v/>
      </c>
      <c r="E790" s="88">
        <f>VLOOKUP(Table91213[[#This Row],[Date]],'DB Details'!$A:$L,5)</f>
        <v/>
      </c>
      <c r="F790" s="88">
        <f>VLOOKUP(Table91213[[#This Row],[Date]],'DB Details'!$A:$L,6)</f>
        <v/>
      </c>
      <c r="G790" s="41">
        <f>VLOOKUP(Table91213[[#This Row],[Date]],'DB Details'!$A:$L,7)</f>
        <v/>
      </c>
      <c r="H790" s="88">
        <f>VLOOKUP(Table91213[[#This Row],[Date]],'DB Details'!$A:$L,8)</f>
        <v/>
      </c>
      <c r="I790" s="88">
        <f>VLOOKUP(Table91213[[#This Row],[Date]],'DB Details'!$A:$L,9)</f>
        <v/>
      </c>
      <c r="J790" s="88">
        <f>VLOOKUP(Table91213[[#This Row],[Date]],'DB Details'!$A:$L,10)</f>
        <v/>
      </c>
      <c r="K790" s="41">
        <f>VLOOKUP(Table91213[[#This Row],[Date]],'DB Details'!$A:$L,11)</f>
        <v/>
      </c>
      <c r="L790" s="88">
        <f>VLOOKUP(Table91213[[#This Row],[Date]],'DB Details'!$A:$L,12)</f>
        <v/>
      </c>
    </row>
    <row r="791">
      <c r="A791" s="39" t="n">
        <v>41426</v>
      </c>
      <c r="B791" s="57">
        <f>VLOOKUP(Table91213[[#This Row],[Date]],'DB Details'!$A:$L,2)</f>
        <v/>
      </c>
      <c r="C791" s="41">
        <f>VLOOKUP(Table91213[[#This Row],[Date]],'DB Details'!$A:$L,3)</f>
        <v/>
      </c>
      <c r="D791" s="55">
        <f>VLOOKUP(Table91213[[#This Row],[Date]],'DB Details'!$A:$L,4)</f>
        <v/>
      </c>
      <c r="E791" s="88">
        <f>VLOOKUP(Table91213[[#This Row],[Date]],'DB Details'!$A:$L,5)</f>
        <v/>
      </c>
      <c r="F791" s="88">
        <f>VLOOKUP(Table91213[[#This Row],[Date]],'DB Details'!$A:$L,6)</f>
        <v/>
      </c>
      <c r="G791" s="41">
        <f>VLOOKUP(Table91213[[#This Row],[Date]],'DB Details'!$A:$L,7)</f>
        <v/>
      </c>
      <c r="H791" s="88">
        <f>VLOOKUP(Table91213[[#This Row],[Date]],'DB Details'!$A:$L,8)</f>
        <v/>
      </c>
      <c r="I791" s="88">
        <f>VLOOKUP(Table91213[[#This Row],[Date]],'DB Details'!$A:$L,9)</f>
        <v/>
      </c>
      <c r="J791" s="88">
        <f>VLOOKUP(Table91213[[#This Row],[Date]],'DB Details'!$A:$L,10)</f>
        <v/>
      </c>
      <c r="K791" s="41">
        <f>VLOOKUP(Table91213[[#This Row],[Date]],'DB Details'!$A:$L,11)</f>
        <v/>
      </c>
      <c r="L791" s="88">
        <f>VLOOKUP(Table91213[[#This Row],[Date]],'DB Details'!$A:$L,12)</f>
        <v/>
      </c>
    </row>
    <row r="792">
      <c r="A792" s="39" t="n">
        <v>41456</v>
      </c>
      <c r="B792" s="57">
        <f>VLOOKUP(Table91213[[#This Row],[Date]],'DB Details'!$A:$L,2)</f>
        <v/>
      </c>
      <c r="C792" s="41">
        <f>VLOOKUP(Table91213[[#This Row],[Date]],'DB Details'!$A:$L,3)</f>
        <v/>
      </c>
      <c r="D792" s="55">
        <f>VLOOKUP(Table91213[[#This Row],[Date]],'DB Details'!$A:$L,4)</f>
        <v/>
      </c>
      <c r="E792" s="88">
        <f>VLOOKUP(Table91213[[#This Row],[Date]],'DB Details'!$A:$L,5)</f>
        <v/>
      </c>
      <c r="F792" s="88">
        <f>VLOOKUP(Table91213[[#This Row],[Date]],'DB Details'!$A:$L,6)</f>
        <v/>
      </c>
      <c r="G792" s="41">
        <f>VLOOKUP(Table91213[[#This Row],[Date]],'DB Details'!$A:$L,7)</f>
        <v/>
      </c>
      <c r="H792" s="88">
        <f>VLOOKUP(Table91213[[#This Row],[Date]],'DB Details'!$A:$L,8)</f>
        <v/>
      </c>
      <c r="I792" s="88">
        <f>VLOOKUP(Table91213[[#This Row],[Date]],'DB Details'!$A:$L,9)</f>
        <v/>
      </c>
      <c r="J792" s="88">
        <f>VLOOKUP(Table91213[[#This Row],[Date]],'DB Details'!$A:$L,10)</f>
        <v/>
      </c>
      <c r="K792" s="41">
        <f>VLOOKUP(Table91213[[#This Row],[Date]],'DB Details'!$A:$L,11)</f>
        <v/>
      </c>
      <c r="L792" s="88">
        <f>VLOOKUP(Table91213[[#This Row],[Date]],'DB Details'!$A:$L,12)</f>
        <v/>
      </c>
    </row>
    <row r="793">
      <c r="A793" s="39" t="n">
        <v>41487</v>
      </c>
      <c r="B793" s="57">
        <f>VLOOKUP(Table91213[[#This Row],[Date]],'DB Details'!$A:$L,2)</f>
        <v/>
      </c>
      <c r="C793" s="41">
        <f>VLOOKUP(Table91213[[#This Row],[Date]],'DB Details'!$A:$L,3)</f>
        <v/>
      </c>
      <c r="D793" s="55">
        <f>VLOOKUP(Table91213[[#This Row],[Date]],'DB Details'!$A:$L,4)</f>
        <v/>
      </c>
      <c r="E793" s="88">
        <f>VLOOKUP(Table91213[[#This Row],[Date]],'DB Details'!$A:$L,5)</f>
        <v/>
      </c>
      <c r="F793" s="88">
        <f>VLOOKUP(Table91213[[#This Row],[Date]],'DB Details'!$A:$L,6)</f>
        <v/>
      </c>
      <c r="G793" s="41">
        <f>VLOOKUP(Table91213[[#This Row],[Date]],'DB Details'!$A:$L,7)</f>
        <v/>
      </c>
      <c r="H793" s="88">
        <f>VLOOKUP(Table91213[[#This Row],[Date]],'DB Details'!$A:$L,8)</f>
        <v/>
      </c>
      <c r="I793" s="88">
        <f>VLOOKUP(Table91213[[#This Row],[Date]],'DB Details'!$A:$L,9)</f>
        <v/>
      </c>
      <c r="J793" s="88">
        <f>VLOOKUP(Table91213[[#This Row],[Date]],'DB Details'!$A:$L,10)</f>
        <v/>
      </c>
      <c r="K793" s="41">
        <f>VLOOKUP(Table91213[[#This Row],[Date]],'DB Details'!$A:$L,11)</f>
        <v/>
      </c>
      <c r="L793" s="88">
        <f>VLOOKUP(Table91213[[#This Row],[Date]],'DB Details'!$A:$L,12)</f>
        <v/>
      </c>
    </row>
    <row r="794">
      <c r="A794" s="39" t="n">
        <v>41518</v>
      </c>
      <c r="B794" s="57">
        <f>VLOOKUP(Table91213[[#This Row],[Date]],'DB Details'!$A:$L,2)</f>
        <v/>
      </c>
      <c r="C794" s="41">
        <f>VLOOKUP(Table91213[[#This Row],[Date]],'DB Details'!$A:$L,3)</f>
        <v/>
      </c>
      <c r="D794" s="55">
        <f>VLOOKUP(Table91213[[#This Row],[Date]],'DB Details'!$A:$L,4)</f>
        <v/>
      </c>
      <c r="E794" s="88">
        <f>VLOOKUP(Table91213[[#This Row],[Date]],'DB Details'!$A:$L,5)</f>
        <v/>
      </c>
      <c r="F794" s="88">
        <f>VLOOKUP(Table91213[[#This Row],[Date]],'DB Details'!$A:$L,6)</f>
        <v/>
      </c>
      <c r="G794" s="41">
        <f>VLOOKUP(Table91213[[#This Row],[Date]],'DB Details'!$A:$L,7)</f>
        <v/>
      </c>
      <c r="H794" s="88">
        <f>VLOOKUP(Table91213[[#This Row],[Date]],'DB Details'!$A:$L,8)</f>
        <v/>
      </c>
      <c r="I794" s="88">
        <f>VLOOKUP(Table91213[[#This Row],[Date]],'DB Details'!$A:$L,9)</f>
        <v/>
      </c>
      <c r="J794" s="88">
        <f>VLOOKUP(Table91213[[#This Row],[Date]],'DB Details'!$A:$L,10)</f>
        <v/>
      </c>
      <c r="K794" s="41">
        <f>VLOOKUP(Table91213[[#This Row],[Date]],'DB Details'!$A:$L,11)</f>
        <v/>
      </c>
      <c r="L794" s="88">
        <f>VLOOKUP(Table91213[[#This Row],[Date]],'DB Details'!$A:$L,12)</f>
        <v/>
      </c>
    </row>
    <row r="795">
      <c r="A795" s="39" t="n">
        <v>41548</v>
      </c>
      <c r="B795" s="57">
        <f>VLOOKUP(Table91213[[#This Row],[Date]],'DB Details'!$A:$L,2)</f>
        <v/>
      </c>
      <c r="C795" s="41">
        <f>VLOOKUP(Table91213[[#This Row],[Date]],'DB Details'!$A:$L,3)</f>
        <v/>
      </c>
      <c r="D795" s="55">
        <f>VLOOKUP(Table91213[[#This Row],[Date]],'DB Details'!$A:$L,4)</f>
        <v/>
      </c>
      <c r="E795" s="88">
        <f>VLOOKUP(Table91213[[#This Row],[Date]],'DB Details'!$A:$L,5)</f>
        <v/>
      </c>
      <c r="F795" s="88">
        <f>VLOOKUP(Table91213[[#This Row],[Date]],'DB Details'!$A:$L,6)</f>
        <v/>
      </c>
      <c r="G795" s="41">
        <f>VLOOKUP(Table91213[[#This Row],[Date]],'DB Details'!$A:$L,7)</f>
        <v/>
      </c>
      <c r="H795" s="88">
        <f>VLOOKUP(Table91213[[#This Row],[Date]],'DB Details'!$A:$L,8)</f>
        <v/>
      </c>
      <c r="I795" s="88">
        <f>VLOOKUP(Table91213[[#This Row],[Date]],'DB Details'!$A:$L,9)</f>
        <v/>
      </c>
      <c r="J795" s="88">
        <f>VLOOKUP(Table91213[[#This Row],[Date]],'DB Details'!$A:$L,10)</f>
        <v/>
      </c>
      <c r="K795" s="41">
        <f>VLOOKUP(Table91213[[#This Row],[Date]],'DB Details'!$A:$L,11)</f>
        <v/>
      </c>
      <c r="L795" s="88">
        <f>VLOOKUP(Table91213[[#This Row],[Date]],'DB Details'!$A:$L,12)</f>
        <v/>
      </c>
    </row>
    <row r="796">
      <c r="A796" s="39" t="n">
        <v>41579</v>
      </c>
      <c r="B796" s="57">
        <f>VLOOKUP(Table91213[[#This Row],[Date]],'DB Details'!$A:$L,2)</f>
        <v/>
      </c>
      <c r="C796" s="41">
        <f>VLOOKUP(Table91213[[#This Row],[Date]],'DB Details'!$A:$L,3)</f>
        <v/>
      </c>
      <c r="D796" s="55">
        <f>VLOOKUP(Table91213[[#This Row],[Date]],'DB Details'!$A:$L,4)</f>
        <v/>
      </c>
      <c r="E796" s="88">
        <f>VLOOKUP(Table91213[[#This Row],[Date]],'DB Details'!$A:$L,5)</f>
        <v/>
      </c>
      <c r="F796" s="88">
        <f>VLOOKUP(Table91213[[#This Row],[Date]],'DB Details'!$A:$L,6)</f>
        <v/>
      </c>
      <c r="G796" s="41">
        <f>VLOOKUP(Table91213[[#This Row],[Date]],'DB Details'!$A:$L,7)</f>
        <v/>
      </c>
      <c r="H796" s="88">
        <f>VLOOKUP(Table91213[[#This Row],[Date]],'DB Details'!$A:$L,8)</f>
        <v/>
      </c>
      <c r="I796" s="88">
        <f>VLOOKUP(Table91213[[#This Row],[Date]],'DB Details'!$A:$L,9)</f>
        <v/>
      </c>
      <c r="J796" s="88">
        <f>VLOOKUP(Table91213[[#This Row],[Date]],'DB Details'!$A:$L,10)</f>
        <v/>
      </c>
      <c r="K796" s="41">
        <f>VLOOKUP(Table91213[[#This Row],[Date]],'DB Details'!$A:$L,11)</f>
        <v/>
      </c>
      <c r="L796" s="88">
        <f>VLOOKUP(Table91213[[#This Row],[Date]],'DB Details'!$A:$L,12)</f>
        <v/>
      </c>
    </row>
    <row r="797">
      <c r="A797" s="39" t="n">
        <v>41609</v>
      </c>
      <c r="B797" s="57">
        <f>VLOOKUP(Table91213[[#This Row],[Date]],'DB Details'!$A:$L,2)</f>
        <v/>
      </c>
      <c r="C797" s="41">
        <f>VLOOKUP(Table91213[[#This Row],[Date]],'DB Details'!$A:$L,3)</f>
        <v/>
      </c>
      <c r="D797" s="55">
        <f>VLOOKUP(Table91213[[#This Row],[Date]],'DB Details'!$A:$L,4)</f>
        <v/>
      </c>
      <c r="E797" s="88">
        <f>VLOOKUP(Table91213[[#This Row],[Date]],'DB Details'!$A:$L,5)</f>
        <v/>
      </c>
      <c r="F797" s="88">
        <f>VLOOKUP(Table91213[[#This Row],[Date]],'DB Details'!$A:$L,6)</f>
        <v/>
      </c>
      <c r="G797" s="41">
        <f>VLOOKUP(Table91213[[#This Row],[Date]],'DB Details'!$A:$L,7)</f>
        <v/>
      </c>
      <c r="H797" s="88">
        <f>VLOOKUP(Table91213[[#This Row],[Date]],'DB Details'!$A:$L,8)</f>
        <v/>
      </c>
      <c r="I797" s="88">
        <f>VLOOKUP(Table91213[[#This Row],[Date]],'DB Details'!$A:$L,9)</f>
        <v/>
      </c>
      <c r="J797" s="88">
        <f>VLOOKUP(Table91213[[#This Row],[Date]],'DB Details'!$A:$L,10)</f>
        <v/>
      </c>
      <c r="K797" s="41">
        <f>VLOOKUP(Table91213[[#This Row],[Date]],'DB Details'!$A:$L,11)</f>
        <v/>
      </c>
      <c r="L797" s="88">
        <f>VLOOKUP(Table91213[[#This Row],[Date]],'DB Details'!$A:$L,12)</f>
        <v/>
      </c>
    </row>
    <row r="798">
      <c r="A798" s="39" t="n">
        <v>41640</v>
      </c>
      <c r="B798" s="57">
        <f>VLOOKUP(Table91213[[#This Row],[Date]],'DB Details'!$A:$L,2)</f>
        <v/>
      </c>
      <c r="C798" s="41">
        <f>VLOOKUP(Table91213[[#This Row],[Date]],'DB Details'!$A:$L,3)</f>
        <v/>
      </c>
      <c r="D798" s="55">
        <f>VLOOKUP(Table91213[[#This Row],[Date]],'DB Details'!$A:$L,4)</f>
        <v/>
      </c>
      <c r="E798" s="88">
        <f>VLOOKUP(Table91213[[#This Row],[Date]],'DB Details'!$A:$L,5)</f>
        <v/>
      </c>
      <c r="F798" s="88">
        <f>VLOOKUP(Table91213[[#This Row],[Date]],'DB Details'!$A:$L,6)</f>
        <v/>
      </c>
      <c r="G798" s="41">
        <f>VLOOKUP(Table91213[[#This Row],[Date]],'DB Details'!$A:$L,7)</f>
        <v/>
      </c>
      <c r="H798" s="88">
        <f>VLOOKUP(Table91213[[#This Row],[Date]],'DB Details'!$A:$L,8)</f>
        <v/>
      </c>
      <c r="I798" s="88">
        <f>VLOOKUP(Table91213[[#This Row],[Date]],'DB Details'!$A:$L,9)</f>
        <v/>
      </c>
      <c r="J798" s="88">
        <f>VLOOKUP(Table91213[[#This Row],[Date]],'DB Details'!$A:$L,10)</f>
        <v/>
      </c>
      <c r="K798" s="41">
        <f>VLOOKUP(Table91213[[#This Row],[Date]],'DB Details'!$A:$L,11)</f>
        <v/>
      </c>
      <c r="L798" s="88">
        <f>VLOOKUP(Table91213[[#This Row],[Date]],'DB Details'!$A:$L,12)</f>
        <v/>
      </c>
    </row>
    <row r="799">
      <c r="A799" s="39" t="n">
        <v>41671</v>
      </c>
      <c r="B799" s="57">
        <f>VLOOKUP(Table91213[[#This Row],[Date]],'DB Details'!$A:$L,2)</f>
        <v/>
      </c>
      <c r="C799" s="41">
        <f>VLOOKUP(Table91213[[#This Row],[Date]],'DB Details'!$A:$L,3)</f>
        <v/>
      </c>
      <c r="D799" s="55">
        <f>VLOOKUP(Table91213[[#This Row],[Date]],'DB Details'!$A:$L,4)</f>
        <v/>
      </c>
      <c r="E799" s="88">
        <f>VLOOKUP(Table91213[[#This Row],[Date]],'DB Details'!$A:$L,5)</f>
        <v/>
      </c>
      <c r="F799" s="88">
        <f>VLOOKUP(Table91213[[#This Row],[Date]],'DB Details'!$A:$L,6)</f>
        <v/>
      </c>
      <c r="G799" s="41">
        <f>VLOOKUP(Table91213[[#This Row],[Date]],'DB Details'!$A:$L,7)</f>
        <v/>
      </c>
      <c r="H799" s="88">
        <f>VLOOKUP(Table91213[[#This Row],[Date]],'DB Details'!$A:$L,8)</f>
        <v/>
      </c>
      <c r="I799" s="88">
        <f>VLOOKUP(Table91213[[#This Row],[Date]],'DB Details'!$A:$L,9)</f>
        <v/>
      </c>
      <c r="J799" s="88">
        <f>VLOOKUP(Table91213[[#This Row],[Date]],'DB Details'!$A:$L,10)</f>
        <v/>
      </c>
      <c r="K799" s="41">
        <f>VLOOKUP(Table91213[[#This Row],[Date]],'DB Details'!$A:$L,11)</f>
        <v/>
      </c>
      <c r="L799" s="88">
        <f>VLOOKUP(Table91213[[#This Row],[Date]],'DB Details'!$A:$L,12)</f>
        <v/>
      </c>
    </row>
    <row r="800">
      <c r="A800" s="39" t="n">
        <v>41699</v>
      </c>
      <c r="B800" s="57">
        <f>VLOOKUP(Table91213[[#This Row],[Date]],'DB Details'!$A:$L,2)</f>
        <v/>
      </c>
      <c r="C800" s="41">
        <f>VLOOKUP(Table91213[[#This Row],[Date]],'DB Details'!$A:$L,3)</f>
        <v/>
      </c>
      <c r="D800" s="55">
        <f>VLOOKUP(Table91213[[#This Row],[Date]],'DB Details'!$A:$L,4)</f>
        <v/>
      </c>
      <c r="E800" s="88">
        <f>VLOOKUP(Table91213[[#This Row],[Date]],'DB Details'!$A:$L,5)</f>
        <v/>
      </c>
      <c r="F800" s="88">
        <f>VLOOKUP(Table91213[[#This Row],[Date]],'DB Details'!$A:$L,6)</f>
        <v/>
      </c>
      <c r="G800" s="41">
        <f>VLOOKUP(Table91213[[#This Row],[Date]],'DB Details'!$A:$L,7)</f>
        <v/>
      </c>
      <c r="H800" s="88">
        <f>VLOOKUP(Table91213[[#This Row],[Date]],'DB Details'!$A:$L,8)</f>
        <v/>
      </c>
      <c r="I800" s="88">
        <f>VLOOKUP(Table91213[[#This Row],[Date]],'DB Details'!$A:$L,9)</f>
        <v/>
      </c>
      <c r="J800" s="88">
        <f>VLOOKUP(Table91213[[#This Row],[Date]],'DB Details'!$A:$L,10)</f>
        <v/>
      </c>
      <c r="K800" s="41">
        <f>VLOOKUP(Table91213[[#This Row],[Date]],'DB Details'!$A:$L,11)</f>
        <v/>
      </c>
      <c r="L800" s="88">
        <f>VLOOKUP(Table91213[[#This Row],[Date]],'DB Details'!$A:$L,12)</f>
        <v/>
      </c>
    </row>
    <row r="801">
      <c r="A801" s="39" t="n">
        <v>41730</v>
      </c>
      <c r="B801" s="57">
        <f>VLOOKUP(Table91213[[#This Row],[Date]],'DB Details'!$A:$L,2)</f>
        <v/>
      </c>
      <c r="C801" s="41">
        <f>VLOOKUP(Table91213[[#This Row],[Date]],'DB Details'!$A:$L,3)</f>
        <v/>
      </c>
      <c r="D801" s="55">
        <f>VLOOKUP(Table91213[[#This Row],[Date]],'DB Details'!$A:$L,4)</f>
        <v/>
      </c>
      <c r="E801" s="88">
        <f>VLOOKUP(Table91213[[#This Row],[Date]],'DB Details'!$A:$L,5)</f>
        <v/>
      </c>
      <c r="F801" s="88">
        <f>VLOOKUP(Table91213[[#This Row],[Date]],'DB Details'!$A:$L,6)</f>
        <v/>
      </c>
      <c r="G801" s="41">
        <f>VLOOKUP(Table91213[[#This Row],[Date]],'DB Details'!$A:$L,7)</f>
        <v/>
      </c>
      <c r="H801" s="88">
        <f>VLOOKUP(Table91213[[#This Row],[Date]],'DB Details'!$A:$L,8)</f>
        <v/>
      </c>
      <c r="I801" s="88">
        <f>VLOOKUP(Table91213[[#This Row],[Date]],'DB Details'!$A:$L,9)</f>
        <v/>
      </c>
      <c r="J801" s="88">
        <f>VLOOKUP(Table91213[[#This Row],[Date]],'DB Details'!$A:$L,10)</f>
        <v/>
      </c>
      <c r="K801" s="41">
        <f>VLOOKUP(Table91213[[#This Row],[Date]],'DB Details'!$A:$L,11)</f>
        <v/>
      </c>
      <c r="L801" s="88">
        <f>VLOOKUP(Table91213[[#This Row],[Date]],'DB Details'!$A:$L,12)</f>
        <v/>
      </c>
    </row>
    <row r="802">
      <c r="A802" s="39" t="n">
        <v>41760</v>
      </c>
      <c r="B802" s="57">
        <f>VLOOKUP(Table91213[[#This Row],[Date]],'DB Details'!$A:$L,2)</f>
        <v/>
      </c>
      <c r="C802" s="41">
        <f>VLOOKUP(Table91213[[#This Row],[Date]],'DB Details'!$A:$L,3)</f>
        <v/>
      </c>
      <c r="D802" s="55">
        <f>VLOOKUP(Table91213[[#This Row],[Date]],'DB Details'!$A:$L,4)</f>
        <v/>
      </c>
      <c r="E802" s="88">
        <f>VLOOKUP(Table91213[[#This Row],[Date]],'DB Details'!$A:$L,5)</f>
        <v/>
      </c>
      <c r="F802" s="88">
        <f>VLOOKUP(Table91213[[#This Row],[Date]],'DB Details'!$A:$L,6)</f>
        <v/>
      </c>
      <c r="G802" s="41">
        <f>VLOOKUP(Table91213[[#This Row],[Date]],'DB Details'!$A:$L,7)</f>
        <v/>
      </c>
      <c r="H802" s="88">
        <f>VLOOKUP(Table91213[[#This Row],[Date]],'DB Details'!$A:$L,8)</f>
        <v/>
      </c>
      <c r="I802" s="88">
        <f>VLOOKUP(Table91213[[#This Row],[Date]],'DB Details'!$A:$L,9)</f>
        <v/>
      </c>
      <c r="J802" s="88">
        <f>VLOOKUP(Table91213[[#This Row],[Date]],'DB Details'!$A:$L,10)</f>
        <v/>
      </c>
      <c r="K802" s="41">
        <f>VLOOKUP(Table91213[[#This Row],[Date]],'DB Details'!$A:$L,11)</f>
        <v/>
      </c>
      <c r="L802" s="88">
        <f>VLOOKUP(Table91213[[#This Row],[Date]],'DB Details'!$A:$L,12)</f>
        <v/>
      </c>
    </row>
    <row r="803">
      <c r="A803" s="39" t="n">
        <v>41791</v>
      </c>
      <c r="B803" s="57">
        <f>VLOOKUP(Table91213[[#This Row],[Date]],'DB Details'!$A:$L,2)</f>
        <v/>
      </c>
      <c r="C803" s="41">
        <f>VLOOKUP(Table91213[[#This Row],[Date]],'DB Details'!$A:$L,3)</f>
        <v/>
      </c>
      <c r="D803" s="55">
        <f>VLOOKUP(Table91213[[#This Row],[Date]],'DB Details'!$A:$L,4)</f>
        <v/>
      </c>
      <c r="E803" s="88">
        <f>VLOOKUP(Table91213[[#This Row],[Date]],'DB Details'!$A:$L,5)</f>
        <v/>
      </c>
      <c r="F803" s="88">
        <f>VLOOKUP(Table91213[[#This Row],[Date]],'DB Details'!$A:$L,6)</f>
        <v/>
      </c>
      <c r="G803" s="41">
        <f>VLOOKUP(Table91213[[#This Row],[Date]],'DB Details'!$A:$L,7)</f>
        <v/>
      </c>
      <c r="H803" s="88">
        <f>VLOOKUP(Table91213[[#This Row],[Date]],'DB Details'!$A:$L,8)</f>
        <v/>
      </c>
      <c r="I803" s="88">
        <f>VLOOKUP(Table91213[[#This Row],[Date]],'DB Details'!$A:$L,9)</f>
        <v/>
      </c>
      <c r="J803" s="88">
        <f>VLOOKUP(Table91213[[#This Row],[Date]],'DB Details'!$A:$L,10)</f>
        <v/>
      </c>
      <c r="K803" s="41">
        <f>VLOOKUP(Table91213[[#This Row],[Date]],'DB Details'!$A:$L,11)</f>
        <v/>
      </c>
      <c r="L803" s="88">
        <f>VLOOKUP(Table91213[[#This Row],[Date]],'DB Details'!$A:$L,12)</f>
        <v/>
      </c>
    </row>
    <row r="804">
      <c r="A804" s="39" t="n">
        <v>41821</v>
      </c>
      <c r="B804" s="57">
        <f>VLOOKUP(Table91213[[#This Row],[Date]],'DB Details'!$A:$L,2)</f>
        <v/>
      </c>
      <c r="C804" s="41">
        <f>VLOOKUP(Table91213[[#This Row],[Date]],'DB Details'!$A:$L,3)</f>
        <v/>
      </c>
      <c r="D804" s="55">
        <f>VLOOKUP(Table91213[[#This Row],[Date]],'DB Details'!$A:$L,4)</f>
        <v/>
      </c>
      <c r="E804" s="88">
        <f>VLOOKUP(Table91213[[#This Row],[Date]],'DB Details'!$A:$L,5)</f>
        <v/>
      </c>
      <c r="F804" s="88">
        <f>VLOOKUP(Table91213[[#This Row],[Date]],'DB Details'!$A:$L,6)</f>
        <v/>
      </c>
      <c r="G804" s="41">
        <f>VLOOKUP(Table91213[[#This Row],[Date]],'DB Details'!$A:$L,7)</f>
        <v/>
      </c>
      <c r="H804" s="88">
        <f>VLOOKUP(Table91213[[#This Row],[Date]],'DB Details'!$A:$L,8)</f>
        <v/>
      </c>
      <c r="I804" s="88">
        <f>VLOOKUP(Table91213[[#This Row],[Date]],'DB Details'!$A:$L,9)</f>
        <v/>
      </c>
      <c r="J804" s="88">
        <f>VLOOKUP(Table91213[[#This Row],[Date]],'DB Details'!$A:$L,10)</f>
        <v/>
      </c>
      <c r="K804" s="41">
        <f>VLOOKUP(Table91213[[#This Row],[Date]],'DB Details'!$A:$L,11)</f>
        <v/>
      </c>
      <c r="L804" s="88">
        <f>VLOOKUP(Table91213[[#This Row],[Date]],'DB Details'!$A:$L,12)</f>
        <v/>
      </c>
    </row>
    <row r="805">
      <c r="A805" s="39" t="n">
        <v>41852</v>
      </c>
      <c r="B805" s="57">
        <f>VLOOKUP(Table91213[[#This Row],[Date]],'DB Details'!$A:$L,2)</f>
        <v/>
      </c>
      <c r="C805" s="41">
        <f>VLOOKUP(Table91213[[#This Row],[Date]],'DB Details'!$A:$L,3)</f>
        <v/>
      </c>
      <c r="D805" s="55">
        <f>VLOOKUP(Table91213[[#This Row],[Date]],'DB Details'!$A:$L,4)</f>
        <v/>
      </c>
      <c r="E805" s="88">
        <f>VLOOKUP(Table91213[[#This Row],[Date]],'DB Details'!$A:$L,5)</f>
        <v/>
      </c>
      <c r="F805" s="88">
        <f>VLOOKUP(Table91213[[#This Row],[Date]],'DB Details'!$A:$L,6)</f>
        <v/>
      </c>
      <c r="G805" s="41">
        <f>VLOOKUP(Table91213[[#This Row],[Date]],'DB Details'!$A:$L,7)</f>
        <v/>
      </c>
      <c r="H805" s="88">
        <f>VLOOKUP(Table91213[[#This Row],[Date]],'DB Details'!$A:$L,8)</f>
        <v/>
      </c>
      <c r="I805" s="88">
        <f>VLOOKUP(Table91213[[#This Row],[Date]],'DB Details'!$A:$L,9)</f>
        <v/>
      </c>
      <c r="J805" s="88">
        <f>VLOOKUP(Table91213[[#This Row],[Date]],'DB Details'!$A:$L,10)</f>
        <v/>
      </c>
      <c r="K805" s="41">
        <f>VLOOKUP(Table91213[[#This Row],[Date]],'DB Details'!$A:$L,11)</f>
        <v/>
      </c>
      <c r="L805" s="88">
        <f>VLOOKUP(Table91213[[#This Row],[Date]],'DB Details'!$A:$L,12)</f>
        <v/>
      </c>
    </row>
    <row r="806">
      <c r="A806" s="39" t="n">
        <v>41883</v>
      </c>
      <c r="B806" s="57">
        <f>VLOOKUP(Table91213[[#This Row],[Date]],'DB Details'!$A:$L,2)</f>
        <v/>
      </c>
      <c r="C806" s="41">
        <f>VLOOKUP(Table91213[[#This Row],[Date]],'DB Details'!$A:$L,3)</f>
        <v/>
      </c>
      <c r="D806" s="55">
        <f>VLOOKUP(Table91213[[#This Row],[Date]],'DB Details'!$A:$L,4)</f>
        <v/>
      </c>
      <c r="E806" s="88">
        <f>VLOOKUP(Table91213[[#This Row],[Date]],'DB Details'!$A:$L,5)</f>
        <v/>
      </c>
      <c r="F806" s="88">
        <f>VLOOKUP(Table91213[[#This Row],[Date]],'DB Details'!$A:$L,6)</f>
        <v/>
      </c>
      <c r="G806" s="41">
        <f>VLOOKUP(Table91213[[#This Row],[Date]],'DB Details'!$A:$L,7)</f>
        <v/>
      </c>
      <c r="H806" s="88">
        <f>VLOOKUP(Table91213[[#This Row],[Date]],'DB Details'!$A:$L,8)</f>
        <v/>
      </c>
      <c r="I806" s="88">
        <f>VLOOKUP(Table91213[[#This Row],[Date]],'DB Details'!$A:$L,9)</f>
        <v/>
      </c>
      <c r="J806" s="88">
        <f>VLOOKUP(Table91213[[#This Row],[Date]],'DB Details'!$A:$L,10)</f>
        <v/>
      </c>
      <c r="K806" s="41">
        <f>VLOOKUP(Table91213[[#This Row],[Date]],'DB Details'!$A:$L,11)</f>
        <v/>
      </c>
      <c r="L806" s="88">
        <f>VLOOKUP(Table91213[[#This Row],[Date]],'DB Details'!$A:$L,12)</f>
        <v/>
      </c>
    </row>
    <row r="807">
      <c r="A807" s="39" t="n">
        <v>41913</v>
      </c>
      <c r="B807" s="57">
        <f>VLOOKUP(Table91213[[#This Row],[Date]],'DB Details'!$A:$L,2)</f>
        <v/>
      </c>
      <c r="C807" s="41">
        <f>VLOOKUP(Table91213[[#This Row],[Date]],'DB Details'!$A:$L,3)</f>
        <v/>
      </c>
      <c r="D807" s="55">
        <f>VLOOKUP(Table91213[[#This Row],[Date]],'DB Details'!$A:$L,4)</f>
        <v/>
      </c>
      <c r="E807" s="88">
        <f>VLOOKUP(Table91213[[#This Row],[Date]],'DB Details'!$A:$L,5)</f>
        <v/>
      </c>
      <c r="F807" s="88">
        <f>VLOOKUP(Table91213[[#This Row],[Date]],'DB Details'!$A:$L,6)</f>
        <v/>
      </c>
      <c r="G807" s="41">
        <f>VLOOKUP(Table91213[[#This Row],[Date]],'DB Details'!$A:$L,7)</f>
        <v/>
      </c>
      <c r="H807" s="88">
        <f>VLOOKUP(Table91213[[#This Row],[Date]],'DB Details'!$A:$L,8)</f>
        <v/>
      </c>
      <c r="I807" s="88">
        <f>VLOOKUP(Table91213[[#This Row],[Date]],'DB Details'!$A:$L,9)</f>
        <v/>
      </c>
      <c r="J807" s="88">
        <f>VLOOKUP(Table91213[[#This Row],[Date]],'DB Details'!$A:$L,10)</f>
        <v/>
      </c>
      <c r="K807" s="41">
        <f>VLOOKUP(Table91213[[#This Row],[Date]],'DB Details'!$A:$L,11)</f>
        <v/>
      </c>
      <c r="L807" s="88">
        <f>VLOOKUP(Table91213[[#This Row],[Date]],'DB Details'!$A:$L,12)</f>
        <v/>
      </c>
    </row>
    <row r="808">
      <c r="A808" s="39" t="n">
        <v>41944</v>
      </c>
      <c r="B808" s="57">
        <f>VLOOKUP(Table91213[[#This Row],[Date]],'DB Details'!$A:$L,2)</f>
        <v/>
      </c>
      <c r="C808" s="41">
        <f>VLOOKUP(Table91213[[#This Row],[Date]],'DB Details'!$A:$L,3)</f>
        <v/>
      </c>
      <c r="D808" s="55">
        <f>VLOOKUP(Table91213[[#This Row],[Date]],'DB Details'!$A:$L,4)</f>
        <v/>
      </c>
      <c r="E808" s="88">
        <f>VLOOKUP(Table91213[[#This Row],[Date]],'DB Details'!$A:$L,5)</f>
        <v/>
      </c>
      <c r="F808" s="88">
        <f>VLOOKUP(Table91213[[#This Row],[Date]],'DB Details'!$A:$L,6)</f>
        <v/>
      </c>
      <c r="G808" s="41">
        <f>VLOOKUP(Table91213[[#This Row],[Date]],'DB Details'!$A:$L,7)</f>
        <v/>
      </c>
      <c r="H808" s="88">
        <f>VLOOKUP(Table91213[[#This Row],[Date]],'DB Details'!$A:$L,8)</f>
        <v/>
      </c>
      <c r="I808" s="88">
        <f>VLOOKUP(Table91213[[#This Row],[Date]],'DB Details'!$A:$L,9)</f>
        <v/>
      </c>
      <c r="J808" s="88">
        <f>VLOOKUP(Table91213[[#This Row],[Date]],'DB Details'!$A:$L,10)</f>
        <v/>
      </c>
      <c r="K808" s="41">
        <f>VLOOKUP(Table91213[[#This Row],[Date]],'DB Details'!$A:$L,11)</f>
        <v/>
      </c>
      <c r="L808" s="88">
        <f>VLOOKUP(Table91213[[#This Row],[Date]],'DB Details'!$A:$L,12)</f>
        <v/>
      </c>
    </row>
    <row r="809">
      <c r="A809" s="39" t="n">
        <v>41974</v>
      </c>
      <c r="B809" s="57">
        <f>VLOOKUP(Table91213[[#This Row],[Date]],'DB Details'!$A:$L,2)</f>
        <v/>
      </c>
      <c r="C809" s="41">
        <f>VLOOKUP(Table91213[[#This Row],[Date]],'DB Details'!$A:$L,3)</f>
        <v/>
      </c>
      <c r="D809" s="55">
        <f>VLOOKUP(Table91213[[#This Row],[Date]],'DB Details'!$A:$L,4)</f>
        <v/>
      </c>
      <c r="E809" s="88">
        <f>VLOOKUP(Table91213[[#This Row],[Date]],'DB Details'!$A:$L,5)</f>
        <v/>
      </c>
      <c r="F809" s="88">
        <f>VLOOKUP(Table91213[[#This Row],[Date]],'DB Details'!$A:$L,6)</f>
        <v/>
      </c>
      <c r="G809" s="41">
        <f>VLOOKUP(Table91213[[#This Row],[Date]],'DB Details'!$A:$L,7)</f>
        <v/>
      </c>
      <c r="H809" s="88">
        <f>VLOOKUP(Table91213[[#This Row],[Date]],'DB Details'!$A:$L,8)</f>
        <v/>
      </c>
      <c r="I809" s="88">
        <f>VLOOKUP(Table91213[[#This Row],[Date]],'DB Details'!$A:$L,9)</f>
        <v/>
      </c>
      <c r="J809" s="88">
        <f>VLOOKUP(Table91213[[#This Row],[Date]],'DB Details'!$A:$L,10)</f>
        <v/>
      </c>
      <c r="K809" s="41">
        <f>VLOOKUP(Table91213[[#This Row],[Date]],'DB Details'!$A:$L,11)</f>
        <v/>
      </c>
      <c r="L809" s="88">
        <f>VLOOKUP(Table91213[[#This Row],[Date]],'DB Details'!$A:$L,12)</f>
        <v/>
      </c>
    </row>
    <row r="810">
      <c r="A810" s="39" t="n">
        <v>42005</v>
      </c>
      <c r="B810" s="57">
        <f>VLOOKUP(Table91213[[#This Row],[Date]],'DB Details'!$A:$L,2)</f>
        <v/>
      </c>
      <c r="C810" s="41">
        <f>VLOOKUP(Table91213[[#This Row],[Date]],'DB Details'!$A:$L,3)</f>
        <v/>
      </c>
      <c r="D810" s="55">
        <f>VLOOKUP(Table91213[[#This Row],[Date]],'DB Details'!$A:$L,4)</f>
        <v/>
      </c>
      <c r="E810" s="88">
        <f>VLOOKUP(Table91213[[#This Row],[Date]],'DB Details'!$A:$L,5)</f>
        <v/>
      </c>
      <c r="F810" s="88">
        <f>VLOOKUP(Table91213[[#This Row],[Date]],'DB Details'!$A:$L,6)</f>
        <v/>
      </c>
      <c r="G810" s="41">
        <f>VLOOKUP(Table91213[[#This Row],[Date]],'DB Details'!$A:$L,7)</f>
        <v/>
      </c>
      <c r="H810" s="88">
        <f>VLOOKUP(Table91213[[#This Row],[Date]],'DB Details'!$A:$L,8)</f>
        <v/>
      </c>
      <c r="I810" s="88">
        <f>VLOOKUP(Table91213[[#This Row],[Date]],'DB Details'!$A:$L,9)</f>
        <v/>
      </c>
      <c r="J810" s="88">
        <f>VLOOKUP(Table91213[[#This Row],[Date]],'DB Details'!$A:$L,10)</f>
        <v/>
      </c>
      <c r="K810" s="41">
        <f>VLOOKUP(Table91213[[#This Row],[Date]],'DB Details'!$A:$L,11)</f>
        <v/>
      </c>
      <c r="L810" s="88">
        <f>VLOOKUP(Table91213[[#This Row],[Date]],'DB Details'!$A:$L,12)</f>
        <v/>
      </c>
    </row>
    <row r="811">
      <c r="A811" s="39" t="n">
        <v>42036</v>
      </c>
      <c r="B811" s="57">
        <f>VLOOKUP(Table91213[[#This Row],[Date]],'DB Details'!$A:$L,2)</f>
        <v/>
      </c>
      <c r="C811" s="41">
        <f>VLOOKUP(Table91213[[#This Row],[Date]],'DB Details'!$A:$L,3)</f>
        <v/>
      </c>
      <c r="D811" s="55">
        <f>VLOOKUP(Table91213[[#This Row],[Date]],'DB Details'!$A:$L,4)</f>
        <v/>
      </c>
      <c r="E811" s="88">
        <f>VLOOKUP(Table91213[[#This Row],[Date]],'DB Details'!$A:$L,5)</f>
        <v/>
      </c>
      <c r="F811" s="88">
        <f>VLOOKUP(Table91213[[#This Row],[Date]],'DB Details'!$A:$L,6)</f>
        <v/>
      </c>
      <c r="G811" s="41">
        <f>VLOOKUP(Table91213[[#This Row],[Date]],'DB Details'!$A:$L,7)</f>
        <v/>
      </c>
      <c r="H811" s="88">
        <f>VLOOKUP(Table91213[[#This Row],[Date]],'DB Details'!$A:$L,8)</f>
        <v/>
      </c>
      <c r="I811" s="88">
        <f>VLOOKUP(Table91213[[#This Row],[Date]],'DB Details'!$A:$L,9)</f>
        <v/>
      </c>
      <c r="J811" s="88">
        <f>VLOOKUP(Table91213[[#This Row],[Date]],'DB Details'!$A:$L,10)</f>
        <v/>
      </c>
      <c r="K811" s="41">
        <f>VLOOKUP(Table91213[[#This Row],[Date]],'DB Details'!$A:$L,11)</f>
        <v/>
      </c>
      <c r="L811" s="88">
        <f>VLOOKUP(Table91213[[#This Row],[Date]],'DB Details'!$A:$L,12)</f>
        <v/>
      </c>
    </row>
    <row r="812">
      <c r="A812" s="39" t="n">
        <v>42064</v>
      </c>
      <c r="B812" s="57">
        <f>VLOOKUP(Table91213[[#This Row],[Date]],'DB Details'!$A:$L,2)</f>
        <v/>
      </c>
      <c r="C812" s="41">
        <f>VLOOKUP(Table91213[[#This Row],[Date]],'DB Details'!$A:$L,3)</f>
        <v/>
      </c>
      <c r="D812" s="55">
        <f>VLOOKUP(Table91213[[#This Row],[Date]],'DB Details'!$A:$L,4)</f>
        <v/>
      </c>
      <c r="E812" s="88">
        <f>VLOOKUP(Table91213[[#This Row],[Date]],'DB Details'!$A:$L,5)</f>
        <v/>
      </c>
      <c r="F812" s="88">
        <f>VLOOKUP(Table91213[[#This Row],[Date]],'DB Details'!$A:$L,6)</f>
        <v/>
      </c>
      <c r="G812" s="41">
        <f>VLOOKUP(Table91213[[#This Row],[Date]],'DB Details'!$A:$L,7)</f>
        <v/>
      </c>
      <c r="H812" s="88">
        <f>VLOOKUP(Table91213[[#This Row],[Date]],'DB Details'!$A:$L,8)</f>
        <v/>
      </c>
      <c r="I812" s="88">
        <f>VLOOKUP(Table91213[[#This Row],[Date]],'DB Details'!$A:$L,9)</f>
        <v/>
      </c>
      <c r="J812" s="88">
        <f>VLOOKUP(Table91213[[#This Row],[Date]],'DB Details'!$A:$L,10)</f>
        <v/>
      </c>
      <c r="K812" s="41">
        <f>VLOOKUP(Table91213[[#This Row],[Date]],'DB Details'!$A:$L,11)</f>
        <v/>
      </c>
      <c r="L812" s="88">
        <f>VLOOKUP(Table91213[[#This Row],[Date]],'DB Details'!$A:$L,12)</f>
        <v/>
      </c>
    </row>
    <row r="813">
      <c r="A813" s="39" t="n">
        <v>42095</v>
      </c>
      <c r="B813" s="57">
        <f>VLOOKUP(Table91213[[#This Row],[Date]],'DB Details'!$A:$L,2)</f>
        <v/>
      </c>
      <c r="C813" s="41">
        <f>VLOOKUP(Table91213[[#This Row],[Date]],'DB Details'!$A:$L,3)</f>
        <v/>
      </c>
      <c r="D813" s="55">
        <f>VLOOKUP(Table91213[[#This Row],[Date]],'DB Details'!$A:$L,4)</f>
        <v/>
      </c>
      <c r="E813" s="88">
        <f>VLOOKUP(Table91213[[#This Row],[Date]],'DB Details'!$A:$L,5)</f>
        <v/>
      </c>
      <c r="F813" s="88">
        <f>VLOOKUP(Table91213[[#This Row],[Date]],'DB Details'!$A:$L,6)</f>
        <v/>
      </c>
      <c r="G813" s="41">
        <f>VLOOKUP(Table91213[[#This Row],[Date]],'DB Details'!$A:$L,7)</f>
        <v/>
      </c>
      <c r="H813" s="88">
        <f>VLOOKUP(Table91213[[#This Row],[Date]],'DB Details'!$A:$L,8)</f>
        <v/>
      </c>
      <c r="I813" s="88">
        <f>VLOOKUP(Table91213[[#This Row],[Date]],'DB Details'!$A:$L,9)</f>
        <v/>
      </c>
      <c r="J813" s="88">
        <f>VLOOKUP(Table91213[[#This Row],[Date]],'DB Details'!$A:$L,10)</f>
        <v/>
      </c>
      <c r="K813" s="41">
        <f>VLOOKUP(Table91213[[#This Row],[Date]],'DB Details'!$A:$L,11)</f>
        <v/>
      </c>
      <c r="L813" s="88">
        <f>VLOOKUP(Table91213[[#This Row],[Date]],'DB Details'!$A:$L,12)</f>
        <v/>
      </c>
    </row>
    <row r="814">
      <c r="A814" s="39" t="n">
        <v>42125</v>
      </c>
      <c r="B814" s="57">
        <f>VLOOKUP(Table91213[[#This Row],[Date]],'DB Details'!$A:$L,2)</f>
        <v/>
      </c>
      <c r="C814" s="41">
        <f>VLOOKUP(Table91213[[#This Row],[Date]],'DB Details'!$A:$L,3)</f>
        <v/>
      </c>
      <c r="D814" s="55">
        <f>VLOOKUP(Table91213[[#This Row],[Date]],'DB Details'!$A:$L,4)</f>
        <v/>
      </c>
      <c r="E814" s="88">
        <f>VLOOKUP(Table91213[[#This Row],[Date]],'DB Details'!$A:$L,5)</f>
        <v/>
      </c>
      <c r="F814" s="88">
        <f>VLOOKUP(Table91213[[#This Row],[Date]],'DB Details'!$A:$L,6)</f>
        <v/>
      </c>
      <c r="G814" s="41">
        <f>VLOOKUP(Table91213[[#This Row],[Date]],'DB Details'!$A:$L,7)</f>
        <v/>
      </c>
      <c r="H814" s="88">
        <f>VLOOKUP(Table91213[[#This Row],[Date]],'DB Details'!$A:$L,8)</f>
        <v/>
      </c>
      <c r="I814" s="88">
        <f>VLOOKUP(Table91213[[#This Row],[Date]],'DB Details'!$A:$L,9)</f>
        <v/>
      </c>
      <c r="J814" s="88">
        <f>VLOOKUP(Table91213[[#This Row],[Date]],'DB Details'!$A:$L,10)</f>
        <v/>
      </c>
      <c r="K814" s="41">
        <f>VLOOKUP(Table91213[[#This Row],[Date]],'DB Details'!$A:$L,11)</f>
        <v/>
      </c>
      <c r="L814" s="88">
        <f>VLOOKUP(Table91213[[#This Row],[Date]],'DB Details'!$A:$L,12)</f>
        <v/>
      </c>
    </row>
    <row r="815">
      <c r="A815" s="39" t="n">
        <v>42156</v>
      </c>
      <c r="B815" s="57">
        <f>VLOOKUP(Table91213[[#This Row],[Date]],'DB Details'!$A:$L,2)</f>
        <v/>
      </c>
      <c r="C815" s="41">
        <f>VLOOKUP(Table91213[[#This Row],[Date]],'DB Details'!$A:$L,3)</f>
        <v/>
      </c>
      <c r="D815" s="55">
        <f>VLOOKUP(Table91213[[#This Row],[Date]],'DB Details'!$A:$L,4)</f>
        <v/>
      </c>
      <c r="E815" s="88">
        <f>VLOOKUP(Table91213[[#This Row],[Date]],'DB Details'!$A:$L,5)</f>
        <v/>
      </c>
      <c r="F815" s="88">
        <f>VLOOKUP(Table91213[[#This Row],[Date]],'DB Details'!$A:$L,6)</f>
        <v/>
      </c>
      <c r="G815" s="41">
        <f>VLOOKUP(Table91213[[#This Row],[Date]],'DB Details'!$A:$L,7)</f>
        <v/>
      </c>
      <c r="H815" s="88">
        <f>VLOOKUP(Table91213[[#This Row],[Date]],'DB Details'!$A:$L,8)</f>
        <v/>
      </c>
      <c r="I815" s="88">
        <f>VLOOKUP(Table91213[[#This Row],[Date]],'DB Details'!$A:$L,9)</f>
        <v/>
      </c>
      <c r="J815" s="88">
        <f>VLOOKUP(Table91213[[#This Row],[Date]],'DB Details'!$A:$L,10)</f>
        <v/>
      </c>
      <c r="K815" s="41">
        <f>VLOOKUP(Table91213[[#This Row],[Date]],'DB Details'!$A:$L,11)</f>
        <v/>
      </c>
      <c r="L815" s="88">
        <f>VLOOKUP(Table91213[[#This Row],[Date]],'DB Details'!$A:$L,12)</f>
        <v/>
      </c>
    </row>
    <row r="816">
      <c r="A816" s="39" t="n">
        <v>42186</v>
      </c>
      <c r="B816" s="57">
        <f>VLOOKUP(Table91213[[#This Row],[Date]],'DB Details'!$A:$L,2)</f>
        <v/>
      </c>
      <c r="C816" s="41">
        <f>VLOOKUP(Table91213[[#This Row],[Date]],'DB Details'!$A:$L,3)</f>
        <v/>
      </c>
      <c r="D816" s="55">
        <f>VLOOKUP(Table91213[[#This Row],[Date]],'DB Details'!$A:$L,4)</f>
        <v/>
      </c>
      <c r="E816" s="88">
        <f>VLOOKUP(Table91213[[#This Row],[Date]],'DB Details'!$A:$L,5)</f>
        <v/>
      </c>
      <c r="F816" s="88">
        <f>VLOOKUP(Table91213[[#This Row],[Date]],'DB Details'!$A:$L,6)</f>
        <v/>
      </c>
      <c r="G816" s="41">
        <f>VLOOKUP(Table91213[[#This Row],[Date]],'DB Details'!$A:$L,7)</f>
        <v/>
      </c>
      <c r="H816" s="88">
        <f>VLOOKUP(Table91213[[#This Row],[Date]],'DB Details'!$A:$L,8)</f>
        <v/>
      </c>
      <c r="I816" s="88">
        <f>VLOOKUP(Table91213[[#This Row],[Date]],'DB Details'!$A:$L,9)</f>
        <v/>
      </c>
      <c r="J816" s="88">
        <f>VLOOKUP(Table91213[[#This Row],[Date]],'DB Details'!$A:$L,10)</f>
        <v/>
      </c>
      <c r="K816" s="41">
        <f>VLOOKUP(Table91213[[#This Row],[Date]],'DB Details'!$A:$L,11)</f>
        <v/>
      </c>
      <c r="L816" s="88">
        <f>VLOOKUP(Table91213[[#This Row],[Date]],'DB Details'!$A:$L,12)</f>
        <v/>
      </c>
    </row>
    <row r="817">
      <c r="A817" s="39" t="n">
        <v>42217</v>
      </c>
      <c r="B817" s="57">
        <f>VLOOKUP(Table91213[[#This Row],[Date]],'DB Details'!$A:$L,2)</f>
        <v/>
      </c>
      <c r="C817" s="41">
        <f>VLOOKUP(Table91213[[#This Row],[Date]],'DB Details'!$A:$L,3)</f>
        <v/>
      </c>
      <c r="D817" s="55">
        <f>VLOOKUP(Table91213[[#This Row],[Date]],'DB Details'!$A:$L,4)</f>
        <v/>
      </c>
      <c r="E817" s="88">
        <f>VLOOKUP(Table91213[[#This Row],[Date]],'DB Details'!$A:$L,5)</f>
        <v/>
      </c>
      <c r="F817" s="88">
        <f>VLOOKUP(Table91213[[#This Row],[Date]],'DB Details'!$A:$L,6)</f>
        <v/>
      </c>
      <c r="G817" s="41">
        <f>VLOOKUP(Table91213[[#This Row],[Date]],'DB Details'!$A:$L,7)</f>
        <v/>
      </c>
      <c r="H817" s="88">
        <f>VLOOKUP(Table91213[[#This Row],[Date]],'DB Details'!$A:$L,8)</f>
        <v/>
      </c>
      <c r="I817" s="88">
        <f>VLOOKUP(Table91213[[#This Row],[Date]],'DB Details'!$A:$L,9)</f>
        <v/>
      </c>
      <c r="J817" s="88">
        <f>VLOOKUP(Table91213[[#This Row],[Date]],'DB Details'!$A:$L,10)</f>
        <v/>
      </c>
      <c r="K817" s="41">
        <f>VLOOKUP(Table91213[[#This Row],[Date]],'DB Details'!$A:$L,11)</f>
        <v/>
      </c>
      <c r="L817" s="88">
        <f>VLOOKUP(Table91213[[#This Row],[Date]],'DB Details'!$A:$L,12)</f>
        <v/>
      </c>
    </row>
    <row r="818">
      <c r="A818" s="39" t="n">
        <v>42248</v>
      </c>
      <c r="B818" s="57">
        <f>VLOOKUP(Table91213[[#This Row],[Date]],'DB Details'!$A:$L,2)</f>
        <v/>
      </c>
      <c r="C818" s="41">
        <f>VLOOKUP(Table91213[[#This Row],[Date]],'DB Details'!$A:$L,3)</f>
        <v/>
      </c>
      <c r="D818" s="55">
        <f>VLOOKUP(Table91213[[#This Row],[Date]],'DB Details'!$A:$L,4)</f>
        <v/>
      </c>
      <c r="E818" s="88">
        <f>VLOOKUP(Table91213[[#This Row],[Date]],'DB Details'!$A:$L,5)</f>
        <v/>
      </c>
      <c r="F818" s="88">
        <f>VLOOKUP(Table91213[[#This Row],[Date]],'DB Details'!$A:$L,6)</f>
        <v/>
      </c>
      <c r="G818" s="41">
        <f>VLOOKUP(Table91213[[#This Row],[Date]],'DB Details'!$A:$L,7)</f>
        <v/>
      </c>
      <c r="H818" s="88">
        <f>VLOOKUP(Table91213[[#This Row],[Date]],'DB Details'!$A:$L,8)</f>
        <v/>
      </c>
      <c r="I818" s="88">
        <f>VLOOKUP(Table91213[[#This Row],[Date]],'DB Details'!$A:$L,9)</f>
        <v/>
      </c>
      <c r="J818" s="88">
        <f>VLOOKUP(Table91213[[#This Row],[Date]],'DB Details'!$A:$L,10)</f>
        <v/>
      </c>
      <c r="K818" s="41">
        <f>VLOOKUP(Table91213[[#This Row],[Date]],'DB Details'!$A:$L,11)</f>
        <v/>
      </c>
      <c r="L818" s="88">
        <f>VLOOKUP(Table91213[[#This Row],[Date]],'DB Details'!$A:$L,12)</f>
        <v/>
      </c>
    </row>
    <row r="819">
      <c r="A819" s="39" t="n">
        <v>42278</v>
      </c>
      <c r="B819" s="57">
        <f>VLOOKUP(Table91213[[#This Row],[Date]],'DB Details'!$A:$L,2)</f>
        <v/>
      </c>
      <c r="C819" s="41">
        <f>VLOOKUP(Table91213[[#This Row],[Date]],'DB Details'!$A:$L,3)</f>
        <v/>
      </c>
      <c r="D819" s="55">
        <f>VLOOKUP(Table91213[[#This Row],[Date]],'DB Details'!$A:$L,4)</f>
        <v/>
      </c>
      <c r="E819" s="88">
        <f>VLOOKUP(Table91213[[#This Row],[Date]],'DB Details'!$A:$L,5)</f>
        <v/>
      </c>
      <c r="F819" s="88">
        <f>VLOOKUP(Table91213[[#This Row],[Date]],'DB Details'!$A:$L,6)</f>
        <v/>
      </c>
      <c r="G819" s="41">
        <f>VLOOKUP(Table91213[[#This Row],[Date]],'DB Details'!$A:$L,7)</f>
        <v/>
      </c>
      <c r="H819" s="88">
        <f>VLOOKUP(Table91213[[#This Row],[Date]],'DB Details'!$A:$L,8)</f>
        <v/>
      </c>
      <c r="I819" s="88">
        <f>VLOOKUP(Table91213[[#This Row],[Date]],'DB Details'!$A:$L,9)</f>
        <v/>
      </c>
      <c r="J819" s="88">
        <f>VLOOKUP(Table91213[[#This Row],[Date]],'DB Details'!$A:$L,10)</f>
        <v/>
      </c>
      <c r="K819" s="41">
        <f>VLOOKUP(Table91213[[#This Row],[Date]],'DB Details'!$A:$L,11)</f>
        <v/>
      </c>
      <c r="L819" s="88">
        <f>VLOOKUP(Table91213[[#This Row],[Date]],'DB Details'!$A:$L,12)</f>
        <v/>
      </c>
    </row>
    <row r="820">
      <c r="A820" s="39" t="n">
        <v>42309</v>
      </c>
      <c r="B820" s="57">
        <f>VLOOKUP(Table91213[[#This Row],[Date]],'DB Details'!$A:$L,2)</f>
        <v/>
      </c>
      <c r="C820" s="41">
        <f>VLOOKUP(Table91213[[#This Row],[Date]],'DB Details'!$A:$L,3)</f>
        <v/>
      </c>
      <c r="D820" s="55">
        <f>VLOOKUP(Table91213[[#This Row],[Date]],'DB Details'!$A:$L,4)</f>
        <v/>
      </c>
      <c r="E820" s="88">
        <f>VLOOKUP(Table91213[[#This Row],[Date]],'DB Details'!$A:$L,5)</f>
        <v/>
      </c>
      <c r="F820" s="88">
        <f>VLOOKUP(Table91213[[#This Row],[Date]],'DB Details'!$A:$L,6)</f>
        <v/>
      </c>
      <c r="G820" s="41">
        <f>VLOOKUP(Table91213[[#This Row],[Date]],'DB Details'!$A:$L,7)</f>
        <v/>
      </c>
      <c r="H820" s="88">
        <f>VLOOKUP(Table91213[[#This Row],[Date]],'DB Details'!$A:$L,8)</f>
        <v/>
      </c>
      <c r="I820" s="88">
        <f>VLOOKUP(Table91213[[#This Row],[Date]],'DB Details'!$A:$L,9)</f>
        <v/>
      </c>
      <c r="J820" s="88">
        <f>VLOOKUP(Table91213[[#This Row],[Date]],'DB Details'!$A:$L,10)</f>
        <v/>
      </c>
      <c r="K820" s="41">
        <f>VLOOKUP(Table91213[[#This Row],[Date]],'DB Details'!$A:$L,11)</f>
        <v/>
      </c>
      <c r="L820" s="88">
        <f>VLOOKUP(Table91213[[#This Row],[Date]],'DB Details'!$A:$L,12)</f>
        <v/>
      </c>
    </row>
    <row r="821">
      <c r="A821" s="39" t="n">
        <v>42339</v>
      </c>
      <c r="B821" s="57">
        <f>VLOOKUP(Table91213[[#This Row],[Date]],'DB Details'!$A:$L,2)</f>
        <v/>
      </c>
      <c r="C821" s="41">
        <f>VLOOKUP(Table91213[[#This Row],[Date]],'DB Details'!$A:$L,3)</f>
        <v/>
      </c>
      <c r="D821" s="55">
        <f>VLOOKUP(Table91213[[#This Row],[Date]],'DB Details'!$A:$L,4)</f>
        <v/>
      </c>
      <c r="E821" s="88">
        <f>VLOOKUP(Table91213[[#This Row],[Date]],'DB Details'!$A:$L,5)</f>
        <v/>
      </c>
      <c r="F821" s="88">
        <f>VLOOKUP(Table91213[[#This Row],[Date]],'DB Details'!$A:$L,6)</f>
        <v/>
      </c>
      <c r="G821" s="41">
        <f>VLOOKUP(Table91213[[#This Row],[Date]],'DB Details'!$A:$L,7)</f>
        <v/>
      </c>
      <c r="H821" s="88">
        <f>VLOOKUP(Table91213[[#This Row],[Date]],'DB Details'!$A:$L,8)</f>
        <v/>
      </c>
      <c r="I821" s="88">
        <f>VLOOKUP(Table91213[[#This Row],[Date]],'DB Details'!$A:$L,9)</f>
        <v/>
      </c>
      <c r="J821" s="88">
        <f>VLOOKUP(Table91213[[#This Row],[Date]],'DB Details'!$A:$L,10)</f>
        <v/>
      </c>
      <c r="K821" s="41">
        <f>VLOOKUP(Table91213[[#This Row],[Date]],'DB Details'!$A:$L,11)</f>
        <v/>
      </c>
      <c r="L821" s="88">
        <f>VLOOKUP(Table91213[[#This Row],[Date]],'DB Details'!$A:$L,12)</f>
        <v/>
      </c>
    </row>
    <row r="822">
      <c r="A822" s="39" t="n">
        <v>42370</v>
      </c>
      <c r="B822" s="57">
        <f>VLOOKUP(Table91213[[#This Row],[Date]],'DB Details'!$A:$L,2)</f>
        <v/>
      </c>
      <c r="C822" s="41">
        <f>VLOOKUP(Table91213[[#This Row],[Date]],'DB Details'!$A:$L,3)</f>
        <v/>
      </c>
      <c r="D822" s="55">
        <f>VLOOKUP(Table91213[[#This Row],[Date]],'DB Details'!$A:$L,4)</f>
        <v/>
      </c>
      <c r="E822" s="88">
        <f>VLOOKUP(Table91213[[#This Row],[Date]],'DB Details'!$A:$L,5)</f>
        <v/>
      </c>
      <c r="F822" s="88">
        <f>VLOOKUP(Table91213[[#This Row],[Date]],'DB Details'!$A:$L,6)</f>
        <v/>
      </c>
      <c r="G822" s="41">
        <f>VLOOKUP(Table91213[[#This Row],[Date]],'DB Details'!$A:$L,7)</f>
        <v/>
      </c>
      <c r="H822" s="88">
        <f>VLOOKUP(Table91213[[#This Row],[Date]],'DB Details'!$A:$L,8)</f>
        <v/>
      </c>
      <c r="I822" s="88">
        <f>VLOOKUP(Table91213[[#This Row],[Date]],'DB Details'!$A:$L,9)</f>
        <v/>
      </c>
      <c r="J822" s="88">
        <f>VLOOKUP(Table91213[[#This Row],[Date]],'DB Details'!$A:$L,10)</f>
        <v/>
      </c>
      <c r="K822" s="41">
        <f>VLOOKUP(Table91213[[#This Row],[Date]],'DB Details'!$A:$L,11)</f>
        <v/>
      </c>
      <c r="L822" s="88">
        <f>VLOOKUP(Table91213[[#This Row],[Date]],'DB Details'!$A:$L,12)</f>
        <v/>
      </c>
    </row>
    <row r="823">
      <c r="A823" s="39" t="n">
        <v>42401</v>
      </c>
      <c r="B823" s="57">
        <f>VLOOKUP(Table91213[[#This Row],[Date]],'DB Details'!$A:$L,2)</f>
        <v/>
      </c>
      <c r="C823" s="41">
        <f>VLOOKUP(Table91213[[#This Row],[Date]],'DB Details'!$A:$L,3)</f>
        <v/>
      </c>
      <c r="D823" s="55">
        <f>VLOOKUP(Table91213[[#This Row],[Date]],'DB Details'!$A:$L,4)</f>
        <v/>
      </c>
      <c r="E823" s="88">
        <f>VLOOKUP(Table91213[[#This Row],[Date]],'DB Details'!$A:$L,5)</f>
        <v/>
      </c>
      <c r="F823" s="88">
        <f>VLOOKUP(Table91213[[#This Row],[Date]],'DB Details'!$A:$L,6)</f>
        <v/>
      </c>
      <c r="G823" s="41">
        <f>VLOOKUP(Table91213[[#This Row],[Date]],'DB Details'!$A:$L,7)</f>
        <v/>
      </c>
      <c r="H823" s="88">
        <f>VLOOKUP(Table91213[[#This Row],[Date]],'DB Details'!$A:$L,8)</f>
        <v/>
      </c>
      <c r="I823" s="88">
        <f>VLOOKUP(Table91213[[#This Row],[Date]],'DB Details'!$A:$L,9)</f>
        <v/>
      </c>
      <c r="J823" s="88">
        <f>VLOOKUP(Table91213[[#This Row],[Date]],'DB Details'!$A:$L,10)</f>
        <v/>
      </c>
      <c r="K823" s="41">
        <f>VLOOKUP(Table91213[[#This Row],[Date]],'DB Details'!$A:$L,11)</f>
        <v/>
      </c>
      <c r="L823" s="88">
        <f>VLOOKUP(Table91213[[#This Row],[Date]],'DB Details'!$A:$L,12)</f>
        <v/>
      </c>
    </row>
    <row r="824">
      <c r="A824" s="39" t="n">
        <v>42430</v>
      </c>
      <c r="B824" s="57">
        <f>VLOOKUP(Table91213[[#This Row],[Date]],'DB Details'!$A:$L,2)</f>
        <v/>
      </c>
      <c r="C824" s="41">
        <f>VLOOKUP(Table91213[[#This Row],[Date]],'DB Details'!$A:$L,3)</f>
        <v/>
      </c>
      <c r="D824" s="55">
        <f>VLOOKUP(Table91213[[#This Row],[Date]],'DB Details'!$A:$L,4)</f>
        <v/>
      </c>
      <c r="E824" s="88">
        <f>VLOOKUP(Table91213[[#This Row],[Date]],'DB Details'!$A:$L,5)</f>
        <v/>
      </c>
      <c r="F824" s="88">
        <f>VLOOKUP(Table91213[[#This Row],[Date]],'DB Details'!$A:$L,6)</f>
        <v/>
      </c>
      <c r="G824" s="41">
        <f>VLOOKUP(Table91213[[#This Row],[Date]],'DB Details'!$A:$L,7)</f>
        <v/>
      </c>
      <c r="H824" s="88">
        <f>VLOOKUP(Table91213[[#This Row],[Date]],'DB Details'!$A:$L,8)</f>
        <v/>
      </c>
      <c r="I824" s="88">
        <f>VLOOKUP(Table91213[[#This Row],[Date]],'DB Details'!$A:$L,9)</f>
        <v/>
      </c>
      <c r="J824" s="88">
        <f>VLOOKUP(Table91213[[#This Row],[Date]],'DB Details'!$A:$L,10)</f>
        <v/>
      </c>
      <c r="K824" s="41">
        <f>VLOOKUP(Table91213[[#This Row],[Date]],'DB Details'!$A:$L,11)</f>
        <v/>
      </c>
      <c r="L824" s="88">
        <f>VLOOKUP(Table91213[[#This Row],[Date]],'DB Details'!$A:$L,12)</f>
        <v/>
      </c>
    </row>
    <row r="825">
      <c r="A825" s="39" t="n">
        <v>42461</v>
      </c>
      <c r="B825" s="57">
        <f>VLOOKUP(Table91213[[#This Row],[Date]],'DB Details'!$A:$L,2)</f>
        <v/>
      </c>
      <c r="C825" s="41">
        <f>VLOOKUP(Table91213[[#This Row],[Date]],'DB Details'!$A:$L,3)</f>
        <v/>
      </c>
      <c r="D825" s="55">
        <f>VLOOKUP(Table91213[[#This Row],[Date]],'DB Details'!$A:$L,4)</f>
        <v/>
      </c>
      <c r="E825" s="88">
        <f>VLOOKUP(Table91213[[#This Row],[Date]],'DB Details'!$A:$L,5)</f>
        <v/>
      </c>
      <c r="F825" s="88">
        <f>VLOOKUP(Table91213[[#This Row],[Date]],'DB Details'!$A:$L,6)</f>
        <v/>
      </c>
      <c r="G825" s="41">
        <f>VLOOKUP(Table91213[[#This Row],[Date]],'DB Details'!$A:$L,7)</f>
        <v/>
      </c>
      <c r="H825" s="88">
        <f>VLOOKUP(Table91213[[#This Row],[Date]],'DB Details'!$A:$L,8)</f>
        <v/>
      </c>
      <c r="I825" s="88">
        <f>VLOOKUP(Table91213[[#This Row],[Date]],'DB Details'!$A:$L,9)</f>
        <v/>
      </c>
      <c r="J825" s="88">
        <f>VLOOKUP(Table91213[[#This Row],[Date]],'DB Details'!$A:$L,10)</f>
        <v/>
      </c>
      <c r="K825" s="41">
        <f>VLOOKUP(Table91213[[#This Row],[Date]],'DB Details'!$A:$L,11)</f>
        <v/>
      </c>
      <c r="L825" s="88">
        <f>VLOOKUP(Table91213[[#This Row],[Date]],'DB Details'!$A:$L,12)</f>
        <v/>
      </c>
    </row>
    <row r="826">
      <c r="A826" s="39" t="n">
        <v>42491</v>
      </c>
      <c r="B826" s="57">
        <f>VLOOKUP(Table91213[[#This Row],[Date]],'DB Details'!$A:$L,2)</f>
        <v/>
      </c>
      <c r="C826" s="41">
        <f>VLOOKUP(Table91213[[#This Row],[Date]],'DB Details'!$A:$L,3)</f>
        <v/>
      </c>
      <c r="D826" s="55">
        <f>VLOOKUP(Table91213[[#This Row],[Date]],'DB Details'!$A:$L,4)</f>
        <v/>
      </c>
      <c r="E826" s="88">
        <f>VLOOKUP(Table91213[[#This Row],[Date]],'DB Details'!$A:$L,5)</f>
        <v/>
      </c>
      <c r="F826" s="88">
        <f>VLOOKUP(Table91213[[#This Row],[Date]],'DB Details'!$A:$L,6)</f>
        <v/>
      </c>
      <c r="G826" s="41">
        <f>VLOOKUP(Table91213[[#This Row],[Date]],'DB Details'!$A:$L,7)</f>
        <v/>
      </c>
      <c r="H826" s="88">
        <f>VLOOKUP(Table91213[[#This Row],[Date]],'DB Details'!$A:$L,8)</f>
        <v/>
      </c>
      <c r="I826" s="88">
        <f>VLOOKUP(Table91213[[#This Row],[Date]],'DB Details'!$A:$L,9)</f>
        <v/>
      </c>
      <c r="J826" s="88">
        <f>VLOOKUP(Table91213[[#This Row],[Date]],'DB Details'!$A:$L,10)</f>
        <v/>
      </c>
      <c r="K826" s="41">
        <f>VLOOKUP(Table91213[[#This Row],[Date]],'DB Details'!$A:$L,11)</f>
        <v/>
      </c>
      <c r="L826" s="88">
        <f>VLOOKUP(Table91213[[#This Row],[Date]],'DB Details'!$A:$L,12)</f>
        <v/>
      </c>
    </row>
    <row r="827">
      <c r="A827" s="39" t="n">
        <v>42522</v>
      </c>
      <c r="B827" s="57">
        <f>VLOOKUP(Table91213[[#This Row],[Date]],'DB Details'!$A:$L,2)</f>
        <v/>
      </c>
      <c r="C827" s="41">
        <f>VLOOKUP(Table91213[[#This Row],[Date]],'DB Details'!$A:$L,3)</f>
        <v/>
      </c>
      <c r="D827" s="55">
        <f>VLOOKUP(Table91213[[#This Row],[Date]],'DB Details'!$A:$L,4)</f>
        <v/>
      </c>
      <c r="E827" s="88">
        <f>VLOOKUP(Table91213[[#This Row],[Date]],'DB Details'!$A:$L,5)</f>
        <v/>
      </c>
      <c r="F827" s="88">
        <f>VLOOKUP(Table91213[[#This Row],[Date]],'DB Details'!$A:$L,6)</f>
        <v/>
      </c>
      <c r="G827" s="41">
        <f>VLOOKUP(Table91213[[#This Row],[Date]],'DB Details'!$A:$L,7)</f>
        <v/>
      </c>
      <c r="H827" s="88">
        <f>VLOOKUP(Table91213[[#This Row],[Date]],'DB Details'!$A:$L,8)</f>
        <v/>
      </c>
      <c r="I827" s="88">
        <f>VLOOKUP(Table91213[[#This Row],[Date]],'DB Details'!$A:$L,9)</f>
        <v/>
      </c>
      <c r="J827" s="88">
        <f>VLOOKUP(Table91213[[#This Row],[Date]],'DB Details'!$A:$L,10)</f>
        <v/>
      </c>
      <c r="K827" s="41">
        <f>VLOOKUP(Table91213[[#This Row],[Date]],'DB Details'!$A:$L,11)</f>
        <v/>
      </c>
      <c r="L827" s="88">
        <f>VLOOKUP(Table91213[[#This Row],[Date]],'DB Details'!$A:$L,12)</f>
        <v/>
      </c>
    </row>
    <row r="828">
      <c r="A828" s="39" t="n">
        <v>42552</v>
      </c>
      <c r="B828" s="57">
        <f>VLOOKUP(Table91213[[#This Row],[Date]],'DB Details'!$A:$L,2)</f>
        <v/>
      </c>
      <c r="C828" s="41">
        <f>VLOOKUP(Table91213[[#This Row],[Date]],'DB Details'!$A:$L,3)</f>
        <v/>
      </c>
      <c r="D828" s="55">
        <f>VLOOKUP(Table91213[[#This Row],[Date]],'DB Details'!$A:$L,4)</f>
        <v/>
      </c>
      <c r="E828" s="88">
        <f>VLOOKUP(Table91213[[#This Row],[Date]],'DB Details'!$A:$L,5)</f>
        <v/>
      </c>
      <c r="F828" s="88">
        <f>VLOOKUP(Table91213[[#This Row],[Date]],'DB Details'!$A:$L,6)</f>
        <v/>
      </c>
      <c r="G828" s="41">
        <f>VLOOKUP(Table91213[[#This Row],[Date]],'DB Details'!$A:$L,7)</f>
        <v/>
      </c>
      <c r="H828" s="88">
        <f>VLOOKUP(Table91213[[#This Row],[Date]],'DB Details'!$A:$L,8)</f>
        <v/>
      </c>
      <c r="I828" s="88">
        <f>VLOOKUP(Table91213[[#This Row],[Date]],'DB Details'!$A:$L,9)</f>
        <v/>
      </c>
      <c r="J828" s="88">
        <f>VLOOKUP(Table91213[[#This Row],[Date]],'DB Details'!$A:$L,10)</f>
        <v/>
      </c>
      <c r="K828" s="41">
        <f>VLOOKUP(Table91213[[#This Row],[Date]],'DB Details'!$A:$L,11)</f>
        <v/>
      </c>
      <c r="L828" s="88">
        <f>VLOOKUP(Table91213[[#This Row],[Date]],'DB Details'!$A:$L,12)</f>
        <v/>
      </c>
    </row>
    <row r="829">
      <c r="A829" s="39" t="n">
        <v>42583</v>
      </c>
      <c r="B829" s="57">
        <f>VLOOKUP(Table91213[[#This Row],[Date]],'DB Details'!$A:$L,2)</f>
        <v/>
      </c>
      <c r="C829" s="41">
        <f>VLOOKUP(Table91213[[#This Row],[Date]],'DB Details'!$A:$L,3)</f>
        <v/>
      </c>
      <c r="D829" s="55">
        <f>VLOOKUP(Table91213[[#This Row],[Date]],'DB Details'!$A:$L,4)</f>
        <v/>
      </c>
      <c r="E829" s="88">
        <f>VLOOKUP(Table91213[[#This Row],[Date]],'DB Details'!$A:$L,5)</f>
        <v/>
      </c>
      <c r="F829" s="88">
        <f>VLOOKUP(Table91213[[#This Row],[Date]],'DB Details'!$A:$L,6)</f>
        <v/>
      </c>
      <c r="G829" s="41">
        <f>VLOOKUP(Table91213[[#This Row],[Date]],'DB Details'!$A:$L,7)</f>
        <v/>
      </c>
      <c r="H829" s="88">
        <f>VLOOKUP(Table91213[[#This Row],[Date]],'DB Details'!$A:$L,8)</f>
        <v/>
      </c>
      <c r="I829" s="88">
        <f>VLOOKUP(Table91213[[#This Row],[Date]],'DB Details'!$A:$L,9)</f>
        <v/>
      </c>
      <c r="J829" s="88">
        <f>VLOOKUP(Table91213[[#This Row],[Date]],'DB Details'!$A:$L,10)</f>
        <v/>
      </c>
      <c r="K829" s="41">
        <f>VLOOKUP(Table91213[[#This Row],[Date]],'DB Details'!$A:$L,11)</f>
        <v/>
      </c>
      <c r="L829" s="88">
        <f>VLOOKUP(Table91213[[#This Row],[Date]],'DB Details'!$A:$L,12)</f>
        <v/>
      </c>
    </row>
    <row r="830">
      <c r="A830" s="39" t="n">
        <v>42614</v>
      </c>
      <c r="B830" s="57">
        <f>VLOOKUP(Table91213[[#This Row],[Date]],'DB Details'!$A:$L,2)</f>
        <v/>
      </c>
      <c r="C830" s="41">
        <f>VLOOKUP(Table91213[[#This Row],[Date]],'DB Details'!$A:$L,3)</f>
        <v/>
      </c>
      <c r="D830" s="55">
        <f>VLOOKUP(Table91213[[#This Row],[Date]],'DB Details'!$A:$L,4)</f>
        <v/>
      </c>
      <c r="E830" s="88">
        <f>VLOOKUP(Table91213[[#This Row],[Date]],'DB Details'!$A:$L,5)</f>
        <v/>
      </c>
      <c r="F830" s="88">
        <f>VLOOKUP(Table91213[[#This Row],[Date]],'DB Details'!$A:$L,6)</f>
        <v/>
      </c>
      <c r="G830" s="41">
        <f>VLOOKUP(Table91213[[#This Row],[Date]],'DB Details'!$A:$L,7)</f>
        <v/>
      </c>
      <c r="H830" s="88">
        <f>VLOOKUP(Table91213[[#This Row],[Date]],'DB Details'!$A:$L,8)</f>
        <v/>
      </c>
      <c r="I830" s="88">
        <f>VLOOKUP(Table91213[[#This Row],[Date]],'DB Details'!$A:$L,9)</f>
        <v/>
      </c>
      <c r="J830" s="88">
        <f>VLOOKUP(Table91213[[#This Row],[Date]],'DB Details'!$A:$L,10)</f>
        <v/>
      </c>
      <c r="K830" s="41">
        <f>VLOOKUP(Table91213[[#This Row],[Date]],'DB Details'!$A:$L,11)</f>
        <v/>
      </c>
      <c r="L830" s="88">
        <f>VLOOKUP(Table91213[[#This Row],[Date]],'DB Details'!$A:$L,12)</f>
        <v/>
      </c>
    </row>
    <row r="831">
      <c r="A831" s="39" t="n">
        <v>42644</v>
      </c>
      <c r="B831" s="57">
        <f>VLOOKUP(Table91213[[#This Row],[Date]],'DB Details'!$A:$L,2)</f>
        <v/>
      </c>
      <c r="C831" s="41">
        <f>VLOOKUP(Table91213[[#This Row],[Date]],'DB Details'!$A:$L,3)</f>
        <v/>
      </c>
      <c r="D831" s="55">
        <f>VLOOKUP(Table91213[[#This Row],[Date]],'DB Details'!$A:$L,4)</f>
        <v/>
      </c>
      <c r="E831" s="88">
        <f>VLOOKUP(Table91213[[#This Row],[Date]],'DB Details'!$A:$L,5)</f>
        <v/>
      </c>
      <c r="F831" s="88">
        <f>VLOOKUP(Table91213[[#This Row],[Date]],'DB Details'!$A:$L,6)</f>
        <v/>
      </c>
      <c r="G831" s="41">
        <f>VLOOKUP(Table91213[[#This Row],[Date]],'DB Details'!$A:$L,7)</f>
        <v/>
      </c>
      <c r="H831" s="88">
        <f>VLOOKUP(Table91213[[#This Row],[Date]],'DB Details'!$A:$L,8)</f>
        <v/>
      </c>
      <c r="I831" s="88">
        <f>VLOOKUP(Table91213[[#This Row],[Date]],'DB Details'!$A:$L,9)</f>
        <v/>
      </c>
      <c r="J831" s="88">
        <f>VLOOKUP(Table91213[[#This Row],[Date]],'DB Details'!$A:$L,10)</f>
        <v/>
      </c>
      <c r="K831" s="41">
        <f>VLOOKUP(Table91213[[#This Row],[Date]],'DB Details'!$A:$L,11)</f>
        <v/>
      </c>
      <c r="L831" s="88">
        <f>VLOOKUP(Table91213[[#This Row],[Date]],'DB Details'!$A:$L,12)</f>
        <v/>
      </c>
    </row>
    <row r="832">
      <c r="A832" s="39" t="n">
        <v>42675</v>
      </c>
      <c r="B832" s="57">
        <f>VLOOKUP(Table91213[[#This Row],[Date]],'DB Details'!$A:$L,2)</f>
        <v/>
      </c>
      <c r="C832" s="41">
        <f>VLOOKUP(Table91213[[#This Row],[Date]],'DB Details'!$A:$L,3)</f>
        <v/>
      </c>
      <c r="D832" s="55">
        <f>VLOOKUP(Table91213[[#This Row],[Date]],'DB Details'!$A:$L,4)</f>
        <v/>
      </c>
      <c r="E832" s="88">
        <f>VLOOKUP(Table91213[[#This Row],[Date]],'DB Details'!$A:$L,5)</f>
        <v/>
      </c>
      <c r="F832" s="88">
        <f>VLOOKUP(Table91213[[#This Row],[Date]],'DB Details'!$A:$L,6)</f>
        <v/>
      </c>
      <c r="G832" s="41">
        <f>VLOOKUP(Table91213[[#This Row],[Date]],'DB Details'!$A:$L,7)</f>
        <v/>
      </c>
      <c r="H832" s="88">
        <f>VLOOKUP(Table91213[[#This Row],[Date]],'DB Details'!$A:$L,8)</f>
        <v/>
      </c>
      <c r="I832" s="88">
        <f>VLOOKUP(Table91213[[#This Row],[Date]],'DB Details'!$A:$L,9)</f>
        <v/>
      </c>
      <c r="J832" s="88">
        <f>VLOOKUP(Table91213[[#This Row],[Date]],'DB Details'!$A:$L,10)</f>
        <v/>
      </c>
      <c r="K832" s="41">
        <f>VLOOKUP(Table91213[[#This Row],[Date]],'DB Details'!$A:$L,11)</f>
        <v/>
      </c>
      <c r="L832" s="88">
        <f>VLOOKUP(Table91213[[#This Row],[Date]],'DB Details'!$A:$L,12)</f>
        <v/>
      </c>
    </row>
    <row r="833">
      <c r="A833" s="39" t="n">
        <v>42705</v>
      </c>
      <c r="B833" s="57">
        <f>VLOOKUP(Table91213[[#This Row],[Date]],'DB Details'!$A:$L,2)</f>
        <v/>
      </c>
      <c r="C833" s="41">
        <f>VLOOKUP(Table91213[[#This Row],[Date]],'DB Details'!$A:$L,3)</f>
        <v/>
      </c>
      <c r="D833" s="55">
        <f>VLOOKUP(Table91213[[#This Row],[Date]],'DB Details'!$A:$L,4)</f>
        <v/>
      </c>
      <c r="E833" s="88">
        <f>VLOOKUP(Table91213[[#This Row],[Date]],'DB Details'!$A:$L,5)</f>
        <v/>
      </c>
      <c r="F833" s="88">
        <f>VLOOKUP(Table91213[[#This Row],[Date]],'DB Details'!$A:$L,6)</f>
        <v/>
      </c>
      <c r="G833" s="41">
        <f>VLOOKUP(Table91213[[#This Row],[Date]],'DB Details'!$A:$L,7)</f>
        <v/>
      </c>
      <c r="H833" s="88">
        <f>VLOOKUP(Table91213[[#This Row],[Date]],'DB Details'!$A:$L,8)</f>
        <v/>
      </c>
      <c r="I833" s="88">
        <f>VLOOKUP(Table91213[[#This Row],[Date]],'DB Details'!$A:$L,9)</f>
        <v/>
      </c>
      <c r="J833" s="88">
        <f>VLOOKUP(Table91213[[#This Row],[Date]],'DB Details'!$A:$L,10)</f>
        <v/>
      </c>
      <c r="K833" s="41">
        <f>VLOOKUP(Table91213[[#This Row],[Date]],'DB Details'!$A:$L,11)</f>
        <v/>
      </c>
      <c r="L833" s="88">
        <f>VLOOKUP(Table91213[[#This Row],[Date]],'DB Details'!$A:$L,12)</f>
        <v/>
      </c>
    </row>
    <row r="834">
      <c r="A834" s="39" t="n">
        <v>42736</v>
      </c>
      <c r="B834" s="57">
        <f>VLOOKUP(Table91213[[#This Row],[Date]],'DB Details'!$A:$L,2)</f>
        <v/>
      </c>
      <c r="C834" s="41">
        <f>VLOOKUP(Table91213[[#This Row],[Date]],'DB Details'!$A:$L,3)</f>
        <v/>
      </c>
      <c r="D834" s="55">
        <f>VLOOKUP(Table91213[[#This Row],[Date]],'DB Details'!$A:$L,4)</f>
        <v/>
      </c>
      <c r="E834" s="88">
        <f>VLOOKUP(Table91213[[#This Row],[Date]],'DB Details'!$A:$L,5)</f>
        <v/>
      </c>
      <c r="F834" s="88">
        <f>VLOOKUP(Table91213[[#This Row],[Date]],'DB Details'!$A:$L,6)</f>
        <v/>
      </c>
      <c r="G834" s="41">
        <f>VLOOKUP(Table91213[[#This Row],[Date]],'DB Details'!$A:$L,7)</f>
        <v/>
      </c>
      <c r="H834" s="88">
        <f>VLOOKUP(Table91213[[#This Row],[Date]],'DB Details'!$A:$L,8)</f>
        <v/>
      </c>
      <c r="I834" s="88">
        <f>VLOOKUP(Table91213[[#This Row],[Date]],'DB Details'!$A:$L,9)</f>
        <v/>
      </c>
      <c r="J834" s="88">
        <f>VLOOKUP(Table91213[[#This Row],[Date]],'DB Details'!$A:$L,10)</f>
        <v/>
      </c>
      <c r="K834" s="41">
        <f>VLOOKUP(Table91213[[#This Row],[Date]],'DB Details'!$A:$L,11)</f>
        <v/>
      </c>
      <c r="L834" s="88">
        <f>VLOOKUP(Table91213[[#This Row],[Date]],'DB Details'!$A:$L,12)</f>
        <v/>
      </c>
    </row>
    <row r="835">
      <c r="A835" s="39" t="n">
        <v>42767</v>
      </c>
      <c r="B835" s="57">
        <f>VLOOKUP(Table91213[[#This Row],[Date]],'DB Details'!$A:$L,2)</f>
        <v/>
      </c>
      <c r="C835" s="41">
        <f>VLOOKUP(Table91213[[#This Row],[Date]],'DB Details'!$A:$L,3)</f>
        <v/>
      </c>
      <c r="D835" s="55">
        <f>VLOOKUP(Table91213[[#This Row],[Date]],'DB Details'!$A:$L,4)</f>
        <v/>
      </c>
      <c r="E835" s="88">
        <f>VLOOKUP(Table91213[[#This Row],[Date]],'DB Details'!$A:$L,5)</f>
        <v/>
      </c>
      <c r="F835" s="88">
        <f>VLOOKUP(Table91213[[#This Row],[Date]],'DB Details'!$A:$L,6)</f>
        <v/>
      </c>
      <c r="G835" s="41">
        <f>VLOOKUP(Table91213[[#This Row],[Date]],'DB Details'!$A:$L,7)</f>
        <v/>
      </c>
      <c r="H835" s="88">
        <f>VLOOKUP(Table91213[[#This Row],[Date]],'DB Details'!$A:$L,8)</f>
        <v/>
      </c>
      <c r="I835" s="88">
        <f>VLOOKUP(Table91213[[#This Row],[Date]],'DB Details'!$A:$L,9)</f>
        <v/>
      </c>
      <c r="J835" s="88">
        <f>VLOOKUP(Table91213[[#This Row],[Date]],'DB Details'!$A:$L,10)</f>
        <v/>
      </c>
      <c r="K835" s="41">
        <f>VLOOKUP(Table91213[[#This Row],[Date]],'DB Details'!$A:$L,11)</f>
        <v/>
      </c>
      <c r="L835" s="88">
        <f>VLOOKUP(Table91213[[#This Row],[Date]],'DB Details'!$A:$L,12)</f>
        <v/>
      </c>
    </row>
    <row r="836">
      <c r="A836" s="39" t="n">
        <v>42795</v>
      </c>
      <c r="B836" s="57">
        <f>VLOOKUP(Table91213[[#This Row],[Date]],'DB Details'!$A:$L,2)</f>
        <v/>
      </c>
      <c r="C836" s="41">
        <f>VLOOKUP(Table91213[[#This Row],[Date]],'DB Details'!$A:$L,3)</f>
        <v/>
      </c>
      <c r="D836" s="55">
        <f>VLOOKUP(Table91213[[#This Row],[Date]],'DB Details'!$A:$L,4)</f>
        <v/>
      </c>
      <c r="E836" s="88">
        <f>VLOOKUP(Table91213[[#This Row],[Date]],'DB Details'!$A:$L,5)</f>
        <v/>
      </c>
      <c r="F836" s="88">
        <f>VLOOKUP(Table91213[[#This Row],[Date]],'DB Details'!$A:$L,6)</f>
        <v/>
      </c>
      <c r="G836" s="41">
        <f>VLOOKUP(Table91213[[#This Row],[Date]],'DB Details'!$A:$L,7)</f>
        <v/>
      </c>
      <c r="H836" s="88">
        <f>VLOOKUP(Table91213[[#This Row],[Date]],'DB Details'!$A:$L,8)</f>
        <v/>
      </c>
      <c r="I836" s="88">
        <f>VLOOKUP(Table91213[[#This Row],[Date]],'DB Details'!$A:$L,9)</f>
        <v/>
      </c>
      <c r="J836" s="88">
        <f>VLOOKUP(Table91213[[#This Row],[Date]],'DB Details'!$A:$L,10)</f>
        <v/>
      </c>
      <c r="K836" s="41">
        <f>VLOOKUP(Table91213[[#This Row],[Date]],'DB Details'!$A:$L,11)</f>
        <v/>
      </c>
      <c r="L836" s="88">
        <f>VLOOKUP(Table91213[[#This Row],[Date]],'DB Details'!$A:$L,12)</f>
        <v/>
      </c>
    </row>
    <row r="837">
      <c r="A837" s="39" t="n">
        <v>42826</v>
      </c>
      <c r="B837" s="57">
        <f>VLOOKUP(Table91213[[#This Row],[Date]],'DB Details'!$A:$L,2)</f>
        <v/>
      </c>
      <c r="C837" s="41">
        <f>VLOOKUP(Table91213[[#This Row],[Date]],'DB Details'!$A:$L,3)</f>
        <v/>
      </c>
      <c r="D837" s="55">
        <f>VLOOKUP(Table91213[[#This Row],[Date]],'DB Details'!$A:$L,4)</f>
        <v/>
      </c>
      <c r="E837" s="88">
        <f>VLOOKUP(Table91213[[#This Row],[Date]],'DB Details'!$A:$L,5)</f>
        <v/>
      </c>
      <c r="F837" s="88">
        <f>VLOOKUP(Table91213[[#This Row],[Date]],'DB Details'!$A:$L,6)</f>
        <v/>
      </c>
      <c r="G837" s="41">
        <f>VLOOKUP(Table91213[[#This Row],[Date]],'DB Details'!$A:$L,7)</f>
        <v/>
      </c>
      <c r="H837" s="88">
        <f>VLOOKUP(Table91213[[#This Row],[Date]],'DB Details'!$A:$L,8)</f>
        <v/>
      </c>
      <c r="I837" s="88">
        <f>VLOOKUP(Table91213[[#This Row],[Date]],'DB Details'!$A:$L,9)</f>
        <v/>
      </c>
      <c r="J837" s="88">
        <f>VLOOKUP(Table91213[[#This Row],[Date]],'DB Details'!$A:$L,10)</f>
        <v/>
      </c>
      <c r="K837" s="41">
        <f>VLOOKUP(Table91213[[#This Row],[Date]],'DB Details'!$A:$L,11)</f>
        <v/>
      </c>
      <c r="L837" s="88">
        <f>VLOOKUP(Table91213[[#This Row],[Date]],'DB Details'!$A:$L,12)</f>
        <v/>
      </c>
    </row>
    <row r="838">
      <c r="A838" s="39" t="n">
        <v>42856</v>
      </c>
      <c r="B838" s="57">
        <f>VLOOKUP(Table91213[[#This Row],[Date]],'DB Details'!$A:$L,2)</f>
        <v/>
      </c>
      <c r="C838" s="41">
        <f>VLOOKUP(Table91213[[#This Row],[Date]],'DB Details'!$A:$L,3)</f>
        <v/>
      </c>
      <c r="D838" s="55">
        <f>VLOOKUP(Table91213[[#This Row],[Date]],'DB Details'!$A:$L,4)</f>
        <v/>
      </c>
      <c r="E838" s="88">
        <f>VLOOKUP(Table91213[[#This Row],[Date]],'DB Details'!$A:$L,5)</f>
        <v/>
      </c>
      <c r="F838" s="88">
        <f>VLOOKUP(Table91213[[#This Row],[Date]],'DB Details'!$A:$L,6)</f>
        <v/>
      </c>
      <c r="G838" s="41">
        <f>VLOOKUP(Table91213[[#This Row],[Date]],'DB Details'!$A:$L,7)</f>
        <v/>
      </c>
      <c r="H838" s="88">
        <f>VLOOKUP(Table91213[[#This Row],[Date]],'DB Details'!$A:$L,8)</f>
        <v/>
      </c>
      <c r="I838" s="88">
        <f>VLOOKUP(Table91213[[#This Row],[Date]],'DB Details'!$A:$L,9)</f>
        <v/>
      </c>
      <c r="J838" s="88">
        <f>VLOOKUP(Table91213[[#This Row],[Date]],'DB Details'!$A:$L,10)</f>
        <v/>
      </c>
      <c r="K838" s="41">
        <f>VLOOKUP(Table91213[[#This Row],[Date]],'DB Details'!$A:$L,11)</f>
        <v/>
      </c>
      <c r="L838" s="88">
        <f>VLOOKUP(Table91213[[#This Row],[Date]],'DB Details'!$A:$L,12)</f>
        <v/>
      </c>
    </row>
    <row r="839">
      <c r="A839" s="39" t="n">
        <v>42887</v>
      </c>
      <c r="B839" s="57">
        <f>VLOOKUP(Table91213[[#This Row],[Date]],'DB Details'!$A:$L,2)</f>
        <v/>
      </c>
      <c r="C839" s="41">
        <f>VLOOKUP(Table91213[[#This Row],[Date]],'DB Details'!$A:$L,3)</f>
        <v/>
      </c>
      <c r="D839" s="55">
        <f>VLOOKUP(Table91213[[#This Row],[Date]],'DB Details'!$A:$L,4)</f>
        <v/>
      </c>
      <c r="E839" s="88">
        <f>VLOOKUP(Table91213[[#This Row],[Date]],'DB Details'!$A:$L,5)</f>
        <v/>
      </c>
      <c r="F839" s="88">
        <f>VLOOKUP(Table91213[[#This Row],[Date]],'DB Details'!$A:$L,6)</f>
        <v/>
      </c>
      <c r="G839" s="41">
        <f>VLOOKUP(Table91213[[#This Row],[Date]],'DB Details'!$A:$L,7)</f>
        <v/>
      </c>
      <c r="H839" s="88">
        <f>VLOOKUP(Table91213[[#This Row],[Date]],'DB Details'!$A:$L,8)</f>
        <v/>
      </c>
      <c r="I839" s="88">
        <f>VLOOKUP(Table91213[[#This Row],[Date]],'DB Details'!$A:$L,9)</f>
        <v/>
      </c>
      <c r="J839" s="88">
        <f>VLOOKUP(Table91213[[#This Row],[Date]],'DB Details'!$A:$L,10)</f>
        <v/>
      </c>
      <c r="K839" s="41">
        <f>VLOOKUP(Table91213[[#This Row],[Date]],'DB Details'!$A:$L,11)</f>
        <v/>
      </c>
      <c r="L839" s="88">
        <f>VLOOKUP(Table91213[[#This Row],[Date]],'DB Details'!$A:$L,12)</f>
        <v/>
      </c>
    </row>
    <row r="840">
      <c r="A840" s="39" t="n">
        <v>42917</v>
      </c>
      <c r="B840" s="57">
        <f>VLOOKUP(Table91213[[#This Row],[Date]],'DB Details'!$A:$L,2)</f>
        <v/>
      </c>
      <c r="C840" s="41">
        <f>VLOOKUP(Table91213[[#This Row],[Date]],'DB Details'!$A:$L,3)</f>
        <v/>
      </c>
      <c r="D840" s="55">
        <f>VLOOKUP(Table91213[[#This Row],[Date]],'DB Details'!$A:$L,4)</f>
        <v/>
      </c>
      <c r="E840" s="88">
        <f>VLOOKUP(Table91213[[#This Row],[Date]],'DB Details'!$A:$L,5)</f>
        <v/>
      </c>
      <c r="F840" s="88">
        <f>VLOOKUP(Table91213[[#This Row],[Date]],'DB Details'!$A:$L,6)</f>
        <v/>
      </c>
      <c r="G840" s="41">
        <f>VLOOKUP(Table91213[[#This Row],[Date]],'DB Details'!$A:$L,7)</f>
        <v/>
      </c>
      <c r="H840" s="88">
        <f>VLOOKUP(Table91213[[#This Row],[Date]],'DB Details'!$A:$L,8)</f>
        <v/>
      </c>
      <c r="I840" s="88">
        <f>VLOOKUP(Table91213[[#This Row],[Date]],'DB Details'!$A:$L,9)</f>
        <v/>
      </c>
      <c r="J840" s="88">
        <f>VLOOKUP(Table91213[[#This Row],[Date]],'DB Details'!$A:$L,10)</f>
        <v/>
      </c>
      <c r="K840" s="41">
        <f>VLOOKUP(Table91213[[#This Row],[Date]],'DB Details'!$A:$L,11)</f>
        <v/>
      </c>
      <c r="L840" s="88">
        <f>VLOOKUP(Table91213[[#This Row],[Date]],'DB Details'!$A:$L,12)</f>
        <v/>
      </c>
    </row>
    <row r="841">
      <c r="A841" s="39" t="n">
        <v>42948</v>
      </c>
      <c r="B841" s="57">
        <f>VLOOKUP(Table91213[[#This Row],[Date]],'DB Details'!$A:$L,2)</f>
        <v/>
      </c>
      <c r="C841" s="41">
        <f>VLOOKUP(Table91213[[#This Row],[Date]],'DB Details'!$A:$L,3)</f>
        <v/>
      </c>
      <c r="D841" s="55">
        <f>VLOOKUP(Table91213[[#This Row],[Date]],'DB Details'!$A:$L,4)</f>
        <v/>
      </c>
      <c r="E841" s="88">
        <f>VLOOKUP(Table91213[[#This Row],[Date]],'DB Details'!$A:$L,5)</f>
        <v/>
      </c>
      <c r="F841" s="88">
        <f>VLOOKUP(Table91213[[#This Row],[Date]],'DB Details'!$A:$L,6)</f>
        <v/>
      </c>
      <c r="G841" s="41">
        <f>VLOOKUP(Table91213[[#This Row],[Date]],'DB Details'!$A:$L,7)</f>
        <v/>
      </c>
      <c r="H841" s="88">
        <f>VLOOKUP(Table91213[[#This Row],[Date]],'DB Details'!$A:$L,8)</f>
        <v/>
      </c>
      <c r="I841" s="88">
        <f>VLOOKUP(Table91213[[#This Row],[Date]],'DB Details'!$A:$L,9)</f>
        <v/>
      </c>
      <c r="J841" s="88">
        <f>VLOOKUP(Table91213[[#This Row],[Date]],'DB Details'!$A:$L,10)</f>
        <v/>
      </c>
      <c r="K841" s="41">
        <f>VLOOKUP(Table91213[[#This Row],[Date]],'DB Details'!$A:$L,11)</f>
        <v/>
      </c>
      <c r="L841" s="88">
        <f>VLOOKUP(Table91213[[#This Row],[Date]],'DB Details'!$A:$L,12)</f>
        <v/>
      </c>
    </row>
    <row r="842">
      <c r="A842" s="39" t="n">
        <v>42979</v>
      </c>
      <c r="B842" s="57">
        <f>VLOOKUP(Table91213[[#This Row],[Date]],'DB Details'!$A:$L,2)</f>
        <v/>
      </c>
      <c r="C842" s="41">
        <f>VLOOKUP(Table91213[[#This Row],[Date]],'DB Details'!$A:$L,3)</f>
        <v/>
      </c>
      <c r="D842" s="55">
        <f>VLOOKUP(Table91213[[#This Row],[Date]],'DB Details'!$A:$L,4)</f>
        <v/>
      </c>
      <c r="E842" s="88">
        <f>VLOOKUP(Table91213[[#This Row],[Date]],'DB Details'!$A:$L,5)</f>
        <v/>
      </c>
      <c r="F842" s="88">
        <f>VLOOKUP(Table91213[[#This Row],[Date]],'DB Details'!$A:$L,6)</f>
        <v/>
      </c>
      <c r="G842" s="41">
        <f>VLOOKUP(Table91213[[#This Row],[Date]],'DB Details'!$A:$L,7)</f>
        <v/>
      </c>
      <c r="H842" s="88">
        <f>VLOOKUP(Table91213[[#This Row],[Date]],'DB Details'!$A:$L,8)</f>
        <v/>
      </c>
      <c r="I842" s="88">
        <f>VLOOKUP(Table91213[[#This Row],[Date]],'DB Details'!$A:$L,9)</f>
        <v/>
      </c>
      <c r="J842" s="88">
        <f>VLOOKUP(Table91213[[#This Row],[Date]],'DB Details'!$A:$L,10)</f>
        <v/>
      </c>
      <c r="K842" s="41">
        <f>VLOOKUP(Table91213[[#This Row],[Date]],'DB Details'!$A:$L,11)</f>
        <v/>
      </c>
      <c r="L842" s="88">
        <f>VLOOKUP(Table91213[[#This Row],[Date]],'DB Details'!$A:$L,12)</f>
        <v/>
      </c>
    </row>
    <row r="843">
      <c r="A843" s="39" t="n">
        <v>43009</v>
      </c>
      <c r="B843" s="57">
        <f>VLOOKUP(Table91213[[#This Row],[Date]],'DB Details'!$A:$L,2)</f>
        <v/>
      </c>
      <c r="C843" s="41">
        <f>VLOOKUP(Table91213[[#This Row],[Date]],'DB Details'!$A:$L,3)</f>
        <v/>
      </c>
      <c r="D843" s="55">
        <f>VLOOKUP(Table91213[[#This Row],[Date]],'DB Details'!$A:$L,4)</f>
        <v/>
      </c>
      <c r="E843" s="88">
        <f>VLOOKUP(Table91213[[#This Row],[Date]],'DB Details'!$A:$L,5)</f>
        <v/>
      </c>
      <c r="F843" s="88">
        <f>VLOOKUP(Table91213[[#This Row],[Date]],'DB Details'!$A:$L,6)</f>
        <v/>
      </c>
      <c r="G843" s="41">
        <f>VLOOKUP(Table91213[[#This Row],[Date]],'DB Details'!$A:$L,7)</f>
        <v/>
      </c>
      <c r="H843" s="88">
        <f>VLOOKUP(Table91213[[#This Row],[Date]],'DB Details'!$A:$L,8)</f>
        <v/>
      </c>
      <c r="I843" s="88">
        <f>VLOOKUP(Table91213[[#This Row],[Date]],'DB Details'!$A:$L,9)</f>
        <v/>
      </c>
      <c r="J843" s="88">
        <f>VLOOKUP(Table91213[[#This Row],[Date]],'DB Details'!$A:$L,10)</f>
        <v/>
      </c>
      <c r="K843" s="41">
        <f>VLOOKUP(Table91213[[#This Row],[Date]],'DB Details'!$A:$L,11)</f>
        <v/>
      </c>
      <c r="L843" s="88">
        <f>VLOOKUP(Table91213[[#This Row],[Date]],'DB Details'!$A:$L,12)</f>
        <v/>
      </c>
    </row>
    <row r="844">
      <c r="A844" s="39" t="n">
        <v>43040</v>
      </c>
      <c r="B844" s="57">
        <f>VLOOKUP(Table91213[[#This Row],[Date]],'DB Details'!$A:$L,2)</f>
        <v/>
      </c>
      <c r="C844" s="41">
        <f>VLOOKUP(Table91213[[#This Row],[Date]],'DB Details'!$A:$L,3)</f>
        <v/>
      </c>
      <c r="D844" s="55">
        <f>VLOOKUP(Table91213[[#This Row],[Date]],'DB Details'!$A:$L,4)</f>
        <v/>
      </c>
      <c r="E844" s="88">
        <f>VLOOKUP(Table91213[[#This Row],[Date]],'DB Details'!$A:$L,5)</f>
        <v/>
      </c>
      <c r="F844" s="88">
        <f>VLOOKUP(Table91213[[#This Row],[Date]],'DB Details'!$A:$L,6)</f>
        <v/>
      </c>
      <c r="G844" s="41">
        <f>VLOOKUP(Table91213[[#This Row],[Date]],'DB Details'!$A:$L,7)</f>
        <v/>
      </c>
      <c r="H844" s="88">
        <f>VLOOKUP(Table91213[[#This Row],[Date]],'DB Details'!$A:$L,8)</f>
        <v/>
      </c>
      <c r="I844" s="88">
        <f>VLOOKUP(Table91213[[#This Row],[Date]],'DB Details'!$A:$L,9)</f>
        <v/>
      </c>
      <c r="J844" s="88">
        <f>VLOOKUP(Table91213[[#This Row],[Date]],'DB Details'!$A:$L,10)</f>
        <v/>
      </c>
      <c r="K844" s="41">
        <f>VLOOKUP(Table91213[[#This Row],[Date]],'DB Details'!$A:$L,11)</f>
        <v/>
      </c>
      <c r="L844" s="88">
        <f>VLOOKUP(Table91213[[#This Row],[Date]],'DB Details'!$A:$L,12)</f>
        <v/>
      </c>
    </row>
    <row r="845">
      <c r="A845" s="39" t="n">
        <v>43070</v>
      </c>
      <c r="B845" s="57">
        <f>VLOOKUP(Table91213[[#This Row],[Date]],'DB Details'!$A:$L,2)</f>
        <v/>
      </c>
      <c r="C845" s="41">
        <f>VLOOKUP(Table91213[[#This Row],[Date]],'DB Details'!$A:$L,3)</f>
        <v/>
      </c>
      <c r="D845" s="55">
        <f>VLOOKUP(Table91213[[#This Row],[Date]],'DB Details'!$A:$L,4)</f>
        <v/>
      </c>
      <c r="E845" s="88">
        <f>VLOOKUP(Table91213[[#This Row],[Date]],'DB Details'!$A:$L,5)</f>
        <v/>
      </c>
      <c r="F845" s="88">
        <f>VLOOKUP(Table91213[[#This Row],[Date]],'DB Details'!$A:$L,6)</f>
        <v/>
      </c>
      <c r="G845" s="41">
        <f>VLOOKUP(Table91213[[#This Row],[Date]],'DB Details'!$A:$L,7)</f>
        <v/>
      </c>
      <c r="H845" s="88">
        <f>VLOOKUP(Table91213[[#This Row],[Date]],'DB Details'!$A:$L,8)</f>
        <v/>
      </c>
      <c r="I845" s="88">
        <f>VLOOKUP(Table91213[[#This Row],[Date]],'DB Details'!$A:$L,9)</f>
        <v/>
      </c>
      <c r="J845" s="88">
        <f>VLOOKUP(Table91213[[#This Row],[Date]],'DB Details'!$A:$L,10)</f>
        <v/>
      </c>
      <c r="K845" s="41">
        <f>VLOOKUP(Table91213[[#This Row],[Date]],'DB Details'!$A:$L,11)</f>
        <v/>
      </c>
      <c r="L845" s="88">
        <f>VLOOKUP(Table91213[[#This Row],[Date]],'DB Details'!$A:$L,12)</f>
        <v/>
      </c>
    </row>
    <row r="846">
      <c r="A846" s="39" t="n">
        <v>43101</v>
      </c>
      <c r="B846" s="57">
        <f>VLOOKUP(Table91213[[#This Row],[Date]],'DB Details'!$A:$L,2)</f>
        <v/>
      </c>
      <c r="C846" s="41">
        <f>VLOOKUP(Table91213[[#This Row],[Date]],'DB Details'!$A:$L,3)</f>
        <v/>
      </c>
      <c r="D846" s="55">
        <f>VLOOKUP(Table91213[[#This Row],[Date]],'DB Details'!$A:$L,4)</f>
        <v/>
      </c>
      <c r="E846" s="88">
        <f>VLOOKUP(Table91213[[#This Row],[Date]],'DB Details'!$A:$L,5)</f>
        <v/>
      </c>
      <c r="F846" s="88">
        <f>VLOOKUP(Table91213[[#This Row],[Date]],'DB Details'!$A:$L,6)</f>
        <v/>
      </c>
      <c r="G846" s="41">
        <f>VLOOKUP(Table91213[[#This Row],[Date]],'DB Details'!$A:$L,7)</f>
        <v/>
      </c>
      <c r="H846" s="88">
        <f>VLOOKUP(Table91213[[#This Row],[Date]],'DB Details'!$A:$L,8)</f>
        <v/>
      </c>
      <c r="I846" s="88">
        <f>VLOOKUP(Table91213[[#This Row],[Date]],'DB Details'!$A:$L,9)</f>
        <v/>
      </c>
      <c r="J846" s="88">
        <f>VLOOKUP(Table91213[[#This Row],[Date]],'DB Details'!$A:$L,10)</f>
        <v/>
      </c>
      <c r="K846" s="41">
        <f>VLOOKUP(Table91213[[#This Row],[Date]],'DB Details'!$A:$L,11)</f>
        <v/>
      </c>
      <c r="L846" s="88">
        <f>VLOOKUP(Table91213[[#This Row],[Date]],'DB Details'!$A:$L,12)</f>
        <v/>
      </c>
    </row>
    <row r="847">
      <c r="A847" s="39" t="n">
        <v>43132</v>
      </c>
      <c r="B847" s="57">
        <f>VLOOKUP(Table91213[[#This Row],[Date]],'DB Details'!$A:$L,2)</f>
        <v/>
      </c>
      <c r="C847" s="41">
        <f>VLOOKUP(Table91213[[#This Row],[Date]],'DB Details'!$A:$L,3)</f>
        <v/>
      </c>
      <c r="D847" s="55">
        <f>VLOOKUP(Table91213[[#This Row],[Date]],'DB Details'!$A:$L,4)</f>
        <v/>
      </c>
      <c r="E847" s="88">
        <f>VLOOKUP(Table91213[[#This Row],[Date]],'DB Details'!$A:$L,5)</f>
        <v/>
      </c>
      <c r="F847" s="88">
        <f>VLOOKUP(Table91213[[#This Row],[Date]],'DB Details'!$A:$L,6)</f>
        <v/>
      </c>
      <c r="G847" s="41">
        <f>VLOOKUP(Table91213[[#This Row],[Date]],'DB Details'!$A:$L,7)</f>
        <v/>
      </c>
      <c r="H847" s="88">
        <f>VLOOKUP(Table91213[[#This Row],[Date]],'DB Details'!$A:$L,8)</f>
        <v/>
      </c>
      <c r="I847" s="88">
        <f>VLOOKUP(Table91213[[#This Row],[Date]],'DB Details'!$A:$L,9)</f>
        <v/>
      </c>
      <c r="J847" s="88">
        <f>VLOOKUP(Table91213[[#This Row],[Date]],'DB Details'!$A:$L,10)</f>
        <v/>
      </c>
      <c r="K847" s="41">
        <f>VLOOKUP(Table91213[[#This Row],[Date]],'DB Details'!$A:$L,11)</f>
        <v/>
      </c>
      <c r="L847" s="88">
        <f>VLOOKUP(Table91213[[#This Row],[Date]],'DB Details'!$A:$L,12)</f>
        <v/>
      </c>
    </row>
    <row r="848">
      <c r="A848" s="39" t="n">
        <v>43160</v>
      </c>
      <c r="B848" s="57">
        <f>VLOOKUP(Table91213[[#This Row],[Date]],'DB Details'!$A:$L,2)</f>
        <v/>
      </c>
      <c r="C848" s="41">
        <f>VLOOKUP(Table91213[[#This Row],[Date]],'DB Details'!$A:$L,3)</f>
        <v/>
      </c>
      <c r="D848" s="55">
        <f>VLOOKUP(Table91213[[#This Row],[Date]],'DB Details'!$A:$L,4)</f>
        <v/>
      </c>
      <c r="E848" s="88">
        <f>VLOOKUP(Table91213[[#This Row],[Date]],'DB Details'!$A:$L,5)</f>
        <v/>
      </c>
      <c r="F848" s="88">
        <f>VLOOKUP(Table91213[[#This Row],[Date]],'DB Details'!$A:$L,6)</f>
        <v/>
      </c>
      <c r="G848" s="41">
        <f>VLOOKUP(Table91213[[#This Row],[Date]],'DB Details'!$A:$L,7)</f>
        <v/>
      </c>
      <c r="H848" s="88">
        <f>VLOOKUP(Table91213[[#This Row],[Date]],'DB Details'!$A:$L,8)</f>
        <v/>
      </c>
      <c r="I848" s="88">
        <f>VLOOKUP(Table91213[[#This Row],[Date]],'DB Details'!$A:$L,9)</f>
        <v/>
      </c>
      <c r="J848" s="88">
        <f>VLOOKUP(Table91213[[#This Row],[Date]],'DB Details'!$A:$L,10)</f>
        <v/>
      </c>
      <c r="K848" s="41">
        <f>VLOOKUP(Table91213[[#This Row],[Date]],'DB Details'!$A:$L,11)</f>
        <v/>
      </c>
      <c r="L848" s="88">
        <f>VLOOKUP(Table91213[[#This Row],[Date]],'DB Details'!$A:$L,12)</f>
        <v/>
      </c>
    </row>
    <row r="849">
      <c r="A849" s="39" t="n">
        <v>43191</v>
      </c>
      <c r="B849" s="57">
        <f>VLOOKUP(Table91213[[#This Row],[Date]],'DB Details'!$A:$L,2)</f>
        <v/>
      </c>
      <c r="C849" s="41">
        <f>VLOOKUP(Table91213[[#This Row],[Date]],'DB Details'!$A:$L,3)</f>
        <v/>
      </c>
      <c r="D849" s="55">
        <f>VLOOKUP(Table91213[[#This Row],[Date]],'DB Details'!$A:$L,4)</f>
        <v/>
      </c>
      <c r="E849" s="88">
        <f>VLOOKUP(Table91213[[#This Row],[Date]],'DB Details'!$A:$L,5)</f>
        <v/>
      </c>
      <c r="F849" s="88">
        <f>VLOOKUP(Table91213[[#This Row],[Date]],'DB Details'!$A:$L,6)</f>
        <v/>
      </c>
      <c r="G849" s="41">
        <f>VLOOKUP(Table91213[[#This Row],[Date]],'DB Details'!$A:$L,7)</f>
        <v/>
      </c>
      <c r="H849" s="88">
        <f>VLOOKUP(Table91213[[#This Row],[Date]],'DB Details'!$A:$L,8)</f>
        <v/>
      </c>
      <c r="I849" s="88">
        <f>VLOOKUP(Table91213[[#This Row],[Date]],'DB Details'!$A:$L,9)</f>
        <v/>
      </c>
      <c r="J849" s="88">
        <f>VLOOKUP(Table91213[[#This Row],[Date]],'DB Details'!$A:$L,10)</f>
        <v/>
      </c>
      <c r="K849" s="41">
        <f>VLOOKUP(Table91213[[#This Row],[Date]],'DB Details'!$A:$L,11)</f>
        <v/>
      </c>
      <c r="L849" s="88">
        <f>VLOOKUP(Table91213[[#This Row],[Date]],'DB Details'!$A:$L,12)</f>
        <v/>
      </c>
    </row>
    <row r="850">
      <c r="A850" s="39" t="n">
        <v>43221</v>
      </c>
      <c r="B850" s="57">
        <f>VLOOKUP(Table91213[[#This Row],[Date]],'DB Details'!$A:$L,2)</f>
        <v/>
      </c>
      <c r="C850" s="41">
        <f>VLOOKUP(Table91213[[#This Row],[Date]],'DB Details'!$A:$L,3)</f>
        <v/>
      </c>
      <c r="D850" s="55">
        <f>VLOOKUP(Table91213[[#This Row],[Date]],'DB Details'!$A:$L,4)</f>
        <v/>
      </c>
      <c r="E850" s="88">
        <f>VLOOKUP(Table91213[[#This Row],[Date]],'DB Details'!$A:$L,5)</f>
        <v/>
      </c>
      <c r="F850" s="88">
        <f>VLOOKUP(Table91213[[#This Row],[Date]],'DB Details'!$A:$L,6)</f>
        <v/>
      </c>
      <c r="G850" s="41">
        <f>VLOOKUP(Table91213[[#This Row],[Date]],'DB Details'!$A:$L,7)</f>
        <v/>
      </c>
      <c r="H850" s="88">
        <f>VLOOKUP(Table91213[[#This Row],[Date]],'DB Details'!$A:$L,8)</f>
        <v/>
      </c>
      <c r="I850" s="88">
        <f>VLOOKUP(Table91213[[#This Row],[Date]],'DB Details'!$A:$L,9)</f>
        <v/>
      </c>
      <c r="J850" s="88">
        <f>VLOOKUP(Table91213[[#This Row],[Date]],'DB Details'!$A:$L,10)</f>
        <v/>
      </c>
      <c r="K850" s="41">
        <f>VLOOKUP(Table91213[[#This Row],[Date]],'DB Details'!$A:$L,11)</f>
        <v/>
      </c>
      <c r="L850" s="88">
        <f>VLOOKUP(Table91213[[#This Row],[Date]],'DB Details'!$A:$L,12)</f>
        <v/>
      </c>
    </row>
    <row r="851">
      <c r="A851" s="39" t="n">
        <v>43252</v>
      </c>
      <c r="B851" s="57">
        <f>VLOOKUP(Table91213[[#This Row],[Date]],'DB Details'!$A:$L,2)</f>
        <v/>
      </c>
      <c r="C851" s="41">
        <f>VLOOKUP(Table91213[[#This Row],[Date]],'DB Details'!$A:$L,3)</f>
        <v/>
      </c>
      <c r="D851" s="55">
        <f>VLOOKUP(Table91213[[#This Row],[Date]],'DB Details'!$A:$L,4)</f>
        <v/>
      </c>
      <c r="E851" s="88">
        <f>VLOOKUP(Table91213[[#This Row],[Date]],'DB Details'!$A:$L,5)</f>
        <v/>
      </c>
      <c r="F851" s="88">
        <f>VLOOKUP(Table91213[[#This Row],[Date]],'DB Details'!$A:$L,6)</f>
        <v/>
      </c>
      <c r="G851" s="41">
        <f>VLOOKUP(Table91213[[#This Row],[Date]],'DB Details'!$A:$L,7)</f>
        <v/>
      </c>
      <c r="H851" s="88">
        <f>VLOOKUP(Table91213[[#This Row],[Date]],'DB Details'!$A:$L,8)</f>
        <v/>
      </c>
      <c r="I851" s="88">
        <f>VLOOKUP(Table91213[[#This Row],[Date]],'DB Details'!$A:$L,9)</f>
        <v/>
      </c>
      <c r="J851" s="88">
        <f>VLOOKUP(Table91213[[#This Row],[Date]],'DB Details'!$A:$L,10)</f>
        <v/>
      </c>
      <c r="K851" s="41">
        <f>VLOOKUP(Table91213[[#This Row],[Date]],'DB Details'!$A:$L,11)</f>
        <v/>
      </c>
      <c r="L851" s="88">
        <f>VLOOKUP(Table91213[[#This Row],[Date]],'DB Details'!$A:$L,12)</f>
        <v/>
      </c>
    </row>
    <row r="852">
      <c r="A852" s="39" t="n">
        <v>43282</v>
      </c>
      <c r="B852" s="57">
        <f>VLOOKUP(Table91213[[#This Row],[Date]],'DB Details'!$A:$L,2)</f>
        <v/>
      </c>
      <c r="C852" s="41">
        <f>VLOOKUP(Table91213[[#This Row],[Date]],'DB Details'!$A:$L,3)</f>
        <v/>
      </c>
      <c r="D852" s="55">
        <f>VLOOKUP(Table91213[[#This Row],[Date]],'DB Details'!$A:$L,4)</f>
        <v/>
      </c>
      <c r="E852" s="88">
        <f>VLOOKUP(Table91213[[#This Row],[Date]],'DB Details'!$A:$L,5)</f>
        <v/>
      </c>
      <c r="F852" s="88">
        <f>VLOOKUP(Table91213[[#This Row],[Date]],'DB Details'!$A:$L,6)</f>
        <v/>
      </c>
      <c r="G852" s="41">
        <f>VLOOKUP(Table91213[[#This Row],[Date]],'DB Details'!$A:$L,7)</f>
        <v/>
      </c>
      <c r="H852" s="88">
        <f>VLOOKUP(Table91213[[#This Row],[Date]],'DB Details'!$A:$L,8)</f>
        <v/>
      </c>
      <c r="I852" s="88">
        <f>VLOOKUP(Table91213[[#This Row],[Date]],'DB Details'!$A:$L,9)</f>
        <v/>
      </c>
      <c r="J852" s="88">
        <f>VLOOKUP(Table91213[[#This Row],[Date]],'DB Details'!$A:$L,10)</f>
        <v/>
      </c>
      <c r="K852" s="41">
        <f>VLOOKUP(Table91213[[#This Row],[Date]],'DB Details'!$A:$L,11)</f>
        <v/>
      </c>
      <c r="L852" s="88">
        <f>VLOOKUP(Table91213[[#This Row],[Date]],'DB Details'!$A:$L,12)</f>
        <v/>
      </c>
    </row>
    <row r="853">
      <c r="A853" s="39" t="n">
        <v>43313</v>
      </c>
      <c r="B853" s="57">
        <f>VLOOKUP(Table91213[[#This Row],[Date]],'DB Details'!$A:$L,2)</f>
        <v/>
      </c>
      <c r="C853" s="41">
        <f>VLOOKUP(Table91213[[#This Row],[Date]],'DB Details'!$A:$L,3)</f>
        <v/>
      </c>
      <c r="D853" s="55">
        <f>VLOOKUP(Table91213[[#This Row],[Date]],'DB Details'!$A:$L,4)</f>
        <v/>
      </c>
      <c r="E853" s="88">
        <f>VLOOKUP(Table91213[[#This Row],[Date]],'DB Details'!$A:$L,5)</f>
        <v/>
      </c>
      <c r="F853" s="88">
        <f>VLOOKUP(Table91213[[#This Row],[Date]],'DB Details'!$A:$L,6)</f>
        <v/>
      </c>
      <c r="G853" s="41">
        <f>VLOOKUP(Table91213[[#This Row],[Date]],'DB Details'!$A:$L,7)</f>
        <v/>
      </c>
      <c r="H853" s="88">
        <f>VLOOKUP(Table91213[[#This Row],[Date]],'DB Details'!$A:$L,8)</f>
        <v/>
      </c>
      <c r="I853" s="88">
        <f>VLOOKUP(Table91213[[#This Row],[Date]],'DB Details'!$A:$L,9)</f>
        <v/>
      </c>
      <c r="J853" s="88">
        <f>VLOOKUP(Table91213[[#This Row],[Date]],'DB Details'!$A:$L,10)</f>
        <v/>
      </c>
      <c r="K853" s="41">
        <f>VLOOKUP(Table91213[[#This Row],[Date]],'DB Details'!$A:$L,11)</f>
        <v/>
      </c>
      <c r="L853" s="88">
        <f>VLOOKUP(Table91213[[#This Row],[Date]],'DB Details'!$A:$L,12)</f>
        <v/>
      </c>
    </row>
    <row r="854">
      <c r="A854" s="39" t="n">
        <v>43344</v>
      </c>
      <c r="B854" s="57">
        <f>VLOOKUP(Table91213[[#This Row],[Date]],'DB Details'!$A:$L,2)</f>
        <v/>
      </c>
      <c r="C854" s="41">
        <f>VLOOKUP(Table91213[[#This Row],[Date]],'DB Details'!$A:$L,3)</f>
        <v/>
      </c>
      <c r="D854" s="55">
        <f>VLOOKUP(Table91213[[#This Row],[Date]],'DB Details'!$A:$L,4)</f>
        <v/>
      </c>
      <c r="E854" s="88">
        <f>VLOOKUP(Table91213[[#This Row],[Date]],'DB Details'!$A:$L,5)</f>
        <v/>
      </c>
      <c r="F854" s="88">
        <f>VLOOKUP(Table91213[[#This Row],[Date]],'DB Details'!$A:$L,6)</f>
        <v/>
      </c>
      <c r="G854" s="41">
        <f>VLOOKUP(Table91213[[#This Row],[Date]],'DB Details'!$A:$L,7)</f>
        <v/>
      </c>
      <c r="H854" s="88">
        <f>VLOOKUP(Table91213[[#This Row],[Date]],'DB Details'!$A:$L,8)</f>
        <v/>
      </c>
      <c r="I854" s="88">
        <f>VLOOKUP(Table91213[[#This Row],[Date]],'DB Details'!$A:$L,9)</f>
        <v/>
      </c>
      <c r="J854" s="88">
        <f>VLOOKUP(Table91213[[#This Row],[Date]],'DB Details'!$A:$L,10)</f>
        <v/>
      </c>
      <c r="K854" s="41">
        <f>VLOOKUP(Table91213[[#This Row],[Date]],'DB Details'!$A:$L,11)</f>
        <v/>
      </c>
      <c r="L854" s="88">
        <f>VLOOKUP(Table91213[[#This Row],[Date]],'DB Details'!$A:$L,12)</f>
        <v/>
      </c>
    </row>
    <row r="855">
      <c r="A855" s="39" t="n">
        <v>43374</v>
      </c>
      <c r="B855" s="57">
        <f>VLOOKUP(Table91213[[#This Row],[Date]],'DB Details'!$A:$L,2)</f>
        <v/>
      </c>
      <c r="C855" s="41">
        <f>VLOOKUP(Table91213[[#This Row],[Date]],'DB Details'!$A:$L,3)</f>
        <v/>
      </c>
      <c r="D855" s="55">
        <f>VLOOKUP(Table91213[[#This Row],[Date]],'DB Details'!$A:$L,4)</f>
        <v/>
      </c>
      <c r="E855" s="88">
        <f>VLOOKUP(Table91213[[#This Row],[Date]],'DB Details'!$A:$L,5)</f>
        <v/>
      </c>
      <c r="F855" s="88">
        <f>VLOOKUP(Table91213[[#This Row],[Date]],'DB Details'!$A:$L,6)</f>
        <v/>
      </c>
      <c r="G855" s="41">
        <f>VLOOKUP(Table91213[[#This Row],[Date]],'DB Details'!$A:$L,7)</f>
        <v/>
      </c>
      <c r="H855" s="88">
        <f>VLOOKUP(Table91213[[#This Row],[Date]],'DB Details'!$A:$L,8)</f>
        <v/>
      </c>
      <c r="I855" s="88">
        <f>VLOOKUP(Table91213[[#This Row],[Date]],'DB Details'!$A:$L,9)</f>
        <v/>
      </c>
      <c r="J855" s="88">
        <f>VLOOKUP(Table91213[[#This Row],[Date]],'DB Details'!$A:$L,10)</f>
        <v/>
      </c>
      <c r="K855" s="41">
        <f>VLOOKUP(Table91213[[#This Row],[Date]],'DB Details'!$A:$L,11)</f>
        <v/>
      </c>
      <c r="L855" s="88">
        <f>VLOOKUP(Table91213[[#This Row],[Date]],'DB Details'!$A:$L,12)</f>
        <v/>
      </c>
    </row>
    <row r="856">
      <c r="A856" s="39" t="n">
        <v>43405</v>
      </c>
      <c r="B856" s="57">
        <f>VLOOKUP(Table91213[[#This Row],[Date]],'DB Details'!$A:$L,2)</f>
        <v/>
      </c>
      <c r="C856" s="41">
        <f>VLOOKUP(Table91213[[#This Row],[Date]],'DB Details'!$A:$L,3)</f>
        <v/>
      </c>
      <c r="D856" s="55">
        <f>VLOOKUP(Table91213[[#This Row],[Date]],'DB Details'!$A:$L,4)</f>
        <v/>
      </c>
      <c r="E856" s="88">
        <f>VLOOKUP(Table91213[[#This Row],[Date]],'DB Details'!$A:$L,5)</f>
        <v/>
      </c>
      <c r="F856" s="88">
        <f>VLOOKUP(Table91213[[#This Row],[Date]],'DB Details'!$A:$L,6)</f>
        <v/>
      </c>
      <c r="G856" s="41">
        <f>VLOOKUP(Table91213[[#This Row],[Date]],'DB Details'!$A:$L,7)</f>
        <v/>
      </c>
      <c r="H856" s="88">
        <f>VLOOKUP(Table91213[[#This Row],[Date]],'DB Details'!$A:$L,8)</f>
        <v/>
      </c>
      <c r="I856" s="88">
        <f>VLOOKUP(Table91213[[#This Row],[Date]],'DB Details'!$A:$L,9)</f>
        <v/>
      </c>
      <c r="J856" s="88">
        <f>VLOOKUP(Table91213[[#This Row],[Date]],'DB Details'!$A:$L,10)</f>
        <v/>
      </c>
      <c r="K856" s="41">
        <f>VLOOKUP(Table91213[[#This Row],[Date]],'DB Details'!$A:$L,11)</f>
        <v/>
      </c>
      <c r="L856" s="88">
        <f>VLOOKUP(Table91213[[#This Row],[Date]],'DB Details'!$A:$L,12)</f>
        <v/>
      </c>
    </row>
    <row r="857">
      <c r="A857" s="39" t="n">
        <v>43435</v>
      </c>
      <c r="B857" s="57">
        <f>VLOOKUP(Table91213[[#This Row],[Date]],'DB Details'!$A:$L,2)</f>
        <v/>
      </c>
      <c r="C857" s="41">
        <f>VLOOKUP(Table91213[[#This Row],[Date]],'DB Details'!$A:$L,3)</f>
        <v/>
      </c>
      <c r="D857" s="55">
        <f>VLOOKUP(Table91213[[#This Row],[Date]],'DB Details'!$A:$L,4)</f>
        <v/>
      </c>
      <c r="E857" s="88">
        <f>VLOOKUP(Table91213[[#This Row],[Date]],'DB Details'!$A:$L,5)</f>
        <v/>
      </c>
      <c r="F857" s="88">
        <f>VLOOKUP(Table91213[[#This Row],[Date]],'DB Details'!$A:$L,6)</f>
        <v/>
      </c>
      <c r="G857" s="41">
        <f>VLOOKUP(Table91213[[#This Row],[Date]],'DB Details'!$A:$L,7)</f>
        <v/>
      </c>
      <c r="H857" s="88">
        <f>VLOOKUP(Table91213[[#This Row],[Date]],'DB Details'!$A:$L,8)</f>
        <v/>
      </c>
      <c r="I857" s="88">
        <f>VLOOKUP(Table91213[[#This Row],[Date]],'DB Details'!$A:$L,9)</f>
        <v/>
      </c>
      <c r="J857" s="88">
        <f>VLOOKUP(Table91213[[#This Row],[Date]],'DB Details'!$A:$L,10)</f>
        <v/>
      </c>
      <c r="K857" s="41">
        <f>VLOOKUP(Table91213[[#This Row],[Date]],'DB Details'!$A:$L,11)</f>
        <v/>
      </c>
      <c r="L857" s="88">
        <f>VLOOKUP(Table91213[[#This Row],[Date]],'DB Details'!$A:$L,12)</f>
        <v/>
      </c>
    </row>
    <row r="858">
      <c r="A858" s="39" t="n">
        <v>43466</v>
      </c>
      <c r="B858" s="57">
        <f>VLOOKUP(Table91213[[#This Row],[Date]],'DB Details'!$A:$L,2)</f>
        <v/>
      </c>
      <c r="C858" s="41">
        <f>VLOOKUP(Table91213[[#This Row],[Date]],'DB Details'!$A:$L,3)</f>
        <v/>
      </c>
      <c r="D858" s="55">
        <f>VLOOKUP(Table91213[[#This Row],[Date]],'DB Details'!$A:$L,4)</f>
        <v/>
      </c>
      <c r="E858" s="88">
        <f>VLOOKUP(Table91213[[#This Row],[Date]],'DB Details'!$A:$L,5)</f>
        <v/>
      </c>
      <c r="F858" s="88">
        <f>VLOOKUP(Table91213[[#This Row],[Date]],'DB Details'!$A:$L,6)</f>
        <v/>
      </c>
      <c r="G858" s="41">
        <f>VLOOKUP(Table91213[[#This Row],[Date]],'DB Details'!$A:$L,7)</f>
        <v/>
      </c>
      <c r="H858" s="88">
        <f>VLOOKUP(Table91213[[#This Row],[Date]],'DB Details'!$A:$L,8)</f>
        <v/>
      </c>
      <c r="I858" s="88">
        <f>VLOOKUP(Table91213[[#This Row],[Date]],'DB Details'!$A:$L,9)</f>
        <v/>
      </c>
      <c r="J858" s="88">
        <f>VLOOKUP(Table91213[[#This Row],[Date]],'DB Details'!$A:$L,10)</f>
        <v/>
      </c>
      <c r="K858" s="41">
        <f>VLOOKUP(Table91213[[#This Row],[Date]],'DB Details'!$A:$L,11)</f>
        <v/>
      </c>
      <c r="L858" s="88">
        <f>VLOOKUP(Table91213[[#This Row],[Date]],'DB Details'!$A:$L,12)</f>
        <v/>
      </c>
    </row>
    <row r="859">
      <c r="A859" s="39" t="n">
        <v>43497</v>
      </c>
      <c r="B859" s="57">
        <f>VLOOKUP(Table91213[[#This Row],[Date]],'DB Details'!$A:$L,2)</f>
        <v/>
      </c>
      <c r="C859" s="41">
        <f>VLOOKUP(Table91213[[#This Row],[Date]],'DB Details'!$A:$L,3)</f>
        <v/>
      </c>
      <c r="D859" s="55">
        <f>VLOOKUP(Table91213[[#This Row],[Date]],'DB Details'!$A:$L,4)</f>
        <v/>
      </c>
      <c r="E859" s="88">
        <f>VLOOKUP(Table91213[[#This Row],[Date]],'DB Details'!$A:$L,5)</f>
        <v/>
      </c>
      <c r="F859" s="88">
        <f>VLOOKUP(Table91213[[#This Row],[Date]],'DB Details'!$A:$L,6)</f>
        <v/>
      </c>
      <c r="G859" s="41">
        <f>VLOOKUP(Table91213[[#This Row],[Date]],'DB Details'!$A:$L,7)</f>
        <v/>
      </c>
      <c r="H859" s="88">
        <f>VLOOKUP(Table91213[[#This Row],[Date]],'DB Details'!$A:$L,8)</f>
        <v/>
      </c>
      <c r="I859" s="88">
        <f>VLOOKUP(Table91213[[#This Row],[Date]],'DB Details'!$A:$L,9)</f>
        <v/>
      </c>
      <c r="J859" s="88">
        <f>VLOOKUP(Table91213[[#This Row],[Date]],'DB Details'!$A:$L,10)</f>
        <v/>
      </c>
      <c r="K859" s="41">
        <f>VLOOKUP(Table91213[[#This Row],[Date]],'DB Details'!$A:$L,11)</f>
        <v/>
      </c>
      <c r="L859" s="88">
        <f>VLOOKUP(Table91213[[#This Row],[Date]],'DB Details'!$A:$L,12)</f>
        <v/>
      </c>
    </row>
    <row r="860">
      <c r="A860" s="39" t="n">
        <v>43525</v>
      </c>
      <c r="B860" s="57">
        <f>VLOOKUP(Table91213[[#This Row],[Date]],'DB Details'!$A:$L,2)</f>
        <v/>
      </c>
      <c r="C860" s="41">
        <f>VLOOKUP(Table91213[[#This Row],[Date]],'DB Details'!$A:$L,3)</f>
        <v/>
      </c>
      <c r="D860" s="55">
        <f>VLOOKUP(Table91213[[#This Row],[Date]],'DB Details'!$A:$L,4)</f>
        <v/>
      </c>
      <c r="E860" s="88">
        <f>VLOOKUP(Table91213[[#This Row],[Date]],'DB Details'!$A:$L,5)</f>
        <v/>
      </c>
      <c r="F860" s="88">
        <f>VLOOKUP(Table91213[[#This Row],[Date]],'DB Details'!$A:$L,6)</f>
        <v/>
      </c>
      <c r="G860" s="41">
        <f>VLOOKUP(Table91213[[#This Row],[Date]],'DB Details'!$A:$L,7)</f>
        <v/>
      </c>
      <c r="H860" s="88">
        <f>VLOOKUP(Table91213[[#This Row],[Date]],'DB Details'!$A:$L,8)</f>
        <v/>
      </c>
      <c r="I860" s="88">
        <f>VLOOKUP(Table91213[[#This Row],[Date]],'DB Details'!$A:$L,9)</f>
        <v/>
      </c>
      <c r="J860" s="88">
        <f>VLOOKUP(Table91213[[#This Row],[Date]],'DB Details'!$A:$L,10)</f>
        <v/>
      </c>
      <c r="K860" s="41">
        <f>VLOOKUP(Table91213[[#This Row],[Date]],'DB Details'!$A:$L,11)</f>
        <v/>
      </c>
      <c r="L860" s="88">
        <f>VLOOKUP(Table91213[[#This Row],[Date]],'DB Details'!$A:$L,12)</f>
        <v/>
      </c>
    </row>
    <row r="861">
      <c r="A861" s="39" t="n">
        <v>43556</v>
      </c>
      <c r="B861" s="57">
        <f>VLOOKUP(Table91213[[#This Row],[Date]],'DB Details'!$A:$L,2)</f>
        <v/>
      </c>
      <c r="C861" s="41">
        <f>VLOOKUP(Table91213[[#This Row],[Date]],'DB Details'!$A:$L,3)</f>
        <v/>
      </c>
      <c r="D861" s="55">
        <f>VLOOKUP(Table91213[[#This Row],[Date]],'DB Details'!$A:$L,4)</f>
        <v/>
      </c>
      <c r="E861" s="88">
        <f>VLOOKUP(Table91213[[#This Row],[Date]],'DB Details'!$A:$L,5)</f>
        <v/>
      </c>
      <c r="F861" s="88">
        <f>VLOOKUP(Table91213[[#This Row],[Date]],'DB Details'!$A:$L,6)</f>
        <v/>
      </c>
      <c r="G861" s="41">
        <f>VLOOKUP(Table91213[[#This Row],[Date]],'DB Details'!$A:$L,7)</f>
        <v/>
      </c>
      <c r="H861" s="88">
        <f>VLOOKUP(Table91213[[#This Row],[Date]],'DB Details'!$A:$L,8)</f>
        <v/>
      </c>
      <c r="I861" s="88">
        <f>VLOOKUP(Table91213[[#This Row],[Date]],'DB Details'!$A:$L,9)</f>
        <v/>
      </c>
      <c r="J861" s="88">
        <f>VLOOKUP(Table91213[[#This Row],[Date]],'DB Details'!$A:$L,10)</f>
        <v/>
      </c>
      <c r="K861" s="41">
        <f>VLOOKUP(Table91213[[#This Row],[Date]],'DB Details'!$A:$L,11)</f>
        <v/>
      </c>
      <c r="L861" s="88">
        <f>VLOOKUP(Table91213[[#This Row],[Date]],'DB Details'!$A:$L,12)</f>
        <v/>
      </c>
    </row>
    <row r="862">
      <c r="A862" s="39" t="n">
        <v>43586</v>
      </c>
      <c r="B862" s="57">
        <f>VLOOKUP(Table91213[[#This Row],[Date]],'DB Details'!$A:$L,2)</f>
        <v/>
      </c>
      <c r="C862" s="41">
        <f>VLOOKUP(Table91213[[#This Row],[Date]],'DB Details'!$A:$L,3)</f>
        <v/>
      </c>
      <c r="D862" s="55">
        <f>VLOOKUP(Table91213[[#This Row],[Date]],'DB Details'!$A:$L,4)</f>
        <v/>
      </c>
      <c r="E862" s="88">
        <f>VLOOKUP(Table91213[[#This Row],[Date]],'DB Details'!$A:$L,5)</f>
        <v/>
      </c>
      <c r="F862" s="88">
        <f>VLOOKUP(Table91213[[#This Row],[Date]],'DB Details'!$A:$L,6)</f>
        <v/>
      </c>
      <c r="G862" s="41">
        <f>VLOOKUP(Table91213[[#This Row],[Date]],'DB Details'!$A:$L,7)</f>
        <v/>
      </c>
      <c r="H862" s="88">
        <f>VLOOKUP(Table91213[[#This Row],[Date]],'DB Details'!$A:$L,8)</f>
        <v/>
      </c>
      <c r="I862" s="88">
        <f>VLOOKUP(Table91213[[#This Row],[Date]],'DB Details'!$A:$L,9)</f>
        <v/>
      </c>
      <c r="J862" s="88">
        <f>VLOOKUP(Table91213[[#This Row],[Date]],'DB Details'!$A:$L,10)</f>
        <v/>
      </c>
      <c r="K862" s="41">
        <f>VLOOKUP(Table91213[[#This Row],[Date]],'DB Details'!$A:$L,11)</f>
        <v/>
      </c>
      <c r="L862" s="88">
        <f>VLOOKUP(Table91213[[#This Row],[Date]],'DB Details'!$A:$L,12)</f>
        <v/>
      </c>
    </row>
    <row r="863">
      <c r="A863" s="39" t="n">
        <v>43617</v>
      </c>
      <c r="B863" s="57">
        <f>VLOOKUP(Table91213[[#This Row],[Date]],'DB Details'!$A:$L,2)</f>
        <v/>
      </c>
      <c r="C863" s="41">
        <f>VLOOKUP(Table91213[[#This Row],[Date]],'DB Details'!$A:$L,3)</f>
        <v/>
      </c>
      <c r="D863" s="55">
        <f>VLOOKUP(Table91213[[#This Row],[Date]],'DB Details'!$A:$L,4)</f>
        <v/>
      </c>
      <c r="E863" s="88">
        <f>VLOOKUP(Table91213[[#This Row],[Date]],'DB Details'!$A:$L,5)</f>
        <v/>
      </c>
      <c r="F863" s="88">
        <f>VLOOKUP(Table91213[[#This Row],[Date]],'DB Details'!$A:$L,6)</f>
        <v/>
      </c>
      <c r="G863" s="41">
        <f>VLOOKUP(Table91213[[#This Row],[Date]],'DB Details'!$A:$L,7)</f>
        <v/>
      </c>
      <c r="H863" s="88">
        <f>VLOOKUP(Table91213[[#This Row],[Date]],'DB Details'!$A:$L,8)</f>
        <v/>
      </c>
      <c r="I863" s="88">
        <f>VLOOKUP(Table91213[[#This Row],[Date]],'DB Details'!$A:$L,9)</f>
        <v/>
      </c>
      <c r="J863" s="88">
        <f>VLOOKUP(Table91213[[#This Row],[Date]],'DB Details'!$A:$L,10)</f>
        <v/>
      </c>
      <c r="K863" s="41">
        <f>VLOOKUP(Table91213[[#This Row],[Date]],'DB Details'!$A:$L,11)</f>
        <v/>
      </c>
      <c r="L863" s="88">
        <f>VLOOKUP(Table91213[[#This Row],[Date]],'DB Details'!$A:$L,12)</f>
        <v/>
      </c>
    </row>
    <row r="864">
      <c r="A864" s="39" t="n">
        <v>43647</v>
      </c>
      <c r="B864" s="57">
        <f>VLOOKUP(Table91213[[#This Row],[Date]],'DB Details'!$A:$L,2)</f>
        <v/>
      </c>
      <c r="C864" s="41">
        <f>VLOOKUP(Table91213[[#This Row],[Date]],'DB Details'!$A:$L,3)</f>
        <v/>
      </c>
      <c r="D864" s="55">
        <f>VLOOKUP(Table91213[[#This Row],[Date]],'DB Details'!$A:$L,4)</f>
        <v/>
      </c>
      <c r="E864" s="88">
        <f>VLOOKUP(Table91213[[#This Row],[Date]],'DB Details'!$A:$L,5)</f>
        <v/>
      </c>
      <c r="F864" s="88">
        <f>VLOOKUP(Table91213[[#This Row],[Date]],'DB Details'!$A:$L,6)</f>
        <v/>
      </c>
      <c r="G864" s="41">
        <f>VLOOKUP(Table91213[[#This Row],[Date]],'DB Details'!$A:$L,7)</f>
        <v/>
      </c>
      <c r="H864" s="88">
        <f>VLOOKUP(Table91213[[#This Row],[Date]],'DB Details'!$A:$L,8)</f>
        <v/>
      </c>
      <c r="I864" s="88">
        <f>VLOOKUP(Table91213[[#This Row],[Date]],'DB Details'!$A:$L,9)</f>
        <v/>
      </c>
      <c r="J864" s="88">
        <f>VLOOKUP(Table91213[[#This Row],[Date]],'DB Details'!$A:$L,10)</f>
        <v/>
      </c>
      <c r="K864" s="41">
        <f>VLOOKUP(Table91213[[#This Row],[Date]],'DB Details'!$A:$L,11)</f>
        <v/>
      </c>
      <c r="L864" s="88">
        <f>VLOOKUP(Table91213[[#This Row],[Date]],'DB Details'!$A:$L,12)</f>
        <v/>
      </c>
    </row>
    <row r="865">
      <c r="A865" s="39" t="n">
        <v>43678</v>
      </c>
      <c r="B865" s="57">
        <f>VLOOKUP(Table91213[[#This Row],[Date]],'DB Details'!$A:$L,2)</f>
        <v/>
      </c>
      <c r="C865" s="41">
        <f>VLOOKUP(Table91213[[#This Row],[Date]],'DB Details'!$A:$L,3)</f>
        <v/>
      </c>
      <c r="D865" s="55">
        <f>VLOOKUP(Table91213[[#This Row],[Date]],'DB Details'!$A:$L,4)</f>
        <v/>
      </c>
      <c r="E865" s="88">
        <f>VLOOKUP(Table91213[[#This Row],[Date]],'DB Details'!$A:$L,5)</f>
        <v/>
      </c>
      <c r="F865" s="88">
        <f>VLOOKUP(Table91213[[#This Row],[Date]],'DB Details'!$A:$L,6)</f>
        <v/>
      </c>
      <c r="G865" s="41">
        <f>VLOOKUP(Table91213[[#This Row],[Date]],'DB Details'!$A:$L,7)</f>
        <v/>
      </c>
      <c r="H865" s="88">
        <f>VLOOKUP(Table91213[[#This Row],[Date]],'DB Details'!$A:$L,8)</f>
        <v/>
      </c>
      <c r="I865" s="88">
        <f>VLOOKUP(Table91213[[#This Row],[Date]],'DB Details'!$A:$L,9)</f>
        <v/>
      </c>
      <c r="J865" s="88">
        <f>VLOOKUP(Table91213[[#This Row],[Date]],'DB Details'!$A:$L,10)</f>
        <v/>
      </c>
      <c r="K865" s="41">
        <f>VLOOKUP(Table91213[[#This Row],[Date]],'DB Details'!$A:$L,11)</f>
        <v/>
      </c>
      <c r="L865" s="88">
        <f>VLOOKUP(Table91213[[#This Row],[Date]],'DB Details'!$A:$L,12)</f>
        <v/>
      </c>
    </row>
    <row r="866">
      <c r="A866" s="39" t="n">
        <v>43709</v>
      </c>
      <c r="B866" s="57">
        <f>VLOOKUP(Table91213[[#This Row],[Date]],'DB Details'!$A:$L,2)</f>
        <v/>
      </c>
      <c r="C866" s="41">
        <f>VLOOKUP(Table91213[[#This Row],[Date]],'DB Details'!$A:$L,3)</f>
        <v/>
      </c>
      <c r="D866" s="55">
        <f>VLOOKUP(Table91213[[#This Row],[Date]],'DB Details'!$A:$L,4)</f>
        <v/>
      </c>
      <c r="E866" s="88">
        <f>VLOOKUP(Table91213[[#This Row],[Date]],'DB Details'!$A:$L,5)</f>
        <v/>
      </c>
      <c r="F866" s="88">
        <f>VLOOKUP(Table91213[[#This Row],[Date]],'DB Details'!$A:$L,6)</f>
        <v/>
      </c>
      <c r="G866" s="41">
        <f>VLOOKUP(Table91213[[#This Row],[Date]],'DB Details'!$A:$L,7)</f>
        <v/>
      </c>
      <c r="H866" s="88">
        <f>VLOOKUP(Table91213[[#This Row],[Date]],'DB Details'!$A:$L,8)</f>
        <v/>
      </c>
      <c r="I866" s="88">
        <f>VLOOKUP(Table91213[[#This Row],[Date]],'DB Details'!$A:$L,9)</f>
        <v/>
      </c>
      <c r="J866" s="88">
        <f>VLOOKUP(Table91213[[#This Row],[Date]],'DB Details'!$A:$L,10)</f>
        <v/>
      </c>
      <c r="K866" s="41">
        <f>VLOOKUP(Table91213[[#This Row],[Date]],'DB Details'!$A:$L,11)</f>
        <v/>
      </c>
      <c r="L866" s="88">
        <f>VLOOKUP(Table91213[[#This Row],[Date]],'DB Details'!$A:$L,12)</f>
        <v/>
      </c>
    </row>
    <row r="867">
      <c r="A867" s="39" t="n">
        <v>43739</v>
      </c>
      <c r="B867" s="57">
        <f>VLOOKUP(Table91213[[#This Row],[Date]],'DB Details'!$A:$L,2)</f>
        <v/>
      </c>
      <c r="C867" s="41">
        <f>VLOOKUP(Table91213[[#This Row],[Date]],'DB Details'!$A:$L,3)</f>
        <v/>
      </c>
      <c r="D867" s="55">
        <f>VLOOKUP(Table91213[[#This Row],[Date]],'DB Details'!$A:$L,4)</f>
        <v/>
      </c>
      <c r="E867" s="88">
        <f>VLOOKUP(Table91213[[#This Row],[Date]],'DB Details'!$A:$L,5)</f>
        <v/>
      </c>
      <c r="F867" s="88">
        <f>VLOOKUP(Table91213[[#This Row],[Date]],'DB Details'!$A:$L,6)</f>
        <v/>
      </c>
      <c r="G867" s="41">
        <f>VLOOKUP(Table91213[[#This Row],[Date]],'DB Details'!$A:$L,7)</f>
        <v/>
      </c>
      <c r="H867" s="88">
        <f>VLOOKUP(Table91213[[#This Row],[Date]],'DB Details'!$A:$L,8)</f>
        <v/>
      </c>
      <c r="I867" s="88">
        <f>VLOOKUP(Table91213[[#This Row],[Date]],'DB Details'!$A:$L,9)</f>
        <v/>
      </c>
      <c r="J867" s="88">
        <f>VLOOKUP(Table91213[[#This Row],[Date]],'DB Details'!$A:$L,10)</f>
        <v/>
      </c>
      <c r="K867" s="41">
        <f>VLOOKUP(Table91213[[#This Row],[Date]],'DB Details'!$A:$L,11)</f>
        <v/>
      </c>
      <c r="L867" s="88">
        <f>VLOOKUP(Table91213[[#This Row],[Date]],'DB Details'!$A:$L,12)</f>
        <v/>
      </c>
    </row>
    <row r="868">
      <c r="A868" s="39" t="n">
        <v>43770</v>
      </c>
      <c r="B868" s="57">
        <f>VLOOKUP(Table91213[[#This Row],[Date]],'DB Details'!$A:$L,2)</f>
        <v/>
      </c>
      <c r="C868" s="41">
        <f>VLOOKUP(Table91213[[#This Row],[Date]],'DB Details'!$A:$L,3)</f>
        <v/>
      </c>
      <c r="D868" s="55">
        <f>VLOOKUP(Table91213[[#This Row],[Date]],'DB Details'!$A:$L,4)</f>
        <v/>
      </c>
      <c r="E868" s="88">
        <f>VLOOKUP(Table91213[[#This Row],[Date]],'DB Details'!$A:$L,5)</f>
        <v/>
      </c>
      <c r="F868" s="88">
        <f>VLOOKUP(Table91213[[#This Row],[Date]],'DB Details'!$A:$L,6)</f>
        <v/>
      </c>
      <c r="G868" s="41">
        <f>VLOOKUP(Table91213[[#This Row],[Date]],'DB Details'!$A:$L,7)</f>
        <v/>
      </c>
      <c r="H868" s="88">
        <f>VLOOKUP(Table91213[[#This Row],[Date]],'DB Details'!$A:$L,8)</f>
        <v/>
      </c>
      <c r="I868" s="88">
        <f>VLOOKUP(Table91213[[#This Row],[Date]],'DB Details'!$A:$L,9)</f>
        <v/>
      </c>
      <c r="J868" s="88">
        <f>VLOOKUP(Table91213[[#This Row],[Date]],'DB Details'!$A:$L,10)</f>
        <v/>
      </c>
      <c r="K868" s="41">
        <f>VLOOKUP(Table91213[[#This Row],[Date]],'DB Details'!$A:$L,11)</f>
        <v/>
      </c>
      <c r="L868" s="88">
        <f>VLOOKUP(Table91213[[#This Row],[Date]],'DB Details'!$A:$L,12)</f>
        <v/>
      </c>
    </row>
    <row r="869">
      <c r="A869" s="39" t="n">
        <v>43800</v>
      </c>
      <c r="B869" s="57">
        <f>VLOOKUP(Table91213[[#This Row],[Date]],'DB Details'!$A:$L,2)</f>
        <v/>
      </c>
      <c r="C869" s="41">
        <f>VLOOKUP(Table91213[[#This Row],[Date]],'DB Details'!$A:$L,3)</f>
        <v/>
      </c>
      <c r="D869" s="55">
        <f>VLOOKUP(Table91213[[#This Row],[Date]],'DB Details'!$A:$L,4)</f>
        <v/>
      </c>
      <c r="E869" s="88">
        <f>VLOOKUP(Table91213[[#This Row],[Date]],'DB Details'!$A:$L,5)</f>
        <v/>
      </c>
      <c r="F869" s="88">
        <f>VLOOKUP(Table91213[[#This Row],[Date]],'DB Details'!$A:$L,6)</f>
        <v/>
      </c>
      <c r="G869" s="41">
        <f>VLOOKUP(Table91213[[#This Row],[Date]],'DB Details'!$A:$L,7)</f>
        <v/>
      </c>
      <c r="H869" s="88">
        <f>VLOOKUP(Table91213[[#This Row],[Date]],'DB Details'!$A:$L,8)</f>
        <v/>
      </c>
      <c r="I869" s="88">
        <f>VLOOKUP(Table91213[[#This Row],[Date]],'DB Details'!$A:$L,9)</f>
        <v/>
      </c>
      <c r="J869" s="88">
        <f>VLOOKUP(Table91213[[#This Row],[Date]],'DB Details'!$A:$L,10)</f>
        <v/>
      </c>
      <c r="K869" s="41">
        <f>VLOOKUP(Table91213[[#This Row],[Date]],'DB Details'!$A:$L,11)</f>
        <v/>
      </c>
      <c r="L869" s="88">
        <f>VLOOKUP(Table91213[[#This Row],[Date]],'DB Details'!$A:$L,12)</f>
        <v/>
      </c>
    </row>
    <row r="870">
      <c r="A870" s="39" t="n">
        <v>43831</v>
      </c>
      <c r="B870" s="57">
        <f>VLOOKUP(Table91213[[#This Row],[Date]],'DB Details'!$A:$L,2)</f>
        <v/>
      </c>
      <c r="C870" s="41">
        <f>VLOOKUP(Table91213[[#This Row],[Date]],'DB Details'!$A:$L,3)</f>
        <v/>
      </c>
      <c r="D870" s="55">
        <f>VLOOKUP(Table91213[[#This Row],[Date]],'DB Details'!$A:$L,4)</f>
        <v/>
      </c>
      <c r="E870" s="88">
        <f>VLOOKUP(Table91213[[#This Row],[Date]],'DB Details'!$A:$L,5)</f>
        <v/>
      </c>
      <c r="F870" s="88">
        <f>VLOOKUP(Table91213[[#This Row],[Date]],'DB Details'!$A:$L,6)</f>
        <v/>
      </c>
      <c r="G870" s="41">
        <f>VLOOKUP(Table91213[[#This Row],[Date]],'DB Details'!$A:$L,7)</f>
        <v/>
      </c>
      <c r="H870" s="88">
        <f>VLOOKUP(Table91213[[#This Row],[Date]],'DB Details'!$A:$L,8)</f>
        <v/>
      </c>
      <c r="I870" s="88">
        <f>VLOOKUP(Table91213[[#This Row],[Date]],'DB Details'!$A:$L,9)</f>
        <v/>
      </c>
      <c r="J870" s="88">
        <f>VLOOKUP(Table91213[[#This Row],[Date]],'DB Details'!$A:$L,10)</f>
        <v/>
      </c>
      <c r="K870" s="41">
        <f>VLOOKUP(Table91213[[#This Row],[Date]],'DB Details'!$A:$L,11)</f>
        <v/>
      </c>
      <c r="L870" s="88">
        <f>VLOOKUP(Table91213[[#This Row],[Date]],'DB Details'!$A:$L,12)</f>
        <v/>
      </c>
    </row>
    <row r="871">
      <c r="A871" s="39" t="n">
        <v>43862</v>
      </c>
      <c r="B871" s="57">
        <f>VLOOKUP(Table91213[[#This Row],[Date]],'DB Details'!$A:$L,2)</f>
        <v/>
      </c>
      <c r="C871" s="41">
        <f>VLOOKUP(Table91213[[#This Row],[Date]],'DB Details'!$A:$L,3)</f>
        <v/>
      </c>
      <c r="D871" s="55">
        <f>VLOOKUP(Table91213[[#This Row],[Date]],'DB Details'!$A:$L,4)</f>
        <v/>
      </c>
      <c r="E871" s="88">
        <f>VLOOKUP(Table91213[[#This Row],[Date]],'DB Details'!$A:$L,5)</f>
        <v/>
      </c>
      <c r="F871" s="88">
        <f>VLOOKUP(Table91213[[#This Row],[Date]],'DB Details'!$A:$L,6)</f>
        <v/>
      </c>
      <c r="G871" s="41">
        <f>VLOOKUP(Table91213[[#This Row],[Date]],'DB Details'!$A:$L,7)</f>
        <v/>
      </c>
      <c r="H871" s="88">
        <f>VLOOKUP(Table91213[[#This Row],[Date]],'DB Details'!$A:$L,8)</f>
        <v/>
      </c>
      <c r="I871" s="88">
        <f>VLOOKUP(Table91213[[#This Row],[Date]],'DB Details'!$A:$L,9)</f>
        <v/>
      </c>
      <c r="J871" s="88">
        <f>VLOOKUP(Table91213[[#This Row],[Date]],'DB Details'!$A:$L,10)</f>
        <v/>
      </c>
      <c r="K871" s="41">
        <f>VLOOKUP(Table91213[[#This Row],[Date]],'DB Details'!$A:$L,11)</f>
        <v/>
      </c>
      <c r="L871" s="88">
        <f>VLOOKUP(Table91213[[#This Row],[Date]],'DB Details'!$A:$L,12)</f>
        <v/>
      </c>
    </row>
    <row r="872">
      <c r="A872" s="39" t="n">
        <v>43891</v>
      </c>
      <c r="B872" s="57">
        <f>VLOOKUP(Table91213[[#This Row],[Date]],'DB Details'!$A:$L,2)</f>
        <v/>
      </c>
      <c r="C872" s="41">
        <f>VLOOKUP(Table91213[[#This Row],[Date]],'DB Details'!$A:$L,3)</f>
        <v/>
      </c>
      <c r="D872" s="55">
        <f>VLOOKUP(Table91213[[#This Row],[Date]],'DB Details'!$A:$L,4)</f>
        <v/>
      </c>
      <c r="E872" s="88">
        <f>VLOOKUP(Table91213[[#This Row],[Date]],'DB Details'!$A:$L,5)</f>
        <v/>
      </c>
      <c r="F872" s="88">
        <f>VLOOKUP(Table91213[[#This Row],[Date]],'DB Details'!$A:$L,6)</f>
        <v/>
      </c>
      <c r="G872" s="41">
        <f>VLOOKUP(Table91213[[#This Row],[Date]],'DB Details'!$A:$L,7)</f>
        <v/>
      </c>
      <c r="H872" s="88">
        <f>VLOOKUP(Table91213[[#This Row],[Date]],'DB Details'!$A:$L,8)</f>
        <v/>
      </c>
      <c r="I872" s="88">
        <f>VLOOKUP(Table91213[[#This Row],[Date]],'DB Details'!$A:$L,9)</f>
        <v/>
      </c>
      <c r="J872" s="88">
        <f>VLOOKUP(Table91213[[#This Row],[Date]],'DB Details'!$A:$L,10)</f>
        <v/>
      </c>
      <c r="K872" s="41">
        <f>VLOOKUP(Table91213[[#This Row],[Date]],'DB Details'!$A:$L,11)</f>
        <v/>
      </c>
      <c r="L872" s="88">
        <f>VLOOKUP(Table91213[[#This Row],[Date]],'DB Details'!$A:$L,12)</f>
        <v/>
      </c>
    </row>
    <row r="873">
      <c r="A873" s="39" t="n">
        <v>43922</v>
      </c>
      <c r="B873" s="57">
        <f>VLOOKUP(Table91213[[#This Row],[Date]],'DB Details'!$A:$L,2)</f>
        <v/>
      </c>
      <c r="C873" s="41">
        <f>VLOOKUP(Table91213[[#This Row],[Date]],'DB Details'!$A:$L,3)</f>
        <v/>
      </c>
      <c r="D873" s="55">
        <f>VLOOKUP(Table91213[[#This Row],[Date]],'DB Details'!$A:$L,4)</f>
        <v/>
      </c>
      <c r="E873" s="88">
        <f>VLOOKUP(Table91213[[#This Row],[Date]],'DB Details'!$A:$L,5)</f>
        <v/>
      </c>
      <c r="F873" s="88">
        <f>VLOOKUP(Table91213[[#This Row],[Date]],'DB Details'!$A:$L,6)</f>
        <v/>
      </c>
      <c r="G873" s="41">
        <f>VLOOKUP(Table91213[[#This Row],[Date]],'DB Details'!$A:$L,7)</f>
        <v/>
      </c>
      <c r="H873" s="88">
        <f>VLOOKUP(Table91213[[#This Row],[Date]],'DB Details'!$A:$L,8)</f>
        <v/>
      </c>
      <c r="I873" s="88">
        <f>VLOOKUP(Table91213[[#This Row],[Date]],'DB Details'!$A:$L,9)</f>
        <v/>
      </c>
      <c r="J873" s="88">
        <f>VLOOKUP(Table91213[[#This Row],[Date]],'DB Details'!$A:$L,10)</f>
        <v/>
      </c>
      <c r="K873" s="41">
        <f>VLOOKUP(Table91213[[#This Row],[Date]],'DB Details'!$A:$L,11)</f>
        <v/>
      </c>
      <c r="L873" s="88">
        <f>VLOOKUP(Table91213[[#This Row],[Date]],'DB Details'!$A:$L,12)</f>
        <v/>
      </c>
    </row>
    <row r="874">
      <c r="A874" s="39" t="n">
        <v>43952</v>
      </c>
      <c r="B874" s="57">
        <f>VLOOKUP(Table91213[[#This Row],[Date]],'DB Details'!$A:$L,2)</f>
        <v/>
      </c>
      <c r="C874" s="41">
        <f>VLOOKUP(Table91213[[#This Row],[Date]],'DB Details'!$A:$L,3)</f>
        <v/>
      </c>
      <c r="D874" s="55">
        <f>VLOOKUP(Table91213[[#This Row],[Date]],'DB Details'!$A:$L,4)</f>
        <v/>
      </c>
      <c r="E874" s="88">
        <f>VLOOKUP(Table91213[[#This Row],[Date]],'DB Details'!$A:$L,5)</f>
        <v/>
      </c>
      <c r="F874" s="88">
        <f>VLOOKUP(Table91213[[#This Row],[Date]],'DB Details'!$A:$L,6)</f>
        <v/>
      </c>
      <c r="G874" s="41">
        <f>VLOOKUP(Table91213[[#This Row],[Date]],'DB Details'!$A:$L,7)</f>
        <v/>
      </c>
      <c r="H874" s="88">
        <f>VLOOKUP(Table91213[[#This Row],[Date]],'DB Details'!$A:$L,8)</f>
        <v/>
      </c>
      <c r="I874" s="88">
        <f>VLOOKUP(Table91213[[#This Row],[Date]],'DB Details'!$A:$L,9)</f>
        <v/>
      </c>
      <c r="J874" s="88">
        <f>VLOOKUP(Table91213[[#This Row],[Date]],'DB Details'!$A:$L,10)</f>
        <v/>
      </c>
      <c r="K874" s="41">
        <f>VLOOKUP(Table91213[[#This Row],[Date]],'DB Details'!$A:$L,11)</f>
        <v/>
      </c>
      <c r="L874" s="88">
        <f>VLOOKUP(Table91213[[#This Row],[Date]],'DB Details'!$A:$L,12)</f>
        <v/>
      </c>
    </row>
    <row r="875">
      <c r="A875" s="39" t="n">
        <v>43983</v>
      </c>
      <c r="B875" s="57">
        <f>VLOOKUP(Table91213[[#This Row],[Date]],'DB Details'!$A:$L,2)</f>
        <v/>
      </c>
      <c r="C875" s="41">
        <f>VLOOKUP(Table91213[[#This Row],[Date]],'DB Details'!$A:$L,3)</f>
        <v/>
      </c>
      <c r="D875" s="55">
        <f>VLOOKUP(Table91213[[#This Row],[Date]],'DB Details'!$A:$L,4)</f>
        <v/>
      </c>
      <c r="E875" s="88">
        <f>VLOOKUP(Table91213[[#This Row],[Date]],'DB Details'!$A:$L,5)</f>
        <v/>
      </c>
      <c r="F875" s="88">
        <f>VLOOKUP(Table91213[[#This Row],[Date]],'DB Details'!$A:$L,6)</f>
        <v/>
      </c>
      <c r="G875" s="41">
        <f>VLOOKUP(Table91213[[#This Row],[Date]],'DB Details'!$A:$L,7)</f>
        <v/>
      </c>
      <c r="H875" s="88">
        <f>VLOOKUP(Table91213[[#This Row],[Date]],'DB Details'!$A:$L,8)</f>
        <v/>
      </c>
      <c r="I875" s="88">
        <f>VLOOKUP(Table91213[[#This Row],[Date]],'DB Details'!$A:$L,9)</f>
        <v/>
      </c>
      <c r="J875" s="88">
        <f>VLOOKUP(Table91213[[#This Row],[Date]],'DB Details'!$A:$L,10)</f>
        <v/>
      </c>
      <c r="K875" s="41">
        <f>VLOOKUP(Table91213[[#This Row],[Date]],'DB Details'!$A:$L,11)</f>
        <v/>
      </c>
      <c r="L875" s="88">
        <f>VLOOKUP(Table91213[[#This Row],[Date]],'DB Details'!$A:$L,12)</f>
        <v/>
      </c>
    </row>
    <row r="876">
      <c r="A876" s="39" t="n">
        <v>44013</v>
      </c>
      <c r="B876" s="57">
        <f>VLOOKUP(Table91213[[#This Row],[Date]],'DB Details'!$A:$L,2)</f>
        <v/>
      </c>
      <c r="C876" s="41">
        <f>VLOOKUP(Table91213[[#This Row],[Date]],'DB Details'!$A:$L,3)</f>
        <v/>
      </c>
      <c r="D876" s="55">
        <f>VLOOKUP(Table91213[[#This Row],[Date]],'DB Details'!$A:$L,4)</f>
        <v/>
      </c>
      <c r="E876" s="88">
        <f>VLOOKUP(Table91213[[#This Row],[Date]],'DB Details'!$A:$L,5)</f>
        <v/>
      </c>
      <c r="F876" s="88">
        <f>VLOOKUP(Table91213[[#This Row],[Date]],'DB Details'!$A:$L,6)</f>
        <v/>
      </c>
      <c r="G876" s="41">
        <f>VLOOKUP(Table91213[[#This Row],[Date]],'DB Details'!$A:$L,7)</f>
        <v/>
      </c>
      <c r="H876" s="88">
        <f>VLOOKUP(Table91213[[#This Row],[Date]],'DB Details'!$A:$L,8)</f>
        <v/>
      </c>
      <c r="I876" s="88">
        <f>VLOOKUP(Table91213[[#This Row],[Date]],'DB Details'!$A:$L,9)</f>
        <v/>
      </c>
      <c r="J876" s="88">
        <f>VLOOKUP(Table91213[[#This Row],[Date]],'DB Details'!$A:$L,10)</f>
        <v/>
      </c>
      <c r="K876" s="41">
        <f>VLOOKUP(Table91213[[#This Row],[Date]],'DB Details'!$A:$L,11)</f>
        <v/>
      </c>
      <c r="L876" s="88">
        <f>VLOOKUP(Table91213[[#This Row],[Date]],'DB Details'!$A:$L,12)</f>
        <v/>
      </c>
    </row>
    <row r="877">
      <c r="A877" s="39" t="n">
        <v>44044</v>
      </c>
      <c r="B877" s="57">
        <f>VLOOKUP(Table91213[[#This Row],[Date]],'DB Details'!$A:$L,2)</f>
        <v/>
      </c>
      <c r="C877" s="41">
        <f>VLOOKUP(Table91213[[#This Row],[Date]],'DB Details'!$A:$L,3)</f>
        <v/>
      </c>
      <c r="D877" s="55">
        <f>VLOOKUP(Table91213[[#This Row],[Date]],'DB Details'!$A:$L,4)</f>
        <v/>
      </c>
      <c r="E877" s="88">
        <f>VLOOKUP(Table91213[[#This Row],[Date]],'DB Details'!$A:$L,5)</f>
        <v/>
      </c>
      <c r="F877" s="88">
        <f>VLOOKUP(Table91213[[#This Row],[Date]],'DB Details'!$A:$L,6)</f>
        <v/>
      </c>
      <c r="G877" s="41">
        <f>VLOOKUP(Table91213[[#This Row],[Date]],'DB Details'!$A:$L,7)</f>
        <v/>
      </c>
      <c r="H877" s="88">
        <f>VLOOKUP(Table91213[[#This Row],[Date]],'DB Details'!$A:$L,8)</f>
        <v/>
      </c>
      <c r="I877" s="88">
        <f>VLOOKUP(Table91213[[#This Row],[Date]],'DB Details'!$A:$L,9)</f>
        <v/>
      </c>
      <c r="J877" s="88">
        <f>VLOOKUP(Table91213[[#This Row],[Date]],'DB Details'!$A:$L,10)</f>
        <v/>
      </c>
      <c r="K877" s="41">
        <f>VLOOKUP(Table91213[[#This Row],[Date]],'DB Details'!$A:$L,11)</f>
        <v/>
      </c>
      <c r="L877" s="88">
        <f>VLOOKUP(Table91213[[#This Row],[Date]],'DB Details'!$A:$L,12)</f>
        <v/>
      </c>
    </row>
    <row r="878">
      <c r="A878" s="39" t="n">
        <v>44075</v>
      </c>
      <c r="B878" s="57">
        <f>VLOOKUP(Table91213[[#This Row],[Date]],'DB Details'!$A:$L,2)</f>
        <v/>
      </c>
      <c r="C878" s="41">
        <f>VLOOKUP(Table91213[[#This Row],[Date]],'DB Details'!$A:$L,3)</f>
        <v/>
      </c>
      <c r="D878" s="55">
        <f>VLOOKUP(Table91213[[#This Row],[Date]],'DB Details'!$A:$L,4)</f>
        <v/>
      </c>
      <c r="E878" s="88">
        <f>VLOOKUP(Table91213[[#This Row],[Date]],'DB Details'!$A:$L,5)</f>
        <v/>
      </c>
      <c r="F878" s="88">
        <f>VLOOKUP(Table91213[[#This Row],[Date]],'DB Details'!$A:$L,6)</f>
        <v/>
      </c>
      <c r="G878" s="41">
        <f>VLOOKUP(Table91213[[#This Row],[Date]],'DB Details'!$A:$L,7)</f>
        <v/>
      </c>
      <c r="H878" s="88">
        <f>VLOOKUP(Table91213[[#This Row],[Date]],'DB Details'!$A:$L,8)</f>
        <v/>
      </c>
      <c r="I878" s="88">
        <f>VLOOKUP(Table91213[[#This Row],[Date]],'DB Details'!$A:$L,9)</f>
        <v/>
      </c>
      <c r="J878" s="88">
        <f>VLOOKUP(Table91213[[#This Row],[Date]],'DB Details'!$A:$L,10)</f>
        <v/>
      </c>
      <c r="K878" s="41">
        <f>VLOOKUP(Table91213[[#This Row],[Date]],'DB Details'!$A:$L,11)</f>
        <v/>
      </c>
      <c r="L878" s="88">
        <f>VLOOKUP(Table91213[[#This Row],[Date]],'DB Details'!$A:$L,12)</f>
        <v/>
      </c>
    </row>
    <row r="879">
      <c r="A879" s="39" t="n">
        <v>44105</v>
      </c>
      <c r="B879" s="57">
        <f>VLOOKUP(Table91213[[#This Row],[Date]],'DB Details'!$A:$L,2)</f>
        <v/>
      </c>
      <c r="C879" s="41">
        <f>VLOOKUP(Table91213[[#This Row],[Date]],'DB Details'!$A:$L,3)</f>
        <v/>
      </c>
      <c r="D879" s="55">
        <f>VLOOKUP(Table91213[[#This Row],[Date]],'DB Details'!$A:$L,4)</f>
        <v/>
      </c>
      <c r="E879" s="88">
        <f>VLOOKUP(Table91213[[#This Row],[Date]],'DB Details'!$A:$L,5)</f>
        <v/>
      </c>
      <c r="F879" s="88">
        <f>VLOOKUP(Table91213[[#This Row],[Date]],'DB Details'!$A:$L,6)</f>
        <v/>
      </c>
      <c r="G879" s="41">
        <f>VLOOKUP(Table91213[[#This Row],[Date]],'DB Details'!$A:$L,7)</f>
        <v/>
      </c>
      <c r="H879" s="88">
        <f>VLOOKUP(Table91213[[#This Row],[Date]],'DB Details'!$A:$L,8)</f>
        <v/>
      </c>
      <c r="I879" s="88">
        <f>VLOOKUP(Table91213[[#This Row],[Date]],'DB Details'!$A:$L,9)</f>
        <v/>
      </c>
      <c r="J879" s="88">
        <f>VLOOKUP(Table91213[[#This Row],[Date]],'DB Details'!$A:$L,10)</f>
        <v/>
      </c>
      <c r="K879" s="41">
        <f>VLOOKUP(Table91213[[#This Row],[Date]],'DB Details'!$A:$L,11)</f>
        <v/>
      </c>
      <c r="L879" s="88">
        <f>VLOOKUP(Table91213[[#This Row],[Date]],'DB Details'!$A:$L,12)</f>
        <v/>
      </c>
    </row>
    <row r="880">
      <c r="A880" s="39" t="n">
        <v>44136</v>
      </c>
      <c r="B880" s="57">
        <f>VLOOKUP(Table91213[[#This Row],[Date]],'DB Details'!$A:$L,2)</f>
        <v/>
      </c>
      <c r="C880" s="41">
        <f>VLOOKUP(Table91213[[#This Row],[Date]],'DB Details'!$A:$L,3)</f>
        <v/>
      </c>
      <c r="D880" s="55">
        <f>VLOOKUP(Table91213[[#This Row],[Date]],'DB Details'!$A:$L,4)</f>
        <v/>
      </c>
      <c r="E880" s="88">
        <f>VLOOKUP(Table91213[[#This Row],[Date]],'DB Details'!$A:$L,5)</f>
        <v/>
      </c>
      <c r="F880" s="88">
        <f>VLOOKUP(Table91213[[#This Row],[Date]],'DB Details'!$A:$L,6)</f>
        <v/>
      </c>
      <c r="G880" s="41">
        <f>VLOOKUP(Table91213[[#This Row],[Date]],'DB Details'!$A:$L,7)</f>
        <v/>
      </c>
      <c r="H880" s="88">
        <f>VLOOKUP(Table91213[[#This Row],[Date]],'DB Details'!$A:$L,8)</f>
        <v/>
      </c>
      <c r="I880" s="88">
        <f>VLOOKUP(Table91213[[#This Row],[Date]],'DB Details'!$A:$L,9)</f>
        <v/>
      </c>
      <c r="J880" s="88">
        <f>VLOOKUP(Table91213[[#This Row],[Date]],'DB Details'!$A:$L,10)</f>
        <v/>
      </c>
      <c r="K880" s="41">
        <f>VLOOKUP(Table91213[[#This Row],[Date]],'DB Details'!$A:$L,11)</f>
        <v/>
      </c>
      <c r="L880" s="88">
        <f>VLOOKUP(Table91213[[#This Row],[Date]],'DB Details'!$A:$L,12)</f>
        <v/>
      </c>
    </row>
    <row r="881">
      <c r="A881" s="39" t="n">
        <v>44166</v>
      </c>
      <c r="B881" s="57">
        <f>VLOOKUP(Table91213[[#This Row],[Date]],'DB Details'!$A:$L,2)</f>
        <v/>
      </c>
      <c r="C881" s="41">
        <f>VLOOKUP(Table91213[[#This Row],[Date]],'DB Details'!$A:$L,3)</f>
        <v/>
      </c>
      <c r="D881" s="55">
        <f>VLOOKUP(Table91213[[#This Row],[Date]],'DB Details'!$A:$L,4)</f>
        <v/>
      </c>
      <c r="E881" s="88">
        <f>VLOOKUP(Table91213[[#This Row],[Date]],'DB Details'!$A:$L,5)</f>
        <v/>
      </c>
      <c r="F881" s="88">
        <f>VLOOKUP(Table91213[[#This Row],[Date]],'DB Details'!$A:$L,6)</f>
        <v/>
      </c>
      <c r="G881" s="41">
        <f>VLOOKUP(Table91213[[#This Row],[Date]],'DB Details'!$A:$L,7)</f>
        <v/>
      </c>
      <c r="H881" s="88">
        <f>VLOOKUP(Table91213[[#This Row],[Date]],'DB Details'!$A:$L,8)</f>
        <v/>
      </c>
      <c r="I881" s="88">
        <f>VLOOKUP(Table91213[[#This Row],[Date]],'DB Details'!$A:$L,9)</f>
        <v/>
      </c>
      <c r="J881" s="88">
        <f>VLOOKUP(Table91213[[#This Row],[Date]],'DB Details'!$A:$L,10)</f>
        <v/>
      </c>
      <c r="K881" s="41">
        <f>VLOOKUP(Table91213[[#This Row],[Date]],'DB Details'!$A:$L,11)</f>
        <v/>
      </c>
      <c r="L881" s="88">
        <f>VLOOKUP(Table91213[[#This Row],[Date]],'DB Details'!$A:$L,12)</f>
        <v/>
      </c>
    </row>
    <row r="882">
      <c r="A882" s="39" t="n">
        <v>44197</v>
      </c>
      <c r="B882" s="57">
        <f>VLOOKUP(Table91213[[#This Row],[Date]],'DB Details'!$A:$L,2)</f>
        <v/>
      </c>
      <c r="C882" s="41">
        <f>VLOOKUP(Table91213[[#This Row],[Date]],'DB Details'!$A:$L,3)</f>
        <v/>
      </c>
      <c r="D882" s="55">
        <f>VLOOKUP(Table91213[[#This Row],[Date]],'DB Details'!$A:$L,4)</f>
        <v/>
      </c>
      <c r="E882" s="88">
        <f>VLOOKUP(Table91213[[#This Row],[Date]],'DB Details'!$A:$L,5)</f>
        <v/>
      </c>
      <c r="F882" s="88">
        <f>VLOOKUP(Table91213[[#This Row],[Date]],'DB Details'!$A:$L,6)</f>
        <v/>
      </c>
      <c r="G882" s="41">
        <f>VLOOKUP(Table91213[[#This Row],[Date]],'DB Details'!$A:$L,7)</f>
        <v/>
      </c>
      <c r="H882" s="88">
        <f>VLOOKUP(Table91213[[#This Row],[Date]],'DB Details'!$A:$L,8)</f>
        <v/>
      </c>
      <c r="I882" s="88">
        <f>VLOOKUP(Table91213[[#This Row],[Date]],'DB Details'!$A:$L,9)</f>
        <v/>
      </c>
      <c r="J882" s="88">
        <f>VLOOKUP(Table91213[[#This Row],[Date]],'DB Details'!$A:$L,10)</f>
        <v/>
      </c>
      <c r="K882" s="41">
        <f>VLOOKUP(Table91213[[#This Row],[Date]],'DB Details'!$A:$L,11)</f>
        <v/>
      </c>
      <c r="L882" s="88">
        <f>VLOOKUP(Table91213[[#This Row],[Date]],'DB Details'!$A:$L,12)</f>
        <v/>
      </c>
    </row>
    <row r="883">
      <c r="A883" s="39" t="n">
        <v>44228</v>
      </c>
      <c r="B883" s="57">
        <f>VLOOKUP(Table91213[[#This Row],[Date]],'DB Details'!$A:$L,2)</f>
        <v/>
      </c>
      <c r="C883" s="41">
        <f>VLOOKUP(Table91213[[#This Row],[Date]],'DB Details'!$A:$L,3)</f>
        <v/>
      </c>
      <c r="D883" s="55">
        <f>VLOOKUP(Table91213[[#This Row],[Date]],'DB Details'!$A:$L,4)</f>
        <v/>
      </c>
      <c r="E883" s="88">
        <f>VLOOKUP(Table91213[[#This Row],[Date]],'DB Details'!$A:$L,5)</f>
        <v/>
      </c>
      <c r="F883" s="88">
        <f>VLOOKUP(Table91213[[#This Row],[Date]],'DB Details'!$A:$L,6)</f>
        <v/>
      </c>
      <c r="G883" s="41">
        <f>VLOOKUP(Table91213[[#This Row],[Date]],'DB Details'!$A:$L,7)</f>
        <v/>
      </c>
      <c r="H883" s="88">
        <f>VLOOKUP(Table91213[[#This Row],[Date]],'DB Details'!$A:$L,8)</f>
        <v/>
      </c>
      <c r="I883" s="88">
        <f>VLOOKUP(Table91213[[#This Row],[Date]],'DB Details'!$A:$L,9)</f>
        <v/>
      </c>
      <c r="J883" s="88">
        <f>VLOOKUP(Table91213[[#This Row],[Date]],'DB Details'!$A:$L,10)</f>
        <v/>
      </c>
      <c r="K883" s="41">
        <f>VLOOKUP(Table91213[[#This Row],[Date]],'DB Details'!$A:$L,11)</f>
        <v/>
      </c>
      <c r="L883" s="88">
        <f>VLOOKUP(Table91213[[#This Row],[Date]],'DB Details'!$A:$L,12)</f>
        <v/>
      </c>
    </row>
    <row r="884">
      <c r="A884" s="39" t="n">
        <v>44256</v>
      </c>
      <c r="B884" s="57">
        <f>VLOOKUP(Table91213[[#This Row],[Date]],'DB Details'!$A:$L,2)</f>
        <v/>
      </c>
      <c r="C884" s="41">
        <f>VLOOKUP(Table91213[[#This Row],[Date]],'DB Details'!$A:$L,3)</f>
        <v/>
      </c>
      <c r="D884" s="55">
        <f>VLOOKUP(Table91213[[#This Row],[Date]],'DB Details'!$A:$L,4)</f>
        <v/>
      </c>
      <c r="E884" s="88">
        <f>VLOOKUP(Table91213[[#This Row],[Date]],'DB Details'!$A:$L,5)</f>
        <v/>
      </c>
      <c r="F884" s="88">
        <f>VLOOKUP(Table91213[[#This Row],[Date]],'DB Details'!$A:$L,6)</f>
        <v/>
      </c>
      <c r="G884" s="41">
        <f>VLOOKUP(Table91213[[#This Row],[Date]],'DB Details'!$A:$L,7)</f>
        <v/>
      </c>
      <c r="H884" s="88">
        <f>VLOOKUP(Table91213[[#This Row],[Date]],'DB Details'!$A:$L,8)</f>
        <v/>
      </c>
      <c r="I884" s="88">
        <f>VLOOKUP(Table91213[[#This Row],[Date]],'DB Details'!$A:$L,9)</f>
        <v/>
      </c>
      <c r="J884" s="88">
        <f>VLOOKUP(Table91213[[#This Row],[Date]],'DB Details'!$A:$L,10)</f>
        <v/>
      </c>
      <c r="K884" s="41">
        <f>VLOOKUP(Table91213[[#This Row],[Date]],'DB Details'!$A:$L,11)</f>
        <v/>
      </c>
      <c r="L884" s="88">
        <f>VLOOKUP(Table91213[[#This Row],[Date]],'DB Details'!$A:$L,12)</f>
        <v/>
      </c>
    </row>
    <row r="885">
      <c r="A885" s="39" t="n">
        <v>44287</v>
      </c>
      <c r="B885" s="57">
        <f>VLOOKUP(Table91213[[#This Row],[Date]],'DB Details'!$A:$L,2)</f>
        <v/>
      </c>
      <c r="C885" s="41">
        <f>VLOOKUP(Table91213[[#This Row],[Date]],'DB Details'!$A:$L,3)</f>
        <v/>
      </c>
      <c r="D885" s="55">
        <f>VLOOKUP(Table91213[[#This Row],[Date]],'DB Details'!$A:$L,4)</f>
        <v/>
      </c>
      <c r="E885" s="88">
        <f>VLOOKUP(Table91213[[#This Row],[Date]],'DB Details'!$A:$L,5)</f>
        <v/>
      </c>
      <c r="F885" s="88">
        <f>VLOOKUP(Table91213[[#This Row],[Date]],'DB Details'!$A:$L,6)</f>
        <v/>
      </c>
      <c r="G885" s="41">
        <f>VLOOKUP(Table91213[[#This Row],[Date]],'DB Details'!$A:$L,7)</f>
        <v/>
      </c>
      <c r="H885" s="88">
        <f>VLOOKUP(Table91213[[#This Row],[Date]],'DB Details'!$A:$L,8)</f>
        <v/>
      </c>
      <c r="I885" s="88">
        <f>VLOOKUP(Table91213[[#This Row],[Date]],'DB Details'!$A:$L,9)</f>
        <v/>
      </c>
      <c r="J885" s="88">
        <f>VLOOKUP(Table91213[[#This Row],[Date]],'DB Details'!$A:$L,10)</f>
        <v/>
      </c>
      <c r="K885" s="41">
        <f>VLOOKUP(Table91213[[#This Row],[Date]],'DB Details'!$A:$L,11)</f>
        <v/>
      </c>
      <c r="L885" s="88">
        <f>VLOOKUP(Table91213[[#This Row],[Date]],'DB Details'!$A:$L,12)</f>
        <v/>
      </c>
    </row>
    <row r="886">
      <c r="A886" s="39" t="n">
        <v>44317</v>
      </c>
      <c r="B886" s="57">
        <f>VLOOKUP(Table91213[[#This Row],[Date]],'DB Details'!$A:$L,2)</f>
        <v/>
      </c>
      <c r="C886" s="41">
        <f>VLOOKUP(Table91213[[#This Row],[Date]],'DB Details'!$A:$L,3)</f>
        <v/>
      </c>
      <c r="D886" s="55">
        <f>VLOOKUP(Table91213[[#This Row],[Date]],'DB Details'!$A:$L,4)</f>
        <v/>
      </c>
      <c r="E886" s="88">
        <f>VLOOKUP(Table91213[[#This Row],[Date]],'DB Details'!$A:$L,5)</f>
        <v/>
      </c>
      <c r="F886" s="88">
        <f>VLOOKUP(Table91213[[#This Row],[Date]],'DB Details'!$A:$L,6)</f>
        <v/>
      </c>
      <c r="G886" s="41">
        <f>VLOOKUP(Table91213[[#This Row],[Date]],'DB Details'!$A:$L,7)</f>
        <v/>
      </c>
      <c r="H886" s="88">
        <f>VLOOKUP(Table91213[[#This Row],[Date]],'DB Details'!$A:$L,8)</f>
        <v/>
      </c>
      <c r="I886" s="88">
        <f>VLOOKUP(Table91213[[#This Row],[Date]],'DB Details'!$A:$L,9)</f>
        <v/>
      </c>
      <c r="J886" s="88">
        <f>VLOOKUP(Table91213[[#This Row],[Date]],'DB Details'!$A:$L,10)</f>
        <v/>
      </c>
      <c r="K886" s="41">
        <f>VLOOKUP(Table91213[[#This Row],[Date]],'DB Details'!$A:$L,11)</f>
        <v/>
      </c>
      <c r="L886" s="88">
        <f>VLOOKUP(Table91213[[#This Row],[Date]],'DB Details'!$A:$L,12)</f>
        <v/>
      </c>
    </row>
    <row r="887">
      <c r="A887" s="39" t="n">
        <v>44348</v>
      </c>
      <c r="B887" s="57">
        <f>VLOOKUP(Table91213[[#This Row],[Date]],'DB Details'!$A:$L,2)</f>
        <v/>
      </c>
      <c r="C887" s="41">
        <f>VLOOKUP(Table91213[[#This Row],[Date]],'DB Details'!$A:$L,3)</f>
        <v/>
      </c>
      <c r="D887" s="55">
        <f>VLOOKUP(Table91213[[#This Row],[Date]],'DB Details'!$A:$L,4)</f>
        <v/>
      </c>
      <c r="E887" s="88">
        <f>VLOOKUP(Table91213[[#This Row],[Date]],'DB Details'!$A:$L,5)</f>
        <v/>
      </c>
      <c r="F887" s="88">
        <f>VLOOKUP(Table91213[[#This Row],[Date]],'DB Details'!$A:$L,6)</f>
        <v/>
      </c>
      <c r="G887" s="41">
        <f>VLOOKUP(Table91213[[#This Row],[Date]],'DB Details'!$A:$L,7)</f>
        <v/>
      </c>
      <c r="H887" s="88">
        <f>VLOOKUP(Table91213[[#This Row],[Date]],'DB Details'!$A:$L,8)</f>
        <v/>
      </c>
      <c r="I887" s="88">
        <f>VLOOKUP(Table91213[[#This Row],[Date]],'DB Details'!$A:$L,9)</f>
        <v/>
      </c>
      <c r="J887" s="88">
        <f>VLOOKUP(Table91213[[#This Row],[Date]],'DB Details'!$A:$L,10)</f>
        <v/>
      </c>
      <c r="K887" s="41">
        <f>VLOOKUP(Table91213[[#This Row],[Date]],'DB Details'!$A:$L,11)</f>
        <v/>
      </c>
      <c r="L887" s="88">
        <f>VLOOKUP(Table91213[[#This Row],[Date]],'DB Details'!$A:$L,12)</f>
        <v/>
      </c>
    </row>
    <row r="888">
      <c r="A888" s="39" t="n">
        <v>44378</v>
      </c>
      <c r="B888" s="57">
        <f>VLOOKUP(Table91213[[#This Row],[Date]],'DB Details'!$A:$L,2)</f>
        <v/>
      </c>
      <c r="C888" s="41">
        <f>VLOOKUP(Table91213[[#This Row],[Date]],'DB Details'!$A:$L,3)</f>
        <v/>
      </c>
      <c r="D888" s="55">
        <f>VLOOKUP(Table91213[[#This Row],[Date]],'DB Details'!$A:$L,4)</f>
        <v/>
      </c>
      <c r="E888" s="88">
        <f>VLOOKUP(Table91213[[#This Row],[Date]],'DB Details'!$A:$L,5)</f>
        <v/>
      </c>
      <c r="F888" s="88">
        <f>VLOOKUP(Table91213[[#This Row],[Date]],'DB Details'!$A:$L,6)</f>
        <v/>
      </c>
      <c r="G888" s="41">
        <f>VLOOKUP(Table91213[[#This Row],[Date]],'DB Details'!$A:$L,7)</f>
        <v/>
      </c>
      <c r="H888" s="88">
        <f>VLOOKUP(Table91213[[#This Row],[Date]],'DB Details'!$A:$L,8)</f>
        <v/>
      </c>
      <c r="I888" s="88">
        <f>VLOOKUP(Table91213[[#This Row],[Date]],'DB Details'!$A:$L,9)</f>
        <v/>
      </c>
      <c r="J888" s="88">
        <f>VLOOKUP(Table91213[[#This Row],[Date]],'DB Details'!$A:$L,10)</f>
        <v/>
      </c>
      <c r="K888" s="41">
        <f>VLOOKUP(Table91213[[#This Row],[Date]],'DB Details'!$A:$L,11)</f>
        <v/>
      </c>
      <c r="L888" s="88">
        <f>VLOOKUP(Table91213[[#This Row],[Date]],'DB Details'!$A:$L,12)</f>
        <v/>
      </c>
    </row>
    <row r="889">
      <c r="A889" s="39" t="n">
        <v>44409</v>
      </c>
      <c r="B889" s="57">
        <f>VLOOKUP(Table91213[[#This Row],[Date]],'DB Details'!$A:$L,2)</f>
        <v/>
      </c>
      <c r="C889" s="41">
        <f>VLOOKUP(Table91213[[#This Row],[Date]],'DB Details'!$A:$L,3)</f>
        <v/>
      </c>
      <c r="D889" s="55">
        <f>VLOOKUP(Table91213[[#This Row],[Date]],'DB Details'!$A:$L,4)</f>
        <v/>
      </c>
      <c r="E889" s="88">
        <f>VLOOKUP(Table91213[[#This Row],[Date]],'DB Details'!$A:$L,5)</f>
        <v/>
      </c>
      <c r="F889" s="88">
        <f>VLOOKUP(Table91213[[#This Row],[Date]],'DB Details'!$A:$L,6)</f>
        <v/>
      </c>
      <c r="G889" s="41">
        <f>VLOOKUP(Table91213[[#This Row],[Date]],'DB Details'!$A:$L,7)</f>
        <v/>
      </c>
      <c r="H889" s="88">
        <f>VLOOKUP(Table91213[[#This Row],[Date]],'DB Details'!$A:$L,8)</f>
        <v/>
      </c>
      <c r="I889" s="88">
        <f>VLOOKUP(Table91213[[#This Row],[Date]],'DB Details'!$A:$L,9)</f>
        <v/>
      </c>
      <c r="J889" s="88">
        <f>VLOOKUP(Table91213[[#This Row],[Date]],'DB Details'!$A:$L,10)</f>
        <v/>
      </c>
      <c r="K889" s="41">
        <f>VLOOKUP(Table91213[[#This Row],[Date]],'DB Details'!$A:$L,11)</f>
        <v/>
      </c>
      <c r="L889" s="88">
        <f>VLOOKUP(Table91213[[#This Row],[Date]],'DB Details'!$A:$L,12)</f>
        <v/>
      </c>
    </row>
    <row r="890">
      <c r="A890" s="39" t="n">
        <v>44440</v>
      </c>
      <c r="B890" s="57">
        <f>VLOOKUP(Table91213[[#This Row],[Date]],'DB Details'!$A:$L,2)</f>
        <v/>
      </c>
      <c r="C890" s="41">
        <f>VLOOKUP(Table91213[[#This Row],[Date]],'DB Details'!$A:$L,3)</f>
        <v/>
      </c>
      <c r="D890" s="55">
        <f>VLOOKUP(Table91213[[#This Row],[Date]],'DB Details'!$A:$L,4)</f>
        <v/>
      </c>
      <c r="E890" s="88">
        <f>VLOOKUP(Table91213[[#This Row],[Date]],'DB Details'!$A:$L,5)</f>
        <v/>
      </c>
      <c r="F890" s="88">
        <f>VLOOKUP(Table91213[[#This Row],[Date]],'DB Details'!$A:$L,6)</f>
        <v/>
      </c>
      <c r="G890" s="41">
        <f>VLOOKUP(Table91213[[#This Row],[Date]],'DB Details'!$A:$L,7)</f>
        <v/>
      </c>
      <c r="H890" s="88">
        <f>VLOOKUP(Table91213[[#This Row],[Date]],'DB Details'!$A:$L,8)</f>
        <v/>
      </c>
      <c r="I890" s="88">
        <f>VLOOKUP(Table91213[[#This Row],[Date]],'DB Details'!$A:$L,9)</f>
        <v/>
      </c>
      <c r="J890" s="88">
        <f>VLOOKUP(Table91213[[#This Row],[Date]],'DB Details'!$A:$L,10)</f>
        <v/>
      </c>
      <c r="K890" s="41">
        <f>VLOOKUP(Table91213[[#This Row],[Date]],'DB Details'!$A:$L,11)</f>
        <v/>
      </c>
      <c r="L890" s="88">
        <f>VLOOKUP(Table91213[[#This Row],[Date]],'DB Details'!$A:$L,12)</f>
        <v/>
      </c>
    </row>
    <row r="891">
      <c r="A891" s="39" t="n">
        <v>44470</v>
      </c>
      <c r="B891" s="57">
        <f>VLOOKUP(Table91213[[#This Row],[Date]],'DB Details'!$A:$L,2)</f>
        <v/>
      </c>
      <c r="C891" s="41">
        <f>VLOOKUP(Table91213[[#This Row],[Date]],'DB Details'!$A:$L,3)</f>
        <v/>
      </c>
      <c r="D891" s="55">
        <f>VLOOKUP(Table91213[[#This Row],[Date]],'DB Details'!$A:$L,4)</f>
        <v/>
      </c>
      <c r="E891" s="88">
        <f>VLOOKUP(Table91213[[#This Row],[Date]],'DB Details'!$A:$L,5)</f>
        <v/>
      </c>
      <c r="F891" s="88">
        <f>VLOOKUP(Table91213[[#This Row],[Date]],'DB Details'!$A:$L,6)</f>
        <v/>
      </c>
      <c r="G891" s="41">
        <f>VLOOKUP(Table91213[[#This Row],[Date]],'DB Details'!$A:$L,7)</f>
        <v/>
      </c>
      <c r="H891" s="88">
        <f>VLOOKUP(Table91213[[#This Row],[Date]],'DB Details'!$A:$L,8)</f>
        <v/>
      </c>
      <c r="I891" s="88">
        <f>VLOOKUP(Table91213[[#This Row],[Date]],'DB Details'!$A:$L,9)</f>
        <v/>
      </c>
      <c r="J891" s="88">
        <f>VLOOKUP(Table91213[[#This Row],[Date]],'DB Details'!$A:$L,10)</f>
        <v/>
      </c>
      <c r="K891" s="41">
        <f>VLOOKUP(Table91213[[#This Row],[Date]],'DB Details'!$A:$L,11)</f>
        <v/>
      </c>
      <c r="L891" s="88">
        <f>VLOOKUP(Table91213[[#This Row],[Date]],'DB Details'!$A:$L,12)</f>
        <v/>
      </c>
    </row>
    <row r="892">
      <c r="A892" s="39" t="n">
        <v>44501</v>
      </c>
      <c r="B892" s="57">
        <f>VLOOKUP(Table91213[[#This Row],[Date]],'DB Details'!$A:$L,2)</f>
        <v/>
      </c>
      <c r="C892" s="41">
        <f>VLOOKUP(Table91213[[#This Row],[Date]],'DB Details'!$A:$L,3)</f>
        <v/>
      </c>
      <c r="D892" s="55">
        <f>VLOOKUP(Table91213[[#This Row],[Date]],'DB Details'!$A:$L,4)</f>
        <v/>
      </c>
      <c r="E892" s="88">
        <f>VLOOKUP(Table91213[[#This Row],[Date]],'DB Details'!$A:$L,5)</f>
        <v/>
      </c>
      <c r="F892" s="88">
        <f>VLOOKUP(Table91213[[#This Row],[Date]],'DB Details'!$A:$L,6)</f>
        <v/>
      </c>
      <c r="G892" s="41">
        <f>VLOOKUP(Table91213[[#This Row],[Date]],'DB Details'!$A:$L,7)</f>
        <v/>
      </c>
      <c r="H892" s="88">
        <f>VLOOKUP(Table91213[[#This Row],[Date]],'DB Details'!$A:$L,8)</f>
        <v/>
      </c>
      <c r="I892" s="88">
        <f>VLOOKUP(Table91213[[#This Row],[Date]],'DB Details'!$A:$L,9)</f>
        <v/>
      </c>
      <c r="J892" s="88">
        <f>VLOOKUP(Table91213[[#This Row],[Date]],'DB Details'!$A:$L,10)</f>
        <v/>
      </c>
      <c r="K892" s="41">
        <f>VLOOKUP(Table91213[[#This Row],[Date]],'DB Details'!$A:$L,11)</f>
        <v/>
      </c>
      <c r="L892" s="88">
        <f>VLOOKUP(Table91213[[#This Row],[Date]],'DB Details'!$A:$L,12)</f>
        <v/>
      </c>
    </row>
    <row r="893">
      <c r="A893" s="39" t="n">
        <v>44531</v>
      </c>
      <c r="B893" s="57">
        <f>VLOOKUP(Table91213[[#This Row],[Date]],'DB Details'!$A:$L,2)</f>
        <v/>
      </c>
      <c r="C893" s="41">
        <f>VLOOKUP(Table91213[[#This Row],[Date]],'DB Details'!$A:$L,3)</f>
        <v/>
      </c>
      <c r="D893" s="55">
        <f>VLOOKUP(Table91213[[#This Row],[Date]],'DB Details'!$A:$L,4)</f>
        <v/>
      </c>
      <c r="E893" s="88">
        <f>VLOOKUP(Table91213[[#This Row],[Date]],'DB Details'!$A:$L,5)</f>
        <v/>
      </c>
      <c r="F893" s="88">
        <f>VLOOKUP(Table91213[[#This Row],[Date]],'DB Details'!$A:$L,6)</f>
        <v/>
      </c>
      <c r="G893" s="41">
        <f>VLOOKUP(Table91213[[#This Row],[Date]],'DB Details'!$A:$L,7)</f>
        <v/>
      </c>
      <c r="H893" s="88">
        <f>VLOOKUP(Table91213[[#This Row],[Date]],'DB Details'!$A:$L,8)</f>
        <v/>
      </c>
      <c r="I893" s="88">
        <f>VLOOKUP(Table91213[[#This Row],[Date]],'DB Details'!$A:$L,9)</f>
        <v/>
      </c>
      <c r="J893" s="88">
        <f>VLOOKUP(Table91213[[#This Row],[Date]],'DB Details'!$A:$L,10)</f>
        <v/>
      </c>
      <c r="K893" s="41">
        <f>VLOOKUP(Table91213[[#This Row],[Date]],'DB Details'!$A:$L,11)</f>
        <v/>
      </c>
      <c r="L893" s="88">
        <f>VLOOKUP(Table91213[[#This Row],[Date]],'DB Details'!$A:$L,12)</f>
        <v/>
      </c>
    </row>
    <row r="894">
      <c r="A894" s="39" t="n">
        <v>44562</v>
      </c>
      <c r="B894" s="57">
        <f>VLOOKUP(Table91213[[#This Row],[Date]],'DB Details'!$A:$L,2)</f>
        <v/>
      </c>
      <c r="C894" s="41">
        <f>VLOOKUP(Table91213[[#This Row],[Date]],'DB Details'!$A:$L,3)</f>
        <v/>
      </c>
      <c r="D894" s="55">
        <f>VLOOKUP(Table91213[[#This Row],[Date]],'DB Details'!$A:$L,4)</f>
        <v/>
      </c>
      <c r="E894" s="88">
        <f>VLOOKUP(Table91213[[#This Row],[Date]],'DB Details'!$A:$L,5)</f>
        <v/>
      </c>
      <c r="F894" s="88">
        <f>VLOOKUP(Table91213[[#This Row],[Date]],'DB Details'!$A:$L,6)</f>
        <v/>
      </c>
      <c r="G894" s="41">
        <f>VLOOKUP(Table91213[[#This Row],[Date]],'DB Details'!$A:$L,7)</f>
        <v/>
      </c>
      <c r="H894" s="88">
        <f>VLOOKUP(Table91213[[#This Row],[Date]],'DB Details'!$A:$L,8)</f>
        <v/>
      </c>
      <c r="I894" s="88">
        <f>VLOOKUP(Table91213[[#This Row],[Date]],'DB Details'!$A:$L,9)</f>
        <v/>
      </c>
      <c r="J894" s="88">
        <f>VLOOKUP(Table91213[[#This Row],[Date]],'DB Details'!$A:$L,10)</f>
        <v/>
      </c>
      <c r="K894" s="41">
        <f>VLOOKUP(Table91213[[#This Row],[Date]],'DB Details'!$A:$L,11)</f>
        <v/>
      </c>
      <c r="L894" s="88">
        <f>VLOOKUP(Table91213[[#This Row],[Date]],'DB Details'!$A:$L,12)</f>
        <v/>
      </c>
    </row>
    <row r="895">
      <c r="A895" s="39" t="n">
        <v>44593</v>
      </c>
      <c r="B895" s="57">
        <f>VLOOKUP(Table91213[[#This Row],[Date]],'DB Details'!$A:$L,2)</f>
        <v/>
      </c>
      <c r="C895" s="41">
        <f>VLOOKUP(Table91213[[#This Row],[Date]],'DB Details'!$A:$L,3)</f>
        <v/>
      </c>
      <c r="D895" s="55">
        <f>VLOOKUP(Table91213[[#This Row],[Date]],'DB Details'!$A:$L,4)</f>
        <v/>
      </c>
      <c r="E895" s="88">
        <f>VLOOKUP(Table91213[[#This Row],[Date]],'DB Details'!$A:$L,5)</f>
        <v/>
      </c>
      <c r="F895" s="88">
        <f>VLOOKUP(Table91213[[#This Row],[Date]],'DB Details'!$A:$L,6)</f>
        <v/>
      </c>
      <c r="G895" s="41">
        <f>VLOOKUP(Table91213[[#This Row],[Date]],'DB Details'!$A:$L,7)</f>
        <v/>
      </c>
      <c r="H895" s="88">
        <f>VLOOKUP(Table91213[[#This Row],[Date]],'DB Details'!$A:$L,8)</f>
        <v/>
      </c>
      <c r="I895" s="88">
        <f>VLOOKUP(Table91213[[#This Row],[Date]],'DB Details'!$A:$L,9)</f>
        <v/>
      </c>
      <c r="J895" s="88">
        <f>VLOOKUP(Table91213[[#This Row],[Date]],'DB Details'!$A:$L,10)</f>
        <v/>
      </c>
      <c r="K895" s="41">
        <f>VLOOKUP(Table91213[[#This Row],[Date]],'DB Details'!$A:$L,11)</f>
        <v/>
      </c>
      <c r="L895" s="88">
        <f>VLOOKUP(Table91213[[#This Row],[Date]],'DB Details'!$A:$L,12)</f>
        <v/>
      </c>
    </row>
    <row r="896">
      <c r="A896" s="39" t="n">
        <v>44621</v>
      </c>
      <c r="B896" s="57">
        <f>VLOOKUP(Table91213[[#This Row],[Date]],'DB Details'!$A:$L,2)</f>
        <v/>
      </c>
      <c r="C896" s="41">
        <f>VLOOKUP(Table91213[[#This Row],[Date]],'DB Details'!$A:$L,3)</f>
        <v/>
      </c>
      <c r="D896" s="55">
        <f>VLOOKUP(Table91213[[#This Row],[Date]],'DB Details'!$A:$L,4)</f>
        <v/>
      </c>
      <c r="E896" s="88">
        <f>VLOOKUP(Table91213[[#This Row],[Date]],'DB Details'!$A:$L,5)</f>
        <v/>
      </c>
      <c r="F896" s="88">
        <f>VLOOKUP(Table91213[[#This Row],[Date]],'DB Details'!$A:$L,6)</f>
        <v/>
      </c>
      <c r="G896" s="41">
        <f>VLOOKUP(Table91213[[#This Row],[Date]],'DB Details'!$A:$L,7)</f>
        <v/>
      </c>
      <c r="H896" s="88">
        <f>VLOOKUP(Table91213[[#This Row],[Date]],'DB Details'!$A:$L,8)</f>
        <v/>
      </c>
      <c r="I896" s="88">
        <f>VLOOKUP(Table91213[[#This Row],[Date]],'DB Details'!$A:$L,9)</f>
        <v/>
      </c>
      <c r="J896" s="88">
        <f>VLOOKUP(Table91213[[#This Row],[Date]],'DB Details'!$A:$L,10)</f>
        <v/>
      </c>
      <c r="K896" s="41">
        <f>VLOOKUP(Table91213[[#This Row],[Date]],'DB Details'!$A:$L,11)</f>
        <v/>
      </c>
      <c r="L896" s="88">
        <f>VLOOKUP(Table91213[[#This Row],[Date]],'DB Details'!$A:$L,12)</f>
        <v/>
      </c>
    </row>
    <row r="897">
      <c r="A897" s="39" t="n">
        <v>44652</v>
      </c>
      <c r="B897" s="57">
        <f>VLOOKUP(Table91213[[#This Row],[Date]],'DB Details'!$A:$L,2)</f>
        <v/>
      </c>
      <c r="C897" s="41">
        <f>VLOOKUP(Table91213[[#This Row],[Date]],'DB Details'!$A:$L,3)</f>
        <v/>
      </c>
      <c r="D897" s="55">
        <f>VLOOKUP(Table91213[[#This Row],[Date]],'DB Details'!$A:$L,4)</f>
        <v/>
      </c>
      <c r="E897" s="88">
        <f>VLOOKUP(Table91213[[#This Row],[Date]],'DB Details'!$A:$L,5)</f>
        <v/>
      </c>
      <c r="F897" s="88">
        <f>VLOOKUP(Table91213[[#This Row],[Date]],'DB Details'!$A:$L,6)</f>
        <v/>
      </c>
      <c r="G897" s="41">
        <f>VLOOKUP(Table91213[[#This Row],[Date]],'DB Details'!$A:$L,7)</f>
        <v/>
      </c>
      <c r="H897" s="88">
        <f>VLOOKUP(Table91213[[#This Row],[Date]],'DB Details'!$A:$L,8)</f>
        <v/>
      </c>
      <c r="I897" s="88">
        <f>VLOOKUP(Table91213[[#This Row],[Date]],'DB Details'!$A:$L,9)</f>
        <v/>
      </c>
      <c r="J897" s="88">
        <f>VLOOKUP(Table91213[[#This Row],[Date]],'DB Details'!$A:$L,10)</f>
        <v/>
      </c>
      <c r="K897" s="41">
        <f>VLOOKUP(Table91213[[#This Row],[Date]],'DB Details'!$A:$L,11)</f>
        <v/>
      </c>
      <c r="L897" s="88">
        <f>VLOOKUP(Table91213[[#This Row],[Date]],'DB Details'!$A:$L,12)</f>
        <v/>
      </c>
    </row>
    <row r="898">
      <c r="A898" s="39" t="n">
        <v>44682</v>
      </c>
      <c r="B898" s="57">
        <f>VLOOKUP(Table91213[[#This Row],[Date]],'DB Details'!$A:$L,2)</f>
        <v/>
      </c>
      <c r="C898" s="41">
        <f>VLOOKUP(Table91213[[#This Row],[Date]],'DB Details'!$A:$L,3)</f>
        <v/>
      </c>
      <c r="D898" s="55">
        <f>VLOOKUP(Table91213[[#This Row],[Date]],'DB Details'!$A:$L,4)</f>
        <v/>
      </c>
      <c r="E898" s="88">
        <f>VLOOKUP(Table91213[[#This Row],[Date]],'DB Details'!$A:$L,5)</f>
        <v/>
      </c>
      <c r="F898" s="88">
        <f>VLOOKUP(Table91213[[#This Row],[Date]],'DB Details'!$A:$L,6)</f>
        <v/>
      </c>
      <c r="G898" s="41">
        <f>VLOOKUP(Table91213[[#This Row],[Date]],'DB Details'!$A:$L,7)</f>
        <v/>
      </c>
      <c r="H898" s="88">
        <f>VLOOKUP(Table91213[[#This Row],[Date]],'DB Details'!$A:$L,8)</f>
        <v/>
      </c>
      <c r="I898" s="88">
        <f>VLOOKUP(Table91213[[#This Row],[Date]],'DB Details'!$A:$L,9)</f>
        <v/>
      </c>
      <c r="J898" s="88">
        <f>VLOOKUP(Table91213[[#This Row],[Date]],'DB Details'!$A:$L,10)</f>
        <v/>
      </c>
      <c r="K898" s="41">
        <f>VLOOKUP(Table91213[[#This Row],[Date]],'DB Details'!$A:$L,11)</f>
        <v/>
      </c>
      <c r="L898" s="88">
        <f>VLOOKUP(Table91213[[#This Row],[Date]],'DB Details'!$A:$L,12)</f>
        <v/>
      </c>
    </row>
    <row r="899">
      <c r="A899" s="39" t="n">
        <v>44713</v>
      </c>
      <c r="B899" s="57">
        <f>VLOOKUP(Table91213[[#This Row],[Date]],'DB Details'!$A:$L,2)</f>
        <v/>
      </c>
      <c r="C899" s="41">
        <f>VLOOKUP(Table91213[[#This Row],[Date]],'DB Details'!$A:$L,3)</f>
        <v/>
      </c>
      <c r="D899" s="55">
        <f>VLOOKUP(Table91213[[#This Row],[Date]],'DB Details'!$A:$L,4)</f>
        <v/>
      </c>
      <c r="E899" s="88">
        <f>VLOOKUP(Table91213[[#This Row],[Date]],'DB Details'!$A:$L,5)</f>
        <v/>
      </c>
      <c r="F899" s="88">
        <f>VLOOKUP(Table91213[[#This Row],[Date]],'DB Details'!$A:$L,6)</f>
        <v/>
      </c>
      <c r="G899" s="41">
        <f>VLOOKUP(Table91213[[#This Row],[Date]],'DB Details'!$A:$L,7)</f>
        <v/>
      </c>
      <c r="H899" s="88">
        <f>VLOOKUP(Table91213[[#This Row],[Date]],'DB Details'!$A:$L,8)</f>
        <v/>
      </c>
      <c r="I899" s="88">
        <f>VLOOKUP(Table91213[[#This Row],[Date]],'DB Details'!$A:$L,9)</f>
        <v/>
      </c>
      <c r="J899" s="88">
        <f>VLOOKUP(Table91213[[#This Row],[Date]],'DB Details'!$A:$L,10)</f>
        <v/>
      </c>
      <c r="K899" s="41">
        <f>VLOOKUP(Table91213[[#This Row],[Date]],'DB Details'!$A:$L,11)</f>
        <v/>
      </c>
      <c r="L899" s="88">
        <f>VLOOKUP(Table91213[[#This Row],[Date]],'DB Details'!$A:$L,12)</f>
        <v/>
      </c>
    </row>
    <row r="900">
      <c r="A900" s="39" t="n">
        <v>44743</v>
      </c>
      <c r="B900" s="57">
        <f>VLOOKUP(Table91213[[#This Row],[Date]],'DB Details'!$A:$L,2)</f>
        <v/>
      </c>
      <c r="C900" s="41">
        <f>VLOOKUP(Table91213[[#This Row],[Date]],'DB Details'!$A:$L,3)</f>
        <v/>
      </c>
      <c r="D900" s="55">
        <f>VLOOKUP(Table91213[[#This Row],[Date]],'DB Details'!$A:$L,4)</f>
        <v/>
      </c>
      <c r="E900" s="88">
        <f>VLOOKUP(Table91213[[#This Row],[Date]],'DB Details'!$A:$L,5)</f>
        <v/>
      </c>
      <c r="F900" s="88">
        <f>VLOOKUP(Table91213[[#This Row],[Date]],'DB Details'!$A:$L,6)</f>
        <v/>
      </c>
      <c r="G900" s="41">
        <f>VLOOKUP(Table91213[[#This Row],[Date]],'DB Details'!$A:$L,7)</f>
        <v/>
      </c>
      <c r="H900" s="88">
        <f>VLOOKUP(Table91213[[#This Row],[Date]],'DB Details'!$A:$L,8)</f>
        <v/>
      </c>
      <c r="I900" s="88">
        <f>VLOOKUP(Table91213[[#This Row],[Date]],'DB Details'!$A:$L,9)</f>
        <v/>
      </c>
      <c r="J900" s="88">
        <f>VLOOKUP(Table91213[[#This Row],[Date]],'DB Details'!$A:$L,10)</f>
        <v/>
      </c>
      <c r="K900" s="41">
        <f>VLOOKUP(Table91213[[#This Row],[Date]],'DB Details'!$A:$L,11)</f>
        <v/>
      </c>
      <c r="L900" s="88">
        <f>VLOOKUP(Table91213[[#This Row],[Date]],'DB Details'!$A:$L,12)</f>
        <v/>
      </c>
    </row>
    <row r="901">
      <c r="A901" s="39" t="n">
        <v>44774</v>
      </c>
      <c r="B901" s="57">
        <f>VLOOKUP(Table91213[[#This Row],[Date]],'DB Details'!$A:$L,2)</f>
        <v/>
      </c>
      <c r="C901" s="41">
        <f>VLOOKUP(Table91213[[#This Row],[Date]],'DB Details'!$A:$L,3)</f>
        <v/>
      </c>
      <c r="D901" s="55">
        <f>VLOOKUP(Table91213[[#This Row],[Date]],'DB Details'!$A:$L,4)</f>
        <v/>
      </c>
      <c r="E901" s="88">
        <f>VLOOKUP(Table91213[[#This Row],[Date]],'DB Details'!$A:$L,5)</f>
        <v/>
      </c>
      <c r="F901" s="88">
        <f>VLOOKUP(Table91213[[#This Row],[Date]],'DB Details'!$A:$L,6)</f>
        <v/>
      </c>
      <c r="G901" s="41">
        <f>VLOOKUP(Table91213[[#This Row],[Date]],'DB Details'!$A:$L,7)</f>
        <v/>
      </c>
      <c r="H901" s="88">
        <f>VLOOKUP(Table91213[[#This Row],[Date]],'DB Details'!$A:$L,8)</f>
        <v/>
      </c>
      <c r="I901" s="88">
        <f>VLOOKUP(Table91213[[#This Row],[Date]],'DB Details'!$A:$L,9)</f>
        <v/>
      </c>
      <c r="J901" s="88">
        <f>VLOOKUP(Table91213[[#This Row],[Date]],'DB Details'!$A:$L,10)</f>
        <v/>
      </c>
      <c r="K901" s="41">
        <f>VLOOKUP(Table91213[[#This Row],[Date]],'DB Details'!$A:$L,11)</f>
        <v/>
      </c>
      <c r="L901" s="88">
        <f>VLOOKUP(Table91213[[#This Row],[Date]],'DB Details'!$A:$L,12)</f>
        <v/>
      </c>
    </row>
    <row r="902">
      <c r="A902" s="39" t="n">
        <v>44805</v>
      </c>
      <c r="B902" s="57">
        <f>VLOOKUP(Table91213[[#This Row],[Date]],'DB Details'!$A:$L,2)</f>
        <v/>
      </c>
      <c r="C902" s="41">
        <f>VLOOKUP(Table91213[[#This Row],[Date]],'DB Details'!$A:$L,3)</f>
        <v/>
      </c>
      <c r="D902" s="55">
        <f>VLOOKUP(Table91213[[#This Row],[Date]],'DB Details'!$A:$L,4)</f>
        <v/>
      </c>
      <c r="E902" s="88">
        <f>VLOOKUP(Table91213[[#This Row],[Date]],'DB Details'!$A:$L,5)</f>
        <v/>
      </c>
      <c r="F902" s="88">
        <f>VLOOKUP(Table91213[[#This Row],[Date]],'DB Details'!$A:$L,6)</f>
        <v/>
      </c>
      <c r="G902" s="41">
        <f>VLOOKUP(Table91213[[#This Row],[Date]],'DB Details'!$A:$L,7)</f>
        <v/>
      </c>
      <c r="H902" s="88">
        <f>VLOOKUP(Table91213[[#This Row],[Date]],'DB Details'!$A:$L,8)</f>
        <v/>
      </c>
      <c r="I902" s="88">
        <f>VLOOKUP(Table91213[[#This Row],[Date]],'DB Details'!$A:$L,9)</f>
        <v/>
      </c>
      <c r="J902" s="88">
        <f>VLOOKUP(Table91213[[#This Row],[Date]],'DB Details'!$A:$L,10)</f>
        <v/>
      </c>
      <c r="K902" s="41">
        <f>VLOOKUP(Table91213[[#This Row],[Date]],'DB Details'!$A:$L,11)</f>
        <v/>
      </c>
      <c r="L902" s="88">
        <f>VLOOKUP(Table91213[[#This Row],[Date]],'DB Details'!$A:$L,12)</f>
        <v/>
      </c>
    </row>
    <row r="903">
      <c r="A903" s="39" t="n">
        <v>44835</v>
      </c>
      <c r="B903" s="57">
        <f>VLOOKUP(Table91213[[#This Row],[Date]],'DB Details'!$A:$L,2)</f>
        <v/>
      </c>
      <c r="C903" s="41">
        <f>VLOOKUP(Table91213[[#This Row],[Date]],'DB Details'!$A:$L,3)</f>
        <v/>
      </c>
      <c r="D903" s="55">
        <f>VLOOKUP(Table91213[[#This Row],[Date]],'DB Details'!$A:$L,4)</f>
        <v/>
      </c>
      <c r="E903" s="88">
        <f>VLOOKUP(Table91213[[#This Row],[Date]],'DB Details'!$A:$L,5)</f>
        <v/>
      </c>
      <c r="F903" s="88">
        <f>VLOOKUP(Table91213[[#This Row],[Date]],'DB Details'!$A:$L,6)</f>
        <v/>
      </c>
      <c r="G903" s="41">
        <f>VLOOKUP(Table91213[[#This Row],[Date]],'DB Details'!$A:$L,7)</f>
        <v/>
      </c>
      <c r="H903" s="88">
        <f>VLOOKUP(Table91213[[#This Row],[Date]],'DB Details'!$A:$L,8)</f>
        <v/>
      </c>
      <c r="I903" s="88">
        <f>VLOOKUP(Table91213[[#This Row],[Date]],'DB Details'!$A:$L,9)</f>
        <v/>
      </c>
      <c r="J903" s="88">
        <f>VLOOKUP(Table91213[[#This Row],[Date]],'DB Details'!$A:$L,10)</f>
        <v/>
      </c>
      <c r="K903" s="41">
        <f>VLOOKUP(Table91213[[#This Row],[Date]],'DB Details'!$A:$L,11)</f>
        <v/>
      </c>
      <c r="L903" s="88">
        <f>VLOOKUP(Table91213[[#This Row],[Date]],'DB Details'!$A:$L,12)</f>
        <v/>
      </c>
    </row>
    <row r="904">
      <c r="A904" s="39" t="n">
        <v>44866</v>
      </c>
      <c r="B904" s="57">
        <f>VLOOKUP(Table91213[[#This Row],[Date]],'DB Details'!$A:$L,2)</f>
        <v/>
      </c>
      <c r="C904" s="41">
        <f>VLOOKUP(Table91213[[#This Row],[Date]],'DB Details'!$A:$L,3)</f>
        <v/>
      </c>
      <c r="D904" s="55">
        <f>VLOOKUP(Table91213[[#This Row],[Date]],'DB Details'!$A:$L,4)</f>
        <v/>
      </c>
      <c r="E904" s="88">
        <f>VLOOKUP(Table91213[[#This Row],[Date]],'DB Details'!$A:$L,5)</f>
        <v/>
      </c>
      <c r="F904" s="88">
        <f>VLOOKUP(Table91213[[#This Row],[Date]],'DB Details'!$A:$L,6)</f>
        <v/>
      </c>
      <c r="G904" s="41">
        <f>VLOOKUP(Table91213[[#This Row],[Date]],'DB Details'!$A:$L,7)</f>
        <v/>
      </c>
      <c r="H904" s="88">
        <f>VLOOKUP(Table91213[[#This Row],[Date]],'DB Details'!$A:$L,8)</f>
        <v/>
      </c>
      <c r="I904" s="88">
        <f>VLOOKUP(Table91213[[#This Row],[Date]],'DB Details'!$A:$L,9)</f>
        <v/>
      </c>
      <c r="J904" s="88">
        <f>VLOOKUP(Table91213[[#This Row],[Date]],'DB Details'!$A:$L,10)</f>
        <v/>
      </c>
      <c r="K904" s="41">
        <f>VLOOKUP(Table91213[[#This Row],[Date]],'DB Details'!$A:$L,11)</f>
        <v/>
      </c>
      <c r="L904" s="88">
        <f>VLOOKUP(Table91213[[#This Row],[Date]],'DB Details'!$A:$L,12)</f>
        <v/>
      </c>
    </row>
    <row r="905">
      <c r="A905" s="39" t="n">
        <v>44896</v>
      </c>
      <c r="B905" s="57">
        <f>VLOOKUP(Table91213[[#This Row],[Date]],'DB Details'!$A:$L,2)</f>
        <v/>
      </c>
      <c r="C905" s="41">
        <f>VLOOKUP(Table91213[[#This Row],[Date]],'DB Details'!$A:$L,3)</f>
        <v/>
      </c>
      <c r="D905" s="55">
        <f>VLOOKUP(Table91213[[#This Row],[Date]],'DB Details'!$A:$L,4)</f>
        <v/>
      </c>
      <c r="E905" s="88">
        <f>VLOOKUP(Table91213[[#This Row],[Date]],'DB Details'!$A:$L,5)</f>
        <v/>
      </c>
      <c r="F905" s="88">
        <f>VLOOKUP(Table91213[[#This Row],[Date]],'DB Details'!$A:$L,6)</f>
        <v/>
      </c>
      <c r="G905" s="41">
        <f>VLOOKUP(Table91213[[#This Row],[Date]],'DB Details'!$A:$L,7)</f>
        <v/>
      </c>
      <c r="H905" s="88">
        <f>VLOOKUP(Table91213[[#This Row],[Date]],'DB Details'!$A:$L,8)</f>
        <v/>
      </c>
      <c r="I905" s="88">
        <f>VLOOKUP(Table91213[[#This Row],[Date]],'DB Details'!$A:$L,9)</f>
        <v/>
      </c>
      <c r="J905" s="88">
        <f>VLOOKUP(Table91213[[#This Row],[Date]],'DB Details'!$A:$L,10)</f>
        <v/>
      </c>
      <c r="K905" s="41">
        <f>VLOOKUP(Table91213[[#This Row],[Date]],'DB Details'!$A:$L,11)</f>
        <v/>
      </c>
      <c r="L905" s="88">
        <f>VLOOKUP(Table91213[[#This Row],[Date]],'DB Details'!$A:$L,12)</f>
        <v/>
      </c>
    </row>
    <row r="906">
      <c r="A906" s="39" t="n">
        <v>44927</v>
      </c>
      <c r="B906" s="57">
        <f>VLOOKUP(Table91213[[#This Row],[Date]],'DB Details'!$A:$L,2)</f>
        <v/>
      </c>
      <c r="C906" s="41">
        <f>VLOOKUP(Table91213[[#This Row],[Date]],'DB Details'!$A:$L,3)</f>
        <v/>
      </c>
      <c r="D906" s="55">
        <f>VLOOKUP(Table91213[[#This Row],[Date]],'DB Details'!$A:$L,4)</f>
        <v/>
      </c>
      <c r="E906" s="88">
        <f>VLOOKUP(Table91213[[#This Row],[Date]],'DB Details'!$A:$L,5)</f>
        <v/>
      </c>
      <c r="F906" s="88">
        <f>VLOOKUP(Table91213[[#This Row],[Date]],'DB Details'!$A:$L,6)</f>
        <v/>
      </c>
      <c r="G906" s="41">
        <f>VLOOKUP(Table91213[[#This Row],[Date]],'DB Details'!$A:$L,7)</f>
        <v/>
      </c>
      <c r="H906" s="88">
        <f>VLOOKUP(Table91213[[#This Row],[Date]],'DB Details'!$A:$L,8)</f>
        <v/>
      </c>
      <c r="I906" s="88">
        <f>VLOOKUP(Table91213[[#This Row],[Date]],'DB Details'!$A:$L,9)</f>
        <v/>
      </c>
      <c r="J906" s="88">
        <f>VLOOKUP(Table91213[[#This Row],[Date]],'DB Details'!$A:$L,10)</f>
        <v/>
      </c>
      <c r="K906" s="41">
        <f>VLOOKUP(Table91213[[#This Row],[Date]],'DB Details'!$A:$L,11)</f>
        <v/>
      </c>
      <c r="L906" s="88">
        <f>VLOOKUP(Table91213[[#This Row],[Date]],'DB Details'!$A:$L,12)</f>
        <v/>
      </c>
    </row>
  </sheetData>
  <conditionalFormatting sqref="B750:B906">
    <cfRule type="colorScale" priority="11">
      <colorScale>
        <cfvo type="min"/>
        <cfvo type="percentile" val="50"/>
        <cfvo type="max"/>
        <color rgb="FFF8696B"/>
        <color rgb="FFFFEB84"/>
        <color rgb="FF63BE7B"/>
      </colorScale>
    </cfRule>
  </conditionalFormatting>
  <conditionalFormatting sqref="C750:C906">
    <cfRule type="colorScale" priority="10">
      <colorScale>
        <cfvo type="min"/>
        <cfvo type="percentile" val="50"/>
        <cfvo type="max"/>
        <color rgb="FFF8696B"/>
        <color rgb="FFFFEB84"/>
        <color rgb="FF63BE7B"/>
      </colorScale>
    </cfRule>
  </conditionalFormatting>
  <conditionalFormatting sqref="D750:D906">
    <cfRule type="colorScale" priority="9">
      <colorScale>
        <cfvo type="min"/>
        <cfvo type="percentile" val="50"/>
        <cfvo type="max"/>
        <color rgb="FFF8696B"/>
        <color rgb="FFFFEB84"/>
        <color rgb="FF63BE7B"/>
      </colorScale>
    </cfRule>
  </conditionalFormatting>
  <conditionalFormatting sqref="E750:E906">
    <cfRule type="colorScale" priority="8">
      <colorScale>
        <cfvo type="min"/>
        <cfvo type="percentile" val="50"/>
        <cfvo type="max"/>
        <color rgb="FFF8696B"/>
        <color rgb="FFFFEB84"/>
        <color rgb="FF63BE7B"/>
      </colorScale>
    </cfRule>
  </conditionalFormatting>
  <conditionalFormatting sqref="F750:F906">
    <cfRule type="colorScale" priority="7">
      <colorScale>
        <cfvo type="min"/>
        <cfvo type="percentile" val="50"/>
        <cfvo type="max"/>
        <color rgb="FFF8696B"/>
        <color rgb="FFFFEB84"/>
        <color rgb="FF63BE7B"/>
      </colorScale>
    </cfRule>
  </conditionalFormatting>
  <conditionalFormatting sqref="G750:G906">
    <cfRule type="colorScale" priority="6">
      <colorScale>
        <cfvo type="min"/>
        <cfvo type="percentile" val="50"/>
        <cfvo type="max"/>
        <color rgb="FFF8696B"/>
        <color rgb="FFFFEB84"/>
        <color rgb="FF63BE7B"/>
      </colorScale>
    </cfRule>
  </conditionalFormatting>
  <conditionalFormatting sqref="H750:H906">
    <cfRule type="colorScale" priority="5">
      <colorScale>
        <cfvo type="min"/>
        <cfvo type="percentile" val="50"/>
        <cfvo type="max"/>
        <color rgb="FFF8696B"/>
        <color rgb="FFFFEB84"/>
        <color rgb="FF63BE7B"/>
      </colorScale>
    </cfRule>
  </conditionalFormatting>
  <conditionalFormatting sqref="I750:I906">
    <cfRule type="colorScale" priority="4">
      <colorScale>
        <cfvo type="min"/>
        <cfvo type="percentile" val="50"/>
        <cfvo type="max"/>
        <color rgb="FFF8696B"/>
        <color rgb="FFFFEB84"/>
        <color rgb="FF63BE7B"/>
      </colorScale>
    </cfRule>
  </conditionalFormatting>
  <conditionalFormatting sqref="J750:J906">
    <cfRule type="colorScale" priority="3">
      <colorScale>
        <cfvo type="min"/>
        <cfvo type="percentile" val="50"/>
        <cfvo type="max"/>
        <color rgb="FFF8696B"/>
        <color rgb="FFFFEB84"/>
        <color rgb="FF63BE7B"/>
      </colorScale>
    </cfRule>
  </conditionalFormatting>
  <conditionalFormatting sqref="K750:K906">
    <cfRule type="colorScale" priority="2">
      <colorScale>
        <cfvo type="min"/>
        <cfvo type="percentile" val="50"/>
        <cfvo type="max"/>
        <color rgb="FFF8696B"/>
        <color rgb="FFFFEB84"/>
        <color rgb="FF63BE7B"/>
      </colorScale>
    </cfRule>
  </conditionalFormatting>
  <conditionalFormatting sqref="L750:L906">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zoomScale="90" zoomScaleNormal="90" workbookViewId="0">
      <selection activeCell="AH35" sqref="AH35"/>
    </sheetView>
  </sheetViews>
  <sheetFormatPr baseColWidth="8" defaultColWidth="9.1796875" defaultRowHeight="14.5"/>
  <cols>
    <col width="9.1796875" customWidth="1" style="97" min="1" max="41"/>
    <col width="9.1796875" customWidth="1" style="97" min="42" max="16384"/>
  </cols>
  <sheetData>
    <row r="1">
      <c r="M1" s="89" t="inlineStr">
        <is>
          <t>SP500</t>
        </is>
      </c>
      <c r="N1" s="89" t="inlineStr">
        <is>
          <t>GDPC1</t>
        </is>
      </c>
      <c r="O1" s="89" t="inlineStr">
        <is>
          <t>GDPQoQ</t>
        </is>
      </c>
      <c r="P1" s="89" t="inlineStr">
        <is>
          <t>GDPYoY</t>
        </is>
      </c>
      <c r="Q1" s="97" t="inlineStr">
        <is>
          <t>GDPQoQ_ANNUALIZED</t>
        </is>
      </c>
    </row>
    <row r="5">
      <c r="O5" s="89" t="n"/>
      <c r="P5" s="89" t="n"/>
      <c r="Q5" s="89"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906"/>
  <sheetViews>
    <sheetView zoomScale="110" zoomScaleNormal="110" workbookViewId="0">
      <pane ySplit="5" topLeftCell="A868" activePane="bottomLeft" state="frozen"/>
      <selection pane="bottomLeft" activeCell="A898" sqref="A898:E906"/>
    </sheetView>
  </sheetViews>
  <sheetFormatPr baseColWidth="8" defaultColWidth="9.1796875" defaultRowHeight="14.5"/>
  <cols>
    <col width="12.36328125" customWidth="1" style="97" min="1" max="1"/>
    <col width="14.6328125" customWidth="1" style="97" min="2" max="5"/>
    <col width="9.1796875" customWidth="1" style="97" min="6" max="46"/>
    <col width="9.1796875" customWidth="1" style="97" min="47" max="16384"/>
  </cols>
  <sheetData>
    <row r="1">
      <c r="A1" s="113" t="inlineStr">
        <is>
          <t>ISM vs GDP</t>
        </is>
      </c>
    </row>
    <row r="2" ht="3.75" customHeight="1"/>
    <row r="3" ht="3.75" customHeight="1"/>
    <row r="4" ht="16" customHeight="1" thickBot="1"/>
    <row r="5" ht="25" customHeight="1" thickBot="1">
      <c r="A5" s="50" t="inlineStr">
        <is>
          <t>Date</t>
        </is>
      </c>
      <c r="B5" s="51" t="inlineStr">
        <is>
          <t>PMI</t>
        </is>
      </c>
      <c r="C5" s="52" t="inlineStr">
        <is>
          <t>GDP growth yoy %</t>
        </is>
      </c>
      <c r="D5" s="53" t="inlineStr">
        <is>
          <t>GDP growth qoq %</t>
        </is>
      </c>
      <c r="E5" s="54" t="inlineStr">
        <is>
          <t>GDP growth q/q % (annualised)</t>
        </is>
      </c>
    </row>
    <row r="6">
      <c r="A6" s="47" t="n">
        <v>17533</v>
      </c>
      <c r="B6" s="48">
        <f>VLOOKUP(Table311[[#This Row],[Date]],'DB Details'!$A:$L,12)</f>
        <v/>
      </c>
      <c r="C6" s="49">
        <f>VLOOKUP(Table311[[#This Row],[Date]],'DB Details'!$A:$T,20)</f>
        <v/>
      </c>
      <c r="D6" s="49">
        <f>VLOOKUP(Table311[[#This Row],[Date]],'DB Details'!$A:$T,18)</f>
        <v/>
      </c>
      <c r="E6" s="49">
        <f>VLOOKUP(Table311[[#This Row],[Date]],'DB Details'!$A:$T,19)</f>
        <v/>
      </c>
    </row>
    <row r="7">
      <c r="A7" s="38" t="n">
        <v>17564</v>
      </c>
      <c r="B7" s="48">
        <f>VLOOKUP(Table311[[#This Row],[Date]],'DB Details'!$A:$L,12)</f>
        <v/>
      </c>
      <c r="C7" s="49">
        <f>VLOOKUP(Table311[[#This Row],[Date]],'DB Details'!$A:$T,20)</f>
        <v/>
      </c>
      <c r="D7" s="49">
        <f>VLOOKUP(Table311[[#This Row],[Date]],'DB Details'!$A:$T,18)</f>
        <v/>
      </c>
      <c r="E7" s="49">
        <f>VLOOKUP(Table311[[#This Row],[Date]],'DB Details'!$A:$T,19)</f>
        <v/>
      </c>
    </row>
    <row r="8">
      <c r="A8" s="38" t="n">
        <v>17593</v>
      </c>
      <c r="B8" s="48">
        <f>VLOOKUP(Table311[[#This Row],[Date]],'DB Details'!$A:$L,12)</f>
        <v/>
      </c>
      <c r="C8" s="49">
        <f>VLOOKUP(Table311[[#This Row],[Date]],'DB Details'!$A:$T,20)</f>
        <v/>
      </c>
      <c r="D8" s="49">
        <f>VLOOKUP(Table311[[#This Row],[Date]],'DB Details'!$A:$T,18)</f>
        <v/>
      </c>
      <c r="E8" s="49">
        <f>VLOOKUP(Table311[[#This Row],[Date]],'DB Details'!$A:$T,19)</f>
        <v/>
      </c>
    </row>
    <row r="9">
      <c r="A9" s="38" t="n">
        <v>17624</v>
      </c>
      <c r="B9" s="48">
        <f>VLOOKUP(Table311[[#This Row],[Date]],'DB Details'!$A:$L,12)</f>
        <v/>
      </c>
      <c r="C9" s="49">
        <f>VLOOKUP(Table311[[#This Row],[Date]],'DB Details'!$A:$T,20)</f>
        <v/>
      </c>
      <c r="D9" s="49">
        <f>VLOOKUP(Table311[[#This Row],[Date]],'DB Details'!$A:$T,18)</f>
        <v/>
      </c>
      <c r="E9" s="49">
        <f>VLOOKUP(Table311[[#This Row],[Date]],'DB Details'!$A:$T,19)</f>
        <v/>
      </c>
    </row>
    <row r="10">
      <c r="A10" s="38" t="n">
        <v>17654</v>
      </c>
      <c r="B10" s="48">
        <f>VLOOKUP(Table311[[#This Row],[Date]],'DB Details'!$A:$L,12)</f>
        <v/>
      </c>
      <c r="C10" s="49">
        <f>VLOOKUP(Table311[[#This Row],[Date]],'DB Details'!$A:$T,20)</f>
        <v/>
      </c>
      <c r="D10" s="49">
        <f>VLOOKUP(Table311[[#This Row],[Date]],'DB Details'!$A:$T,18)</f>
        <v/>
      </c>
      <c r="E10" s="49">
        <f>VLOOKUP(Table311[[#This Row],[Date]],'DB Details'!$A:$T,19)</f>
        <v/>
      </c>
    </row>
    <row r="11">
      <c r="A11" s="38" t="n">
        <v>17685</v>
      </c>
      <c r="B11" s="48">
        <f>VLOOKUP(Table311[[#This Row],[Date]],'DB Details'!$A:$L,12)</f>
        <v/>
      </c>
      <c r="C11" s="49">
        <f>VLOOKUP(Table311[[#This Row],[Date]],'DB Details'!$A:$T,20)</f>
        <v/>
      </c>
      <c r="D11" s="49">
        <f>VLOOKUP(Table311[[#This Row],[Date]],'DB Details'!$A:$T,18)</f>
        <v/>
      </c>
      <c r="E11" s="49">
        <f>VLOOKUP(Table311[[#This Row],[Date]],'DB Details'!$A:$T,19)</f>
        <v/>
      </c>
    </row>
    <row r="12">
      <c r="A12" s="38" t="n">
        <v>17715</v>
      </c>
      <c r="B12" s="48">
        <f>VLOOKUP(Table311[[#This Row],[Date]],'DB Details'!$A:$L,12)</f>
        <v/>
      </c>
      <c r="C12" s="49">
        <f>VLOOKUP(Table311[[#This Row],[Date]],'DB Details'!$A:$T,20)</f>
        <v/>
      </c>
      <c r="D12" s="49">
        <f>VLOOKUP(Table311[[#This Row],[Date]],'DB Details'!$A:$T,18)</f>
        <v/>
      </c>
      <c r="E12" s="49">
        <f>VLOOKUP(Table311[[#This Row],[Date]],'DB Details'!$A:$T,19)</f>
        <v/>
      </c>
    </row>
    <row r="13">
      <c r="A13" s="38" t="n">
        <v>17746</v>
      </c>
      <c r="B13" s="48">
        <f>VLOOKUP(Table311[[#This Row],[Date]],'DB Details'!$A:$L,12)</f>
        <v/>
      </c>
      <c r="C13" s="49">
        <f>VLOOKUP(Table311[[#This Row],[Date]],'DB Details'!$A:$T,20)</f>
        <v/>
      </c>
      <c r="D13" s="49">
        <f>VLOOKUP(Table311[[#This Row],[Date]],'DB Details'!$A:$T,18)</f>
        <v/>
      </c>
      <c r="E13" s="49">
        <f>VLOOKUP(Table311[[#This Row],[Date]],'DB Details'!$A:$T,19)</f>
        <v/>
      </c>
    </row>
    <row r="14">
      <c r="A14" s="38" t="n">
        <v>17777</v>
      </c>
      <c r="B14" s="48">
        <f>VLOOKUP(Table311[[#This Row],[Date]],'DB Details'!$A:$L,12)</f>
        <v/>
      </c>
      <c r="C14" s="49">
        <f>VLOOKUP(Table311[[#This Row],[Date]],'DB Details'!$A:$T,20)</f>
        <v/>
      </c>
      <c r="D14" s="49">
        <f>VLOOKUP(Table311[[#This Row],[Date]],'DB Details'!$A:$T,18)</f>
        <v/>
      </c>
      <c r="E14" s="49">
        <f>VLOOKUP(Table311[[#This Row],[Date]],'DB Details'!$A:$T,19)</f>
        <v/>
      </c>
    </row>
    <row r="15">
      <c r="A15" s="38" t="n">
        <v>17807</v>
      </c>
      <c r="B15" s="48">
        <f>VLOOKUP(Table311[[#This Row],[Date]],'DB Details'!$A:$L,12)</f>
        <v/>
      </c>
      <c r="C15" s="49">
        <f>VLOOKUP(Table311[[#This Row],[Date]],'DB Details'!$A:$T,20)</f>
        <v/>
      </c>
      <c r="D15" s="49">
        <f>VLOOKUP(Table311[[#This Row],[Date]],'DB Details'!$A:$T,18)</f>
        <v/>
      </c>
      <c r="E15" s="49">
        <f>VLOOKUP(Table311[[#This Row],[Date]],'DB Details'!$A:$T,19)</f>
        <v/>
      </c>
    </row>
    <row r="16">
      <c r="A16" s="38" t="n">
        <v>17838</v>
      </c>
      <c r="B16" s="48">
        <f>VLOOKUP(Table311[[#This Row],[Date]],'DB Details'!$A:$L,12)</f>
        <v/>
      </c>
      <c r="C16" s="49">
        <f>VLOOKUP(Table311[[#This Row],[Date]],'DB Details'!$A:$T,20)</f>
        <v/>
      </c>
      <c r="D16" s="49">
        <f>VLOOKUP(Table311[[#This Row],[Date]],'DB Details'!$A:$T,18)</f>
        <v/>
      </c>
      <c r="E16" s="49">
        <f>VLOOKUP(Table311[[#This Row],[Date]],'DB Details'!$A:$T,19)</f>
        <v/>
      </c>
    </row>
    <row r="17">
      <c r="A17" s="38" t="n">
        <v>17868</v>
      </c>
      <c r="B17" s="48">
        <f>VLOOKUP(Table311[[#This Row],[Date]],'DB Details'!$A:$L,12)</f>
        <v/>
      </c>
      <c r="C17" s="49">
        <f>VLOOKUP(Table311[[#This Row],[Date]],'DB Details'!$A:$T,20)</f>
        <v/>
      </c>
      <c r="D17" s="49">
        <f>VLOOKUP(Table311[[#This Row],[Date]],'DB Details'!$A:$T,18)</f>
        <v/>
      </c>
      <c r="E17" s="49">
        <f>VLOOKUP(Table311[[#This Row],[Date]],'DB Details'!$A:$T,19)</f>
        <v/>
      </c>
    </row>
    <row r="18">
      <c r="A18" s="38" t="n">
        <v>17899</v>
      </c>
      <c r="B18" s="48">
        <f>VLOOKUP(Table311[[#This Row],[Date]],'DB Details'!$A:$L,12)</f>
        <v/>
      </c>
      <c r="C18" s="49">
        <f>VLOOKUP(Table311[[#This Row],[Date]],'DB Details'!$A:$T,20)</f>
        <v/>
      </c>
      <c r="D18" s="49">
        <f>VLOOKUP(Table311[[#This Row],[Date]],'DB Details'!$A:$T,18)</f>
        <v/>
      </c>
      <c r="E18" s="49">
        <f>VLOOKUP(Table311[[#This Row],[Date]],'DB Details'!$A:$T,19)</f>
        <v/>
      </c>
    </row>
    <row r="19">
      <c r="A19" s="38" t="n">
        <v>17930</v>
      </c>
      <c r="B19" s="48">
        <f>VLOOKUP(Table311[[#This Row],[Date]],'DB Details'!$A:$L,12)</f>
        <v/>
      </c>
      <c r="C19" s="49">
        <f>VLOOKUP(Table311[[#This Row],[Date]],'DB Details'!$A:$T,20)</f>
        <v/>
      </c>
      <c r="D19" s="49">
        <f>VLOOKUP(Table311[[#This Row],[Date]],'DB Details'!$A:$T,18)</f>
        <v/>
      </c>
      <c r="E19" s="49">
        <f>VLOOKUP(Table311[[#This Row],[Date]],'DB Details'!$A:$T,19)</f>
        <v/>
      </c>
    </row>
    <row r="20">
      <c r="A20" s="38" t="n">
        <v>17958</v>
      </c>
      <c r="B20" s="48">
        <f>VLOOKUP(Table311[[#This Row],[Date]],'DB Details'!$A:$L,12)</f>
        <v/>
      </c>
      <c r="C20" s="49">
        <f>VLOOKUP(Table311[[#This Row],[Date]],'DB Details'!$A:$T,20)</f>
        <v/>
      </c>
      <c r="D20" s="49">
        <f>VLOOKUP(Table311[[#This Row],[Date]],'DB Details'!$A:$T,18)</f>
        <v/>
      </c>
      <c r="E20" s="49">
        <f>VLOOKUP(Table311[[#This Row],[Date]],'DB Details'!$A:$T,19)</f>
        <v/>
      </c>
    </row>
    <row r="21">
      <c r="A21" s="38" t="n">
        <v>17989</v>
      </c>
      <c r="B21" s="48">
        <f>VLOOKUP(Table311[[#This Row],[Date]],'DB Details'!$A:$L,12)</f>
        <v/>
      </c>
      <c r="C21" s="49">
        <f>VLOOKUP(Table311[[#This Row],[Date]],'DB Details'!$A:$T,20)</f>
        <v/>
      </c>
      <c r="D21" s="49">
        <f>VLOOKUP(Table311[[#This Row],[Date]],'DB Details'!$A:$T,18)</f>
        <v/>
      </c>
      <c r="E21" s="49">
        <f>VLOOKUP(Table311[[#This Row],[Date]],'DB Details'!$A:$T,19)</f>
        <v/>
      </c>
    </row>
    <row r="22">
      <c r="A22" s="38" t="n">
        <v>18019</v>
      </c>
      <c r="B22" s="48">
        <f>VLOOKUP(Table311[[#This Row],[Date]],'DB Details'!$A:$L,12)</f>
        <v/>
      </c>
      <c r="C22" s="49">
        <f>VLOOKUP(Table311[[#This Row],[Date]],'DB Details'!$A:$T,20)</f>
        <v/>
      </c>
      <c r="D22" s="49">
        <f>VLOOKUP(Table311[[#This Row],[Date]],'DB Details'!$A:$T,18)</f>
        <v/>
      </c>
      <c r="E22" s="49">
        <f>VLOOKUP(Table311[[#This Row],[Date]],'DB Details'!$A:$T,19)</f>
        <v/>
      </c>
    </row>
    <row r="23">
      <c r="A23" s="38" t="n">
        <v>18050</v>
      </c>
      <c r="B23" s="48">
        <f>VLOOKUP(Table311[[#This Row],[Date]],'DB Details'!$A:$L,12)</f>
        <v/>
      </c>
      <c r="C23" s="49">
        <f>VLOOKUP(Table311[[#This Row],[Date]],'DB Details'!$A:$T,20)</f>
        <v/>
      </c>
      <c r="D23" s="49">
        <f>VLOOKUP(Table311[[#This Row],[Date]],'DB Details'!$A:$T,18)</f>
        <v/>
      </c>
      <c r="E23" s="49">
        <f>VLOOKUP(Table311[[#This Row],[Date]],'DB Details'!$A:$T,19)</f>
        <v/>
      </c>
    </row>
    <row r="24">
      <c r="A24" s="38" t="n">
        <v>18080</v>
      </c>
      <c r="B24" s="48">
        <f>VLOOKUP(Table311[[#This Row],[Date]],'DB Details'!$A:$L,12)</f>
        <v/>
      </c>
      <c r="C24" s="49">
        <f>VLOOKUP(Table311[[#This Row],[Date]],'DB Details'!$A:$T,20)</f>
        <v/>
      </c>
      <c r="D24" s="49">
        <f>VLOOKUP(Table311[[#This Row],[Date]],'DB Details'!$A:$T,18)</f>
        <v/>
      </c>
      <c r="E24" s="49">
        <f>VLOOKUP(Table311[[#This Row],[Date]],'DB Details'!$A:$T,19)</f>
        <v/>
      </c>
    </row>
    <row r="25">
      <c r="A25" s="38" t="n">
        <v>18111</v>
      </c>
      <c r="B25" s="48">
        <f>VLOOKUP(Table311[[#This Row],[Date]],'DB Details'!$A:$L,12)</f>
        <v/>
      </c>
      <c r="C25" s="49">
        <f>VLOOKUP(Table311[[#This Row],[Date]],'DB Details'!$A:$T,20)</f>
        <v/>
      </c>
      <c r="D25" s="49">
        <f>VLOOKUP(Table311[[#This Row],[Date]],'DB Details'!$A:$T,18)</f>
        <v/>
      </c>
      <c r="E25" s="49">
        <f>VLOOKUP(Table311[[#This Row],[Date]],'DB Details'!$A:$T,19)</f>
        <v/>
      </c>
    </row>
    <row r="26">
      <c r="A26" s="38" t="n">
        <v>18142</v>
      </c>
      <c r="B26" s="48">
        <f>VLOOKUP(Table311[[#This Row],[Date]],'DB Details'!$A:$L,12)</f>
        <v/>
      </c>
      <c r="C26" s="49">
        <f>VLOOKUP(Table311[[#This Row],[Date]],'DB Details'!$A:$T,20)</f>
        <v/>
      </c>
      <c r="D26" s="49">
        <f>VLOOKUP(Table311[[#This Row],[Date]],'DB Details'!$A:$T,18)</f>
        <v/>
      </c>
      <c r="E26" s="49">
        <f>VLOOKUP(Table311[[#This Row],[Date]],'DB Details'!$A:$T,19)</f>
        <v/>
      </c>
    </row>
    <row r="27">
      <c r="A27" s="38" t="n">
        <v>18172</v>
      </c>
      <c r="B27" s="48">
        <f>VLOOKUP(Table311[[#This Row],[Date]],'DB Details'!$A:$L,12)</f>
        <v/>
      </c>
      <c r="C27" s="49">
        <f>VLOOKUP(Table311[[#This Row],[Date]],'DB Details'!$A:$T,20)</f>
        <v/>
      </c>
      <c r="D27" s="49">
        <f>VLOOKUP(Table311[[#This Row],[Date]],'DB Details'!$A:$T,18)</f>
        <v/>
      </c>
      <c r="E27" s="49">
        <f>VLOOKUP(Table311[[#This Row],[Date]],'DB Details'!$A:$T,19)</f>
        <v/>
      </c>
    </row>
    <row r="28">
      <c r="A28" s="38" t="n">
        <v>18203</v>
      </c>
      <c r="B28" s="48">
        <f>VLOOKUP(Table311[[#This Row],[Date]],'DB Details'!$A:$L,12)</f>
        <v/>
      </c>
      <c r="C28" s="49">
        <f>VLOOKUP(Table311[[#This Row],[Date]],'DB Details'!$A:$T,20)</f>
        <v/>
      </c>
      <c r="D28" s="49">
        <f>VLOOKUP(Table311[[#This Row],[Date]],'DB Details'!$A:$T,18)</f>
        <v/>
      </c>
      <c r="E28" s="49">
        <f>VLOOKUP(Table311[[#This Row],[Date]],'DB Details'!$A:$T,19)</f>
        <v/>
      </c>
    </row>
    <row r="29">
      <c r="A29" s="38" t="n">
        <v>18233</v>
      </c>
      <c r="B29" s="48">
        <f>VLOOKUP(Table311[[#This Row],[Date]],'DB Details'!$A:$L,12)</f>
        <v/>
      </c>
      <c r="C29" s="49">
        <f>VLOOKUP(Table311[[#This Row],[Date]],'DB Details'!$A:$T,20)</f>
        <v/>
      </c>
      <c r="D29" s="49">
        <f>VLOOKUP(Table311[[#This Row],[Date]],'DB Details'!$A:$T,18)</f>
        <v/>
      </c>
      <c r="E29" s="49">
        <f>VLOOKUP(Table311[[#This Row],[Date]],'DB Details'!$A:$T,19)</f>
        <v/>
      </c>
    </row>
    <row r="30">
      <c r="A30" s="38" t="n">
        <v>18264</v>
      </c>
      <c r="B30" s="48">
        <f>VLOOKUP(Table311[[#This Row],[Date]],'DB Details'!$A:$L,12)</f>
        <v/>
      </c>
      <c r="C30" s="49">
        <f>VLOOKUP(Table311[[#This Row],[Date]],'DB Details'!$A:$T,20)</f>
        <v/>
      </c>
      <c r="D30" s="49">
        <f>VLOOKUP(Table311[[#This Row],[Date]],'DB Details'!$A:$T,18)</f>
        <v/>
      </c>
      <c r="E30" s="49">
        <f>VLOOKUP(Table311[[#This Row],[Date]],'DB Details'!$A:$T,19)</f>
        <v/>
      </c>
    </row>
    <row r="31">
      <c r="A31" s="38" t="n">
        <v>18295</v>
      </c>
      <c r="B31" s="48">
        <f>VLOOKUP(Table311[[#This Row],[Date]],'DB Details'!$A:$L,12)</f>
        <v/>
      </c>
      <c r="C31" s="49">
        <f>VLOOKUP(Table311[[#This Row],[Date]],'DB Details'!$A:$T,20)</f>
        <v/>
      </c>
      <c r="D31" s="49">
        <f>VLOOKUP(Table311[[#This Row],[Date]],'DB Details'!$A:$T,18)</f>
        <v/>
      </c>
      <c r="E31" s="49">
        <f>VLOOKUP(Table311[[#This Row],[Date]],'DB Details'!$A:$T,19)</f>
        <v/>
      </c>
    </row>
    <row r="32">
      <c r="A32" s="38" t="n">
        <v>18323</v>
      </c>
      <c r="B32" s="48">
        <f>VLOOKUP(Table311[[#This Row],[Date]],'DB Details'!$A:$L,12)</f>
        <v/>
      </c>
      <c r="C32" s="49">
        <f>VLOOKUP(Table311[[#This Row],[Date]],'DB Details'!$A:$T,20)</f>
        <v/>
      </c>
      <c r="D32" s="49">
        <f>VLOOKUP(Table311[[#This Row],[Date]],'DB Details'!$A:$T,18)</f>
        <v/>
      </c>
      <c r="E32" s="49">
        <f>VLOOKUP(Table311[[#This Row],[Date]],'DB Details'!$A:$T,19)</f>
        <v/>
      </c>
    </row>
    <row r="33">
      <c r="A33" s="38" t="n">
        <v>18354</v>
      </c>
      <c r="B33" s="48">
        <f>VLOOKUP(Table311[[#This Row],[Date]],'DB Details'!$A:$L,12)</f>
        <v/>
      </c>
      <c r="C33" s="49">
        <f>VLOOKUP(Table311[[#This Row],[Date]],'DB Details'!$A:$T,20)</f>
        <v/>
      </c>
      <c r="D33" s="49">
        <f>VLOOKUP(Table311[[#This Row],[Date]],'DB Details'!$A:$T,18)</f>
        <v/>
      </c>
      <c r="E33" s="49">
        <f>VLOOKUP(Table311[[#This Row],[Date]],'DB Details'!$A:$T,19)</f>
        <v/>
      </c>
    </row>
    <row r="34">
      <c r="A34" s="38" t="n">
        <v>18384</v>
      </c>
      <c r="B34" s="48">
        <f>VLOOKUP(Table311[[#This Row],[Date]],'DB Details'!$A:$L,12)</f>
        <v/>
      </c>
      <c r="C34" s="49">
        <f>VLOOKUP(Table311[[#This Row],[Date]],'DB Details'!$A:$T,20)</f>
        <v/>
      </c>
      <c r="D34" s="49">
        <f>VLOOKUP(Table311[[#This Row],[Date]],'DB Details'!$A:$T,18)</f>
        <v/>
      </c>
      <c r="E34" s="49">
        <f>VLOOKUP(Table311[[#This Row],[Date]],'DB Details'!$A:$T,19)</f>
        <v/>
      </c>
    </row>
    <row r="35">
      <c r="A35" s="38" t="n">
        <v>18415</v>
      </c>
      <c r="B35" s="48">
        <f>VLOOKUP(Table311[[#This Row],[Date]],'DB Details'!$A:$L,12)</f>
        <v/>
      </c>
      <c r="C35" s="49">
        <f>VLOOKUP(Table311[[#This Row],[Date]],'DB Details'!$A:$T,20)</f>
        <v/>
      </c>
      <c r="D35" s="49">
        <f>VLOOKUP(Table311[[#This Row],[Date]],'DB Details'!$A:$T,18)</f>
        <v/>
      </c>
      <c r="E35" s="49">
        <f>VLOOKUP(Table311[[#This Row],[Date]],'DB Details'!$A:$T,19)</f>
        <v/>
      </c>
    </row>
    <row r="36">
      <c r="A36" s="38" t="n">
        <v>18445</v>
      </c>
      <c r="B36" s="48">
        <f>VLOOKUP(Table311[[#This Row],[Date]],'DB Details'!$A:$L,12)</f>
        <v/>
      </c>
      <c r="C36" s="49">
        <f>VLOOKUP(Table311[[#This Row],[Date]],'DB Details'!$A:$T,20)</f>
        <v/>
      </c>
      <c r="D36" s="49">
        <f>VLOOKUP(Table311[[#This Row],[Date]],'DB Details'!$A:$T,18)</f>
        <v/>
      </c>
      <c r="E36" s="49">
        <f>VLOOKUP(Table311[[#This Row],[Date]],'DB Details'!$A:$T,19)</f>
        <v/>
      </c>
    </row>
    <row r="37">
      <c r="A37" s="38" t="n">
        <v>18476</v>
      </c>
      <c r="B37" s="48">
        <f>VLOOKUP(Table311[[#This Row],[Date]],'DB Details'!$A:$L,12)</f>
        <v/>
      </c>
      <c r="C37" s="49">
        <f>VLOOKUP(Table311[[#This Row],[Date]],'DB Details'!$A:$T,20)</f>
        <v/>
      </c>
      <c r="D37" s="49">
        <f>VLOOKUP(Table311[[#This Row],[Date]],'DB Details'!$A:$T,18)</f>
        <v/>
      </c>
      <c r="E37" s="49">
        <f>VLOOKUP(Table311[[#This Row],[Date]],'DB Details'!$A:$T,19)</f>
        <v/>
      </c>
    </row>
    <row r="38">
      <c r="A38" s="38" t="n">
        <v>18507</v>
      </c>
      <c r="B38" s="48">
        <f>VLOOKUP(Table311[[#This Row],[Date]],'DB Details'!$A:$L,12)</f>
        <v/>
      </c>
      <c r="C38" s="49">
        <f>VLOOKUP(Table311[[#This Row],[Date]],'DB Details'!$A:$T,20)</f>
        <v/>
      </c>
      <c r="D38" s="49">
        <f>VLOOKUP(Table311[[#This Row],[Date]],'DB Details'!$A:$T,18)</f>
        <v/>
      </c>
      <c r="E38" s="49">
        <f>VLOOKUP(Table311[[#This Row],[Date]],'DB Details'!$A:$T,19)</f>
        <v/>
      </c>
    </row>
    <row r="39">
      <c r="A39" s="38" t="n">
        <v>18537</v>
      </c>
      <c r="B39" s="48">
        <f>VLOOKUP(Table311[[#This Row],[Date]],'DB Details'!$A:$L,12)</f>
        <v/>
      </c>
      <c r="C39" s="49">
        <f>VLOOKUP(Table311[[#This Row],[Date]],'DB Details'!$A:$T,20)</f>
        <v/>
      </c>
      <c r="D39" s="49">
        <f>VLOOKUP(Table311[[#This Row],[Date]],'DB Details'!$A:$T,18)</f>
        <v/>
      </c>
      <c r="E39" s="49">
        <f>VLOOKUP(Table311[[#This Row],[Date]],'DB Details'!$A:$T,19)</f>
        <v/>
      </c>
    </row>
    <row r="40">
      <c r="A40" s="38" t="n">
        <v>18568</v>
      </c>
      <c r="B40" s="48">
        <f>VLOOKUP(Table311[[#This Row],[Date]],'DB Details'!$A:$L,12)</f>
        <v/>
      </c>
      <c r="C40" s="49">
        <f>VLOOKUP(Table311[[#This Row],[Date]],'DB Details'!$A:$T,20)</f>
        <v/>
      </c>
      <c r="D40" s="49">
        <f>VLOOKUP(Table311[[#This Row],[Date]],'DB Details'!$A:$T,18)</f>
        <v/>
      </c>
      <c r="E40" s="49">
        <f>VLOOKUP(Table311[[#This Row],[Date]],'DB Details'!$A:$T,19)</f>
        <v/>
      </c>
    </row>
    <row r="41">
      <c r="A41" s="38" t="n">
        <v>18598</v>
      </c>
      <c r="B41" s="48">
        <f>VLOOKUP(Table311[[#This Row],[Date]],'DB Details'!$A:$L,12)</f>
        <v/>
      </c>
      <c r="C41" s="49">
        <f>VLOOKUP(Table311[[#This Row],[Date]],'DB Details'!$A:$T,20)</f>
        <v/>
      </c>
      <c r="D41" s="49">
        <f>VLOOKUP(Table311[[#This Row],[Date]],'DB Details'!$A:$T,18)</f>
        <v/>
      </c>
      <c r="E41" s="49">
        <f>VLOOKUP(Table311[[#This Row],[Date]],'DB Details'!$A:$T,19)</f>
        <v/>
      </c>
    </row>
    <row r="42">
      <c r="A42" s="38" t="n">
        <v>18629</v>
      </c>
      <c r="B42" s="48">
        <f>VLOOKUP(Table311[[#This Row],[Date]],'DB Details'!$A:$L,12)</f>
        <v/>
      </c>
      <c r="C42" s="49">
        <f>VLOOKUP(Table311[[#This Row],[Date]],'DB Details'!$A:$T,20)</f>
        <v/>
      </c>
      <c r="D42" s="49">
        <f>VLOOKUP(Table311[[#This Row],[Date]],'DB Details'!$A:$T,18)</f>
        <v/>
      </c>
      <c r="E42" s="49">
        <f>VLOOKUP(Table311[[#This Row],[Date]],'DB Details'!$A:$T,19)</f>
        <v/>
      </c>
    </row>
    <row r="43">
      <c r="A43" s="38" t="n">
        <v>18660</v>
      </c>
      <c r="B43" s="48">
        <f>VLOOKUP(Table311[[#This Row],[Date]],'DB Details'!$A:$L,12)</f>
        <v/>
      </c>
      <c r="C43" s="49">
        <f>VLOOKUP(Table311[[#This Row],[Date]],'DB Details'!$A:$T,20)</f>
        <v/>
      </c>
      <c r="D43" s="49">
        <f>VLOOKUP(Table311[[#This Row],[Date]],'DB Details'!$A:$T,18)</f>
        <v/>
      </c>
      <c r="E43" s="49">
        <f>VLOOKUP(Table311[[#This Row],[Date]],'DB Details'!$A:$T,19)</f>
        <v/>
      </c>
    </row>
    <row r="44">
      <c r="A44" s="38" t="n">
        <v>18688</v>
      </c>
      <c r="B44" s="48">
        <f>VLOOKUP(Table311[[#This Row],[Date]],'DB Details'!$A:$L,12)</f>
        <v/>
      </c>
      <c r="C44" s="49">
        <f>VLOOKUP(Table311[[#This Row],[Date]],'DB Details'!$A:$T,20)</f>
        <v/>
      </c>
      <c r="D44" s="49">
        <f>VLOOKUP(Table311[[#This Row],[Date]],'DB Details'!$A:$T,18)</f>
        <v/>
      </c>
      <c r="E44" s="49">
        <f>VLOOKUP(Table311[[#This Row],[Date]],'DB Details'!$A:$T,19)</f>
        <v/>
      </c>
    </row>
    <row r="45">
      <c r="A45" s="38" t="n">
        <v>18719</v>
      </c>
      <c r="B45" s="48">
        <f>VLOOKUP(Table311[[#This Row],[Date]],'DB Details'!$A:$L,12)</f>
        <v/>
      </c>
      <c r="C45" s="49">
        <f>VLOOKUP(Table311[[#This Row],[Date]],'DB Details'!$A:$T,20)</f>
        <v/>
      </c>
      <c r="D45" s="49">
        <f>VLOOKUP(Table311[[#This Row],[Date]],'DB Details'!$A:$T,18)</f>
        <v/>
      </c>
      <c r="E45" s="49">
        <f>VLOOKUP(Table311[[#This Row],[Date]],'DB Details'!$A:$T,19)</f>
        <v/>
      </c>
    </row>
    <row r="46">
      <c r="A46" s="38" t="n">
        <v>18749</v>
      </c>
      <c r="B46" s="48">
        <f>VLOOKUP(Table311[[#This Row],[Date]],'DB Details'!$A:$L,12)</f>
        <v/>
      </c>
      <c r="C46" s="49">
        <f>VLOOKUP(Table311[[#This Row],[Date]],'DB Details'!$A:$T,20)</f>
        <v/>
      </c>
      <c r="D46" s="49">
        <f>VLOOKUP(Table311[[#This Row],[Date]],'DB Details'!$A:$T,18)</f>
        <v/>
      </c>
      <c r="E46" s="49">
        <f>VLOOKUP(Table311[[#This Row],[Date]],'DB Details'!$A:$T,19)</f>
        <v/>
      </c>
    </row>
    <row r="47">
      <c r="A47" s="38" t="n">
        <v>18780</v>
      </c>
      <c r="B47" s="48">
        <f>VLOOKUP(Table311[[#This Row],[Date]],'DB Details'!$A:$L,12)</f>
        <v/>
      </c>
      <c r="C47" s="49">
        <f>VLOOKUP(Table311[[#This Row],[Date]],'DB Details'!$A:$T,20)</f>
        <v/>
      </c>
      <c r="D47" s="49">
        <f>VLOOKUP(Table311[[#This Row],[Date]],'DB Details'!$A:$T,18)</f>
        <v/>
      </c>
      <c r="E47" s="49">
        <f>VLOOKUP(Table311[[#This Row],[Date]],'DB Details'!$A:$T,19)</f>
        <v/>
      </c>
    </row>
    <row r="48">
      <c r="A48" s="38" t="n">
        <v>18810</v>
      </c>
      <c r="B48" s="48">
        <f>VLOOKUP(Table311[[#This Row],[Date]],'DB Details'!$A:$L,12)</f>
        <v/>
      </c>
      <c r="C48" s="49">
        <f>VLOOKUP(Table311[[#This Row],[Date]],'DB Details'!$A:$T,20)</f>
        <v/>
      </c>
      <c r="D48" s="49">
        <f>VLOOKUP(Table311[[#This Row],[Date]],'DB Details'!$A:$T,18)</f>
        <v/>
      </c>
      <c r="E48" s="49">
        <f>VLOOKUP(Table311[[#This Row],[Date]],'DB Details'!$A:$T,19)</f>
        <v/>
      </c>
    </row>
    <row r="49">
      <c r="A49" s="38" t="n">
        <v>18841</v>
      </c>
      <c r="B49" s="48">
        <f>VLOOKUP(Table311[[#This Row],[Date]],'DB Details'!$A:$L,12)</f>
        <v/>
      </c>
      <c r="C49" s="49">
        <f>VLOOKUP(Table311[[#This Row],[Date]],'DB Details'!$A:$T,20)</f>
        <v/>
      </c>
      <c r="D49" s="49">
        <f>VLOOKUP(Table311[[#This Row],[Date]],'DB Details'!$A:$T,18)</f>
        <v/>
      </c>
      <c r="E49" s="49">
        <f>VLOOKUP(Table311[[#This Row],[Date]],'DB Details'!$A:$T,19)</f>
        <v/>
      </c>
    </row>
    <row r="50">
      <c r="A50" s="38" t="n">
        <v>18872</v>
      </c>
      <c r="B50" s="48">
        <f>VLOOKUP(Table311[[#This Row],[Date]],'DB Details'!$A:$L,12)</f>
        <v/>
      </c>
      <c r="C50" s="49">
        <f>VLOOKUP(Table311[[#This Row],[Date]],'DB Details'!$A:$T,20)</f>
        <v/>
      </c>
      <c r="D50" s="49">
        <f>VLOOKUP(Table311[[#This Row],[Date]],'DB Details'!$A:$T,18)</f>
        <v/>
      </c>
      <c r="E50" s="49">
        <f>VLOOKUP(Table311[[#This Row],[Date]],'DB Details'!$A:$T,19)</f>
        <v/>
      </c>
    </row>
    <row r="51">
      <c r="A51" s="38" t="n">
        <v>18902</v>
      </c>
      <c r="B51" s="48">
        <f>VLOOKUP(Table311[[#This Row],[Date]],'DB Details'!$A:$L,12)</f>
        <v/>
      </c>
      <c r="C51" s="49">
        <f>VLOOKUP(Table311[[#This Row],[Date]],'DB Details'!$A:$T,20)</f>
        <v/>
      </c>
      <c r="D51" s="49">
        <f>VLOOKUP(Table311[[#This Row],[Date]],'DB Details'!$A:$T,18)</f>
        <v/>
      </c>
      <c r="E51" s="49">
        <f>VLOOKUP(Table311[[#This Row],[Date]],'DB Details'!$A:$T,19)</f>
        <v/>
      </c>
    </row>
    <row r="52">
      <c r="A52" s="38" t="n">
        <v>18933</v>
      </c>
      <c r="B52" s="48">
        <f>VLOOKUP(Table311[[#This Row],[Date]],'DB Details'!$A:$L,12)</f>
        <v/>
      </c>
      <c r="C52" s="49">
        <f>VLOOKUP(Table311[[#This Row],[Date]],'DB Details'!$A:$T,20)</f>
        <v/>
      </c>
      <c r="D52" s="49">
        <f>VLOOKUP(Table311[[#This Row],[Date]],'DB Details'!$A:$T,18)</f>
        <v/>
      </c>
      <c r="E52" s="49">
        <f>VLOOKUP(Table311[[#This Row],[Date]],'DB Details'!$A:$T,19)</f>
        <v/>
      </c>
    </row>
    <row r="53">
      <c r="A53" s="38" t="n">
        <v>18963</v>
      </c>
      <c r="B53" s="48">
        <f>VLOOKUP(Table311[[#This Row],[Date]],'DB Details'!$A:$L,12)</f>
        <v/>
      </c>
      <c r="C53" s="49">
        <f>VLOOKUP(Table311[[#This Row],[Date]],'DB Details'!$A:$T,20)</f>
        <v/>
      </c>
      <c r="D53" s="49">
        <f>VLOOKUP(Table311[[#This Row],[Date]],'DB Details'!$A:$T,18)</f>
        <v/>
      </c>
      <c r="E53" s="49">
        <f>VLOOKUP(Table311[[#This Row],[Date]],'DB Details'!$A:$T,19)</f>
        <v/>
      </c>
    </row>
    <row r="54">
      <c r="A54" s="38" t="n">
        <v>18994</v>
      </c>
      <c r="B54" s="48">
        <f>VLOOKUP(Table311[[#This Row],[Date]],'DB Details'!$A:$L,12)</f>
        <v/>
      </c>
      <c r="C54" s="49">
        <f>VLOOKUP(Table311[[#This Row],[Date]],'DB Details'!$A:$T,20)</f>
        <v/>
      </c>
      <c r="D54" s="49">
        <f>VLOOKUP(Table311[[#This Row],[Date]],'DB Details'!$A:$T,18)</f>
        <v/>
      </c>
      <c r="E54" s="49">
        <f>VLOOKUP(Table311[[#This Row],[Date]],'DB Details'!$A:$T,19)</f>
        <v/>
      </c>
    </row>
    <row r="55">
      <c r="A55" s="38" t="n">
        <v>19025</v>
      </c>
      <c r="B55" s="48">
        <f>VLOOKUP(Table311[[#This Row],[Date]],'DB Details'!$A:$L,12)</f>
        <v/>
      </c>
      <c r="C55" s="49">
        <f>VLOOKUP(Table311[[#This Row],[Date]],'DB Details'!$A:$T,20)</f>
        <v/>
      </c>
      <c r="D55" s="49">
        <f>VLOOKUP(Table311[[#This Row],[Date]],'DB Details'!$A:$T,18)</f>
        <v/>
      </c>
      <c r="E55" s="49">
        <f>VLOOKUP(Table311[[#This Row],[Date]],'DB Details'!$A:$T,19)</f>
        <v/>
      </c>
    </row>
    <row r="56">
      <c r="A56" s="38" t="n">
        <v>19054</v>
      </c>
      <c r="B56" s="48">
        <f>VLOOKUP(Table311[[#This Row],[Date]],'DB Details'!$A:$L,12)</f>
        <v/>
      </c>
      <c r="C56" s="49">
        <f>VLOOKUP(Table311[[#This Row],[Date]],'DB Details'!$A:$T,20)</f>
        <v/>
      </c>
      <c r="D56" s="49">
        <f>VLOOKUP(Table311[[#This Row],[Date]],'DB Details'!$A:$T,18)</f>
        <v/>
      </c>
      <c r="E56" s="49">
        <f>VLOOKUP(Table311[[#This Row],[Date]],'DB Details'!$A:$T,19)</f>
        <v/>
      </c>
    </row>
    <row r="57">
      <c r="A57" s="38" t="n">
        <v>19085</v>
      </c>
      <c r="B57" s="48">
        <f>VLOOKUP(Table311[[#This Row],[Date]],'DB Details'!$A:$L,12)</f>
        <v/>
      </c>
      <c r="C57" s="49">
        <f>VLOOKUP(Table311[[#This Row],[Date]],'DB Details'!$A:$T,20)</f>
        <v/>
      </c>
      <c r="D57" s="49">
        <f>VLOOKUP(Table311[[#This Row],[Date]],'DB Details'!$A:$T,18)</f>
        <v/>
      </c>
      <c r="E57" s="49">
        <f>VLOOKUP(Table311[[#This Row],[Date]],'DB Details'!$A:$T,19)</f>
        <v/>
      </c>
    </row>
    <row r="58">
      <c r="A58" s="38" t="n">
        <v>19115</v>
      </c>
      <c r="B58" s="48">
        <f>VLOOKUP(Table311[[#This Row],[Date]],'DB Details'!$A:$L,12)</f>
        <v/>
      </c>
      <c r="C58" s="49">
        <f>VLOOKUP(Table311[[#This Row],[Date]],'DB Details'!$A:$T,20)</f>
        <v/>
      </c>
      <c r="D58" s="49">
        <f>VLOOKUP(Table311[[#This Row],[Date]],'DB Details'!$A:$T,18)</f>
        <v/>
      </c>
      <c r="E58" s="49">
        <f>VLOOKUP(Table311[[#This Row],[Date]],'DB Details'!$A:$T,19)</f>
        <v/>
      </c>
    </row>
    <row r="59">
      <c r="A59" s="38" t="n">
        <v>19146</v>
      </c>
      <c r="B59" s="48">
        <f>VLOOKUP(Table311[[#This Row],[Date]],'DB Details'!$A:$L,12)</f>
        <v/>
      </c>
      <c r="C59" s="49">
        <f>VLOOKUP(Table311[[#This Row],[Date]],'DB Details'!$A:$T,20)</f>
        <v/>
      </c>
      <c r="D59" s="49">
        <f>VLOOKUP(Table311[[#This Row],[Date]],'DB Details'!$A:$T,18)</f>
        <v/>
      </c>
      <c r="E59" s="49">
        <f>VLOOKUP(Table311[[#This Row],[Date]],'DB Details'!$A:$T,19)</f>
        <v/>
      </c>
    </row>
    <row r="60">
      <c r="A60" s="38" t="n">
        <v>19176</v>
      </c>
      <c r="B60" s="48">
        <f>VLOOKUP(Table311[[#This Row],[Date]],'DB Details'!$A:$L,12)</f>
        <v/>
      </c>
      <c r="C60" s="49">
        <f>VLOOKUP(Table311[[#This Row],[Date]],'DB Details'!$A:$T,20)</f>
        <v/>
      </c>
      <c r="D60" s="49">
        <f>VLOOKUP(Table311[[#This Row],[Date]],'DB Details'!$A:$T,18)</f>
        <v/>
      </c>
      <c r="E60" s="49">
        <f>VLOOKUP(Table311[[#This Row],[Date]],'DB Details'!$A:$T,19)</f>
        <v/>
      </c>
    </row>
    <row r="61">
      <c r="A61" s="38" t="n">
        <v>19207</v>
      </c>
      <c r="B61" s="48">
        <f>VLOOKUP(Table311[[#This Row],[Date]],'DB Details'!$A:$L,12)</f>
        <v/>
      </c>
      <c r="C61" s="49">
        <f>VLOOKUP(Table311[[#This Row],[Date]],'DB Details'!$A:$T,20)</f>
        <v/>
      </c>
      <c r="D61" s="49">
        <f>VLOOKUP(Table311[[#This Row],[Date]],'DB Details'!$A:$T,18)</f>
        <v/>
      </c>
      <c r="E61" s="49">
        <f>VLOOKUP(Table311[[#This Row],[Date]],'DB Details'!$A:$T,19)</f>
        <v/>
      </c>
    </row>
    <row r="62">
      <c r="A62" s="38" t="n">
        <v>19238</v>
      </c>
      <c r="B62" s="48">
        <f>VLOOKUP(Table311[[#This Row],[Date]],'DB Details'!$A:$L,12)</f>
        <v/>
      </c>
      <c r="C62" s="49">
        <f>VLOOKUP(Table311[[#This Row],[Date]],'DB Details'!$A:$T,20)</f>
        <v/>
      </c>
      <c r="D62" s="49">
        <f>VLOOKUP(Table311[[#This Row],[Date]],'DB Details'!$A:$T,18)</f>
        <v/>
      </c>
      <c r="E62" s="49">
        <f>VLOOKUP(Table311[[#This Row],[Date]],'DB Details'!$A:$T,19)</f>
        <v/>
      </c>
    </row>
    <row r="63">
      <c r="A63" s="38" t="n">
        <v>19268</v>
      </c>
      <c r="B63" s="48">
        <f>VLOOKUP(Table311[[#This Row],[Date]],'DB Details'!$A:$L,12)</f>
        <v/>
      </c>
      <c r="C63" s="49">
        <f>VLOOKUP(Table311[[#This Row],[Date]],'DB Details'!$A:$T,20)</f>
        <v/>
      </c>
      <c r="D63" s="49">
        <f>VLOOKUP(Table311[[#This Row],[Date]],'DB Details'!$A:$T,18)</f>
        <v/>
      </c>
      <c r="E63" s="49">
        <f>VLOOKUP(Table311[[#This Row],[Date]],'DB Details'!$A:$T,19)</f>
        <v/>
      </c>
    </row>
    <row r="64">
      <c r="A64" s="38" t="n">
        <v>19299</v>
      </c>
      <c r="B64" s="48">
        <f>VLOOKUP(Table311[[#This Row],[Date]],'DB Details'!$A:$L,12)</f>
        <v/>
      </c>
      <c r="C64" s="49">
        <f>VLOOKUP(Table311[[#This Row],[Date]],'DB Details'!$A:$T,20)</f>
        <v/>
      </c>
      <c r="D64" s="49">
        <f>VLOOKUP(Table311[[#This Row],[Date]],'DB Details'!$A:$T,18)</f>
        <v/>
      </c>
      <c r="E64" s="49">
        <f>VLOOKUP(Table311[[#This Row],[Date]],'DB Details'!$A:$T,19)</f>
        <v/>
      </c>
    </row>
    <row r="65">
      <c r="A65" s="38" t="n">
        <v>19329</v>
      </c>
      <c r="B65" s="48">
        <f>VLOOKUP(Table311[[#This Row],[Date]],'DB Details'!$A:$L,12)</f>
        <v/>
      </c>
      <c r="C65" s="49">
        <f>VLOOKUP(Table311[[#This Row],[Date]],'DB Details'!$A:$T,20)</f>
        <v/>
      </c>
      <c r="D65" s="49">
        <f>VLOOKUP(Table311[[#This Row],[Date]],'DB Details'!$A:$T,18)</f>
        <v/>
      </c>
      <c r="E65" s="49">
        <f>VLOOKUP(Table311[[#This Row],[Date]],'DB Details'!$A:$T,19)</f>
        <v/>
      </c>
    </row>
    <row r="66">
      <c r="A66" s="38" t="n">
        <v>19360</v>
      </c>
      <c r="B66" s="48">
        <f>VLOOKUP(Table311[[#This Row],[Date]],'DB Details'!$A:$L,12)</f>
        <v/>
      </c>
      <c r="C66" s="49">
        <f>VLOOKUP(Table311[[#This Row],[Date]],'DB Details'!$A:$T,20)</f>
        <v/>
      </c>
      <c r="D66" s="49">
        <f>VLOOKUP(Table311[[#This Row],[Date]],'DB Details'!$A:$T,18)</f>
        <v/>
      </c>
      <c r="E66" s="49">
        <f>VLOOKUP(Table311[[#This Row],[Date]],'DB Details'!$A:$T,19)</f>
        <v/>
      </c>
    </row>
    <row r="67">
      <c r="A67" s="38" t="n">
        <v>19391</v>
      </c>
      <c r="B67" s="48">
        <f>VLOOKUP(Table311[[#This Row],[Date]],'DB Details'!$A:$L,12)</f>
        <v/>
      </c>
      <c r="C67" s="49">
        <f>VLOOKUP(Table311[[#This Row],[Date]],'DB Details'!$A:$T,20)</f>
        <v/>
      </c>
      <c r="D67" s="49">
        <f>VLOOKUP(Table311[[#This Row],[Date]],'DB Details'!$A:$T,18)</f>
        <v/>
      </c>
      <c r="E67" s="49">
        <f>VLOOKUP(Table311[[#This Row],[Date]],'DB Details'!$A:$T,19)</f>
        <v/>
      </c>
    </row>
    <row r="68">
      <c r="A68" s="38" t="n">
        <v>19419</v>
      </c>
      <c r="B68" s="48">
        <f>VLOOKUP(Table311[[#This Row],[Date]],'DB Details'!$A:$L,12)</f>
        <v/>
      </c>
      <c r="C68" s="49">
        <f>VLOOKUP(Table311[[#This Row],[Date]],'DB Details'!$A:$T,20)</f>
        <v/>
      </c>
      <c r="D68" s="49">
        <f>VLOOKUP(Table311[[#This Row],[Date]],'DB Details'!$A:$T,18)</f>
        <v/>
      </c>
      <c r="E68" s="49">
        <f>VLOOKUP(Table311[[#This Row],[Date]],'DB Details'!$A:$T,19)</f>
        <v/>
      </c>
    </row>
    <row r="69">
      <c r="A69" s="38" t="n">
        <v>19450</v>
      </c>
      <c r="B69" s="48">
        <f>VLOOKUP(Table311[[#This Row],[Date]],'DB Details'!$A:$L,12)</f>
        <v/>
      </c>
      <c r="C69" s="49">
        <f>VLOOKUP(Table311[[#This Row],[Date]],'DB Details'!$A:$T,20)</f>
        <v/>
      </c>
      <c r="D69" s="49">
        <f>VLOOKUP(Table311[[#This Row],[Date]],'DB Details'!$A:$T,18)</f>
        <v/>
      </c>
      <c r="E69" s="49">
        <f>VLOOKUP(Table311[[#This Row],[Date]],'DB Details'!$A:$T,19)</f>
        <v/>
      </c>
    </row>
    <row r="70">
      <c r="A70" s="38" t="n">
        <v>19480</v>
      </c>
      <c r="B70" s="48">
        <f>VLOOKUP(Table311[[#This Row],[Date]],'DB Details'!$A:$L,12)</f>
        <v/>
      </c>
      <c r="C70" s="49">
        <f>VLOOKUP(Table311[[#This Row],[Date]],'DB Details'!$A:$T,20)</f>
        <v/>
      </c>
      <c r="D70" s="49">
        <f>VLOOKUP(Table311[[#This Row],[Date]],'DB Details'!$A:$T,18)</f>
        <v/>
      </c>
      <c r="E70" s="49">
        <f>VLOOKUP(Table311[[#This Row],[Date]],'DB Details'!$A:$T,19)</f>
        <v/>
      </c>
    </row>
    <row r="71">
      <c r="A71" s="38" t="n">
        <v>19511</v>
      </c>
      <c r="B71" s="48">
        <f>VLOOKUP(Table311[[#This Row],[Date]],'DB Details'!$A:$L,12)</f>
        <v/>
      </c>
      <c r="C71" s="49">
        <f>VLOOKUP(Table311[[#This Row],[Date]],'DB Details'!$A:$T,20)</f>
        <v/>
      </c>
      <c r="D71" s="49">
        <f>VLOOKUP(Table311[[#This Row],[Date]],'DB Details'!$A:$T,18)</f>
        <v/>
      </c>
      <c r="E71" s="49">
        <f>VLOOKUP(Table311[[#This Row],[Date]],'DB Details'!$A:$T,19)</f>
        <v/>
      </c>
    </row>
    <row r="72">
      <c r="A72" s="38" t="n">
        <v>19541</v>
      </c>
      <c r="B72" s="48">
        <f>VLOOKUP(Table311[[#This Row],[Date]],'DB Details'!$A:$L,12)</f>
        <v/>
      </c>
      <c r="C72" s="49">
        <f>VLOOKUP(Table311[[#This Row],[Date]],'DB Details'!$A:$T,20)</f>
        <v/>
      </c>
      <c r="D72" s="49">
        <f>VLOOKUP(Table311[[#This Row],[Date]],'DB Details'!$A:$T,18)</f>
        <v/>
      </c>
      <c r="E72" s="49">
        <f>VLOOKUP(Table311[[#This Row],[Date]],'DB Details'!$A:$T,19)</f>
        <v/>
      </c>
    </row>
    <row r="73">
      <c r="A73" s="38" t="n">
        <v>19572</v>
      </c>
      <c r="B73" s="48">
        <f>VLOOKUP(Table311[[#This Row],[Date]],'DB Details'!$A:$L,12)</f>
        <v/>
      </c>
      <c r="C73" s="49">
        <f>VLOOKUP(Table311[[#This Row],[Date]],'DB Details'!$A:$T,20)</f>
        <v/>
      </c>
      <c r="D73" s="49">
        <f>VLOOKUP(Table311[[#This Row],[Date]],'DB Details'!$A:$T,18)</f>
        <v/>
      </c>
      <c r="E73" s="49">
        <f>VLOOKUP(Table311[[#This Row],[Date]],'DB Details'!$A:$T,19)</f>
        <v/>
      </c>
    </row>
    <row r="74">
      <c r="A74" s="38" t="n">
        <v>19603</v>
      </c>
      <c r="B74" s="48">
        <f>VLOOKUP(Table311[[#This Row],[Date]],'DB Details'!$A:$L,12)</f>
        <v/>
      </c>
      <c r="C74" s="49">
        <f>VLOOKUP(Table311[[#This Row],[Date]],'DB Details'!$A:$T,20)</f>
        <v/>
      </c>
      <c r="D74" s="49">
        <f>VLOOKUP(Table311[[#This Row],[Date]],'DB Details'!$A:$T,18)</f>
        <v/>
      </c>
      <c r="E74" s="49">
        <f>VLOOKUP(Table311[[#This Row],[Date]],'DB Details'!$A:$T,19)</f>
        <v/>
      </c>
    </row>
    <row r="75">
      <c r="A75" s="38" t="n">
        <v>19633</v>
      </c>
      <c r="B75" s="48">
        <f>VLOOKUP(Table311[[#This Row],[Date]],'DB Details'!$A:$L,12)</f>
        <v/>
      </c>
      <c r="C75" s="49">
        <f>VLOOKUP(Table311[[#This Row],[Date]],'DB Details'!$A:$T,20)</f>
        <v/>
      </c>
      <c r="D75" s="49">
        <f>VLOOKUP(Table311[[#This Row],[Date]],'DB Details'!$A:$T,18)</f>
        <v/>
      </c>
      <c r="E75" s="49">
        <f>VLOOKUP(Table311[[#This Row],[Date]],'DB Details'!$A:$T,19)</f>
        <v/>
      </c>
    </row>
    <row r="76">
      <c r="A76" s="38" t="n">
        <v>19664</v>
      </c>
      <c r="B76" s="48">
        <f>VLOOKUP(Table311[[#This Row],[Date]],'DB Details'!$A:$L,12)</f>
        <v/>
      </c>
      <c r="C76" s="49">
        <f>VLOOKUP(Table311[[#This Row],[Date]],'DB Details'!$A:$T,20)</f>
        <v/>
      </c>
      <c r="D76" s="49">
        <f>VLOOKUP(Table311[[#This Row],[Date]],'DB Details'!$A:$T,18)</f>
        <v/>
      </c>
      <c r="E76" s="49">
        <f>VLOOKUP(Table311[[#This Row],[Date]],'DB Details'!$A:$T,19)</f>
        <v/>
      </c>
    </row>
    <row r="77">
      <c r="A77" s="38" t="n">
        <v>19694</v>
      </c>
      <c r="B77" s="48">
        <f>VLOOKUP(Table311[[#This Row],[Date]],'DB Details'!$A:$L,12)</f>
        <v/>
      </c>
      <c r="C77" s="49">
        <f>VLOOKUP(Table311[[#This Row],[Date]],'DB Details'!$A:$T,20)</f>
        <v/>
      </c>
      <c r="D77" s="49">
        <f>VLOOKUP(Table311[[#This Row],[Date]],'DB Details'!$A:$T,18)</f>
        <v/>
      </c>
      <c r="E77" s="49">
        <f>VLOOKUP(Table311[[#This Row],[Date]],'DB Details'!$A:$T,19)</f>
        <v/>
      </c>
    </row>
    <row r="78">
      <c r="A78" s="38" t="n">
        <v>19725</v>
      </c>
      <c r="B78" s="48">
        <f>VLOOKUP(Table311[[#This Row],[Date]],'DB Details'!$A:$L,12)</f>
        <v/>
      </c>
      <c r="C78" s="49">
        <f>VLOOKUP(Table311[[#This Row],[Date]],'DB Details'!$A:$T,20)</f>
        <v/>
      </c>
      <c r="D78" s="49">
        <f>VLOOKUP(Table311[[#This Row],[Date]],'DB Details'!$A:$T,18)</f>
        <v/>
      </c>
      <c r="E78" s="49">
        <f>VLOOKUP(Table311[[#This Row],[Date]],'DB Details'!$A:$T,19)</f>
        <v/>
      </c>
    </row>
    <row r="79">
      <c r="A79" s="38" t="n">
        <v>19756</v>
      </c>
      <c r="B79" s="48">
        <f>VLOOKUP(Table311[[#This Row],[Date]],'DB Details'!$A:$L,12)</f>
        <v/>
      </c>
      <c r="C79" s="49">
        <f>VLOOKUP(Table311[[#This Row],[Date]],'DB Details'!$A:$T,20)</f>
        <v/>
      </c>
      <c r="D79" s="49">
        <f>VLOOKUP(Table311[[#This Row],[Date]],'DB Details'!$A:$T,18)</f>
        <v/>
      </c>
      <c r="E79" s="49">
        <f>VLOOKUP(Table311[[#This Row],[Date]],'DB Details'!$A:$T,19)</f>
        <v/>
      </c>
    </row>
    <row r="80">
      <c r="A80" s="38" t="n">
        <v>19784</v>
      </c>
      <c r="B80" s="48">
        <f>VLOOKUP(Table311[[#This Row],[Date]],'DB Details'!$A:$L,12)</f>
        <v/>
      </c>
      <c r="C80" s="49">
        <f>VLOOKUP(Table311[[#This Row],[Date]],'DB Details'!$A:$T,20)</f>
        <v/>
      </c>
      <c r="D80" s="49">
        <f>VLOOKUP(Table311[[#This Row],[Date]],'DB Details'!$A:$T,18)</f>
        <v/>
      </c>
      <c r="E80" s="49">
        <f>VLOOKUP(Table311[[#This Row],[Date]],'DB Details'!$A:$T,19)</f>
        <v/>
      </c>
    </row>
    <row r="81">
      <c r="A81" s="38" t="n">
        <v>19815</v>
      </c>
      <c r="B81" s="48">
        <f>VLOOKUP(Table311[[#This Row],[Date]],'DB Details'!$A:$L,12)</f>
        <v/>
      </c>
      <c r="C81" s="49">
        <f>VLOOKUP(Table311[[#This Row],[Date]],'DB Details'!$A:$T,20)</f>
        <v/>
      </c>
      <c r="D81" s="49">
        <f>VLOOKUP(Table311[[#This Row],[Date]],'DB Details'!$A:$T,18)</f>
        <v/>
      </c>
      <c r="E81" s="49">
        <f>VLOOKUP(Table311[[#This Row],[Date]],'DB Details'!$A:$T,19)</f>
        <v/>
      </c>
    </row>
    <row r="82">
      <c r="A82" s="38" t="n">
        <v>19845</v>
      </c>
      <c r="B82" s="48">
        <f>VLOOKUP(Table311[[#This Row],[Date]],'DB Details'!$A:$L,12)</f>
        <v/>
      </c>
      <c r="C82" s="49">
        <f>VLOOKUP(Table311[[#This Row],[Date]],'DB Details'!$A:$T,20)</f>
        <v/>
      </c>
      <c r="D82" s="49">
        <f>VLOOKUP(Table311[[#This Row],[Date]],'DB Details'!$A:$T,18)</f>
        <v/>
      </c>
      <c r="E82" s="49">
        <f>VLOOKUP(Table311[[#This Row],[Date]],'DB Details'!$A:$T,19)</f>
        <v/>
      </c>
    </row>
    <row r="83">
      <c r="A83" s="38" t="n">
        <v>19876</v>
      </c>
      <c r="B83" s="48">
        <f>VLOOKUP(Table311[[#This Row],[Date]],'DB Details'!$A:$L,12)</f>
        <v/>
      </c>
      <c r="C83" s="49">
        <f>VLOOKUP(Table311[[#This Row],[Date]],'DB Details'!$A:$T,20)</f>
        <v/>
      </c>
      <c r="D83" s="49">
        <f>VLOOKUP(Table311[[#This Row],[Date]],'DB Details'!$A:$T,18)</f>
        <v/>
      </c>
      <c r="E83" s="49">
        <f>VLOOKUP(Table311[[#This Row],[Date]],'DB Details'!$A:$T,19)</f>
        <v/>
      </c>
    </row>
    <row r="84">
      <c r="A84" s="38" t="n">
        <v>19906</v>
      </c>
      <c r="B84" s="48">
        <f>VLOOKUP(Table311[[#This Row],[Date]],'DB Details'!$A:$L,12)</f>
        <v/>
      </c>
      <c r="C84" s="49">
        <f>VLOOKUP(Table311[[#This Row],[Date]],'DB Details'!$A:$T,20)</f>
        <v/>
      </c>
      <c r="D84" s="49">
        <f>VLOOKUP(Table311[[#This Row],[Date]],'DB Details'!$A:$T,18)</f>
        <v/>
      </c>
      <c r="E84" s="49">
        <f>VLOOKUP(Table311[[#This Row],[Date]],'DB Details'!$A:$T,19)</f>
        <v/>
      </c>
    </row>
    <row r="85">
      <c r="A85" s="38" t="n">
        <v>19937</v>
      </c>
      <c r="B85" s="48">
        <f>VLOOKUP(Table311[[#This Row],[Date]],'DB Details'!$A:$L,12)</f>
        <v/>
      </c>
      <c r="C85" s="49">
        <f>VLOOKUP(Table311[[#This Row],[Date]],'DB Details'!$A:$T,20)</f>
        <v/>
      </c>
      <c r="D85" s="49">
        <f>VLOOKUP(Table311[[#This Row],[Date]],'DB Details'!$A:$T,18)</f>
        <v/>
      </c>
      <c r="E85" s="49">
        <f>VLOOKUP(Table311[[#This Row],[Date]],'DB Details'!$A:$T,19)</f>
        <v/>
      </c>
    </row>
    <row r="86">
      <c r="A86" s="38" t="n">
        <v>19968</v>
      </c>
      <c r="B86" s="48">
        <f>VLOOKUP(Table311[[#This Row],[Date]],'DB Details'!$A:$L,12)</f>
        <v/>
      </c>
      <c r="C86" s="49">
        <f>VLOOKUP(Table311[[#This Row],[Date]],'DB Details'!$A:$T,20)</f>
        <v/>
      </c>
      <c r="D86" s="49">
        <f>VLOOKUP(Table311[[#This Row],[Date]],'DB Details'!$A:$T,18)</f>
        <v/>
      </c>
      <c r="E86" s="49">
        <f>VLOOKUP(Table311[[#This Row],[Date]],'DB Details'!$A:$T,19)</f>
        <v/>
      </c>
    </row>
    <row r="87">
      <c r="A87" s="38" t="n">
        <v>19998</v>
      </c>
      <c r="B87" s="48">
        <f>VLOOKUP(Table311[[#This Row],[Date]],'DB Details'!$A:$L,12)</f>
        <v/>
      </c>
      <c r="C87" s="49">
        <f>VLOOKUP(Table311[[#This Row],[Date]],'DB Details'!$A:$T,20)</f>
        <v/>
      </c>
      <c r="D87" s="49">
        <f>VLOOKUP(Table311[[#This Row],[Date]],'DB Details'!$A:$T,18)</f>
        <v/>
      </c>
      <c r="E87" s="49">
        <f>VLOOKUP(Table311[[#This Row],[Date]],'DB Details'!$A:$T,19)</f>
        <v/>
      </c>
    </row>
    <row r="88">
      <c r="A88" s="38" t="n">
        <v>20029</v>
      </c>
      <c r="B88" s="48">
        <f>VLOOKUP(Table311[[#This Row],[Date]],'DB Details'!$A:$L,12)</f>
        <v/>
      </c>
      <c r="C88" s="49">
        <f>VLOOKUP(Table311[[#This Row],[Date]],'DB Details'!$A:$T,20)</f>
        <v/>
      </c>
      <c r="D88" s="49">
        <f>VLOOKUP(Table311[[#This Row],[Date]],'DB Details'!$A:$T,18)</f>
        <v/>
      </c>
      <c r="E88" s="49">
        <f>VLOOKUP(Table311[[#This Row],[Date]],'DB Details'!$A:$T,19)</f>
        <v/>
      </c>
    </row>
    <row r="89">
      <c r="A89" s="38" t="n">
        <v>20059</v>
      </c>
      <c r="B89" s="48">
        <f>VLOOKUP(Table311[[#This Row],[Date]],'DB Details'!$A:$L,12)</f>
        <v/>
      </c>
      <c r="C89" s="49">
        <f>VLOOKUP(Table311[[#This Row],[Date]],'DB Details'!$A:$T,20)</f>
        <v/>
      </c>
      <c r="D89" s="49">
        <f>VLOOKUP(Table311[[#This Row],[Date]],'DB Details'!$A:$T,18)</f>
        <v/>
      </c>
      <c r="E89" s="49">
        <f>VLOOKUP(Table311[[#This Row],[Date]],'DB Details'!$A:$T,19)</f>
        <v/>
      </c>
    </row>
    <row r="90">
      <c r="A90" s="38" t="n">
        <v>20090</v>
      </c>
      <c r="B90" s="48">
        <f>VLOOKUP(Table311[[#This Row],[Date]],'DB Details'!$A:$L,12)</f>
        <v/>
      </c>
      <c r="C90" s="49">
        <f>VLOOKUP(Table311[[#This Row],[Date]],'DB Details'!$A:$T,20)</f>
        <v/>
      </c>
      <c r="D90" s="49">
        <f>VLOOKUP(Table311[[#This Row],[Date]],'DB Details'!$A:$T,18)</f>
        <v/>
      </c>
      <c r="E90" s="49">
        <f>VLOOKUP(Table311[[#This Row],[Date]],'DB Details'!$A:$T,19)</f>
        <v/>
      </c>
    </row>
    <row r="91">
      <c r="A91" s="38" t="n">
        <v>20121</v>
      </c>
      <c r="B91" s="48">
        <f>VLOOKUP(Table311[[#This Row],[Date]],'DB Details'!$A:$L,12)</f>
        <v/>
      </c>
      <c r="C91" s="49">
        <f>VLOOKUP(Table311[[#This Row],[Date]],'DB Details'!$A:$T,20)</f>
        <v/>
      </c>
      <c r="D91" s="49">
        <f>VLOOKUP(Table311[[#This Row],[Date]],'DB Details'!$A:$T,18)</f>
        <v/>
      </c>
      <c r="E91" s="49">
        <f>VLOOKUP(Table311[[#This Row],[Date]],'DB Details'!$A:$T,19)</f>
        <v/>
      </c>
    </row>
    <row r="92">
      <c r="A92" s="38" t="n">
        <v>20149</v>
      </c>
      <c r="B92" s="48">
        <f>VLOOKUP(Table311[[#This Row],[Date]],'DB Details'!$A:$L,12)</f>
        <v/>
      </c>
      <c r="C92" s="49">
        <f>VLOOKUP(Table311[[#This Row],[Date]],'DB Details'!$A:$T,20)</f>
        <v/>
      </c>
      <c r="D92" s="49">
        <f>VLOOKUP(Table311[[#This Row],[Date]],'DB Details'!$A:$T,18)</f>
        <v/>
      </c>
      <c r="E92" s="49">
        <f>VLOOKUP(Table311[[#This Row],[Date]],'DB Details'!$A:$T,19)</f>
        <v/>
      </c>
    </row>
    <row r="93">
      <c r="A93" s="38" t="n">
        <v>20180</v>
      </c>
      <c r="B93" s="48">
        <f>VLOOKUP(Table311[[#This Row],[Date]],'DB Details'!$A:$L,12)</f>
        <v/>
      </c>
      <c r="C93" s="49">
        <f>VLOOKUP(Table311[[#This Row],[Date]],'DB Details'!$A:$T,20)</f>
        <v/>
      </c>
      <c r="D93" s="49">
        <f>VLOOKUP(Table311[[#This Row],[Date]],'DB Details'!$A:$T,18)</f>
        <v/>
      </c>
      <c r="E93" s="49">
        <f>VLOOKUP(Table311[[#This Row],[Date]],'DB Details'!$A:$T,19)</f>
        <v/>
      </c>
    </row>
    <row r="94">
      <c r="A94" s="38" t="n">
        <v>20210</v>
      </c>
      <c r="B94" s="48">
        <f>VLOOKUP(Table311[[#This Row],[Date]],'DB Details'!$A:$L,12)</f>
        <v/>
      </c>
      <c r="C94" s="49">
        <f>VLOOKUP(Table311[[#This Row],[Date]],'DB Details'!$A:$T,20)</f>
        <v/>
      </c>
      <c r="D94" s="49">
        <f>VLOOKUP(Table311[[#This Row],[Date]],'DB Details'!$A:$T,18)</f>
        <v/>
      </c>
      <c r="E94" s="49">
        <f>VLOOKUP(Table311[[#This Row],[Date]],'DB Details'!$A:$T,19)</f>
        <v/>
      </c>
    </row>
    <row r="95">
      <c r="A95" s="38" t="n">
        <v>20241</v>
      </c>
      <c r="B95" s="48">
        <f>VLOOKUP(Table311[[#This Row],[Date]],'DB Details'!$A:$L,12)</f>
        <v/>
      </c>
      <c r="C95" s="49">
        <f>VLOOKUP(Table311[[#This Row],[Date]],'DB Details'!$A:$T,20)</f>
        <v/>
      </c>
      <c r="D95" s="49">
        <f>VLOOKUP(Table311[[#This Row],[Date]],'DB Details'!$A:$T,18)</f>
        <v/>
      </c>
      <c r="E95" s="49">
        <f>VLOOKUP(Table311[[#This Row],[Date]],'DB Details'!$A:$T,19)</f>
        <v/>
      </c>
    </row>
    <row r="96">
      <c r="A96" s="38" t="n">
        <v>20271</v>
      </c>
      <c r="B96" s="48">
        <f>VLOOKUP(Table311[[#This Row],[Date]],'DB Details'!$A:$L,12)</f>
        <v/>
      </c>
      <c r="C96" s="49">
        <f>VLOOKUP(Table311[[#This Row],[Date]],'DB Details'!$A:$T,20)</f>
        <v/>
      </c>
      <c r="D96" s="49">
        <f>VLOOKUP(Table311[[#This Row],[Date]],'DB Details'!$A:$T,18)</f>
        <v/>
      </c>
      <c r="E96" s="49">
        <f>VLOOKUP(Table311[[#This Row],[Date]],'DB Details'!$A:$T,19)</f>
        <v/>
      </c>
    </row>
    <row r="97">
      <c r="A97" s="38" t="n">
        <v>20302</v>
      </c>
      <c r="B97" s="48">
        <f>VLOOKUP(Table311[[#This Row],[Date]],'DB Details'!$A:$L,12)</f>
        <v/>
      </c>
      <c r="C97" s="49">
        <f>VLOOKUP(Table311[[#This Row],[Date]],'DB Details'!$A:$T,20)</f>
        <v/>
      </c>
      <c r="D97" s="49">
        <f>VLOOKUP(Table311[[#This Row],[Date]],'DB Details'!$A:$T,18)</f>
        <v/>
      </c>
      <c r="E97" s="49">
        <f>VLOOKUP(Table311[[#This Row],[Date]],'DB Details'!$A:$T,19)</f>
        <v/>
      </c>
    </row>
    <row r="98">
      <c r="A98" s="38" t="n">
        <v>20333</v>
      </c>
      <c r="B98" s="48">
        <f>VLOOKUP(Table311[[#This Row],[Date]],'DB Details'!$A:$L,12)</f>
        <v/>
      </c>
      <c r="C98" s="49">
        <f>VLOOKUP(Table311[[#This Row],[Date]],'DB Details'!$A:$T,20)</f>
        <v/>
      </c>
      <c r="D98" s="49">
        <f>VLOOKUP(Table311[[#This Row],[Date]],'DB Details'!$A:$T,18)</f>
        <v/>
      </c>
      <c r="E98" s="49">
        <f>VLOOKUP(Table311[[#This Row],[Date]],'DB Details'!$A:$T,19)</f>
        <v/>
      </c>
    </row>
    <row r="99">
      <c r="A99" s="38" t="n">
        <v>20363</v>
      </c>
      <c r="B99" s="48">
        <f>VLOOKUP(Table311[[#This Row],[Date]],'DB Details'!$A:$L,12)</f>
        <v/>
      </c>
      <c r="C99" s="49">
        <f>VLOOKUP(Table311[[#This Row],[Date]],'DB Details'!$A:$T,20)</f>
        <v/>
      </c>
      <c r="D99" s="49">
        <f>VLOOKUP(Table311[[#This Row],[Date]],'DB Details'!$A:$T,18)</f>
        <v/>
      </c>
      <c r="E99" s="49">
        <f>VLOOKUP(Table311[[#This Row],[Date]],'DB Details'!$A:$T,19)</f>
        <v/>
      </c>
    </row>
    <row r="100">
      <c r="A100" s="38" t="n">
        <v>20394</v>
      </c>
      <c r="B100" s="48">
        <f>VLOOKUP(Table311[[#This Row],[Date]],'DB Details'!$A:$L,12)</f>
        <v/>
      </c>
      <c r="C100" s="49">
        <f>VLOOKUP(Table311[[#This Row],[Date]],'DB Details'!$A:$T,20)</f>
        <v/>
      </c>
      <c r="D100" s="49">
        <f>VLOOKUP(Table311[[#This Row],[Date]],'DB Details'!$A:$T,18)</f>
        <v/>
      </c>
      <c r="E100" s="49">
        <f>VLOOKUP(Table311[[#This Row],[Date]],'DB Details'!$A:$T,19)</f>
        <v/>
      </c>
    </row>
    <row r="101">
      <c r="A101" s="38" t="n">
        <v>20424</v>
      </c>
      <c r="B101" s="48">
        <f>VLOOKUP(Table311[[#This Row],[Date]],'DB Details'!$A:$L,12)</f>
        <v/>
      </c>
      <c r="C101" s="49">
        <f>VLOOKUP(Table311[[#This Row],[Date]],'DB Details'!$A:$T,20)</f>
        <v/>
      </c>
      <c r="D101" s="49">
        <f>VLOOKUP(Table311[[#This Row],[Date]],'DB Details'!$A:$T,18)</f>
        <v/>
      </c>
      <c r="E101" s="49">
        <f>VLOOKUP(Table311[[#This Row],[Date]],'DB Details'!$A:$T,19)</f>
        <v/>
      </c>
    </row>
    <row r="102">
      <c r="A102" s="38" t="n">
        <v>20455</v>
      </c>
      <c r="B102" s="48">
        <f>VLOOKUP(Table311[[#This Row],[Date]],'DB Details'!$A:$L,12)</f>
        <v/>
      </c>
      <c r="C102" s="49">
        <f>VLOOKUP(Table311[[#This Row],[Date]],'DB Details'!$A:$T,20)</f>
        <v/>
      </c>
      <c r="D102" s="49">
        <f>VLOOKUP(Table311[[#This Row],[Date]],'DB Details'!$A:$T,18)</f>
        <v/>
      </c>
      <c r="E102" s="49">
        <f>VLOOKUP(Table311[[#This Row],[Date]],'DB Details'!$A:$T,19)</f>
        <v/>
      </c>
    </row>
    <row r="103">
      <c r="A103" s="38" t="n">
        <v>20486</v>
      </c>
      <c r="B103" s="48">
        <f>VLOOKUP(Table311[[#This Row],[Date]],'DB Details'!$A:$L,12)</f>
        <v/>
      </c>
      <c r="C103" s="49">
        <f>VLOOKUP(Table311[[#This Row],[Date]],'DB Details'!$A:$T,20)</f>
        <v/>
      </c>
      <c r="D103" s="49">
        <f>VLOOKUP(Table311[[#This Row],[Date]],'DB Details'!$A:$T,18)</f>
        <v/>
      </c>
      <c r="E103" s="49">
        <f>VLOOKUP(Table311[[#This Row],[Date]],'DB Details'!$A:$T,19)</f>
        <v/>
      </c>
    </row>
    <row r="104">
      <c r="A104" s="38" t="n">
        <v>20515</v>
      </c>
      <c r="B104" s="48">
        <f>VLOOKUP(Table311[[#This Row],[Date]],'DB Details'!$A:$L,12)</f>
        <v/>
      </c>
      <c r="C104" s="49">
        <f>VLOOKUP(Table311[[#This Row],[Date]],'DB Details'!$A:$T,20)</f>
        <v/>
      </c>
      <c r="D104" s="49">
        <f>VLOOKUP(Table311[[#This Row],[Date]],'DB Details'!$A:$T,18)</f>
        <v/>
      </c>
      <c r="E104" s="49">
        <f>VLOOKUP(Table311[[#This Row],[Date]],'DB Details'!$A:$T,19)</f>
        <v/>
      </c>
    </row>
    <row r="105">
      <c r="A105" s="38" t="n">
        <v>20546</v>
      </c>
      <c r="B105" s="48">
        <f>VLOOKUP(Table311[[#This Row],[Date]],'DB Details'!$A:$L,12)</f>
        <v/>
      </c>
      <c r="C105" s="49">
        <f>VLOOKUP(Table311[[#This Row],[Date]],'DB Details'!$A:$T,20)</f>
        <v/>
      </c>
      <c r="D105" s="49">
        <f>VLOOKUP(Table311[[#This Row],[Date]],'DB Details'!$A:$T,18)</f>
        <v/>
      </c>
      <c r="E105" s="49">
        <f>VLOOKUP(Table311[[#This Row],[Date]],'DB Details'!$A:$T,19)</f>
        <v/>
      </c>
    </row>
    <row r="106">
      <c r="A106" s="38" t="n">
        <v>20576</v>
      </c>
      <c r="B106" s="48">
        <f>VLOOKUP(Table311[[#This Row],[Date]],'DB Details'!$A:$L,12)</f>
        <v/>
      </c>
      <c r="C106" s="49">
        <f>VLOOKUP(Table311[[#This Row],[Date]],'DB Details'!$A:$T,20)</f>
        <v/>
      </c>
      <c r="D106" s="49">
        <f>VLOOKUP(Table311[[#This Row],[Date]],'DB Details'!$A:$T,18)</f>
        <v/>
      </c>
      <c r="E106" s="49">
        <f>VLOOKUP(Table311[[#This Row],[Date]],'DB Details'!$A:$T,19)</f>
        <v/>
      </c>
    </row>
    <row r="107">
      <c r="A107" s="38" t="n">
        <v>20607</v>
      </c>
      <c r="B107" s="48">
        <f>VLOOKUP(Table311[[#This Row],[Date]],'DB Details'!$A:$L,12)</f>
        <v/>
      </c>
      <c r="C107" s="49">
        <f>VLOOKUP(Table311[[#This Row],[Date]],'DB Details'!$A:$T,20)</f>
        <v/>
      </c>
      <c r="D107" s="49">
        <f>VLOOKUP(Table311[[#This Row],[Date]],'DB Details'!$A:$T,18)</f>
        <v/>
      </c>
      <c r="E107" s="49">
        <f>VLOOKUP(Table311[[#This Row],[Date]],'DB Details'!$A:$T,19)</f>
        <v/>
      </c>
    </row>
    <row r="108">
      <c r="A108" s="38" t="n">
        <v>20637</v>
      </c>
      <c r="B108" s="48">
        <f>VLOOKUP(Table311[[#This Row],[Date]],'DB Details'!$A:$L,12)</f>
        <v/>
      </c>
      <c r="C108" s="49">
        <f>VLOOKUP(Table311[[#This Row],[Date]],'DB Details'!$A:$T,20)</f>
        <v/>
      </c>
      <c r="D108" s="49">
        <f>VLOOKUP(Table311[[#This Row],[Date]],'DB Details'!$A:$T,18)</f>
        <v/>
      </c>
      <c r="E108" s="49">
        <f>VLOOKUP(Table311[[#This Row],[Date]],'DB Details'!$A:$T,19)</f>
        <v/>
      </c>
    </row>
    <row r="109">
      <c r="A109" s="38" t="n">
        <v>20668</v>
      </c>
      <c r="B109" s="48">
        <f>VLOOKUP(Table311[[#This Row],[Date]],'DB Details'!$A:$L,12)</f>
        <v/>
      </c>
      <c r="C109" s="49">
        <f>VLOOKUP(Table311[[#This Row],[Date]],'DB Details'!$A:$T,20)</f>
        <v/>
      </c>
      <c r="D109" s="49">
        <f>VLOOKUP(Table311[[#This Row],[Date]],'DB Details'!$A:$T,18)</f>
        <v/>
      </c>
      <c r="E109" s="49">
        <f>VLOOKUP(Table311[[#This Row],[Date]],'DB Details'!$A:$T,19)</f>
        <v/>
      </c>
    </row>
    <row r="110">
      <c r="A110" s="38" t="n">
        <v>20699</v>
      </c>
      <c r="B110" s="48">
        <f>VLOOKUP(Table311[[#This Row],[Date]],'DB Details'!$A:$L,12)</f>
        <v/>
      </c>
      <c r="C110" s="49">
        <f>VLOOKUP(Table311[[#This Row],[Date]],'DB Details'!$A:$T,20)</f>
        <v/>
      </c>
      <c r="D110" s="49">
        <f>VLOOKUP(Table311[[#This Row],[Date]],'DB Details'!$A:$T,18)</f>
        <v/>
      </c>
      <c r="E110" s="49">
        <f>VLOOKUP(Table311[[#This Row],[Date]],'DB Details'!$A:$T,19)</f>
        <v/>
      </c>
    </row>
    <row r="111">
      <c r="A111" s="38" t="n">
        <v>20729</v>
      </c>
      <c r="B111" s="48">
        <f>VLOOKUP(Table311[[#This Row],[Date]],'DB Details'!$A:$L,12)</f>
        <v/>
      </c>
      <c r="C111" s="49">
        <f>VLOOKUP(Table311[[#This Row],[Date]],'DB Details'!$A:$T,20)</f>
        <v/>
      </c>
      <c r="D111" s="49">
        <f>VLOOKUP(Table311[[#This Row],[Date]],'DB Details'!$A:$T,18)</f>
        <v/>
      </c>
      <c r="E111" s="49">
        <f>VLOOKUP(Table311[[#This Row],[Date]],'DB Details'!$A:$T,19)</f>
        <v/>
      </c>
    </row>
    <row r="112">
      <c r="A112" s="38" t="n">
        <v>20760</v>
      </c>
      <c r="B112" s="48">
        <f>VLOOKUP(Table311[[#This Row],[Date]],'DB Details'!$A:$L,12)</f>
        <v/>
      </c>
      <c r="C112" s="49">
        <f>VLOOKUP(Table311[[#This Row],[Date]],'DB Details'!$A:$T,20)</f>
        <v/>
      </c>
      <c r="D112" s="49">
        <f>VLOOKUP(Table311[[#This Row],[Date]],'DB Details'!$A:$T,18)</f>
        <v/>
      </c>
      <c r="E112" s="49">
        <f>VLOOKUP(Table311[[#This Row],[Date]],'DB Details'!$A:$T,19)</f>
        <v/>
      </c>
    </row>
    <row r="113">
      <c r="A113" s="38" t="n">
        <v>20790</v>
      </c>
      <c r="B113" s="48">
        <f>VLOOKUP(Table311[[#This Row],[Date]],'DB Details'!$A:$L,12)</f>
        <v/>
      </c>
      <c r="C113" s="49">
        <f>VLOOKUP(Table311[[#This Row],[Date]],'DB Details'!$A:$T,20)</f>
        <v/>
      </c>
      <c r="D113" s="49">
        <f>VLOOKUP(Table311[[#This Row],[Date]],'DB Details'!$A:$T,18)</f>
        <v/>
      </c>
      <c r="E113" s="49">
        <f>VLOOKUP(Table311[[#This Row],[Date]],'DB Details'!$A:$T,19)</f>
        <v/>
      </c>
    </row>
    <row r="114">
      <c r="A114" s="38" t="n">
        <v>20821</v>
      </c>
      <c r="B114" s="48">
        <f>VLOOKUP(Table311[[#This Row],[Date]],'DB Details'!$A:$L,12)</f>
        <v/>
      </c>
      <c r="C114" s="49">
        <f>VLOOKUP(Table311[[#This Row],[Date]],'DB Details'!$A:$T,20)</f>
        <v/>
      </c>
      <c r="D114" s="49">
        <f>VLOOKUP(Table311[[#This Row],[Date]],'DB Details'!$A:$T,18)</f>
        <v/>
      </c>
      <c r="E114" s="49">
        <f>VLOOKUP(Table311[[#This Row],[Date]],'DB Details'!$A:$T,19)</f>
        <v/>
      </c>
    </row>
    <row r="115">
      <c r="A115" s="38" t="n">
        <v>20852</v>
      </c>
      <c r="B115" s="48">
        <f>VLOOKUP(Table311[[#This Row],[Date]],'DB Details'!$A:$L,12)</f>
        <v/>
      </c>
      <c r="C115" s="49">
        <f>VLOOKUP(Table311[[#This Row],[Date]],'DB Details'!$A:$T,20)</f>
        <v/>
      </c>
      <c r="D115" s="49">
        <f>VLOOKUP(Table311[[#This Row],[Date]],'DB Details'!$A:$T,18)</f>
        <v/>
      </c>
      <c r="E115" s="49">
        <f>VLOOKUP(Table311[[#This Row],[Date]],'DB Details'!$A:$T,19)</f>
        <v/>
      </c>
    </row>
    <row r="116">
      <c r="A116" s="38" t="n">
        <v>20880</v>
      </c>
      <c r="B116" s="48">
        <f>VLOOKUP(Table311[[#This Row],[Date]],'DB Details'!$A:$L,12)</f>
        <v/>
      </c>
      <c r="C116" s="49">
        <f>VLOOKUP(Table311[[#This Row],[Date]],'DB Details'!$A:$T,20)</f>
        <v/>
      </c>
      <c r="D116" s="49">
        <f>VLOOKUP(Table311[[#This Row],[Date]],'DB Details'!$A:$T,18)</f>
        <v/>
      </c>
      <c r="E116" s="49">
        <f>VLOOKUP(Table311[[#This Row],[Date]],'DB Details'!$A:$T,19)</f>
        <v/>
      </c>
    </row>
    <row r="117">
      <c r="A117" s="38" t="n">
        <v>20911</v>
      </c>
      <c r="B117" s="48">
        <f>VLOOKUP(Table311[[#This Row],[Date]],'DB Details'!$A:$L,12)</f>
        <v/>
      </c>
      <c r="C117" s="49">
        <f>VLOOKUP(Table311[[#This Row],[Date]],'DB Details'!$A:$T,20)</f>
        <v/>
      </c>
      <c r="D117" s="49">
        <f>VLOOKUP(Table311[[#This Row],[Date]],'DB Details'!$A:$T,18)</f>
        <v/>
      </c>
      <c r="E117" s="49">
        <f>VLOOKUP(Table311[[#This Row],[Date]],'DB Details'!$A:$T,19)</f>
        <v/>
      </c>
    </row>
    <row r="118">
      <c r="A118" s="38" t="n">
        <v>20941</v>
      </c>
      <c r="B118" s="48">
        <f>VLOOKUP(Table311[[#This Row],[Date]],'DB Details'!$A:$L,12)</f>
        <v/>
      </c>
      <c r="C118" s="49">
        <f>VLOOKUP(Table311[[#This Row],[Date]],'DB Details'!$A:$T,20)</f>
        <v/>
      </c>
      <c r="D118" s="49">
        <f>VLOOKUP(Table311[[#This Row],[Date]],'DB Details'!$A:$T,18)</f>
        <v/>
      </c>
      <c r="E118" s="49">
        <f>VLOOKUP(Table311[[#This Row],[Date]],'DB Details'!$A:$T,19)</f>
        <v/>
      </c>
    </row>
    <row r="119">
      <c r="A119" s="38" t="n">
        <v>20972</v>
      </c>
      <c r="B119" s="48">
        <f>VLOOKUP(Table311[[#This Row],[Date]],'DB Details'!$A:$L,12)</f>
        <v/>
      </c>
      <c r="C119" s="49">
        <f>VLOOKUP(Table311[[#This Row],[Date]],'DB Details'!$A:$T,20)</f>
        <v/>
      </c>
      <c r="D119" s="49">
        <f>VLOOKUP(Table311[[#This Row],[Date]],'DB Details'!$A:$T,18)</f>
        <v/>
      </c>
      <c r="E119" s="49">
        <f>VLOOKUP(Table311[[#This Row],[Date]],'DB Details'!$A:$T,19)</f>
        <v/>
      </c>
    </row>
    <row r="120">
      <c r="A120" s="38" t="n">
        <v>21002</v>
      </c>
      <c r="B120" s="48">
        <f>VLOOKUP(Table311[[#This Row],[Date]],'DB Details'!$A:$L,12)</f>
        <v/>
      </c>
      <c r="C120" s="49">
        <f>VLOOKUP(Table311[[#This Row],[Date]],'DB Details'!$A:$T,20)</f>
        <v/>
      </c>
      <c r="D120" s="49">
        <f>VLOOKUP(Table311[[#This Row],[Date]],'DB Details'!$A:$T,18)</f>
        <v/>
      </c>
      <c r="E120" s="49">
        <f>VLOOKUP(Table311[[#This Row],[Date]],'DB Details'!$A:$T,19)</f>
        <v/>
      </c>
    </row>
    <row r="121">
      <c r="A121" s="38" t="n">
        <v>21033</v>
      </c>
      <c r="B121" s="48">
        <f>VLOOKUP(Table311[[#This Row],[Date]],'DB Details'!$A:$L,12)</f>
        <v/>
      </c>
      <c r="C121" s="49">
        <f>VLOOKUP(Table311[[#This Row],[Date]],'DB Details'!$A:$T,20)</f>
        <v/>
      </c>
      <c r="D121" s="49">
        <f>VLOOKUP(Table311[[#This Row],[Date]],'DB Details'!$A:$T,18)</f>
        <v/>
      </c>
      <c r="E121" s="49">
        <f>VLOOKUP(Table311[[#This Row],[Date]],'DB Details'!$A:$T,19)</f>
        <v/>
      </c>
    </row>
    <row r="122">
      <c r="A122" s="38" t="n">
        <v>21064</v>
      </c>
      <c r="B122" s="48">
        <f>VLOOKUP(Table311[[#This Row],[Date]],'DB Details'!$A:$L,12)</f>
        <v/>
      </c>
      <c r="C122" s="49">
        <f>VLOOKUP(Table311[[#This Row],[Date]],'DB Details'!$A:$T,20)</f>
        <v/>
      </c>
      <c r="D122" s="49">
        <f>VLOOKUP(Table311[[#This Row],[Date]],'DB Details'!$A:$T,18)</f>
        <v/>
      </c>
      <c r="E122" s="49">
        <f>VLOOKUP(Table311[[#This Row],[Date]],'DB Details'!$A:$T,19)</f>
        <v/>
      </c>
    </row>
    <row r="123">
      <c r="A123" s="38" t="n">
        <v>21094</v>
      </c>
      <c r="B123" s="48">
        <f>VLOOKUP(Table311[[#This Row],[Date]],'DB Details'!$A:$L,12)</f>
        <v/>
      </c>
      <c r="C123" s="49">
        <f>VLOOKUP(Table311[[#This Row],[Date]],'DB Details'!$A:$T,20)</f>
        <v/>
      </c>
      <c r="D123" s="49">
        <f>VLOOKUP(Table311[[#This Row],[Date]],'DB Details'!$A:$T,18)</f>
        <v/>
      </c>
      <c r="E123" s="49">
        <f>VLOOKUP(Table311[[#This Row],[Date]],'DB Details'!$A:$T,19)</f>
        <v/>
      </c>
    </row>
    <row r="124">
      <c r="A124" s="38" t="n">
        <v>21125</v>
      </c>
      <c r="B124" s="48">
        <f>VLOOKUP(Table311[[#This Row],[Date]],'DB Details'!$A:$L,12)</f>
        <v/>
      </c>
      <c r="C124" s="49">
        <f>VLOOKUP(Table311[[#This Row],[Date]],'DB Details'!$A:$T,20)</f>
        <v/>
      </c>
      <c r="D124" s="49">
        <f>VLOOKUP(Table311[[#This Row],[Date]],'DB Details'!$A:$T,18)</f>
        <v/>
      </c>
      <c r="E124" s="49">
        <f>VLOOKUP(Table311[[#This Row],[Date]],'DB Details'!$A:$T,19)</f>
        <v/>
      </c>
    </row>
    <row r="125">
      <c r="A125" s="38" t="n">
        <v>21155</v>
      </c>
      <c r="B125" s="48">
        <f>VLOOKUP(Table311[[#This Row],[Date]],'DB Details'!$A:$L,12)</f>
        <v/>
      </c>
      <c r="C125" s="49">
        <f>VLOOKUP(Table311[[#This Row],[Date]],'DB Details'!$A:$T,20)</f>
        <v/>
      </c>
      <c r="D125" s="49">
        <f>VLOOKUP(Table311[[#This Row],[Date]],'DB Details'!$A:$T,18)</f>
        <v/>
      </c>
      <c r="E125" s="49">
        <f>VLOOKUP(Table311[[#This Row],[Date]],'DB Details'!$A:$T,19)</f>
        <v/>
      </c>
    </row>
    <row r="126">
      <c r="A126" s="38" t="n">
        <v>21186</v>
      </c>
      <c r="B126" s="48">
        <f>VLOOKUP(Table311[[#This Row],[Date]],'DB Details'!$A:$L,12)</f>
        <v/>
      </c>
      <c r="C126" s="49">
        <f>VLOOKUP(Table311[[#This Row],[Date]],'DB Details'!$A:$T,20)</f>
        <v/>
      </c>
      <c r="D126" s="49">
        <f>VLOOKUP(Table311[[#This Row],[Date]],'DB Details'!$A:$T,18)</f>
        <v/>
      </c>
      <c r="E126" s="49">
        <f>VLOOKUP(Table311[[#This Row],[Date]],'DB Details'!$A:$T,19)</f>
        <v/>
      </c>
    </row>
    <row r="127">
      <c r="A127" s="38" t="n">
        <v>21217</v>
      </c>
      <c r="B127" s="48">
        <f>VLOOKUP(Table311[[#This Row],[Date]],'DB Details'!$A:$L,12)</f>
        <v/>
      </c>
      <c r="C127" s="49">
        <f>VLOOKUP(Table311[[#This Row],[Date]],'DB Details'!$A:$T,20)</f>
        <v/>
      </c>
      <c r="D127" s="49">
        <f>VLOOKUP(Table311[[#This Row],[Date]],'DB Details'!$A:$T,18)</f>
        <v/>
      </c>
      <c r="E127" s="49">
        <f>VLOOKUP(Table311[[#This Row],[Date]],'DB Details'!$A:$T,19)</f>
        <v/>
      </c>
    </row>
    <row r="128">
      <c r="A128" s="38" t="n">
        <v>21245</v>
      </c>
      <c r="B128" s="48">
        <f>VLOOKUP(Table311[[#This Row],[Date]],'DB Details'!$A:$L,12)</f>
        <v/>
      </c>
      <c r="C128" s="49">
        <f>VLOOKUP(Table311[[#This Row],[Date]],'DB Details'!$A:$T,20)</f>
        <v/>
      </c>
      <c r="D128" s="49">
        <f>VLOOKUP(Table311[[#This Row],[Date]],'DB Details'!$A:$T,18)</f>
        <v/>
      </c>
      <c r="E128" s="49">
        <f>VLOOKUP(Table311[[#This Row],[Date]],'DB Details'!$A:$T,19)</f>
        <v/>
      </c>
    </row>
    <row r="129">
      <c r="A129" s="38" t="n">
        <v>21276</v>
      </c>
      <c r="B129" s="48">
        <f>VLOOKUP(Table311[[#This Row],[Date]],'DB Details'!$A:$L,12)</f>
        <v/>
      </c>
      <c r="C129" s="49">
        <f>VLOOKUP(Table311[[#This Row],[Date]],'DB Details'!$A:$T,20)</f>
        <v/>
      </c>
      <c r="D129" s="49">
        <f>VLOOKUP(Table311[[#This Row],[Date]],'DB Details'!$A:$T,18)</f>
        <v/>
      </c>
      <c r="E129" s="49">
        <f>VLOOKUP(Table311[[#This Row],[Date]],'DB Details'!$A:$T,19)</f>
        <v/>
      </c>
    </row>
    <row r="130">
      <c r="A130" s="38" t="n">
        <v>21306</v>
      </c>
      <c r="B130" s="48">
        <f>VLOOKUP(Table311[[#This Row],[Date]],'DB Details'!$A:$L,12)</f>
        <v/>
      </c>
      <c r="C130" s="49">
        <f>VLOOKUP(Table311[[#This Row],[Date]],'DB Details'!$A:$T,20)</f>
        <v/>
      </c>
      <c r="D130" s="49">
        <f>VLOOKUP(Table311[[#This Row],[Date]],'DB Details'!$A:$T,18)</f>
        <v/>
      </c>
      <c r="E130" s="49">
        <f>VLOOKUP(Table311[[#This Row],[Date]],'DB Details'!$A:$T,19)</f>
        <v/>
      </c>
    </row>
    <row r="131">
      <c r="A131" s="38" t="n">
        <v>21337</v>
      </c>
      <c r="B131" s="48">
        <f>VLOOKUP(Table311[[#This Row],[Date]],'DB Details'!$A:$L,12)</f>
        <v/>
      </c>
      <c r="C131" s="49">
        <f>VLOOKUP(Table311[[#This Row],[Date]],'DB Details'!$A:$T,20)</f>
        <v/>
      </c>
      <c r="D131" s="49">
        <f>VLOOKUP(Table311[[#This Row],[Date]],'DB Details'!$A:$T,18)</f>
        <v/>
      </c>
      <c r="E131" s="49">
        <f>VLOOKUP(Table311[[#This Row],[Date]],'DB Details'!$A:$T,19)</f>
        <v/>
      </c>
    </row>
    <row r="132">
      <c r="A132" s="38" t="n">
        <v>21367</v>
      </c>
      <c r="B132" s="48">
        <f>VLOOKUP(Table311[[#This Row],[Date]],'DB Details'!$A:$L,12)</f>
        <v/>
      </c>
      <c r="C132" s="49">
        <f>VLOOKUP(Table311[[#This Row],[Date]],'DB Details'!$A:$T,20)</f>
        <v/>
      </c>
      <c r="D132" s="49">
        <f>VLOOKUP(Table311[[#This Row],[Date]],'DB Details'!$A:$T,18)</f>
        <v/>
      </c>
      <c r="E132" s="49">
        <f>VLOOKUP(Table311[[#This Row],[Date]],'DB Details'!$A:$T,19)</f>
        <v/>
      </c>
    </row>
    <row r="133">
      <c r="A133" s="38" t="n">
        <v>21398</v>
      </c>
      <c r="B133" s="48">
        <f>VLOOKUP(Table311[[#This Row],[Date]],'DB Details'!$A:$L,12)</f>
        <v/>
      </c>
      <c r="C133" s="49">
        <f>VLOOKUP(Table311[[#This Row],[Date]],'DB Details'!$A:$T,20)</f>
        <v/>
      </c>
      <c r="D133" s="49">
        <f>VLOOKUP(Table311[[#This Row],[Date]],'DB Details'!$A:$T,18)</f>
        <v/>
      </c>
      <c r="E133" s="49">
        <f>VLOOKUP(Table311[[#This Row],[Date]],'DB Details'!$A:$T,19)</f>
        <v/>
      </c>
    </row>
    <row r="134">
      <c r="A134" s="38" t="n">
        <v>21429</v>
      </c>
      <c r="B134" s="48">
        <f>VLOOKUP(Table311[[#This Row],[Date]],'DB Details'!$A:$L,12)</f>
        <v/>
      </c>
      <c r="C134" s="49">
        <f>VLOOKUP(Table311[[#This Row],[Date]],'DB Details'!$A:$T,20)</f>
        <v/>
      </c>
      <c r="D134" s="49">
        <f>VLOOKUP(Table311[[#This Row],[Date]],'DB Details'!$A:$T,18)</f>
        <v/>
      </c>
      <c r="E134" s="49">
        <f>VLOOKUP(Table311[[#This Row],[Date]],'DB Details'!$A:$T,19)</f>
        <v/>
      </c>
    </row>
    <row r="135">
      <c r="A135" s="38" t="n">
        <v>21459</v>
      </c>
      <c r="B135" s="48">
        <f>VLOOKUP(Table311[[#This Row],[Date]],'DB Details'!$A:$L,12)</f>
        <v/>
      </c>
      <c r="C135" s="49">
        <f>VLOOKUP(Table311[[#This Row],[Date]],'DB Details'!$A:$T,20)</f>
        <v/>
      </c>
      <c r="D135" s="49">
        <f>VLOOKUP(Table311[[#This Row],[Date]],'DB Details'!$A:$T,18)</f>
        <v/>
      </c>
      <c r="E135" s="49">
        <f>VLOOKUP(Table311[[#This Row],[Date]],'DB Details'!$A:$T,19)</f>
        <v/>
      </c>
    </row>
    <row r="136">
      <c r="A136" s="38" t="n">
        <v>21490</v>
      </c>
      <c r="B136" s="48">
        <f>VLOOKUP(Table311[[#This Row],[Date]],'DB Details'!$A:$L,12)</f>
        <v/>
      </c>
      <c r="C136" s="49">
        <f>VLOOKUP(Table311[[#This Row],[Date]],'DB Details'!$A:$T,20)</f>
        <v/>
      </c>
      <c r="D136" s="49">
        <f>VLOOKUP(Table311[[#This Row],[Date]],'DB Details'!$A:$T,18)</f>
        <v/>
      </c>
      <c r="E136" s="49">
        <f>VLOOKUP(Table311[[#This Row],[Date]],'DB Details'!$A:$T,19)</f>
        <v/>
      </c>
    </row>
    <row r="137">
      <c r="A137" s="38" t="n">
        <v>21520</v>
      </c>
      <c r="B137" s="48">
        <f>VLOOKUP(Table311[[#This Row],[Date]],'DB Details'!$A:$L,12)</f>
        <v/>
      </c>
      <c r="C137" s="49">
        <f>VLOOKUP(Table311[[#This Row],[Date]],'DB Details'!$A:$T,20)</f>
        <v/>
      </c>
      <c r="D137" s="49">
        <f>VLOOKUP(Table311[[#This Row],[Date]],'DB Details'!$A:$T,18)</f>
        <v/>
      </c>
      <c r="E137" s="49">
        <f>VLOOKUP(Table311[[#This Row],[Date]],'DB Details'!$A:$T,19)</f>
        <v/>
      </c>
    </row>
    <row r="138">
      <c r="A138" s="38" t="n">
        <v>21551</v>
      </c>
      <c r="B138" s="48">
        <f>VLOOKUP(Table311[[#This Row],[Date]],'DB Details'!$A:$L,12)</f>
        <v/>
      </c>
      <c r="C138" s="49">
        <f>VLOOKUP(Table311[[#This Row],[Date]],'DB Details'!$A:$T,20)</f>
        <v/>
      </c>
      <c r="D138" s="49">
        <f>VLOOKUP(Table311[[#This Row],[Date]],'DB Details'!$A:$T,18)</f>
        <v/>
      </c>
      <c r="E138" s="49">
        <f>VLOOKUP(Table311[[#This Row],[Date]],'DB Details'!$A:$T,19)</f>
        <v/>
      </c>
    </row>
    <row r="139">
      <c r="A139" s="38" t="n">
        <v>21582</v>
      </c>
      <c r="B139" s="48">
        <f>VLOOKUP(Table311[[#This Row],[Date]],'DB Details'!$A:$L,12)</f>
        <v/>
      </c>
      <c r="C139" s="49">
        <f>VLOOKUP(Table311[[#This Row],[Date]],'DB Details'!$A:$T,20)</f>
        <v/>
      </c>
      <c r="D139" s="49">
        <f>VLOOKUP(Table311[[#This Row],[Date]],'DB Details'!$A:$T,18)</f>
        <v/>
      </c>
      <c r="E139" s="49">
        <f>VLOOKUP(Table311[[#This Row],[Date]],'DB Details'!$A:$T,19)</f>
        <v/>
      </c>
    </row>
    <row r="140">
      <c r="A140" s="38" t="n">
        <v>21610</v>
      </c>
      <c r="B140" s="48">
        <f>VLOOKUP(Table311[[#This Row],[Date]],'DB Details'!$A:$L,12)</f>
        <v/>
      </c>
      <c r="C140" s="49">
        <f>VLOOKUP(Table311[[#This Row],[Date]],'DB Details'!$A:$T,20)</f>
        <v/>
      </c>
      <c r="D140" s="49">
        <f>VLOOKUP(Table311[[#This Row],[Date]],'DB Details'!$A:$T,18)</f>
        <v/>
      </c>
      <c r="E140" s="49">
        <f>VLOOKUP(Table311[[#This Row],[Date]],'DB Details'!$A:$T,19)</f>
        <v/>
      </c>
    </row>
    <row r="141">
      <c r="A141" s="38" t="n">
        <v>21641</v>
      </c>
      <c r="B141" s="48">
        <f>VLOOKUP(Table311[[#This Row],[Date]],'DB Details'!$A:$L,12)</f>
        <v/>
      </c>
      <c r="C141" s="49">
        <f>VLOOKUP(Table311[[#This Row],[Date]],'DB Details'!$A:$T,20)</f>
        <v/>
      </c>
      <c r="D141" s="49">
        <f>VLOOKUP(Table311[[#This Row],[Date]],'DB Details'!$A:$T,18)</f>
        <v/>
      </c>
      <c r="E141" s="49">
        <f>VLOOKUP(Table311[[#This Row],[Date]],'DB Details'!$A:$T,19)</f>
        <v/>
      </c>
    </row>
    <row r="142">
      <c r="A142" s="38" t="n">
        <v>21671</v>
      </c>
      <c r="B142" s="48">
        <f>VLOOKUP(Table311[[#This Row],[Date]],'DB Details'!$A:$L,12)</f>
        <v/>
      </c>
      <c r="C142" s="49">
        <f>VLOOKUP(Table311[[#This Row],[Date]],'DB Details'!$A:$T,20)</f>
        <v/>
      </c>
      <c r="D142" s="49">
        <f>VLOOKUP(Table311[[#This Row],[Date]],'DB Details'!$A:$T,18)</f>
        <v/>
      </c>
      <c r="E142" s="49">
        <f>VLOOKUP(Table311[[#This Row],[Date]],'DB Details'!$A:$T,19)</f>
        <v/>
      </c>
    </row>
    <row r="143">
      <c r="A143" s="38" t="n">
        <v>21702</v>
      </c>
      <c r="B143" s="48">
        <f>VLOOKUP(Table311[[#This Row],[Date]],'DB Details'!$A:$L,12)</f>
        <v/>
      </c>
      <c r="C143" s="49">
        <f>VLOOKUP(Table311[[#This Row],[Date]],'DB Details'!$A:$T,20)</f>
        <v/>
      </c>
      <c r="D143" s="49">
        <f>VLOOKUP(Table311[[#This Row],[Date]],'DB Details'!$A:$T,18)</f>
        <v/>
      </c>
      <c r="E143" s="49">
        <f>VLOOKUP(Table311[[#This Row],[Date]],'DB Details'!$A:$T,19)</f>
        <v/>
      </c>
    </row>
    <row r="144">
      <c r="A144" s="38" t="n">
        <v>21732</v>
      </c>
      <c r="B144" s="48">
        <f>VLOOKUP(Table311[[#This Row],[Date]],'DB Details'!$A:$L,12)</f>
        <v/>
      </c>
      <c r="C144" s="49">
        <f>VLOOKUP(Table311[[#This Row],[Date]],'DB Details'!$A:$T,20)</f>
        <v/>
      </c>
      <c r="D144" s="49">
        <f>VLOOKUP(Table311[[#This Row],[Date]],'DB Details'!$A:$T,18)</f>
        <v/>
      </c>
      <c r="E144" s="49">
        <f>VLOOKUP(Table311[[#This Row],[Date]],'DB Details'!$A:$T,19)</f>
        <v/>
      </c>
    </row>
    <row r="145">
      <c r="A145" s="38" t="n">
        <v>21763</v>
      </c>
      <c r="B145" s="48">
        <f>VLOOKUP(Table311[[#This Row],[Date]],'DB Details'!$A:$L,12)</f>
        <v/>
      </c>
      <c r="C145" s="49">
        <f>VLOOKUP(Table311[[#This Row],[Date]],'DB Details'!$A:$T,20)</f>
        <v/>
      </c>
      <c r="D145" s="49">
        <f>VLOOKUP(Table311[[#This Row],[Date]],'DB Details'!$A:$T,18)</f>
        <v/>
      </c>
      <c r="E145" s="49">
        <f>VLOOKUP(Table311[[#This Row],[Date]],'DB Details'!$A:$T,19)</f>
        <v/>
      </c>
    </row>
    <row r="146">
      <c r="A146" s="38" t="n">
        <v>21794</v>
      </c>
      <c r="B146" s="48">
        <f>VLOOKUP(Table311[[#This Row],[Date]],'DB Details'!$A:$L,12)</f>
        <v/>
      </c>
      <c r="C146" s="49">
        <f>VLOOKUP(Table311[[#This Row],[Date]],'DB Details'!$A:$T,20)</f>
        <v/>
      </c>
      <c r="D146" s="49">
        <f>VLOOKUP(Table311[[#This Row],[Date]],'DB Details'!$A:$T,18)</f>
        <v/>
      </c>
      <c r="E146" s="49">
        <f>VLOOKUP(Table311[[#This Row],[Date]],'DB Details'!$A:$T,19)</f>
        <v/>
      </c>
    </row>
    <row r="147">
      <c r="A147" s="38" t="n">
        <v>21824</v>
      </c>
      <c r="B147" s="48">
        <f>VLOOKUP(Table311[[#This Row],[Date]],'DB Details'!$A:$L,12)</f>
        <v/>
      </c>
      <c r="C147" s="49">
        <f>VLOOKUP(Table311[[#This Row],[Date]],'DB Details'!$A:$T,20)</f>
        <v/>
      </c>
      <c r="D147" s="49">
        <f>VLOOKUP(Table311[[#This Row],[Date]],'DB Details'!$A:$T,18)</f>
        <v/>
      </c>
      <c r="E147" s="49">
        <f>VLOOKUP(Table311[[#This Row],[Date]],'DB Details'!$A:$T,19)</f>
        <v/>
      </c>
    </row>
    <row r="148">
      <c r="A148" s="38" t="n">
        <v>21855</v>
      </c>
      <c r="B148" s="48">
        <f>VLOOKUP(Table311[[#This Row],[Date]],'DB Details'!$A:$L,12)</f>
        <v/>
      </c>
      <c r="C148" s="49">
        <f>VLOOKUP(Table311[[#This Row],[Date]],'DB Details'!$A:$T,20)</f>
        <v/>
      </c>
      <c r="D148" s="49">
        <f>VLOOKUP(Table311[[#This Row],[Date]],'DB Details'!$A:$T,18)</f>
        <v/>
      </c>
      <c r="E148" s="49">
        <f>VLOOKUP(Table311[[#This Row],[Date]],'DB Details'!$A:$T,19)</f>
        <v/>
      </c>
    </row>
    <row r="149">
      <c r="A149" s="38" t="n">
        <v>21885</v>
      </c>
      <c r="B149" s="48">
        <f>VLOOKUP(Table311[[#This Row],[Date]],'DB Details'!$A:$L,12)</f>
        <v/>
      </c>
      <c r="C149" s="49">
        <f>VLOOKUP(Table311[[#This Row],[Date]],'DB Details'!$A:$T,20)</f>
        <v/>
      </c>
      <c r="D149" s="49">
        <f>VLOOKUP(Table311[[#This Row],[Date]],'DB Details'!$A:$T,18)</f>
        <v/>
      </c>
      <c r="E149" s="49">
        <f>VLOOKUP(Table311[[#This Row],[Date]],'DB Details'!$A:$T,19)</f>
        <v/>
      </c>
    </row>
    <row r="150">
      <c r="A150" s="38" t="n">
        <v>21916</v>
      </c>
      <c r="B150" s="48">
        <f>VLOOKUP(Table311[[#This Row],[Date]],'DB Details'!$A:$L,12)</f>
        <v/>
      </c>
      <c r="C150" s="49">
        <f>VLOOKUP(Table311[[#This Row],[Date]],'DB Details'!$A:$T,20)</f>
        <v/>
      </c>
      <c r="D150" s="49">
        <f>VLOOKUP(Table311[[#This Row],[Date]],'DB Details'!$A:$T,18)</f>
        <v/>
      </c>
      <c r="E150" s="49">
        <f>VLOOKUP(Table311[[#This Row],[Date]],'DB Details'!$A:$T,19)</f>
        <v/>
      </c>
    </row>
    <row r="151">
      <c r="A151" s="38" t="n">
        <v>21947</v>
      </c>
      <c r="B151" s="48">
        <f>VLOOKUP(Table311[[#This Row],[Date]],'DB Details'!$A:$L,12)</f>
        <v/>
      </c>
      <c r="C151" s="49">
        <f>VLOOKUP(Table311[[#This Row],[Date]],'DB Details'!$A:$T,20)</f>
        <v/>
      </c>
      <c r="D151" s="49">
        <f>VLOOKUP(Table311[[#This Row],[Date]],'DB Details'!$A:$T,18)</f>
        <v/>
      </c>
      <c r="E151" s="49">
        <f>VLOOKUP(Table311[[#This Row],[Date]],'DB Details'!$A:$T,19)</f>
        <v/>
      </c>
    </row>
    <row r="152">
      <c r="A152" s="38" t="n">
        <v>21976</v>
      </c>
      <c r="B152" s="48">
        <f>VLOOKUP(Table311[[#This Row],[Date]],'DB Details'!$A:$L,12)</f>
        <v/>
      </c>
      <c r="C152" s="49">
        <f>VLOOKUP(Table311[[#This Row],[Date]],'DB Details'!$A:$T,20)</f>
        <v/>
      </c>
      <c r="D152" s="49">
        <f>VLOOKUP(Table311[[#This Row],[Date]],'DB Details'!$A:$T,18)</f>
        <v/>
      </c>
      <c r="E152" s="49">
        <f>VLOOKUP(Table311[[#This Row],[Date]],'DB Details'!$A:$T,19)</f>
        <v/>
      </c>
    </row>
    <row r="153">
      <c r="A153" s="38" t="n">
        <v>22007</v>
      </c>
      <c r="B153" s="48">
        <f>VLOOKUP(Table311[[#This Row],[Date]],'DB Details'!$A:$L,12)</f>
        <v/>
      </c>
      <c r="C153" s="49">
        <f>VLOOKUP(Table311[[#This Row],[Date]],'DB Details'!$A:$T,20)</f>
        <v/>
      </c>
      <c r="D153" s="49">
        <f>VLOOKUP(Table311[[#This Row],[Date]],'DB Details'!$A:$T,18)</f>
        <v/>
      </c>
      <c r="E153" s="49">
        <f>VLOOKUP(Table311[[#This Row],[Date]],'DB Details'!$A:$T,19)</f>
        <v/>
      </c>
    </row>
    <row r="154">
      <c r="A154" s="38" t="n">
        <v>22037</v>
      </c>
      <c r="B154" s="48">
        <f>VLOOKUP(Table311[[#This Row],[Date]],'DB Details'!$A:$L,12)</f>
        <v/>
      </c>
      <c r="C154" s="49">
        <f>VLOOKUP(Table311[[#This Row],[Date]],'DB Details'!$A:$T,20)</f>
        <v/>
      </c>
      <c r="D154" s="49">
        <f>VLOOKUP(Table311[[#This Row],[Date]],'DB Details'!$A:$T,18)</f>
        <v/>
      </c>
      <c r="E154" s="49">
        <f>VLOOKUP(Table311[[#This Row],[Date]],'DB Details'!$A:$T,19)</f>
        <v/>
      </c>
    </row>
    <row r="155">
      <c r="A155" s="38" t="n">
        <v>22068</v>
      </c>
      <c r="B155" s="48">
        <f>VLOOKUP(Table311[[#This Row],[Date]],'DB Details'!$A:$L,12)</f>
        <v/>
      </c>
      <c r="C155" s="49">
        <f>VLOOKUP(Table311[[#This Row],[Date]],'DB Details'!$A:$T,20)</f>
        <v/>
      </c>
      <c r="D155" s="49">
        <f>VLOOKUP(Table311[[#This Row],[Date]],'DB Details'!$A:$T,18)</f>
        <v/>
      </c>
      <c r="E155" s="49">
        <f>VLOOKUP(Table311[[#This Row],[Date]],'DB Details'!$A:$T,19)</f>
        <v/>
      </c>
    </row>
    <row r="156">
      <c r="A156" s="38" t="n">
        <v>22098</v>
      </c>
      <c r="B156" s="48">
        <f>VLOOKUP(Table311[[#This Row],[Date]],'DB Details'!$A:$L,12)</f>
        <v/>
      </c>
      <c r="C156" s="49">
        <f>VLOOKUP(Table311[[#This Row],[Date]],'DB Details'!$A:$T,20)</f>
        <v/>
      </c>
      <c r="D156" s="49">
        <f>VLOOKUP(Table311[[#This Row],[Date]],'DB Details'!$A:$T,18)</f>
        <v/>
      </c>
      <c r="E156" s="49">
        <f>VLOOKUP(Table311[[#This Row],[Date]],'DB Details'!$A:$T,19)</f>
        <v/>
      </c>
    </row>
    <row r="157">
      <c r="A157" s="38" t="n">
        <v>22129</v>
      </c>
      <c r="B157" s="48">
        <f>VLOOKUP(Table311[[#This Row],[Date]],'DB Details'!$A:$L,12)</f>
        <v/>
      </c>
      <c r="C157" s="49">
        <f>VLOOKUP(Table311[[#This Row],[Date]],'DB Details'!$A:$T,20)</f>
        <v/>
      </c>
      <c r="D157" s="49">
        <f>VLOOKUP(Table311[[#This Row],[Date]],'DB Details'!$A:$T,18)</f>
        <v/>
      </c>
      <c r="E157" s="49">
        <f>VLOOKUP(Table311[[#This Row],[Date]],'DB Details'!$A:$T,19)</f>
        <v/>
      </c>
    </row>
    <row r="158">
      <c r="A158" s="38" t="n">
        <v>22160</v>
      </c>
      <c r="B158" s="48">
        <f>VLOOKUP(Table311[[#This Row],[Date]],'DB Details'!$A:$L,12)</f>
        <v/>
      </c>
      <c r="C158" s="49">
        <f>VLOOKUP(Table311[[#This Row],[Date]],'DB Details'!$A:$T,20)</f>
        <v/>
      </c>
      <c r="D158" s="49">
        <f>VLOOKUP(Table311[[#This Row],[Date]],'DB Details'!$A:$T,18)</f>
        <v/>
      </c>
      <c r="E158" s="49">
        <f>VLOOKUP(Table311[[#This Row],[Date]],'DB Details'!$A:$T,19)</f>
        <v/>
      </c>
    </row>
    <row r="159">
      <c r="A159" s="38" t="n">
        <v>22190</v>
      </c>
      <c r="B159" s="48">
        <f>VLOOKUP(Table311[[#This Row],[Date]],'DB Details'!$A:$L,12)</f>
        <v/>
      </c>
      <c r="C159" s="49">
        <f>VLOOKUP(Table311[[#This Row],[Date]],'DB Details'!$A:$T,20)</f>
        <v/>
      </c>
      <c r="D159" s="49">
        <f>VLOOKUP(Table311[[#This Row],[Date]],'DB Details'!$A:$T,18)</f>
        <v/>
      </c>
      <c r="E159" s="49">
        <f>VLOOKUP(Table311[[#This Row],[Date]],'DB Details'!$A:$T,19)</f>
        <v/>
      </c>
    </row>
    <row r="160">
      <c r="A160" s="38" t="n">
        <v>22221</v>
      </c>
      <c r="B160" s="48">
        <f>VLOOKUP(Table311[[#This Row],[Date]],'DB Details'!$A:$L,12)</f>
        <v/>
      </c>
      <c r="C160" s="49">
        <f>VLOOKUP(Table311[[#This Row],[Date]],'DB Details'!$A:$T,20)</f>
        <v/>
      </c>
      <c r="D160" s="49">
        <f>VLOOKUP(Table311[[#This Row],[Date]],'DB Details'!$A:$T,18)</f>
        <v/>
      </c>
      <c r="E160" s="49">
        <f>VLOOKUP(Table311[[#This Row],[Date]],'DB Details'!$A:$T,19)</f>
        <v/>
      </c>
    </row>
    <row r="161">
      <c r="A161" s="38" t="n">
        <v>22251</v>
      </c>
      <c r="B161" s="48">
        <f>VLOOKUP(Table311[[#This Row],[Date]],'DB Details'!$A:$L,12)</f>
        <v/>
      </c>
      <c r="C161" s="49">
        <f>VLOOKUP(Table311[[#This Row],[Date]],'DB Details'!$A:$T,20)</f>
        <v/>
      </c>
      <c r="D161" s="49">
        <f>VLOOKUP(Table311[[#This Row],[Date]],'DB Details'!$A:$T,18)</f>
        <v/>
      </c>
      <c r="E161" s="49">
        <f>VLOOKUP(Table311[[#This Row],[Date]],'DB Details'!$A:$T,19)</f>
        <v/>
      </c>
    </row>
    <row r="162">
      <c r="A162" s="38" t="n">
        <v>22282</v>
      </c>
      <c r="B162" s="48">
        <f>VLOOKUP(Table311[[#This Row],[Date]],'DB Details'!$A:$L,12)</f>
        <v/>
      </c>
      <c r="C162" s="49">
        <f>VLOOKUP(Table311[[#This Row],[Date]],'DB Details'!$A:$T,20)</f>
        <v/>
      </c>
      <c r="D162" s="49">
        <f>VLOOKUP(Table311[[#This Row],[Date]],'DB Details'!$A:$T,18)</f>
        <v/>
      </c>
      <c r="E162" s="49">
        <f>VLOOKUP(Table311[[#This Row],[Date]],'DB Details'!$A:$T,19)</f>
        <v/>
      </c>
    </row>
    <row r="163">
      <c r="A163" s="38" t="n">
        <v>22313</v>
      </c>
      <c r="B163" s="48">
        <f>VLOOKUP(Table311[[#This Row],[Date]],'DB Details'!$A:$L,12)</f>
        <v/>
      </c>
      <c r="C163" s="49">
        <f>VLOOKUP(Table311[[#This Row],[Date]],'DB Details'!$A:$T,20)</f>
        <v/>
      </c>
      <c r="D163" s="49">
        <f>VLOOKUP(Table311[[#This Row],[Date]],'DB Details'!$A:$T,18)</f>
        <v/>
      </c>
      <c r="E163" s="49">
        <f>VLOOKUP(Table311[[#This Row],[Date]],'DB Details'!$A:$T,19)</f>
        <v/>
      </c>
    </row>
    <row r="164">
      <c r="A164" s="38" t="n">
        <v>22341</v>
      </c>
      <c r="B164" s="48">
        <f>VLOOKUP(Table311[[#This Row],[Date]],'DB Details'!$A:$L,12)</f>
        <v/>
      </c>
      <c r="C164" s="49">
        <f>VLOOKUP(Table311[[#This Row],[Date]],'DB Details'!$A:$T,20)</f>
        <v/>
      </c>
      <c r="D164" s="49">
        <f>VLOOKUP(Table311[[#This Row],[Date]],'DB Details'!$A:$T,18)</f>
        <v/>
      </c>
      <c r="E164" s="49">
        <f>VLOOKUP(Table311[[#This Row],[Date]],'DB Details'!$A:$T,19)</f>
        <v/>
      </c>
    </row>
    <row r="165">
      <c r="A165" s="38" t="n">
        <v>22372</v>
      </c>
      <c r="B165" s="48">
        <f>VLOOKUP(Table311[[#This Row],[Date]],'DB Details'!$A:$L,12)</f>
        <v/>
      </c>
      <c r="C165" s="49">
        <f>VLOOKUP(Table311[[#This Row],[Date]],'DB Details'!$A:$T,20)</f>
        <v/>
      </c>
      <c r="D165" s="49">
        <f>VLOOKUP(Table311[[#This Row],[Date]],'DB Details'!$A:$T,18)</f>
        <v/>
      </c>
      <c r="E165" s="49">
        <f>VLOOKUP(Table311[[#This Row],[Date]],'DB Details'!$A:$T,19)</f>
        <v/>
      </c>
    </row>
    <row r="166">
      <c r="A166" s="38" t="n">
        <v>22402</v>
      </c>
      <c r="B166" s="48">
        <f>VLOOKUP(Table311[[#This Row],[Date]],'DB Details'!$A:$L,12)</f>
        <v/>
      </c>
      <c r="C166" s="49">
        <f>VLOOKUP(Table311[[#This Row],[Date]],'DB Details'!$A:$T,20)</f>
        <v/>
      </c>
      <c r="D166" s="49">
        <f>VLOOKUP(Table311[[#This Row],[Date]],'DB Details'!$A:$T,18)</f>
        <v/>
      </c>
      <c r="E166" s="49">
        <f>VLOOKUP(Table311[[#This Row],[Date]],'DB Details'!$A:$T,19)</f>
        <v/>
      </c>
    </row>
    <row r="167">
      <c r="A167" s="38" t="n">
        <v>22433</v>
      </c>
      <c r="B167" s="48">
        <f>VLOOKUP(Table311[[#This Row],[Date]],'DB Details'!$A:$L,12)</f>
        <v/>
      </c>
      <c r="C167" s="49">
        <f>VLOOKUP(Table311[[#This Row],[Date]],'DB Details'!$A:$T,20)</f>
        <v/>
      </c>
      <c r="D167" s="49">
        <f>VLOOKUP(Table311[[#This Row],[Date]],'DB Details'!$A:$T,18)</f>
        <v/>
      </c>
      <c r="E167" s="49">
        <f>VLOOKUP(Table311[[#This Row],[Date]],'DB Details'!$A:$T,19)</f>
        <v/>
      </c>
    </row>
    <row r="168">
      <c r="A168" s="38" t="n">
        <v>22463</v>
      </c>
      <c r="B168" s="48">
        <f>VLOOKUP(Table311[[#This Row],[Date]],'DB Details'!$A:$L,12)</f>
        <v/>
      </c>
      <c r="C168" s="49">
        <f>VLOOKUP(Table311[[#This Row],[Date]],'DB Details'!$A:$T,20)</f>
        <v/>
      </c>
      <c r="D168" s="49">
        <f>VLOOKUP(Table311[[#This Row],[Date]],'DB Details'!$A:$T,18)</f>
        <v/>
      </c>
      <c r="E168" s="49">
        <f>VLOOKUP(Table311[[#This Row],[Date]],'DB Details'!$A:$T,19)</f>
        <v/>
      </c>
    </row>
    <row r="169">
      <c r="A169" s="38" t="n">
        <v>22494</v>
      </c>
      <c r="B169" s="48">
        <f>VLOOKUP(Table311[[#This Row],[Date]],'DB Details'!$A:$L,12)</f>
        <v/>
      </c>
      <c r="C169" s="49">
        <f>VLOOKUP(Table311[[#This Row],[Date]],'DB Details'!$A:$T,20)</f>
        <v/>
      </c>
      <c r="D169" s="49">
        <f>VLOOKUP(Table311[[#This Row],[Date]],'DB Details'!$A:$T,18)</f>
        <v/>
      </c>
      <c r="E169" s="49">
        <f>VLOOKUP(Table311[[#This Row],[Date]],'DB Details'!$A:$T,19)</f>
        <v/>
      </c>
    </row>
    <row r="170">
      <c r="A170" s="38" t="n">
        <v>22525</v>
      </c>
      <c r="B170" s="48">
        <f>VLOOKUP(Table311[[#This Row],[Date]],'DB Details'!$A:$L,12)</f>
        <v/>
      </c>
      <c r="C170" s="49">
        <f>VLOOKUP(Table311[[#This Row],[Date]],'DB Details'!$A:$T,20)</f>
        <v/>
      </c>
      <c r="D170" s="49">
        <f>VLOOKUP(Table311[[#This Row],[Date]],'DB Details'!$A:$T,18)</f>
        <v/>
      </c>
      <c r="E170" s="49">
        <f>VLOOKUP(Table311[[#This Row],[Date]],'DB Details'!$A:$T,19)</f>
        <v/>
      </c>
    </row>
    <row r="171">
      <c r="A171" s="38" t="n">
        <v>22555</v>
      </c>
      <c r="B171" s="48">
        <f>VLOOKUP(Table311[[#This Row],[Date]],'DB Details'!$A:$L,12)</f>
        <v/>
      </c>
      <c r="C171" s="49">
        <f>VLOOKUP(Table311[[#This Row],[Date]],'DB Details'!$A:$T,20)</f>
        <v/>
      </c>
      <c r="D171" s="49">
        <f>VLOOKUP(Table311[[#This Row],[Date]],'DB Details'!$A:$T,18)</f>
        <v/>
      </c>
      <c r="E171" s="49">
        <f>VLOOKUP(Table311[[#This Row],[Date]],'DB Details'!$A:$T,19)</f>
        <v/>
      </c>
    </row>
    <row r="172">
      <c r="A172" s="38" t="n">
        <v>22586</v>
      </c>
      <c r="B172" s="48">
        <f>VLOOKUP(Table311[[#This Row],[Date]],'DB Details'!$A:$L,12)</f>
        <v/>
      </c>
      <c r="C172" s="49">
        <f>VLOOKUP(Table311[[#This Row],[Date]],'DB Details'!$A:$T,20)</f>
        <v/>
      </c>
      <c r="D172" s="49">
        <f>VLOOKUP(Table311[[#This Row],[Date]],'DB Details'!$A:$T,18)</f>
        <v/>
      </c>
      <c r="E172" s="49">
        <f>VLOOKUP(Table311[[#This Row],[Date]],'DB Details'!$A:$T,19)</f>
        <v/>
      </c>
    </row>
    <row r="173">
      <c r="A173" s="38" t="n">
        <v>22616</v>
      </c>
      <c r="B173" s="48">
        <f>VLOOKUP(Table311[[#This Row],[Date]],'DB Details'!$A:$L,12)</f>
        <v/>
      </c>
      <c r="C173" s="49">
        <f>VLOOKUP(Table311[[#This Row],[Date]],'DB Details'!$A:$T,20)</f>
        <v/>
      </c>
      <c r="D173" s="49">
        <f>VLOOKUP(Table311[[#This Row],[Date]],'DB Details'!$A:$T,18)</f>
        <v/>
      </c>
      <c r="E173" s="49">
        <f>VLOOKUP(Table311[[#This Row],[Date]],'DB Details'!$A:$T,19)</f>
        <v/>
      </c>
    </row>
    <row r="174">
      <c r="A174" s="38" t="n">
        <v>22647</v>
      </c>
      <c r="B174" s="48">
        <f>VLOOKUP(Table311[[#This Row],[Date]],'DB Details'!$A:$L,12)</f>
        <v/>
      </c>
      <c r="C174" s="49">
        <f>VLOOKUP(Table311[[#This Row],[Date]],'DB Details'!$A:$T,20)</f>
        <v/>
      </c>
      <c r="D174" s="49">
        <f>VLOOKUP(Table311[[#This Row],[Date]],'DB Details'!$A:$T,18)</f>
        <v/>
      </c>
      <c r="E174" s="49">
        <f>VLOOKUP(Table311[[#This Row],[Date]],'DB Details'!$A:$T,19)</f>
        <v/>
      </c>
    </row>
    <row r="175">
      <c r="A175" s="38" t="n">
        <v>22678</v>
      </c>
      <c r="B175" s="48">
        <f>VLOOKUP(Table311[[#This Row],[Date]],'DB Details'!$A:$L,12)</f>
        <v/>
      </c>
      <c r="C175" s="49">
        <f>VLOOKUP(Table311[[#This Row],[Date]],'DB Details'!$A:$T,20)</f>
        <v/>
      </c>
      <c r="D175" s="49">
        <f>VLOOKUP(Table311[[#This Row],[Date]],'DB Details'!$A:$T,18)</f>
        <v/>
      </c>
      <c r="E175" s="49">
        <f>VLOOKUP(Table311[[#This Row],[Date]],'DB Details'!$A:$T,19)</f>
        <v/>
      </c>
    </row>
    <row r="176">
      <c r="A176" s="38" t="n">
        <v>22706</v>
      </c>
      <c r="B176" s="48">
        <f>VLOOKUP(Table311[[#This Row],[Date]],'DB Details'!$A:$L,12)</f>
        <v/>
      </c>
      <c r="C176" s="49">
        <f>VLOOKUP(Table311[[#This Row],[Date]],'DB Details'!$A:$T,20)</f>
        <v/>
      </c>
      <c r="D176" s="49">
        <f>VLOOKUP(Table311[[#This Row],[Date]],'DB Details'!$A:$T,18)</f>
        <v/>
      </c>
      <c r="E176" s="49">
        <f>VLOOKUP(Table311[[#This Row],[Date]],'DB Details'!$A:$T,19)</f>
        <v/>
      </c>
    </row>
    <row r="177">
      <c r="A177" s="38" t="n">
        <v>22737</v>
      </c>
      <c r="B177" s="48">
        <f>VLOOKUP(Table311[[#This Row],[Date]],'DB Details'!$A:$L,12)</f>
        <v/>
      </c>
      <c r="C177" s="49">
        <f>VLOOKUP(Table311[[#This Row],[Date]],'DB Details'!$A:$T,20)</f>
        <v/>
      </c>
      <c r="D177" s="49">
        <f>VLOOKUP(Table311[[#This Row],[Date]],'DB Details'!$A:$T,18)</f>
        <v/>
      </c>
      <c r="E177" s="49">
        <f>VLOOKUP(Table311[[#This Row],[Date]],'DB Details'!$A:$T,19)</f>
        <v/>
      </c>
    </row>
    <row r="178">
      <c r="A178" s="38" t="n">
        <v>22767</v>
      </c>
      <c r="B178" s="48">
        <f>VLOOKUP(Table311[[#This Row],[Date]],'DB Details'!$A:$L,12)</f>
        <v/>
      </c>
      <c r="C178" s="49">
        <f>VLOOKUP(Table311[[#This Row],[Date]],'DB Details'!$A:$T,20)</f>
        <v/>
      </c>
      <c r="D178" s="49">
        <f>VLOOKUP(Table311[[#This Row],[Date]],'DB Details'!$A:$T,18)</f>
        <v/>
      </c>
      <c r="E178" s="49">
        <f>VLOOKUP(Table311[[#This Row],[Date]],'DB Details'!$A:$T,19)</f>
        <v/>
      </c>
    </row>
    <row r="179">
      <c r="A179" s="38" t="n">
        <v>22798</v>
      </c>
      <c r="B179" s="48">
        <f>VLOOKUP(Table311[[#This Row],[Date]],'DB Details'!$A:$L,12)</f>
        <v/>
      </c>
      <c r="C179" s="49">
        <f>VLOOKUP(Table311[[#This Row],[Date]],'DB Details'!$A:$T,20)</f>
        <v/>
      </c>
      <c r="D179" s="49">
        <f>VLOOKUP(Table311[[#This Row],[Date]],'DB Details'!$A:$T,18)</f>
        <v/>
      </c>
      <c r="E179" s="49">
        <f>VLOOKUP(Table311[[#This Row],[Date]],'DB Details'!$A:$T,19)</f>
        <v/>
      </c>
    </row>
    <row r="180">
      <c r="A180" s="38" t="n">
        <v>22828</v>
      </c>
      <c r="B180" s="48">
        <f>VLOOKUP(Table311[[#This Row],[Date]],'DB Details'!$A:$L,12)</f>
        <v/>
      </c>
      <c r="C180" s="49">
        <f>VLOOKUP(Table311[[#This Row],[Date]],'DB Details'!$A:$T,20)</f>
        <v/>
      </c>
      <c r="D180" s="49">
        <f>VLOOKUP(Table311[[#This Row],[Date]],'DB Details'!$A:$T,18)</f>
        <v/>
      </c>
      <c r="E180" s="49">
        <f>VLOOKUP(Table311[[#This Row],[Date]],'DB Details'!$A:$T,19)</f>
        <v/>
      </c>
    </row>
    <row r="181">
      <c r="A181" s="38" t="n">
        <v>22859</v>
      </c>
      <c r="B181" s="48">
        <f>VLOOKUP(Table311[[#This Row],[Date]],'DB Details'!$A:$L,12)</f>
        <v/>
      </c>
      <c r="C181" s="49">
        <f>VLOOKUP(Table311[[#This Row],[Date]],'DB Details'!$A:$T,20)</f>
        <v/>
      </c>
      <c r="D181" s="49">
        <f>VLOOKUP(Table311[[#This Row],[Date]],'DB Details'!$A:$T,18)</f>
        <v/>
      </c>
      <c r="E181" s="49">
        <f>VLOOKUP(Table311[[#This Row],[Date]],'DB Details'!$A:$T,19)</f>
        <v/>
      </c>
    </row>
    <row r="182">
      <c r="A182" s="38" t="n">
        <v>22890</v>
      </c>
      <c r="B182" s="48">
        <f>VLOOKUP(Table311[[#This Row],[Date]],'DB Details'!$A:$L,12)</f>
        <v/>
      </c>
      <c r="C182" s="49">
        <f>VLOOKUP(Table311[[#This Row],[Date]],'DB Details'!$A:$T,20)</f>
        <v/>
      </c>
      <c r="D182" s="49">
        <f>VLOOKUP(Table311[[#This Row],[Date]],'DB Details'!$A:$T,18)</f>
        <v/>
      </c>
      <c r="E182" s="49">
        <f>VLOOKUP(Table311[[#This Row],[Date]],'DB Details'!$A:$T,19)</f>
        <v/>
      </c>
    </row>
    <row r="183">
      <c r="A183" s="38" t="n">
        <v>22920</v>
      </c>
      <c r="B183" s="48">
        <f>VLOOKUP(Table311[[#This Row],[Date]],'DB Details'!$A:$L,12)</f>
        <v/>
      </c>
      <c r="C183" s="49">
        <f>VLOOKUP(Table311[[#This Row],[Date]],'DB Details'!$A:$T,20)</f>
        <v/>
      </c>
      <c r="D183" s="49">
        <f>VLOOKUP(Table311[[#This Row],[Date]],'DB Details'!$A:$T,18)</f>
        <v/>
      </c>
      <c r="E183" s="49">
        <f>VLOOKUP(Table311[[#This Row],[Date]],'DB Details'!$A:$T,19)</f>
        <v/>
      </c>
    </row>
    <row r="184">
      <c r="A184" s="38" t="n">
        <v>22951</v>
      </c>
      <c r="B184" s="48">
        <f>VLOOKUP(Table311[[#This Row],[Date]],'DB Details'!$A:$L,12)</f>
        <v/>
      </c>
      <c r="C184" s="49">
        <f>VLOOKUP(Table311[[#This Row],[Date]],'DB Details'!$A:$T,20)</f>
        <v/>
      </c>
      <c r="D184" s="49">
        <f>VLOOKUP(Table311[[#This Row],[Date]],'DB Details'!$A:$T,18)</f>
        <v/>
      </c>
      <c r="E184" s="49">
        <f>VLOOKUP(Table311[[#This Row],[Date]],'DB Details'!$A:$T,19)</f>
        <v/>
      </c>
    </row>
    <row r="185">
      <c r="A185" s="38" t="n">
        <v>22981</v>
      </c>
      <c r="B185" s="48">
        <f>VLOOKUP(Table311[[#This Row],[Date]],'DB Details'!$A:$L,12)</f>
        <v/>
      </c>
      <c r="C185" s="49">
        <f>VLOOKUP(Table311[[#This Row],[Date]],'DB Details'!$A:$T,20)</f>
        <v/>
      </c>
      <c r="D185" s="49">
        <f>VLOOKUP(Table311[[#This Row],[Date]],'DB Details'!$A:$T,18)</f>
        <v/>
      </c>
      <c r="E185" s="49">
        <f>VLOOKUP(Table311[[#This Row],[Date]],'DB Details'!$A:$T,19)</f>
        <v/>
      </c>
    </row>
    <row r="186">
      <c r="A186" s="38" t="n">
        <v>23012</v>
      </c>
      <c r="B186" s="48">
        <f>VLOOKUP(Table311[[#This Row],[Date]],'DB Details'!$A:$L,12)</f>
        <v/>
      </c>
      <c r="C186" s="49">
        <f>VLOOKUP(Table311[[#This Row],[Date]],'DB Details'!$A:$T,20)</f>
        <v/>
      </c>
      <c r="D186" s="49">
        <f>VLOOKUP(Table311[[#This Row],[Date]],'DB Details'!$A:$T,18)</f>
        <v/>
      </c>
      <c r="E186" s="49">
        <f>VLOOKUP(Table311[[#This Row],[Date]],'DB Details'!$A:$T,19)</f>
        <v/>
      </c>
    </row>
    <row r="187">
      <c r="A187" s="38" t="n">
        <v>23043</v>
      </c>
      <c r="B187" s="48">
        <f>VLOOKUP(Table311[[#This Row],[Date]],'DB Details'!$A:$L,12)</f>
        <v/>
      </c>
      <c r="C187" s="49">
        <f>VLOOKUP(Table311[[#This Row],[Date]],'DB Details'!$A:$T,20)</f>
        <v/>
      </c>
      <c r="D187" s="49">
        <f>VLOOKUP(Table311[[#This Row],[Date]],'DB Details'!$A:$T,18)</f>
        <v/>
      </c>
      <c r="E187" s="49">
        <f>VLOOKUP(Table311[[#This Row],[Date]],'DB Details'!$A:$T,19)</f>
        <v/>
      </c>
    </row>
    <row r="188">
      <c r="A188" s="38" t="n">
        <v>23071</v>
      </c>
      <c r="B188" s="48">
        <f>VLOOKUP(Table311[[#This Row],[Date]],'DB Details'!$A:$L,12)</f>
        <v/>
      </c>
      <c r="C188" s="49">
        <f>VLOOKUP(Table311[[#This Row],[Date]],'DB Details'!$A:$T,20)</f>
        <v/>
      </c>
      <c r="D188" s="49">
        <f>VLOOKUP(Table311[[#This Row],[Date]],'DB Details'!$A:$T,18)</f>
        <v/>
      </c>
      <c r="E188" s="49">
        <f>VLOOKUP(Table311[[#This Row],[Date]],'DB Details'!$A:$T,19)</f>
        <v/>
      </c>
    </row>
    <row r="189">
      <c r="A189" s="38" t="n">
        <v>23102</v>
      </c>
      <c r="B189" s="48">
        <f>VLOOKUP(Table311[[#This Row],[Date]],'DB Details'!$A:$L,12)</f>
        <v/>
      </c>
      <c r="C189" s="49">
        <f>VLOOKUP(Table311[[#This Row],[Date]],'DB Details'!$A:$T,20)</f>
        <v/>
      </c>
      <c r="D189" s="49">
        <f>VLOOKUP(Table311[[#This Row],[Date]],'DB Details'!$A:$T,18)</f>
        <v/>
      </c>
      <c r="E189" s="49">
        <f>VLOOKUP(Table311[[#This Row],[Date]],'DB Details'!$A:$T,19)</f>
        <v/>
      </c>
    </row>
    <row r="190">
      <c r="A190" s="38" t="n">
        <v>23132</v>
      </c>
      <c r="B190" s="48">
        <f>VLOOKUP(Table311[[#This Row],[Date]],'DB Details'!$A:$L,12)</f>
        <v/>
      </c>
      <c r="C190" s="49">
        <f>VLOOKUP(Table311[[#This Row],[Date]],'DB Details'!$A:$T,20)</f>
        <v/>
      </c>
      <c r="D190" s="49">
        <f>VLOOKUP(Table311[[#This Row],[Date]],'DB Details'!$A:$T,18)</f>
        <v/>
      </c>
      <c r="E190" s="49">
        <f>VLOOKUP(Table311[[#This Row],[Date]],'DB Details'!$A:$T,19)</f>
        <v/>
      </c>
    </row>
    <row r="191">
      <c r="A191" s="38" t="n">
        <v>23163</v>
      </c>
      <c r="B191" s="48">
        <f>VLOOKUP(Table311[[#This Row],[Date]],'DB Details'!$A:$L,12)</f>
        <v/>
      </c>
      <c r="C191" s="49">
        <f>VLOOKUP(Table311[[#This Row],[Date]],'DB Details'!$A:$T,20)</f>
        <v/>
      </c>
      <c r="D191" s="49">
        <f>VLOOKUP(Table311[[#This Row],[Date]],'DB Details'!$A:$T,18)</f>
        <v/>
      </c>
      <c r="E191" s="49">
        <f>VLOOKUP(Table311[[#This Row],[Date]],'DB Details'!$A:$T,19)</f>
        <v/>
      </c>
    </row>
    <row r="192">
      <c r="A192" s="38" t="n">
        <v>23193</v>
      </c>
      <c r="B192" s="48">
        <f>VLOOKUP(Table311[[#This Row],[Date]],'DB Details'!$A:$L,12)</f>
        <v/>
      </c>
      <c r="C192" s="49">
        <f>VLOOKUP(Table311[[#This Row],[Date]],'DB Details'!$A:$T,20)</f>
        <v/>
      </c>
      <c r="D192" s="49">
        <f>VLOOKUP(Table311[[#This Row],[Date]],'DB Details'!$A:$T,18)</f>
        <v/>
      </c>
      <c r="E192" s="49">
        <f>VLOOKUP(Table311[[#This Row],[Date]],'DB Details'!$A:$T,19)</f>
        <v/>
      </c>
    </row>
    <row r="193">
      <c r="A193" s="38" t="n">
        <v>23224</v>
      </c>
      <c r="B193" s="48">
        <f>VLOOKUP(Table311[[#This Row],[Date]],'DB Details'!$A:$L,12)</f>
        <v/>
      </c>
      <c r="C193" s="49">
        <f>VLOOKUP(Table311[[#This Row],[Date]],'DB Details'!$A:$T,20)</f>
        <v/>
      </c>
      <c r="D193" s="49">
        <f>VLOOKUP(Table311[[#This Row],[Date]],'DB Details'!$A:$T,18)</f>
        <v/>
      </c>
      <c r="E193" s="49">
        <f>VLOOKUP(Table311[[#This Row],[Date]],'DB Details'!$A:$T,19)</f>
        <v/>
      </c>
    </row>
    <row r="194">
      <c r="A194" s="38" t="n">
        <v>23255</v>
      </c>
      <c r="B194" s="48">
        <f>VLOOKUP(Table311[[#This Row],[Date]],'DB Details'!$A:$L,12)</f>
        <v/>
      </c>
      <c r="C194" s="49">
        <f>VLOOKUP(Table311[[#This Row],[Date]],'DB Details'!$A:$T,20)</f>
        <v/>
      </c>
      <c r="D194" s="49">
        <f>VLOOKUP(Table311[[#This Row],[Date]],'DB Details'!$A:$T,18)</f>
        <v/>
      </c>
      <c r="E194" s="49">
        <f>VLOOKUP(Table311[[#This Row],[Date]],'DB Details'!$A:$T,19)</f>
        <v/>
      </c>
    </row>
    <row r="195">
      <c r="A195" s="38" t="n">
        <v>23285</v>
      </c>
      <c r="B195" s="48">
        <f>VLOOKUP(Table311[[#This Row],[Date]],'DB Details'!$A:$L,12)</f>
        <v/>
      </c>
      <c r="C195" s="49">
        <f>VLOOKUP(Table311[[#This Row],[Date]],'DB Details'!$A:$T,20)</f>
        <v/>
      </c>
      <c r="D195" s="49">
        <f>VLOOKUP(Table311[[#This Row],[Date]],'DB Details'!$A:$T,18)</f>
        <v/>
      </c>
      <c r="E195" s="49">
        <f>VLOOKUP(Table311[[#This Row],[Date]],'DB Details'!$A:$T,19)</f>
        <v/>
      </c>
    </row>
    <row r="196">
      <c r="A196" s="38" t="n">
        <v>23316</v>
      </c>
      <c r="B196" s="48">
        <f>VLOOKUP(Table311[[#This Row],[Date]],'DB Details'!$A:$L,12)</f>
        <v/>
      </c>
      <c r="C196" s="49">
        <f>VLOOKUP(Table311[[#This Row],[Date]],'DB Details'!$A:$T,20)</f>
        <v/>
      </c>
      <c r="D196" s="49">
        <f>VLOOKUP(Table311[[#This Row],[Date]],'DB Details'!$A:$T,18)</f>
        <v/>
      </c>
      <c r="E196" s="49">
        <f>VLOOKUP(Table311[[#This Row],[Date]],'DB Details'!$A:$T,19)</f>
        <v/>
      </c>
    </row>
    <row r="197">
      <c r="A197" s="38" t="n">
        <v>23346</v>
      </c>
      <c r="B197" s="48">
        <f>VLOOKUP(Table311[[#This Row],[Date]],'DB Details'!$A:$L,12)</f>
        <v/>
      </c>
      <c r="C197" s="49">
        <f>VLOOKUP(Table311[[#This Row],[Date]],'DB Details'!$A:$T,20)</f>
        <v/>
      </c>
      <c r="D197" s="49">
        <f>VLOOKUP(Table311[[#This Row],[Date]],'DB Details'!$A:$T,18)</f>
        <v/>
      </c>
      <c r="E197" s="49">
        <f>VLOOKUP(Table311[[#This Row],[Date]],'DB Details'!$A:$T,19)</f>
        <v/>
      </c>
    </row>
    <row r="198">
      <c r="A198" s="38" t="n">
        <v>23377</v>
      </c>
      <c r="B198" s="48">
        <f>VLOOKUP(Table311[[#This Row],[Date]],'DB Details'!$A:$L,12)</f>
        <v/>
      </c>
      <c r="C198" s="49">
        <f>VLOOKUP(Table311[[#This Row],[Date]],'DB Details'!$A:$T,20)</f>
        <v/>
      </c>
      <c r="D198" s="49">
        <f>VLOOKUP(Table311[[#This Row],[Date]],'DB Details'!$A:$T,18)</f>
        <v/>
      </c>
      <c r="E198" s="49">
        <f>VLOOKUP(Table311[[#This Row],[Date]],'DB Details'!$A:$T,19)</f>
        <v/>
      </c>
    </row>
    <row r="199">
      <c r="A199" s="38" t="n">
        <v>23408</v>
      </c>
      <c r="B199" s="48">
        <f>VLOOKUP(Table311[[#This Row],[Date]],'DB Details'!$A:$L,12)</f>
        <v/>
      </c>
      <c r="C199" s="49">
        <f>VLOOKUP(Table311[[#This Row],[Date]],'DB Details'!$A:$T,20)</f>
        <v/>
      </c>
      <c r="D199" s="49">
        <f>VLOOKUP(Table311[[#This Row],[Date]],'DB Details'!$A:$T,18)</f>
        <v/>
      </c>
      <c r="E199" s="49">
        <f>VLOOKUP(Table311[[#This Row],[Date]],'DB Details'!$A:$T,19)</f>
        <v/>
      </c>
    </row>
    <row r="200">
      <c r="A200" s="38" t="n">
        <v>23437</v>
      </c>
      <c r="B200" s="48">
        <f>VLOOKUP(Table311[[#This Row],[Date]],'DB Details'!$A:$L,12)</f>
        <v/>
      </c>
      <c r="C200" s="49">
        <f>VLOOKUP(Table311[[#This Row],[Date]],'DB Details'!$A:$T,20)</f>
        <v/>
      </c>
      <c r="D200" s="49">
        <f>VLOOKUP(Table311[[#This Row],[Date]],'DB Details'!$A:$T,18)</f>
        <v/>
      </c>
      <c r="E200" s="49">
        <f>VLOOKUP(Table311[[#This Row],[Date]],'DB Details'!$A:$T,19)</f>
        <v/>
      </c>
    </row>
    <row r="201">
      <c r="A201" s="38" t="n">
        <v>23468</v>
      </c>
      <c r="B201" s="48">
        <f>VLOOKUP(Table311[[#This Row],[Date]],'DB Details'!$A:$L,12)</f>
        <v/>
      </c>
      <c r="C201" s="49">
        <f>VLOOKUP(Table311[[#This Row],[Date]],'DB Details'!$A:$T,20)</f>
        <v/>
      </c>
      <c r="D201" s="49">
        <f>VLOOKUP(Table311[[#This Row],[Date]],'DB Details'!$A:$T,18)</f>
        <v/>
      </c>
      <c r="E201" s="49">
        <f>VLOOKUP(Table311[[#This Row],[Date]],'DB Details'!$A:$T,19)</f>
        <v/>
      </c>
    </row>
    <row r="202">
      <c r="A202" s="38" t="n">
        <v>23498</v>
      </c>
      <c r="B202" s="48">
        <f>VLOOKUP(Table311[[#This Row],[Date]],'DB Details'!$A:$L,12)</f>
        <v/>
      </c>
      <c r="C202" s="49">
        <f>VLOOKUP(Table311[[#This Row],[Date]],'DB Details'!$A:$T,20)</f>
        <v/>
      </c>
      <c r="D202" s="49">
        <f>VLOOKUP(Table311[[#This Row],[Date]],'DB Details'!$A:$T,18)</f>
        <v/>
      </c>
      <c r="E202" s="49">
        <f>VLOOKUP(Table311[[#This Row],[Date]],'DB Details'!$A:$T,19)</f>
        <v/>
      </c>
    </row>
    <row r="203">
      <c r="A203" s="38" t="n">
        <v>23529</v>
      </c>
      <c r="B203" s="48">
        <f>VLOOKUP(Table311[[#This Row],[Date]],'DB Details'!$A:$L,12)</f>
        <v/>
      </c>
      <c r="C203" s="49">
        <f>VLOOKUP(Table311[[#This Row],[Date]],'DB Details'!$A:$T,20)</f>
        <v/>
      </c>
      <c r="D203" s="49">
        <f>VLOOKUP(Table311[[#This Row],[Date]],'DB Details'!$A:$T,18)</f>
        <v/>
      </c>
      <c r="E203" s="49">
        <f>VLOOKUP(Table311[[#This Row],[Date]],'DB Details'!$A:$T,19)</f>
        <v/>
      </c>
    </row>
    <row r="204">
      <c r="A204" s="38" t="n">
        <v>23559</v>
      </c>
      <c r="B204" s="48">
        <f>VLOOKUP(Table311[[#This Row],[Date]],'DB Details'!$A:$L,12)</f>
        <v/>
      </c>
      <c r="C204" s="49">
        <f>VLOOKUP(Table311[[#This Row],[Date]],'DB Details'!$A:$T,20)</f>
        <v/>
      </c>
      <c r="D204" s="49">
        <f>VLOOKUP(Table311[[#This Row],[Date]],'DB Details'!$A:$T,18)</f>
        <v/>
      </c>
      <c r="E204" s="49">
        <f>VLOOKUP(Table311[[#This Row],[Date]],'DB Details'!$A:$T,19)</f>
        <v/>
      </c>
    </row>
    <row r="205">
      <c r="A205" s="38" t="n">
        <v>23590</v>
      </c>
      <c r="B205" s="48">
        <f>VLOOKUP(Table311[[#This Row],[Date]],'DB Details'!$A:$L,12)</f>
        <v/>
      </c>
      <c r="C205" s="49">
        <f>VLOOKUP(Table311[[#This Row],[Date]],'DB Details'!$A:$T,20)</f>
        <v/>
      </c>
      <c r="D205" s="49">
        <f>VLOOKUP(Table311[[#This Row],[Date]],'DB Details'!$A:$T,18)</f>
        <v/>
      </c>
      <c r="E205" s="49">
        <f>VLOOKUP(Table311[[#This Row],[Date]],'DB Details'!$A:$T,19)</f>
        <v/>
      </c>
    </row>
    <row r="206">
      <c r="A206" s="38" t="n">
        <v>23621</v>
      </c>
      <c r="B206" s="48">
        <f>VLOOKUP(Table311[[#This Row],[Date]],'DB Details'!$A:$L,12)</f>
        <v/>
      </c>
      <c r="C206" s="49">
        <f>VLOOKUP(Table311[[#This Row],[Date]],'DB Details'!$A:$T,20)</f>
        <v/>
      </c>
      <c r="D206" s="49">
        <f>VLOOKUP(Table311[[#This Row],[Date]],'DB Details'!$A:$T,18)</f>
        <v/>
      </c>
      <c r="E206" s="49">
        <f>VLOOKUP(Table311[[#This Row],[Date]],'DB Details'!$A:$T,19)</f>
        <v/>
      </c>
    </row>
    <row r="207">
      <c r="A207" s="38" t="n">
        <v>23651</v>
      </c>
      <c r="B207" s="48">
        <f>VLOOKUP(Table311[[#This Row],[Date]],'DB Details'!$A:$L,12)</f>
        <v/>
      </c>
      <c r="C207" s="49">
        <f>VLOOKUP(Table311[[#This Row],[Date]],'DB Details'!$A:$T,20)</f>
        <v/>
      </c>
      <c r="D207" s="49">
        <f>VLOOKUP(Table311[[#This Row],[Date]],'DB Details'!$A:$T,18)</f>
        <v/>
      </c>
      <c r="E207" s="49">
        <f>VLOOKUP(Table311[[#This Row],[Date]],'DB Details'!$A:$T,19)</f>
        <v/>
      </c>
    </row>
    <row r="208">
      <c r="A208" s="38" t="n">
        <v>23682</v>
      </c>
      <c r="B208" s="48">
        <f>VLOOKUP(Table311[[#This Row],[Date]],'DB Details'!$A:$L,12)</f>
        <v/>
      </c>
      <c r="C208" s="49">
        <f>VLOOKUP(Table311[[#This Row],[Date]],'DB Details'!$A:$T,20)</f>
        <v/>
      </c>
      <c r="D208" s="49">
        <f>VLOOKUP(Table311[[#This Row],[Date]],'DB Details'!$A:$T,18)</f>
        <v/>
      </c>
      <c r="E208" s="49">
        <f>VLOOKUP(Table311[[#This Row],[Date]],'DB Details'!$A:$T,19)</f>
        <v/>
      </c>
    </row>
    <row r="209">
      <c r="A209" s="38" t="n">
        <v>23712</v>
      </c>
      <c r="B209" s="48">
        <f>VLOOKUP(Table311[[#This Row],[Date]],'DB Details'!$A:$L,12)</f>
        <v/>
      </c>
      <c r="C209" s="49">
        <f>VLOOKUP(Table311[[#This Row],[Date]],'DB Details'!$A:$T,20)</f>
        <v/>
      </c>
      <c r="D209" s="49">
        <f>VLOOKUP(Table311[[#This Row],[Date]],'DB Details'!$A:$T,18)</f>
        <v/>
      </c>
      <c r="E209" s="49">
        <f>VLOOKUP(Table311[[#This Row],[Date]],'DB Details'!$A:$T,19)</f>
        <v/>
      </c>
    </row>
    <row r="210">
      <c r="A210" s="38" t="n">
        <v>23743</v>
      </c>
      <c r="B210" s="48">
        <f>VLOOKUP(Table311[[#This Row],[Date]],'DB Details'!$A:$L,12)</f>
        <v/>
      </c>
      <c r="C210" s="49">
        <f>VLOOKUP(Table311[[#This Row],[Date]],'DB Details'!$A:$T,20)</f>
        <v/>
      </c>
      <c r="D210" s="49">
        <f>VLOOKUP(Table311[[#This Row],[Date]],'DB Details'!$A:$T,18)</f>
        <v/>
      </c>
      <c r="E210" s="49">
        <f>VLOOKUP(Table311[[#This Row],[Date]],'DB Details'!$A:$T,19)</f>
        <v/>
      </c>
    </row>
    <row r="211">
      <c r="A211" s="38" t="n">
        <v>23774</v>
      </c>
      <c r="B211" s="48">
        <f>VLOOKUP(Table311[[#This Row],[Date]],'DB Details'!$A:$L,12)</f>
        <v/>
      </c>
      <c r="C211" s="49">
        <f>VLOOKUP(Table311[[#This Row],[Date]],'DB Details'!$A:$T,20)</f>
        <v/>
      </c>
      <c r="D211" s="49">
        <f>VLOOKUP(Table311[[#This Row],[Date]],'DB Details'!$A:$T,18)</f>
        <v/>
      </c>
      <c r="E211" s="49">
        <f>VLOOKUP(Table311[[#This Row],[Date]],'DB Details'!$A:$T,19)</f>
        <v/>
      </c>
    </row>
    <row r="212">
      <c r="A212" s="38" t="n">
        <v>23802</v>
      </c>
      <c r="B212" s="48">
        <f>VLOOKUP(Table311[[#This Row],[Date]],'DB Details'!$A:$L,12)</f>
        <v/>
      </c>
      <c r="C212" s="49">
        <f>VLOOKUP(Table311[[#This Row],[Date]],'DB Details'!$A:$T,20)</f>
        <v/>
      </c>
      <c r="D212" s="49">
        <f>VLOOKUP(Table311[[#This Row],[Date]],'DB Details'!$A:$T,18)</f>
        <v/>
      </c>
      <c r="E212" s="49">
        <f>VLOOKUP(Table311[[#This Row],[Date]],'DB Details'!$A:$T,19)</f>
        <v/>
      </c>
    </row>
    <row r="213">
      <c r="A213" s="38" t="n">
        <v>23833</v>
      </c>
      <c r="B213" s="48">
        <f>VLOOKUP(Table311[[#This Row],[Date]],'DB Details'!$A:$L,12)</f>
        <v/>
      </c>
      <c r="C213" s="49">
        <f>VLOOKUP(Table311[[#This Row],[Date]],'DB Details'!$A:$T,20)</f>
        <v/>
      </c>
      <c r="D213" s="49">
        <f>VLOOKUP(Table311[[#This Row],[Date]],'DB Details'!$A:$T,18)</f>
        <v/>
      </c>
      <c r="E213" s="49">
        <f>VLOOKUP(Table311[[#This Row],[Date]],'DB Details'!$A:$T,19)</f>
        <v/>
      </c>
    </row>
    <row r="214">
      <c r="A214" s="38" t="n">
        <v>23863</v>
      </c>
      <c r="B214" s="48">
        <f>VLOOKUP(Table311[[#This Row],[Date]],'DB Details'!$A:$L,12)</f>
        <v/>
      </c>
      <c r="C214" s="49">
        <f>VLOOKUP(Table311[[#This Row],[Date]],'DB Details'!$A:$T,20)</f>
        <v/>
      </c>
      <c r="D214" s="49">
        <f>VLOOKUP(Table311[[#This Row],[Date]],'DB Details'!$A:$T,18)</f>
        <v/>
      </c>
      <c r="E214" s="49">
        <f>VLOOKUP(Table311[[#This Row],[Date]],'DB Details'!$A:$T,19)</f>
        <v/>
      </c>
    </row>
    <row r="215">
      <c r="A215" s="38" t="n">
        <v>23894</v>
      </c>
      <c r="B215" s="48">
        <f>VLOOKUP(Table311[[#This Row],[Date]],'DB Details'!$A:$L,12)</f>
        <v/>
      </c>
      <c r="C215" s="49">
        <f>VLOOKUP(Table311[[#This Row],[Date]],'DB Details'!$A:$T,20)</f>
        <v/>
      </c>
      <c r="D215" s="49">
        <f>VLOOKUP(Table311[[#This Row],[Date]],'DB Details'!$A:$T,18)</f>
        <v/>
      </c>
      <c r="E215" s="49">
        <f>VLOOKUP(Table311[[#This Row],[Date]],'DB Details'!$A:$T,19)</f>
        <v/>
      </c>
    </row>
    <row r="216">
      <c r="A216" s="38" t="n">
        <v>23924</v>
      </c>
      <c r="B216" s="48">
        <f>VLOOKUP(Table311[[#This Row],[Date]],'DB Details'!$A:$L,12)</f>
        <v/>
      </c>
      <c r="C216" s="49">
        <f>VLOOKUP(Table311[[#This Row],[Date]],'DB Details'!$A:$T,20)</f>
        <v/>
      </c>
      <c r="D216" s="49">
        <f>VLOOKUP(Table311[[#This Row],[Date]],'DB Details'!$A:$T,18)</f>
        <v/>
      </c>
      <c r="E216" s="49">
        <f>VLOOKUP(Table311[[#This Row],[Date]],'DB Details'!$A:$T,19)</f>
        <v/>
      </c>
    </row>
    <row r="217">
      <c r="A217" s="38" t="n">
        <v>23955</v>
      </c>
      <c r="B217" s="48">
        <f>VLOOKUP(Table311[[#This Row],[Date]],'DB Details'!$A:$L,12)</f>
        <v/>
      </c>
      <c r="C217" s="49">
        <f>VLOOKUP(Table311[[#This Row],[Date]],'DB Details'!$A:$T,20)</f>
        <v/>
      </c>
      <c r="D217" s="49">
        <f>VLOOKUP(Table311[[#This Row],[Date]],'DB Details'!$A:$T,18)</f>
        <v/>
      </c>
      <c r="E217" s="49">
        <f>VLOOKUP(Table311[[#This Row],[Date]],'DB Details'!$A:$T,19)</f>
        <v/>
      </c>
    </row>
    <row r="218">
      <c r="A218" s="38" t="n">
        <v>23986</v>
      </c>
      <c r="B218" s="48">
        <f>VLOOKUP(Table311[[#This Row],[Date]],'DB Details'!$A:$L,12)</f>
        <v/>
      </c>
      <c r="C218" s="49">
        <f>VLOOKUP(Table311[[#This Row],[Date]],'DB Details'!$A:$T,20)</f>
        <v/>
      </c>
      <c r="D218" s="49">
        <f>VLOOKUP(Table311[[#This Row],[Date]],'DB Details'!$A:$T,18)</f>
        <v/>
      </c>
      <c r="E218" s="49">
        <f>VLOOKUP(Table311[[#This Row],[Date]],'DB Details'!$A:$T,19)</f>
        <v/>
      </c>
    </row>
    <row r="219">
      <c r="A219" s="38" t="n">
        <v>24016</v>
      </c>
      <c r="B219" s="48">
        <f>VLOOKUP(Table311[[#This Row],[Date]],'DB Details'!$A:$L,12)</f>
        <v/>
      </c>
      <c r="C219" s="49">
        <f>VLOOKUP(Table311[[#This Row],[Date]],'DB Details'!$A:$T,20)</f>
        <v/>
      </c>
      <c r="D219" s="49">
        <f>VLOOKUP(Table311[[#This Row],[Date]],'DB Details'!$A:$T,18)</f>
        <v/>
      </c>
      <c r="E219" s="49">
        <f>VLOOKUP(Table311[[#This Row],[Date]],'DB Details'!$A:$T,19)</f>
        <v/>
      </c>
    </row>
    <row r="220">
      <c r="A220" s="38" t="n">
        <v>24047</v>
      </c>
      <c r="B220" s="48">
        <f>VLOOKUP(Table311[[#This Row],[Date]],'DB Details'!$A:$L,12)</f>
        <v/>
      </c>
      <c r="C220" s="49">
        <f>VLOOKUP(Table311[[#This Row],[Date]],'DB Details'!$A:$T,20)</f>
        <v/>
      </c>
      <c r="D220" s="49">
        <f>VLOOKUP(Table311[[#This Row],[Date]],'DB Details'!$A:$T,18)</f>
        <v/>
      </c>
      <c r="E220" s="49">
        <f>VLOOKUP(Table311[[#This Row],[Date]],'DB Details'!$A:$T,19)</f>
        <v/>
      </c>
    </row>
    <row r="221">
      <c r="A221" s="38" t="n">
        <v>24077</v>
      </c>
      <c r="B221" s="48">
        <f>VLOOKUP(Table311[[#This Row],[Date]],'DB Details'!$A:$L,12)</f>
        <v/>
      </c>
      <c r="C221" s="49">
        <f>VLOOKUP(Table311[[#This Row],[Date]],'DB Details'!$A:$T,20)</f>
        <v/>
      </c>
      <c r="D221" s="49">
        <f>VLOOKUP(Table311[[#This Row],[Date]],'DB Details'!$A:$T,18)</f>
        <v/>
      </c>
      <c r="E221" s="49">
        <f>VLOOKUP(Table311[[#This Row],[Date]],'DB Details'!$A:$T,19)</f>
        <v/>
      </c>
    </row>
    <row r="222">
      <c r="A222" s="38" t="n">
        <v>24108</v>
      </c>
      <c r="B222" s="48">
        <f>VLOOKUP(Table311[[#This Row],[Date]],'DB Details'!$A:$L,12)</f>
        <v/>
      </c>
      <c r="C222" s="49">
        <f>VLOOKUP(Table311[[#This Row],[Date]],'DB Details'!$A:$T,20)</f>
        <v/>
      </c>
      <c r="D222" s="49">
        <f>VLOOKUP(Table311[[#This Row],[Date]],'DB Details'!$A:$T,18)</f>
        <v/>
      </c>
      <c r="E222" s="49">
        <f>VLOOKUP(Table311[[#This Row],[Date]],'DB Details'!$A:$T,19)</f>
        <v/>
      </c>
    </row>
    <row r="223">
      <c r="A223" s="38" t="n">
        <v>24139</v>
      </c>
      <c r="B223" s="48">
        <f>VLOOKUP(Table311[[#This Row],[Date]],'DB Details'!$A:$L,12)</f>
        <v/>
      </c>
      <c r="C223" s="49">
        <f>VLOOKUP(Table311[[#This Row],[Date]],'DB Details'!$A:$T,20)</f>
        <v/>
      </c>
      <c r="D223" s="49">
        <f>VLOOKUP(Table311[[#This Row],[Date]],'DB Details'!$A:$T,18)</f>
        <v/>
      </c>
      <c r="E223" s="49">
        <f>VLOOKUP(Table311[[#This Row],[Date]],'DB Details'!$A:$T,19)</f>
        <v/>
      </c>
    </row>
    <row r="224">
      <c r="A224" s="38" t="n">
        <v>24167</v>
      </c>
      <c r="B224" s="48">
        <f>VLOOKUP(Table311[[#This Row],[Date]],'DB Details'!$A:$L,12)</f>
        <v/>
      </c>
      <c r="C224" s="49">
        <f>VLOOKUP(Table311[[#This Row],[Date]],'DB Details'!$A:$T,20)</f>
        <v/>
      </c>
      <c r="D224" s="49">
        <f>VLOOKUP(Table311[[#This Row],[Date]],'DB Details'!$A:$T,18)</f>
        <v/>
      </c>
      <c r="E224" s="49">
        <f>VLOOKUP(Table311[[#This Row],[Date]],'DB Details'!$A:$T,19)</f>
        <v/>
      </c>
    </row>
    <row r="225">
      <c r="A225" s="38" t="n">
        <v>24198</v>
      </c>
      <c r="B225" s="48">
        <f>VLOOKUP(Table311[[#This Row],[Date]],'DB Details'!$A:$L,12)</f>
        <v/>
      </c>
      <c r="C225" s="49">
        <f>VLOOKUP(Table311[[#This Row],[Date]],'DB Details'!$A:$T,20)</f>
        <v/>
      </c>
      <c r="D225" s="49">
        <f>VLOOKUP(Table311[[#This Row],[Date]],'DB Details'!$A:$T,18)</f>
        <v/>
      </c>
      <c r="E225" s="49">
        <f>VLOOKUP(Table311[[#This Row],[Date]],'DB Details'!$A:$T,19)</f>
        <v/>
      </c>
    </row>
    <row r="226">
      <c r="A226" s="38" t="n">
        <v>24228</v>
      </c>
      <c r="B226" s="48">
        <f>VLOOKUP(Table311[[#This Row],[Date]],'DB Details'!$A:$L,12)</f>
        <v/>
      </c>
      <c r="C226" s="49">
        <f>VLOOKUP(Table311[[#This Row],[Date]],'DB Details'!$A:$T,20)</f>
        <v/>
      </c>
      <c r="D226" s="49">
        <f>VLOOKUP(Table311[[#This Row],[Date]],'DB Details'!$A:$T,18)</f>
        <v/>
      </c>
      <c r="E226" s="49">
        <f>VLOOKUP(Table311[[#This Row],[Date]],'DB Details'!$A:$T,19)</f>
        <v/>
      </c>
    </row>
    <row r="227">
      <c r="A227" s="38" t="n">
        <v>24259</v>
      </c>
      <c r="B227" s="48">
        <f>VLOOKUP(Table311[[#This Row],[Date]],'DB Details'!$A:$L,12)</f>
        <v/>
      </c>
      <c r="C227" s="49">
        <f>VLOOKUP(Table311[[#This Row],[Date]],'DB Details'!$A:$T,20)</f>
        <v/>
      </c>
      <c r="D227" s="49">
        <f>VLOOKUP(Table311[[#This Row],[Date]],'DB Details'!$A:$T,18)</f>
        <v/>
      </c>
      <c r="E227" s="49">
        <f>VLOOKUP(Table311[[#This Row],[Date]],'DB Details'!$A:$T,19)</f>
        <v/>
      </c>
    </row>
    <row r="228">
      <c r="A228" s="38" t="n">
        <v>24289</v>
      </c>
      <c r="B228" s="48">
        <f>VLOOKUP(Table311[[#This Row],[Date]],'DB Details'!$A:$L,12)</f>
        <v/>
      </c>
      <c r="C228" s="49">
        <f>VLOOKUP(Table311[[#This Row],[Date]],'DB Details'!$A:$T,20)</f>
        <v/>
      </c>
      <c r="D228" s="49">
        <f>VLOOKUP(Table311[[#This Row],[Date]],'DB Details'!$A:$T,18)</f>
        <v/>
      </c>
      <c r="E228" s="49">
        <f>VLOOKUP(Table311[[#This Row],[Date]],'DB Details'!$A:$T,19)</f>
        <v/>
      </c>
    </row>
    <row r="229">
      <c r="A229" s="38" t="n">
        <v>24320</v>
      </c>
      <c r="B229" s="48">
        <f>VLOOKUP(Table311[[#This Row],[Date]],'DB Details'!$A:$L,12)</f>
        <v/>
      </c>
      <c r="C229" s="49">
        <f>VLOOKUP(Table311[[#This Row],[Date]],'DB Details'!$A:$T,20)</f>
        <v/>
      </c>
      <c r="D229" s="49">
        <f>VLOOKUP(Table311[[#This Row],[Date]],'DB Details'!$A:$T,18)</f>
        <v/>
      </c>
      <c r="E229" s="49">
        <f>VLOOKUP(Table311[[#This Row],[Date]],'DB Details'!$A:$T,19)</f>
        <v/>
      </c>
    </row>
    <row r="230">
      <c r="A230" s="38" t="n">
        <v>24351</v>
      </c>
      <c r="B230" s="48">
        <f>VLOOKUP(Table311[[#This Row],[Date]],'DB Details'!$A:$L,12)</f>
        <v/>
      </c>
      <c r="C230" s="49">
        <f>VLOOKUP(Table311[[#This Row],[Date]],'DB Details'!$A:$T,20)</f>
        <v/>
      </c>
      <c r="D230" s="49">
        <f>VLOOKUP(Table311[[#This Row],[Date]],'DB Details'!$A:$T,18)</f>
        <v/>
      </c>
      <c r="E230" s="49">
        <f>VLOOKUP(Table311[[#This Row],[Date]],'DB Details'!$A:$T,19)</f>
        <v/>
      </c>
    </row>
    <row r="231">
      <c r="A231" s="38" t="n">
        <v>24381</v>
      </c>
      <c r="B231" s="48">
        <f>VLOOKUP(Table311[[#This Row],[Date]],'DB Details'!$A:$L,12)</f>
        <v/>
      </c>
      <c r="C231" s="49">
        <f>VLOOKUP(Table311[[#This Row],[Date]],'DB Details'!$A:$T,20)</f>
        <v/>
      </c>
      <c r="D231" s="49">
        <f>VLOOKUP(Table311[[#This Row],[Date]],'DB Details'!$A:$T,18)</f>
        <v/>
      </c>
      <c r="E231" s="49">
        <f>VLOOKUP(Table311[[#This Row],[Date]],'DB Details'!$A:$T,19)</f>
        <v/>
      </c>
    </row>
    <row r="232">
      <c r="A232" s="38" t="n">
        <v>24412</v>
      </c>
      <c r="B232" s="48">
        <f>VLOOKUP(Table311[[#This Row],[Date]],'DB Details'!$A:$L,12)</f>
        <v/>
      </c>
      <c r="C232" s="49">
        <f>VLOOKUP(Table311[[#This Row],[Date]],'DB Details'!$A:$T,20)</f>
        <v/>
      </c>
      <c r="D232" s="49">
        <f>VLOOKUP(Table311[[#This Row],[Date]],'DB Details'!$A:$T,18)</f>
        <v/>
      </c>
      <c r="E232" s="49">
        <f>VLOOKUP(Table311[[#This Row],[Date]],'DB Details'!$A:$T,19)</f>
        <v/>
      </c>
    </row>
    <row r="233">
      <c r="A233" s="38" t="n">
        <v>24442</v>
      </c>
      <c r="B233" s="48">
        <f>VLOOKUP(Table311[[#This Row],[Date]],'DB Details'!$A:$L,12)</f>
        <v/>
      </c>
      <c r="C233" s="49">
        <f>VLOOKUP(Table311[[#This Row],[Date]],'DB Details'!$A:$T,20)</f>
        <v/>
      </c>
      <c r="D233" s="49">
        <f>VLOOKUP(Table311[[#This Row],[Date]],'DB Details'!$A:$T,18)</f>
        <v/>
      </c>
      <c r="E233" s="49">
        <f>VLOOKUP(Table311[[#This Row],[Date]],'DB Details'!$A:$T,19)</f>
        <v/>
      </c>
    </row>
    <row r="234">
      <c r="A234" s="38" t="n">
        <v>24473</v>
      </c>
      <c r="B234" s="48">
        <f>VLOOKUP(Table311[[#This Row],[Date]],'DB Details'!$A:$L,12)</f>
        <v/>
      </c>
      <c r="C234" s="49">
        <f>VLOOKUP(Table311[[#This Row],[Date]],'DB Details'!$A:$T,20)</f>
        <v/>
      </c>
      <c r="D234" s="49">
        <f>VLOOKUP(Table311[[#This Row],[Date]],'DB Details'!$A:$T,18)</f>
        <v/>
      </c>
      <c r="E234" s="49">
        <f>VLOOKUP(Table311[[#This Row],[Date]],'DB Details'!$A:$T,19)</f>
        <v/>
      </c>
    </row>
    <row r="235">
      <c r="A235" s="38" t="n">
        <v>24504</v>
      </c>
      <c r="B235" s="48">
        <f>VLOOKUP(Table311[[#This Row],[Date]],'DB Details'!$A:$L,12)</f>
        <v/>
      </c>
      <c r="C235" s="49">
        <f>VLOOKUP(Table311[[#This Row],[Date]],'DB Details'!$A:$T,20)</f>
        <v/>
      </c>
      <c r="D235" s="49">
        <f>VLOOKUP(Table311[[#This Row],[Date]],'DB Details'!$A:$T,18)</f>
        <v/>
      </c>
      <c r="E235" s="49">
        <f>VLOOKUP(Table311[[#This Row],[Date]],'DB Details'!$A:$T,19)</f>
        <v/>
      </c>
    </row>
    <row r="236">
      <c r="A236" s="38" t="n">
        <v>24532</v>
      </c>
      <c r="B236" s="48">
        <f>VLOOKUP(Table311[[#This Row],[Date]],'DB Details'!$A:$L,12)</f>
        <v/>
      </c>
      <c r="C236" s="49">
        <f>VLOOKUP(Table311[[#This Row],[Date]],'DB Details'!$A:$T,20)</f>
        <v/>
      </c>
      <c r="D236" s="49">
        <f>VLOOKUP(Table311[[#This Row],[Date]],'DB Details'!$A:$T,18)</f>
        <v/>
      </c>
      <c r="E236" s="49">
        <f>VLOOKUP(Table311[[#This Row],[Date]],'DB Details'!$A:$T,19)</f>
        <v/>
      </c>
    </row>
    <row r="237">
      <c r="A237" s="38" t="n">
        <v>24563</v>
      </c>
      <c r="B237" s="48">
        <f>VLOOKUP(Table311[[#This Row],[Date]],'DB Details'!$A:$L,12)</f>
        <v/>
      </c>
      <c r="C237" s="49">
        <f>VLOOKUP(Table311[[#This Row],[Date]],'DB Details'!$A:$T,20)</f>
        <v/>
      </c>
      <c r="D237" s="49">
        <f>VLOOKUP(Table311[[#This Row],[Date]],'DB Details'!$A:$T,18)</f>
        <v/>
      </c>
      <c r="E237" s="49">
        <f>VLOOKUP(Table311[[#This Row],[Date]],'DB Details'!$A:$T,19)</f>
        <v/>
      </c>
    </row>
    <row r="238">
      <c r="A238" s="38" t="n">
        <v>24593</v>
      </c>
      <c r="B238" s="48">
        <f>VLOOKUP(Table311[[#This Row],[Date]],'DB Details'!$A:$L,12)</f>
        <v/>
      </c>
      <c r="C238" s="49">
        <f>VLOOKUP(Table311[[#This Row],[Date]],'DB Details'!$A:$T,20)</f>
        <v/>
      </c>
      <c r="D238" s="49">
        <f>VLOOKUP(Table311[[#This Row],[Date]],'DB Details'!$A:$T,18)</f>
        <v/>
      </c>
      <c r="E238" s="49">
        <f>VLOOKUP(Table311[[#This Row],[Date]],'DB Details'!$A:$T,19)</f>
        <v/>
      </c>
    </row>
    <row r="239">
      <c r="A239" s="38" t="n">
        <v>24624</v>
      </c>
      <c r="B239" s="48">
        <f>VLOOKUP(Table311[[#This Row],[Date]],'DB Details'!$A:$L,12)</f>
        <v/>
      </c>
      <c r="C239" s="49">
        <f>VLOOKUP(Table311[[#This Row],[Date]],'DB Details'!$A:$T,20)</f>
        <v/>
      </c>
      <c r="D239" s="49">
        <f>VLOOKUP(Table311[[#This Row],[Date]],'DB Details'!$A:$T,18)</f>
        <v/>
      </c>
      <c r="E239" s="49">
        <f>VLOOKUP(Table311[[#This Row],[Date]],'DB Details'!$A:$T,19)</f>
        <v/>
      </c>
    </row>
    <row r="240">
      <c r="A240" s="38" t="n">
        <v>24654</v>
      </c>
      <c r="B240" s="48">
        <f>VLOOKUP(Table311[[#This Row],[Date]],'DB Details'!$A:$L,12)</f>
        <v/>
      </c>
      <c r="C240" s="49">
        <f>VLOOKUP(Table311[[#This Row],[Date]],'DB Details'!$A:$T,20)</f>
        <v/>
      </c>
      <c r="D240" s="49">
        <f>VLOOKUP(Table311[[#This Row],[Date]],'DB Details'!$A:$T,18)</f>
        <v/>
      </c>
      <c r="E240" s="49">
        <f>VLOOKUP(Table311[[#This Row],[Date]],'DB Details'!$A:$T,19)</f>
        <v/>
      </c>
    </row>
    <row r="241">
      <c r="A241" s="38" t="n">
        <v>24685</v>
      </c>
      <c r="B241" s="48">
        <f>VLOOKUP(Table311[[#This Row],[Date]],'DB Details'!$A:$L,12)</f>
        <v/>
      </c>
      <c r="C241" s="49">
        <f>VLOOKUP(Table311[[#This Row],[Date]],'DB Details'!$A:$T,20)</f>
        <v/>
      </c>
      <c r="D241" s="49">
        <f>VLOOKUP(Table311[[#This Row],[Date]],'DB Details'!$A:$T,18)</f>
        <v/>
      </c>
      <c r="E241" s="49">
        <f>VLOOKUP(Table311[[#This Row],[Date]],'DB Details'!$A:$T,19)</f>
        <v/>
      </c>
    </row>
    <row r="242">
      <c r="A242" s="38" t="n">
        <v>24716</v>
      </c>
      <c r="B242" s="48">
        <f>VLOOKUP(Table311[[#This Row],[Date]],'DB Details'!$A:$L,12)</f>
        <v/>
      </c>
      <c r="C242" s="49">
        <f>VLOOKUP(Table311[[#This Row],[Date]],'DB Details'!$A:$T,20)</f>
        <v/>
      </c>
      <c r="D242" s="49">
        <f>VLOOKUP(Table311[[#This Row],[Date]],'DB Details'!$A:$T,18)</f>
        <v/>
      </c>
      <c r="E242" s="49">
        <f>VLOOKUP(Table311[[#This Row],[Date]],'DB Details'!$A:$T,19)</f>
        <v/>
      </c>
    </row>
    <row r="243">
      <c r="A243" s="38" t="n">
        <v>24746</v>
      </c>
      <c r="B243" s="48">
        <f>VLOOKUP(Table311[[#This Row],[Date]],'DB Details'!$A:$L,12)</f>
        <v/>
      </c>
      <c r="C243" s="49">
        <f>VLOOKUP(Table311[[#This Row],[Date]],'DB Details'!$A:$T,20)</f>
        <v/>
      </c>
      <c r="D243" s="49">
        <f>VLOOKUP(Table311[[#This Row],[Date]],'DB Details'!$A:$T,18)</f>
        <v/>
      </c>
      <c r="E243" s="49">
        <f>VLOOKUP(Table311[[#This Row],[Date]],'DB Details'!$A:$T,19)</f>
        <v/>
      </c>
    </row>
    <row r="244">
      <c r="A244" s="38" t="n">
        <v>24777</v>
      </c>
      <c r="B244" s="48">
        <f>VLOOKUP(Table311[[#This Row],[Date]],'DB Details'!$A:$L,12)</f>
        <v/>
      </c>
      <c r="C244" s="49">
        <f>VLOOKUP(Table311[[#This Row],[Date]],'DB Details'!$A:$T,20)</f>
        <v/>
      </c>
      <c r="D244" s="49">
        <f>VLOOKUP(Table311[[#This Row],[Date]],'DB Details'!$A:$T,18)</f>
        <v/>
      </c>
      <c r="E244" s="49">
        <f>VLOOKUP(Table311[[#This Row],[Date]],'DB Details'!$A:$T,19)</f>
        <v/>
      </c>
    </row>
    <row r="245">
      <c r="A245" s="38" t="n">
        <v>24807</v>
      </c>
      <c r="B245" s="48">
        <f>VLOOKUP(Table311[[#This Row],[Date]],'DB Details'!$A:$L,12)</f>
        <v/>
      </c>
      <c r="C245" s="49">
        <f>VLOOKUP(Table311[[#This Row],[Date]],'DB Details'!$A:$T,20)</f>
        <v/>
      </c>
      <c r="D245" s="49">
        <f>VLOOKUP(Table311[[#This Row],[Date]],'DB Details'!$A:$T,18)</f>
        <v/>
      </c>
      <c r="E245" s="49">
        <f>VLOOKUP(Table311[[#This Row],[Date]],'DB Details'!$A:$T,19)</f>
        <v/>
      </c>
    </row>
    <row r="246">
      <c r="A246" s="38" t="n">
        <v>24838</v>
      </c>
      <c r="B246" s="48">
        <f>VLOOKUP(Table311[[#This Row],[Date]],'DB Details'!$A:$L,12)</f>
        <v/>
      </c>
      <c r="C246" s="49">
        <f>VLOOKUP(Table311[[#This Row],[Date]],'DB Details'!$A:$T,20)</f>
        <v/>
      </c>
      <c r="D246" s="49">
        <f>VLOOKUP(Table311[[#This Row],[Date]],'DB Details'!$A:$T,18)</f>
        <v/>
      </c>
      <c r="E246" s="49">
        <f>VLOOKUP(Table311[[#This Row],[Date]],'DB Details'!$A:$T,19)</f>
        <v/>
      </c>
    </row>
    <row r="247">
      <c r="A247" s="38" t="n">
        <v>24869</v>
      </c>
      <c r="B247" s="48">
        <f>VLOOKUP(Table311[[#This Row],[Date]],'DB Details'!$A:$L,12)</f>
        <v/>
      </c>
      <c r="C247" s="49">
        <f>VLOOKUP(Table311[[#This Row],[Date]],'DB Details'!$A:$T,20)</f>
        <v/>
      </c>
      <c r="D247" s="49">
        <f>VLOOKUP(Table311[[#This Row],[Date]],'DB Details'!$A:$T,18)</f>
        <v/>
      </c>
      <c r="E247" s="49">
        <f>VLOOKUP(Table311[[#This Row],[Date]],'DB Details'!$A:$T,19)</f>
        <v/>
      </c>
    </row>
    <row r="248">
      <c r="A248" s="38" t="n">
        <v>24898</v>
      </c>
      <c r="B248" s="48">
        <f>VLOOKUP(Table311[[#This Row],[Date]],'DB Details'!$A:$L,12)</f>
        <v/>
      </c>
      <c r="C248" s="49">
        <f>VLOOKUP(Table311[[#This Row],[Date]],'DB Details'!$A:$T,20)</f>
        <v/>
      </c>
      <c r="D248" s="49">
        <f>VLOOKUP(Table311[[#This Row],[Date]],'DB Details'!$A:$T,18)</f>
        <v/>
      </c>
      <c r="E248" s="49">
        <f>VLOOKUP(Table311[[#This Row],[Date]],'DB Details'!$A:$T,19)</f>
        <v/>
      </c>
    </row>
    <row r="249">
      <c r="A249" s="38" t="n">
        <v>24929</v>
      </c>
      <c r="B249" s="48">
        <f>VLOOKUP(Table311[[#This Row],[Date]],'DB Details'!$A:$L,12)</f>
        <v/>
      </c>
      <c r="C249" s="49">
        <f>VLOOKUP(Table311[[#This Row],[Date]],'DB Details'!$A:$T,20)</f>
        <v/>
      </c>
      <c r="D249" s="49">
        <f>VLOOKUP(Table311[[#This Row],[Date]],'DB Details'!$A:$T,18)</f>
        <v/>
      </c>
      <c r="E249" s="49">
        <f>VLOOKUP(Table311[[#This Row],[Date]],'DB Details'!$A:$T,19)</f>
        <v/>
      </c>
    </row>
    <row r="250">
      <c r="A250" s="38" t="n">
        <v>24959</v>
      </c>
      <c r="B250" s="48">
        <f>VLOOKUP(Table311[[#This Row],[Date]],'DB Details'!$A:$L,12)</f>
        <v/>
      </c>
      <c r="C250" s="49">
        <f>VLOOKUP(Table311[[#This Row],[Date]],'DB Details'!$A:$T,20)</f>
        <v/>
      </c>
      <c r="D250" s="49">
        <f>VLOOKUP(Table311[[#This Row],[Date]],'DB Details'!$A:$T,18)</f>
        <v/>
      </c>
      <c r="E250" s="49">
        <f>VLOOKUP(Table311[[#This Row],[Date]],'DB Details'!$A:$T,19)</f>
        <v/>
      </c>
    </row>
    <row r="251">
      <c r="A251" s="38" t="n">
        <v>24990</v>
      </c>
      <c r="B251" s="48">
        <f>VLOOKUP(Table311[[#This Row],[Date]],'DB Details'!$A:$L,12)</f>
        <v/>
      </c>
      <c r="C251" s="49">
        <f>VLOOKUP(Table311[[#This Row],[Date]],'DB Details'!$A:$T,20)</f>
        <v/>
      </c>
      <c r="D251" s="49">
        <f>VLOOKUP(Table311[[#This Row],[Date]],'DB Details'!$A:$T,18)</f>
        <v/>
      </c>
      <c r="E251" s="49">
        <f>VLOOKUP(Table311[[#This Row],[Date]],'DB Details'!$A:$T,19)</f>
        <v/>
      </c>
    </row>
    <row r="252">
      <c r="A252" s="38" t="n">
        <v>25020</v>
      </c>
      <c r="B252" s="48">
        <f>VLOOKUP(Table311[[#This Row],[Date]],'DB Details'!$A:$L,12)</f>
        <v/>
      </c>
      <c r="C252" s="49">
        <f>VLOOKUP(Table311[[#This Row],[Date]],'DB Details'!$A:$T,20)</f>
        <v/>
      </c>
      <c r="D252" s="49">
        <f>VLOOKUP(Table311[[#This Row],[Date]],'DB Details'!$A:$T,18)</f>
        <v/>
      </c>
      <c r="E252" s="49">
        <f>VLOOKUP(Table311[[#This Row],[Date]],'DB Details'!$A:$T,19)</f>
        <v/>
      </c>
    </row>
    <row r="253">
      <c r="A253" s="38" t="n">
        <v>25051</v>
      </c>
      <c r="B253" s="48">
        <f>VLOOKUP(Table311[[#This Row],[Date]],'DB Details'!$A:$L,12)</f>
        <v/>
      </c>
      <c r="C253" s="49">
        <f>VLOOKUP(Table311[[#This Row],[Date]],'DB Details'!$A:$T,20)</f>
        <v/>
      </c>
      <c r="D253" s="49">
        <f>VLOOKUP(Table311[[#This Row],[Date]],'DB Details'!$A:$T,18)</f>
        <v/>
      </c>
      <c r="E253" s="49">
        <f>VLOOKUP(Table311[[#This Row],[Date]],'DB Details'!$A:$T,19)</f>
        <v/>
      </c>
    </row>
    <row r="254">
      <c r="A254" s="38" t="n">
        <v>25082</v>
      </c>
      <c r="B254" s="48">
        <f>VLOOKUP(Table311[[#This Row],[Date]],'DB Details'!$A:$L,12)</f>
        <v/>
      </c>
      <c r="C254" s="49">
        <f>VLOOKUP(Table311[[#This Row],[Date]],'DB Details'!$A:$T,20)</f>
        <v/>
      </c>
      <c r="D254" s="49">
        <f>VLOOKUP(Table311[[#This Row],[Date]],'DB Details'!$A:$T,18)</f>
        <v/>
      </c>
      <c r="E254" s="49">
        <f>VLOOKUP(Table311[[#This Row],[Date]],'DB Details'!$A:$T,19)</f>
        <v/>
      </c>
    </row>
    <row r="255">
      <c r="A255" s="38" t="n">
        <v>25112</v>
      </c>
      <c r="B255" s="48">
        <f>VLOOKUP(Table311[[#This Row],[Date]],'DB Details'!$A:$L,12)</f>
        <v/>
      </c>
      <c r="C255" s="49">
        <f>VLOOKUP(Table311[[#This Row],[Date]],'DB Details'!$A:$T,20)</f>
        <v/>
      </c>
      <c r="D255" s="49">
        <f>VLOOKUP(Table311[[#This Row],[Date]],'DB Details'!$A:$T,18)</f>
        <v/>
      </c>
      <c r="E255" s="49">
        <f>VLOOKUP(Table311[[#This Row],[Date]],'DB Details'!$A:$T,19)</f>
        <v/>
      </c>
    </row>
    <row r="256">
      <c r="A256" s="38" t="n">
        <v>25143</v>
      </c>
      <c r="B256" s="48">
        <f>VLOOKUP(Table311[[#This Row],[Date]],'DB Details'!$A:$L,12)</f>
        <v/>
      </c>
      <c r="C256" s="49">
        <f>VLOOKUP(Table311[[#This Row],[Date]],'DB Details'!$A:$T,20)</f>
        <v/>
      </c>
      <c r="D256" s="49">
        <f>VLOOKUP(Table311[[#This Row],[Date]],'DB Details'!$A:$T,18)</f>
        <v/>
      </c>
      <c r="E256" s="49">
        <f>VLOOKUP(Table311[[#This Row],[Date]],'DB Details'!$A:$T,19)</f>
        <v/>
      </c>
    </row>
    <row r="257">
      <c r="A257" s="38" t="n">
        <v>25173</v>
      </c>
      <c r="B257" s="48">
        <f>VLOOKUP(Table311[[#This Row],[Date]],'DB Details'!$A:$L,12)</f>
        <v/>
      </c>
      <c r="C257" s="49">
        <f>VLOOKUP(Table311[[#This Row],[Date]],'DB Details'!$A:$T,20)</f>
        <v/>
      </c>
      <c r="D257" s="49">
        <f>VLOOKUP(Table311[[#This Row],[Date]],'DB Details'!$A:$T,18)</f>
        <v/>
      </c>
      <c r="E257" s="49">
        <f>VLOOKUP(Table311[[#This Row],[Date]],'DB Details'!$A:$T,19)</f>
        <v/>
      </c>
    </row>
    <row r="258">
      <c r="A258" s="38" t="n">
        <v>25204</v>
      </c>
      <c r="B258" s="48">
        <f>VLOOKUP(Table311[[#This Row],[Date]],'DB Details'!$A:$L,12)</f>
        <v/>
      </c>
      <c r="C258" s="49">
        <f>VLOOKUP(Table311[[#This Row],[Date]],'DB Details'!$A:$T,20)</f>
        <v/>
      </c>
      <c r="D258" s="49">
        <f>VLOOKUP(Table311[[#This Row],[Date]],'DB Details'!$A:$T,18)</f>
        <v/>
      </c>
      <c r="E258" s="49">
        <f>VLOOKUP(Table311[[#This Row],[Date]],'DB Details'!$A:$T,19)</f>
        <v/>
      </c>
    </row>
    <row r="259">
      <c r="A259" s="38" t="n">
        <v>25235</v>
      </c>
      <c r="B259" s="48">
        <f>VLOOKUP(Table311[[#This Row],[Date]],'DB Details'!$A:$L,12)</f>
        <v/>
      </c>
      <c r="C259" s="49">
        <f>VLOOKUP(Table311[[#This Row],[Date]],'DB Details'!$A:$T,20)</f>
        <v/>
      </c>
      <c r="D259" s="49">
        <f>VLOOKUP(Table311[[#This Row],[Date]],'DB Details'!$A:$T,18)</f>
        <v/>
      </c>
      <c r="E259" s="49">
        <f>VLOOKUP(Table311[[#This Row],[Date]],'DB Details'!$A:$T,19)</f>
        <v/>
      </c>
    </row>
    <row r="260">
      <c r="A260" s="38" t="n">
        <v>25263</v>
      </c>
      <c r="B260" s="48">
        <f>VLOOKUP(Table311[[#This Row],[Date]],'DB Details'!$A:$L,12)</f>
        <v/>
      </c>
      <c r="C260" s="49">
        <f>VLOOKUP(Table311[[#This Row],[Date]],'DB Details'!$A:$T,20)</f>
        <v/>
      </c>
      <c r="D260" s="49">
        <f>VLOOKUP(Table311[[#This Row],[Date]],'DB Details'!$A:$T,18)</f>
        <v/>
      </c>
      <c r="E260" s="49">
        <f>VLOOKUP(Table311[[#This Row],[Date]],'DB Details'!$A:$T,19)</f>
        <v/>
      </c>
    </row>
    <row r="261">
      <c r="A261" s="38" t="n">
        <v>25294</v>
      </c>
      <c r="B261" s="48">
        <f>VLOOKUP(Table311[[#This Row],[Date]],'DB Details'!$A:$L,12)</f>
        <v/>
      </c>
      <c r="C261" s="49">
        <f>VLOOKUP(Table311[[#This Row],[Date]],'DB Details'!$A:$T,20)</f>
        <v/>
      </c>
      <c r="D261" s="49">
        <f>VLOOKUP(Table311[[#This Row],[Date]],'DB Details'!$A:$T,18)</f>
        <v/>
      </c>
      <c r="E261" s="49">
        <f>VLOOKUP(Table311[[#This Row],[Date]],'DB Details'!$A:$T,19)</f>
        <v/>
      </c>
    </row>
    <row r="262">
      <c r="A262" s="38" t="n">
        <v>25324</v>
      </c>
      <c r="B262" s="48">
        <f>VLOOKUP(Table311[[#This Row],[Date]],'DB Details'!$A:$L,12)</f>
        <v/>
      </c>
      <c r="C262" s="49">
        <f>VLOOKUP(Table311[[#This Row],[Date]],'DB Details'!$A:$T,20)</f>
        <v/>
      </c>
      <c r="D262" s="49">
        <f>VLOOKUP(Table311[[#This Row],[Date]],'DB Details'!$A:$T,18)</f>
        <v/>
      </c>
      <c r="E262" s="49">
        <f>VLOOKUP(Table311[[#This Row],[Date]],'DB Details'!$A:$T,19)</f>
        <v/>
      </c>
    </row>
    <row r="263">
      <c r="A263" s="38" t="n">
        <v>25355</v>
      </c>
      <c r="B263" s="48">
        <f>VLOOKUP(Table311[[#This Row],[Date]],'DB Details'!$A:$L,12)</f>
        <v/>
      </c>
      <c r="C263" s="49">
        <f>VLOOKUP(Table311[[#This Row],[Date]],'DB Details'!$A:$T,20)</f>
        <v/>
      </c>
      <c r="D263" s="49">
        <f>VLOOKUP(Table311[[#This Row],[Date]],'DB Details'!$A:$T,18)</f>
        <v/>
      </c>
      <c r="E263" s="49">
        <f>VLOOKUP(Table311[[#This Row],[Date]],'DB Details'!$A:$T,19)</f>
        <v/>
      </c>
    </row>
    <row r="264">
      <c r="A264" s="38" t="n">
        <v>25385</v>
      </c>
      <c r="B264" s="48">
        <f>VLOOKUP(Table311[[#This Row],[Date]],'DB Details'!$A:$L,12)</f>
        <v/>
      </c>
      <c r="C264" s="49">
        <f>VLOOKUP(Table311[[#This Row],[Date]],'DB Details'!$A:$T,20)</f>
        <v/>
      </c>
      <c r="D264" s="49">
        <f>VLOOKUP(Table311[[#This Row],[Date]],'DB Details'!$A:$T,18)</f>
        <v/>
      </c>
      <c r="E264" s="49">
        <f>VLOOKUP(Table311[[#This Row],[Date]],'DB Details'!$A:$T,19)</f>
        <v/>
      </c>
    </row>
    <row r="265">
      <c r="A265" s="38" t="n">
        <v>25416</v>
      </c>
      <c r="B265" s="48">
        <f>VLOOKUP(Table311[[#This Row],[Date]],'DB Details'!$A:$L,12)</f>
        <v/>
      </c>
      <c r="C265" s="49">
        <f>VLOOKUP(Table311[[#This Row],[Date]],'DB Details'!$A:$T,20)</f>
        <v/>
      </c>
      <c r="D265" s="49">
        <f>VLOOKUP(Table311[[#This Row],[Date]],'DB Details'!$A:$T,18)</f>
        <v/>
      </c>
      <c r="E265" s="49">
        <f>VLOOKUP(Table311[[#This Row],[Date]],'DB Details'!$A:$T,19)</f>
        <v/>
      </c>
    </row>
    <row r="266">
      <c r="A266" s="38" t="n">
        <v>25447</v>
      </c>
      <c r="B266" s="48">
        <f>VLOOKUP(Table311[[#This Row],[Date]],'DB Details'!$A:$L,12)</f>
        <v/>
      </c>
      <c r="C266" s="49">
        <f>VLOOKUP(Table311[[#This Row],[Date]],'DB Details'!$A:$T,20)</f>
        <v/>
      </c>
      <c r="D266" s="49">
        <f>VLOOKUP(Table311[[#This Row],[Date]],'DB Details'!$A:$T,18)</f>
        <v/>
      </c>
      <c r="E266" s="49">
        <f>VLOOKUP(Table311[[#This Row],[Date]],'DB Details'!$A:$T,19)</f>
        <v/>
      </c>
    </row>
    <row r="267">
      <c r="A267" s="38" t="n">
        <v>25477</v>
      </c>
      <c r="B267" s="48">
        <f>VLOOKUP(Table311[[#This Row],[Date]],'DB Details'!$A:$L,12)</f>
        <v/>
      </c>
      <c r="C267" s="49">
        <f>VLOOKUP(Table311[[#This Row],[Date]],'DB Details'!$A:$T,20)</f>
        <v/>
      </c>
      <c r="D267" s="49">
        <f>VLOOKUP(Table311[[#This Row],[Date]],'DB Details'!$A:$T,18)</f>
        <v/>
      </c>
      <c r="E267" s="49">
        <f>VLOOKUP(Table311[[#This Row],[Date]],'DB Details'!$A:$T,19)</f>
        <v/>
      </c>
    </row>
    <row r="268">
      <c r="A268" s="38" t="n">
        <v>25508</v>
      </c>
      <c r="B268" s="48">
        <f>VLOOKUP(Table311[[#This Row],[Date]],'DB Details'!$A:$L,12)</f>
        <v/>
      </c>
      <c r="C268" s="49">
        <f>VLOOKUP(Table311[[#This Row],[Date]],'DB Details'!$A:$T,20)</f>
        <v/>
      </c>
      <c r="D268" s="49">
        <f>VLOOKUP(Table311[[#This Row],[Date]],'DB Details'!$A:$T,18)</f>
        <v/>
      </c>
      <c r="E268" s="49">
        <f>VLOOKUP(Table311[[#This Row],[Date]],'DB Details'!$A:$T,19)</f>
        <v/>
      </c>
    </row>
    <row r="269">
      <c r="A269" s="38" t="n">
        <v>25538</v>
      </c>
      <c r="B269" s="48">
        <f>VLOOKUP(Table311[[#This Row],[Date]],'DB Details'!$A:$L,12)</f>
        <v/>
      </c>
      <c r="C269" s="49">
        <f>VLOOKUP(Table311[[#This Row],[Date]],'DB Details'!$A:$T,20)</f>
        <v/>
      </c>
      <c r="D269" s="49">
        <f>VLOOKUP(Table311[[#This Row],[Date]],'DB Details'!$A:$T,18)</f>
        <v/>
      </c>
      <c r="E269" s="49">
        <f>VLOOKUP(Table311[[#This Row],[Date]],'DB Details'!$A:$T,19)</f>
        <v/>
      </c>
    </row>
    <row r="270">
      <c r="A270" s="38" t="n">
        <v>25569</v>
      </c>
      <c r="B270" s="48">
        <f>VLOOKUP(Table311[[#This Row],[Date]],'DB Details'!$A:$L,12)</f>
        <v/>
      </c>
      <c r="C270" s="49">
        <f>VLOOKUP(Table311[[#This Row],[Date]],'DB Details'!$A:$T,20)</f>
        <v/>
      </c>
      <c r="D270" s="49">
        <f>VLOOKUP(Table311[[#This Row],[Date]],'DB Details'!$A:$T,18)</f>
        <v/>
      </c>
      <c r="E270" s="49">
        <f>VLOOKUP(Table311[[#This Row],[Date]],'DB Details'!$A:$T,19)</f>
        <v/>
      </c>
    </row>
    <row r="271">
      <c r="A271" s="38" t="n">
        <v>25600</v>
      </c>
      <c r="B271" s="48">
        <f>VLOOKUP(Table311[[#This Row],[Date]],'DB Details'!$A:$L,12)</f>
        <v/>
      </c>
      <c r="C271" s="49">
        <f>VLOOKUP(Table311[[#This Row],[Date]],'DB Details'!$A:$T,20)</f>
        <v/>
      </c>
      <c r="D271" s="49">
        <f>VLOOKUP(Table311[[#This Row],[Date]],'DB Details'!$A:$T,18)</f>
        <v/>
      </c>
      <c r="E271" s="49">
        <f>VLOOKUP(Table311[[#This Row],[Date]],'DB Details'!$A:$T,19)</f>
        <v/>
      </c>
    </row>
    <row r="272">
      <c r="A272" s="38" t="n">
        <v>25628</v>
      </c>
      <c r="B272" s="48">
        <f>VLOOKUP(Table311[[#This Row],[Date]],'DB Details'!$A:$L,12)</f>
        <v/>
      </c>
      <c r="C272" s="49">
        <f>VLOOKUP(Table311[[#This Row],[Date]],'DB Details'!$A:$T,20)</f>
        <v/>
      </c>
      <c r="D272" s="49">
        <f>VLOOKUP(Table311[[#This Row],[Date]],'DB Details'!$A:$T,18)</f>
        <v/>
      </c>
      <c r="E272" s="49">
        <f>VLOOKUP(Table311[[#This Row],[Date]],'DB Details'!$A:$T,19)</f>
        <v/>
      </c>
    </row>
    <row r="273">
      <c r="A273" s="38" t="n">
        <v>25659</v>
      </c>
      <c r="B273" s="48">
        <f>VLOOKUP(Table311[[#This Row],[Date]],'DB Details'!$A:$L,12)</f>
        <v/>
      </c>
      <c r="C273" s="49">
        <f>VLOOKUP(Table311[[#This Row],[Date]],'DB Details'!$A:$T,20)</f>
        <v/>
      </c>
      <c r="D273" s="49">
        <f>VLOOKUP(Table311[[#This Row],[Date]],'DB Details'!$A:$T,18)</f>
        <v/>
      </c>
      <c r="E273" s="49">
        <f>VLOOKUP(Table311[[#This Row],[Date]],'DB Details'!$A:$T,19)</f>
        <v/>
      </c>
    </row>
    <row r="274">
      <c r="A274" s="38" t="n">
        <v>25689</v>
      </c>
      <c r="B274" s="48">
        <f>VLOOKUP(Table311[[#This Row],[Date]],'DB Details'!$A:$L,12)</f>
        <v/>
      </c>
      <c r="C274" s="49">
        <f>VLOOKUP(Table311[[#This Row],[Date]],'DB Details'!$A:$T,20)</f>
        <v/>
      </c>
      <c r="D274" s="49">
        <f>VLOOKUP(Table311[[#This Row],[Date]],'DB Details'!$A:$T,18)</f>
        <v/>
      </c>
      <c r="E274" s="49">
        <f>VLOOKUP(Table311[[#This Row],[Date]],'DB Details'!$A:$T,19)</f>
        <v/>
      </c>
    </row>
    <row r="275">
      <c r="A275" s="38" t="n">
        <v>25720</v>
      </c>
      <c r="B275" s="48">
        <f>VLOOKUP(Table311[[#This Row],[Date]],'DB Details'!$A:$L,12)</f>
        <v/>
      </c>
      <c r="C275" s="49">
        <f>VLOOKUP(Table311[[#This Row],[Date]],'DB Details'!$A:$T,20)</f>
        <v/>
      </c>
      <c r="D275" s="49">
        <f>VLOOKUP(Table311[[#This Row],[Date]],'DB Details'!$A:$T,18)</f>
        <v/>
      </c>
      <c r="E275" s="49">
        <f>VLOOKUP(Table311[[#This Row],[Date]],'DB Details'!$A:$T,19)</f>
        <v/>
      </c>
    </row>
    <row r="276">
      <c r="A276" s="38" t="n">
        <v>25750</v>
      </c>
      <c r="B276" s="48">
        <f>VLOOKUP(Table311[[#This Row],[Date]],'DB Details'!$A:$L,12)</f>
        <v/>
      </c>
      <c r="C276" s="49">
        <f>VLOOKUP(Table311[[#This Row],[Date]],'DB Details'!$A:$T,20)</f>
        <v/>
      </c>
      <c r="D276" s="49">
        <f>VLOOKUP(Table311[[#This Row],[Date]],'DB Details'!$A:$T,18)</f>
        <v/>
      </c>
      <c r="E276" s="49">
        <f>VLOOKUP(Table311[[#This Row],[Date]],'DB Details'!$A:$T,19)</f>
        <v/>
      </c>
    </row>
    <row r="277">
      <c r="A277" s="38" t="n">
        <v>25781</v>
      </c>
      <c r="B277" s="48">
        <f>VLOOKUP(Table311[[#This Row],[Date]],'DB Details'!$A:$L,12)</f>
        <v/>
      </c>
      <c r="C277" s="49">
        <f>VLOOKUP(Table311[[#This Row],[Date]],'DB Details'!$A:$T,20)</f>
        <v/>
      </c>
      <c r="D277" s="49">
        <f>VLOOKUP(Table311[[#This Row],[Date]],'DB Details'!$A:$T,18)</f>
        <v/>
      </c>
      <c r="E277" s="49">
        <f>VLOOKUP(Table311[[#This Row],[Date]],'DB Details'!$A:$T,19)</f>
        <v/>
      </c>
    </row>
    <row r="278">
      <c r="A278" s="38" t="n">
        <v>25812</v>
      </c>
      <c r="B278" s="48">
        <f>VLOOKUP(Table311[[#This Row],[Date]],'DB Details'!$A:$L,12)</f>
        <v/>
      </c>
      <c r="C278" s="49">
        <f>VLOOKUP(Table311[[#This Row],[Date]],'DB Details'!$A:$T,20)</f>
        <v/>
      </c>
      <c r="D278" s="49">
        <f>VLOOKUP(Table311[[#This Row],[Date]],'DB Details'!$A:$T,18)</f>
        <v/>
      </c>
      <c r="E278" s="49">
        <f>VLOOKUP(Table311[[#This Row],[Date]],'DB Details'!$A:$T,19)</f>
        <v/>
      </c>
    </row>
    <row r="279">
      <c r="A279" s="38" t="n">
        <v>25842</v>
      </c>
      <c r="B279" s="48">
        <f>VLOOKUP(Table311[[#This Row],[Date]],'DB Details'!$A:$L,12)</f>
        <v/>
      </c>
      <c r="C279" s="49">
        <f>VLOOKUP(Table311[[#This Row],[Date]],'DB Details'!$A:$T,20)</f>
        <v/>
      </c>
      <c r="D279" s="49">
        <f>VLOOKUP(Table311[[#This Row],[Date]],'DB Details'!$A:$T,18)</f>
        <v/>
      </c>
      <c r="E279" s="49">
        <f>VLOOKUP(Table311[[#This Row],[Date]],'DB Details'!$A:$T,19)</f>
        <v/>
      </c>
    </row>
    <row r="280">
      <c r="A280" s="38" t="n">
        <v>25873</v>
      </c>
      <c r="B280" s="48">
        <f>VLOOKUP(Table311[[#This Row],[Date]],'DB Details'!$A:$L,12)</f>
        <v/>
      </c>
      <c r="C280" s="49">
        <f>VLOOKUP(Table311[[#This Row],[Date]],'DB Details'!$A:$T,20)</f>
        <v/>
      </c>
      <c r="D280" s="49">
        <f>VLOOKUP(Table311[[#This Row],[Date]],'DB Details'!$A:$T,18)</f>
        <v/>
      </c>
      <c r="E280" s="49">
        <f>VLOOKUP(Table311[[#This Row],[Date]],'DB Details'!$A:$T,19)</f>
        <v/>
      </c>
    </row>
    <row r="281">
      <c r="A281" s="38" t="n">
        <v>25903</v>
      </c>
      <c r="B281" s="48">
        <f>VLOOKUP(Table311[[#This Row],[Date]],'DB Details'!$A:$L,12)</f>
        <v/>
      </c>
      <c r="C281" s="49">
        <f>VLOOKUP(Table311[[#This Row],[Date]],'DB Details'!$A:$T,20)</f>
        <v/>
      </c>
      <c r="D281" s="49">
        <f>VLOOKUP(Table311[[#This Row],[Date]],'DB Details'!$A:$T,18)</f>
        <v/>
      </c>
      <c r="E281" s="49">
        <f>VLOOKUP(Table311[[#This Row],[Date]],'DB Details'!$A:$T,19)</f>
        <v/>
      </c>
    </row>
    <row r="282">
      <c r="A282" s="38" t="n">
        <v>25934</v>
      </c>
      <c r="B282" s="48">
        <f>VLOOKUP(Table311[[#This Row],[Date]],'DB Details'!$A:$L,12)</f>
        <v/>
      </c>
      <c r="C282" s="49">
        <f>VLOOKUP(Table311[[#This Row],[Date]],'DB Details'!$A:$T,20)</f>
        <v/>
      </c>
      <c r="D282" s="49">
        <f>VLOOKUP(Table311[[#This Row],[Date]],'DB Details'!$A:$T,18)</f>
        <v/>
      </c>
      <c r="E282" s="49">
        <f>VLOOKUP(Table311[[#This Row],[Date]],'DB Details'!$A:$T,19)</f>
        <v/>
      </c>
    </row>
    <row r="283">
      <c r="A283" s="38" t="n">
        <v>25965</v>
      </c>
      <c r="B283" s="48">
        <f>VLOOKUP(Table311[[#This Row],[Date]],'DB Details'!$A:$L,12)</f>
        <v/>
      </c>
      <c r="C283" s="49">
        <f>VLOOKUP(Table311[[#This Row],[Date]],'DB Details'!$A:$T,20)</f>
        <v/>
      </c>
      <c r="D283" s="49">
        <f>VLOOKUP(Table311[[#This Row],[Date]],'DB Details'!$A:$T,18)</f>
        <v/>
      </c>
      <c r="E283" s="49">
        <f>VLOOKUP(Table311[[#This Row],[Date]],'DB Details'!$A:$T,19)</f>
        <v/>
      </c>
    </row>
    <row r="284">
      <c r="A284" s="38" t="n">
        <v>25993</v>
      </c>
      <c r="B284" s="48">
        <f>VLOOKUP(Table311[[#This Row],[Date]],'DB Details'!$A:$L,12)</f>
        <v/>
      </c>
      <c r="C284" s="49">
        <f>VLOOKUP(Table311[[#This Row],[Date]],'DB Details'!$A:$T,20)</f>
        <v/>
      </c>
      <c r="D284" s="49">
        <f>VLOOKUP(Table311[[#This Row],[Date]],'DB Details'!$A:$T,18)</f>
        <v/>
      </c>
      <c r="E284" s="49">
        <f>VLOOKUP(Table311[[#This Row],[Date]],'DB Details'!$A:$T,19)</f>
        <v/>
      </c>
    </row>
    <row r="285">
      <c r="A285" s="38" t="n">
        <v>26024</v>
      </c>
      <c r="B285" s="48">
        <f>VLOOKUP(Table311[[#This Row],[Date]],'DB Details'!$A:$L,12)</f>
        <v/>
      </c>
      <c r="C285" s="49">
        <f>VLOOKUP(Table311[[#This Row],[Date]],'DB Details'!$A:$T,20)</f>
        <v/>
      </c>
      <c r="D285" s="49">
        <f>VLOOKUP(Table311[[#This Row],[Date]],'DB Details'!$A:$T,18)</f>
        <v/>
      </c>
      <c r="E285" s="49">
        <f>VLOOKUP(Table311[[#This Row],[Date]],'DB Details'!$A:$T,19)</f>
        <v/>
      </c>
    </row>
    <row r="286">
      <c r="A286" s="38" t="n">
        <v>26054</v>
      </c>
      <c r="B286" s="48">
        <f>VLOOKUP(Table311[[#This Row],[Date]],'DB Details'!$A:$L,12)</f>
        <v/>
      </c>
      <c r="C286" s="49">
        <f>VLOOKUP(Table311[[#This Row],[Date]],'DB Details'!$A:$T,20)</f>
        <v/>
      </c>
      <c r="D286" s="49">
        <f>VLOOKUP(Table311[[#This Row],[Date]],'DB Details'!$A:$T,18)</f>
        <v/>
      </c>
      <c r="E286" s="49">
        <f>VLOOKUP(Table311[[#This Row],[Date]],'DB Details'!$A:$T,19)</f>
        <v/>
      </c>
    </row>
    <row r="287">
      <c r="A287" s="38" t="n">
        <v>26085</v>
      </c>
      <c r="B287" s="48">
        <f>VLOOKUP(Table311[[#This Row],[Date]],'DB Details'!$A:$L,12)</f>
        <v/>
      </c>
      <c r="C287" s="49">
        <f>VLOOKUP(Table311[[#This Row],[Date]],'DB Details'!$A:$T,20)</f>
        <v/>
      </c>
      <c r="D287" s="49">
        <f>VLOOKUP(Table311[[#This Row],[Date]],'DB Details'!$A:$T,18)</f>
        <v/>
      </c>
      <c r="E287" s="49">
        <f>VLOOKUP(Table311[[#This Row],[Date]],'DB Details'!$A:$T,19)</f>
        <v/>
      </c>
    </row>
    <row r="288">
      <c r="A288" s="38" t="n">
        <v>26115</v>
      </c>
      <c r="B288" s="48">
        <f>VLOOKUP(Table311[[#This Row],[Date]],'DB Details'!$A:$L,12)</f>
        <v/>
      </c>
      <c r="C288" s="49">
        <f>VLOOKUP(Table311[[#This Row],[Date]],'DB Details'!$A:$T,20)</f>
        <v/>
      </c>
      <c r="D288" s="49">
        <f>VLOOKUP(Table311[[#This Row],[Date]],'DB Details'!$A:$T,18)</f>
        <v/>
      </c>
      <c r="E288" s="49">
        <f>VLOOKUP(Table311[[#This Row],[Date]],'DB Details'!$A:$T,19)</f>
        <v/>
      </c>
    </row>
    <row r="289">
      <c r="A289" s="38" t="n">
        <v>26146</v>
      </c>
      <c r="B289" s="48">
        <f>VLOOKUP(Table311[[#This Row],[Date]],'DB Details'!$A:$L,12)</f>
        <v/>
      </c>
      <c r="C289" s="49">
        <f>VLOOKUP(Table311[[#This Row],[Date]],'DB Details'!$A:$T,20)</f>
        <v/>
      </c>
      <c r="D289" s="49">
        <f>VLOOKUP(Table311[[#This Row],[Date]],'DB Details'!$A:$T,18)</f>
        <v/>
      </c>
      <c r="E289" s="49">
        <f>VLOOKUP(Table311[[#This Row],[Date]],'DB Details'!$A:$T,19)</f>
        <v/>
      </c>
    </row>
    <row r="290">
      <c r="A290" s="38" t="n">
        <v>26177</v>
      </c>
      <c r="B290" s="48">
        <f>VLOOKUP(Table311[[#This Row],[Date]],'DB Details'!$A:$L,12)</f>
        <v/>
      </c>
      <c r="C290" s="49">
        <f>VLOOKUP(Table311[[#This Row],[Date]],'DB Details'!$A:$T,20)</f>
        <v/>
      </c>
      <c r="D290" s="49">
        <f>VLOOKUP(Table311[[#This Row],[Date]],'DB Details'!$A:$T,18)</f>
        <v/>
      </c>
      <c r="E290" s="49">
        <f>VLOOKUP(Table311[[#This Row],[Date]],'DB Details'!$A:$T,19)</f>
        <v/>
      </c>
    </row>
    <row r="291">
      <c r="A291" s="38" t="n">
        <v>26207</v>
      </c>
      <c r="B291" s="48">
        <f>VLOOKUP(Table311[[#This Row],[Date]],'DB Details'!$A:$L,12)</f>
        <v/>
      </c>
      <c r="C291" s="49">
        <f>VLOOKUP(Table311[[#This Row],[Date]],'DB Details'!$A:$T,20)</f>
        <v/>
      </c>
      <c r="D291" s="49">
        <f>VLOOKUP(Table311[[#This Row],[Date]],'DB Details'!$A:$T,18)</f>
        <v/>
      </c>
      <c r="E291" s="49">
        <f>VLOOKUP(Table311[[#This Row],[Date]],'DB Details'!$A:$T,19)</f>
        <v/>
      </c>
    </row>
    <row r="292">
      <c r="A292" s="38" t="n">
        <v>26238</v>
      </c>
      <c r="B292" s="48">
        <f>VLOOKUP(Table311[[#This Row],[Date]],'DB Details'!$A:$L,12)</f>
        <v/>
      </c>
      <c r="C292" s="49">
        <f>VLOOKUP(Table311[[#This Row],[Date]],'DB Details'!$A:$T,20)</f>
        <v/>
      </c>
      <c r="D292" s="49">
        <f>VLOOKUP(Table311[[#This Row],[Date]],'DB Details'!$A:$T,18)</f>
        <v/>
      </c>
      <c r="E292" s="49">
        <f>VLOOKUP(Table311[[#This Row],[Date]],'DB Details'!$A:$T,19)</f>
        <v/>
      </c>
    </row>
    <row r="293">
      <c r="A293" s="38" t="n">
        <v>26268</v>
      </c>
      <c r="B293" s="48">
        <f>VLOOKUP(Table311[[#This Row],[Date]],'DB Details'!$A:$L,12)</f>
        <v/>
      </c>
      <c r="C293" s="49">
        <f>VLOOKUP(Table311[[#This Row],[Date]],'DB Details'!$A:$T,20)</f>
        <v/>
      </c>
      <c r="D293" s="49">
        <f>VLOOKUP(Table311[[#This Row],[Date]],'DB Details'!$A:$T,18)</f>
        <v/>
      </c>
      <c r="E293" s="49">
        <f>VLOOKUP(Table311[[#This Row],[Date]],'DB Details'!$A:$T,19)</f>
        <v/>
      </c>
    </row>
    <row r="294">
      <c r="A294" s="38" t="n">
        <v>26299</v>
      </c>
      <c r="B294" s="48">
        <f>VLOOKUP(Table311[[#This Row],[Date]],'DB Details'!$A:$L,12)</f>
        <v/>
      </c>
      <c r="C294" s="49">
        <f>VLOOKUP(Table311[[#This Row],[Date]],'DB Details'!$A:$T,20)</f>
        <v/>
      </c>
      <c r="D294" s="49">
        <f>VLOOKUP(Table311[[#This Row],[Date]],'DB Details'!$A:$T,18)</f>
        <v/>
      </c>
      <c r="E294" s="49">
        <f>VLOOKUP(Table311[[#This Row],[Date]],'DB Details'!$A:$T,19)</f>
        <v/>
      </c>
    </row>
    <row r="295">
      <c r="A295" s="38" t="n">
        <v>26330</v>
      </c>
      <c r="B295" s="48">
        <f>VLOOKUP(Table311[[#This Row],[Date]],'DB Details'!$A:$L,12)</f>
        <v/>
      </c>
      <c r="C295" s="49">
        <f>VLOOKUP(Table311[[#This Row],[Date]],'DB Details'!$A:$T,20)</f>
        <v/>
      </c>
      <c r="D295" s="49">
        <f>VLOOKUP(Table311[[#This Row],[Date]],'DB Details'!$A:$T,18)</f>
        <v/>
      </c>
      <c r="E295" s="49">
        <f>VLOOKUP(Table311[[#This Row],[Date]],'DB Details'!$A:$T,19)</f>
        <v/>
      </c>
    </row>
    <row r="296">
      <c r="A296" s="38" t="n">
        <v>26359</v>
      </c>
      <c r="B296" s="48">
        <f>VLOOKUP(Table311[[#This Row],[Date]],'DB Details'!$A:$L,12)</f>
        <v/>
      </c>
      <c r="C296" s="49">
        <f>VLOOKUP(Table311[[#This Row],[Date]],'DB Details'!$A:$T,20)</f>
        <v/>
      </c>
      <c r="D296" s="49">
        <f>VLOOKUP(Table311[[#This Row],[Date]],'DB Details'!$A:$T,18)</f>
        <v/>
      </c>
      <c r="E296" s="49">
        <f>VLOOKUP(Table311[[#This Row],[Date]],'DB Details'!$A:$T,19)</f>
        <v/>
      </c>
    </row>
    <row r="297">
      <c r="A297" s="38" t="n">
        <v>26390</v>
      </c>
      <c r="B297" s="48">
        <f>VLOOKUP(Table311[[#This Row],[Date]],'DB Details'!$A:$L,12)</f>
        <v/>
      </c>
      <c r="C297" s="49">
        <f>VLOOKUP(Table311[[#This Row],[Date]],'DB Details'!$A:$T,20)</f>
        <v/>
      </c>
      <c r="D297" s="49">
        <f>VLOOKUP(Table311[[#This Row],[Date]],'DB Details'!$A:$T,18)</f>
        <v/>
      </c>
      <c r="E297" s="49">
        <f>VLOOKUP(Table311[[#This Row],[Date]],'DB Details'!$A:$T,19)</f>
        <v/>
      </c>
    </row>
    <row r="298">
      <c r="A298" s="38" t="n">
        <v>26420</v>
      </c>
      <c r="B298" s="48">
        <f>VLOOKUP(Table311[[#This Row],[Date]],'DB Details'!$A:$L,12)</f>
        <v/>
      </c>
      <c r="C298" s="49">
        <f>VLOOKUP(Table311[[#This Row],[Date]],'DB Details'!$A:$T,20)</f>
        <v/>
      </c>
      <c r="D298" s="49">
        <f>VLOOKUP(Table311[[#This Row],[Date]],'DB Details'!$A:$T,18)</f>
        <v/>
      </c>
      <c r="E298" s="49">
        <f>VLOOKUP(Table311[[#This Row],[Date]],'DB Details'!$A:$T,19)</f>
        <v/>
      </c>
    </row>
    <row r="299">
      <c r="A299" s="38" t="n">
        <v>26451</v>
      </c>
      <c r="B299" s="48">
        <f>VLOOKUP(Table311[[#This Row],[Date]],'DB Details'!$A:$L,12)</f>
        <v/>
      </c>
      <c r="C299" s="49">
        <f>VLOOKUP(Table311[[#This Row],[Date]],'DB Details'!$A:$T,20)</f>
        <v/>
      </c>
      <c r="D299" s="49">
        <f>VLOOKUP(Table311[[#This Row],[Date]],'DB Details'!$A:$T,18)</f>
        <v/>
      </c>
      <c r="E299" s="49">
        <f>VLOOKUP(Table311[[#This Row],[Date]],'DB Details'!$A:$T,19)</f>
        <v/>
      </c>
    </row>
    <row r="300">
      <c r="A300" s="38" t="n">
        <v>26481</v>
      </c>
      <c r="B300" s="48">
        <f>VLOOKUP(Table311[[#This Row],[Date]],'DB Details'!$A:$L,12)</f>
        <v/>
      </c>
      <c r="C300" s="49">
        <f>VLOOKUP(Table311[[#This Row],[Date]],'DB Details'!$A:$T,20)</f>
        <v/>
      </c>
      <c r="D300" s="49">
        <f>VLOOKUP(Table311[[#This Row],[Date]],'DB Details'!$A:$T,18)</f>
        <v/>
      </c>
      <c r="E300" s="49">
        <f>VLOOKUP(Table311[[#This Row],[Date]],'DB Details'!$A:$T,19)</f>
        <v/>
      </c>
    </row>
    <row r="301">
      <c r="A301" s="38" t="n">
        <v>26512</v>
      </c>
      <c r="B301" s="48">
        <f>VLOOKUP(Table311[[#This Row],[Date]],'DB Details'!$A:$L,12)</f>
        <v/>
      </c>
      <c r="C301" s="49">
        <f>VLOOKUP(Table311[[#This Row],[Date]],'DB Details'!$A:$T,20)</f>
        <v/>
      </c>
      <c r="D301" s="49">
        <f>VLOOKUP(Table311[[#This Row],[Date]],'DB Details'!$A:$T,18)</f>
        <v/>
      </c>
      <c r="E301" s="49">
        <f>VLOOKUP(Table311[[#This Row],[Date]],'DB Details'!$A:$T,19)</f>
        <v/>
      </c>
    </row>
    <row r="302">
      <c r="A302" s="38" t="n">
        <v>26543</v>
      </c>
      <c r="B302" s="48">
        <f>VLOOKUP(Table311[[#This Row],[Date]],'DB Details'!$A:$L,12)</f>
        <v/>
      </c>
      <c r="C302" s="49">
        <f>VLOOKUP(Table311[[#This Row],[Date]],'DB Details'!$A:$T,20)</f>
        <v/>
      </c>
      <c r="D302" s="49">
        <f>VLOOKUP(Table311[[#This Row],[Date]],'DB Details'!$A:$T,18)</f>
        <v/>
      </c>
      <c r="E302" s="49">
        <f>VLOOKUP(Table311[[#This Row],[Date]],'DB Details'!$A:$T,19)</f>
        <v/>
      </c>
    </row>
    <row r="303">
      <c r="A303" s="38" t="n">
        <v>26573</v>
      </c>
      <c r="B303" s="48">
        <f>VLOOKUP(Table311[[#This Row],[Date]],'DB Details'!$A:$L,12)</f>
        <v/>
      </c>
      <c r="C303" s="49">
        <f>VLOOKUP(Table311[[#This Row],[Date]],'DB Details'!$A:$T,20)</f>
        <v/>
      </c>
      <c r="D303" s="49">
        <f>VLOOKUP(Table311[[#This Row],[Date]],'DB Details'!$A:$T,18)</f>
        <v/>
      </c>
      <c r="E303" s="49">
        <f>VLOOKUP(Table311[[#This Row],[Date]],'DB Details'!$A:$T,19)</f>
        <v/>
      </c>
    </row>
    <row r="304">
      <c r="A304" s="38" t="n">
        <v>26604</v>
      </c>
      <c r="B304" s="48">
        <f>VLOOKUP(Table311[[#This Row],[Date]],'DB Details'!$A:$L,12)</f>
        <v/>
      </c>
      <c r="C304" s="49">
        <f>VLOOKUP(Table311[[#This Row],[Date]],'DB Details'!$A:$T,20)</f>
        <v/>
      </c>
      <c r="D304" s="49">
        <f>VLOOKUP(Table311[[#This Row],[Date]],'DB Details'!$A:$T,18)</f>
        <v/>
      </c>
      <c r="E304" s="49">
        <f>VLOOKUP(Table311[[#This Row],[Date]],'DB Details'!$A:$T,19)</f>
        <v/>
      </c>
    </row>
    <row r="305">
      <c r="A305" s="38" t="n">
        <v>26634</v>
      </c>
      <c r="B305" s="48">
        <f>VLOOKUP(Table311[[#This Row],[Date]],'DB Details'!$A:$L,12)</f>
        <v/>
      </c>
      <c r="C305" s="49">
        <f>VLOOKUP(Table311[[#This Row],[Date]],'DB Details'!$A:$T,20)</f>
        <v/>
      </c>
      <c r="D305" s="49">
        <f>VLOOKUP(Table311[[#This Row],[Date]],'DB Details'!$A:$T,18)</f>
        <v/>
      </c>
      <c r="E305" s="49">
        <f>VLOOKUP(Table311[[#This Row],[Date]],'DB Details'!$A:$T,19)</f>
        <v/>
      </c>
    </row>
    <row r="306">
      <c r="A306" s="38" t="n">
        <v>26665</v>
      </c>
      <c r="B306" s="48">
        <f>VLOOKUP(Table311[[#This Row],[Date]],'DB Details'!$A:$L,12)</f>
        <v/>
      </c>
      <c r="C306" s="49">
        <f>VLOOKUP(Table311[[#This Row],[Date]],'DB Details'!$A:$T,20)</f>
        <v/>
      </c>
      <c r="D306" s="49">
        <f>VLOOKUP(Table311[[#This Row],[Date]],'DB Details'!$A:$T,18)</f>
        <v/>
      </c>
      <c r="E306" s="49">
        <f>VLOOKUP(Table311[[#This Row],[Date]],'DB Details'!$A:$T,19)</f>
        <v/>
      </c>
    </row>
    <row r="307">
      <c r="A307" s="38" t="n">
        <v>26696</v>
      </c>
      <c r="B307" s="48">
        <f>VLOOKUP(Table311[[#This Row],[Date]],'DB Details'!$A:$L,12)</f>
        <v/>
      </c>
      <c r="C307" s="49">
        <f>VLOOKUP(Table311[[#This Row],[Date]],'DB Details'!$A:$T,20)</f>
        <v/>
      </c>
      <c r="D307" s="49">
        <f>VLOOKUP(Table311[[#This Row],[Date]],'DB Details'!$A:$T,18)</f>
        <v/>
      </c>
      <c r="E307" s="49">
        <f>VLOOKUP(Table311[[#This Row],[Date]],'DB Details'!$A:$T,19)</f>
        <v/>
      </c>
    </row>
    <row r="308">
      <c r="A308" s="38" t="n">
        <v>26724</v>
      </c>
      <c r="B308" s="48">
        <f>VLOOKUP(Table311[[#This Row],[Date]],'DB Details'!$A:$L,12)</f>
        <v/>
      </c>
      <c r="C308" s="49">
        <f>VLOOKUP(Table311[[#This Row],[Date]],'DB Details'!$A:$T,20)</f>
        <v/>
      </c>
      <c r="D308" s="49">
        <f>VLOOKUP(Table311[[#This Row],[Date]],'DB Details'!$A:$T,18)</f>
        <v/>
      </c>
      <c r="E308" s="49">
        <f>VLOOKUP(Table311[[#This Row],[Date]],'DB Details'!$A:$T,19)</f>
        <v/>
      </c>
    </row>
    <row r="309">
      <c r="A309" s="38" t="n">
        <v>26755</v>
      </c>
      <c r="B309" s="48">
        <f>VLOOKUP(Table311[[#This Row],[Date]],'DB Details'!$A:$L,12)</f>
        <v/>
      </c>
      <c r="C309" s="49">
        <f>VLOOKUP(Table311[[#This Row],[Date]],'DB Details'!$A:$T,20)</f>
        <v/>
      </c>
      <c r="D309" s="49">
        <f>VLOOKUP(Table311[[#This Row],[Date]],'DB Details'!$A:$T,18)</f>
        <v/>
      </c>
      <c r="E309" s="49">
        <f>VLOOKUP(Table311[[#This Row],[Date]],'DB Details'!$A:$T,19)</f>
        <v/>
      </c>
    </row>
    <row r="310">
      <c r="A310" s="38" t="n">
        <v>26785</v>
      </c>
      <c r="B310" s="48">
        <f>VLOOKUP(Table311[[#This Row],[Date]],'DB Details'!$A:$L,12)</f>
        <v/>
      </c>
      <c r="C310" s="49">
        <f>VLOOKUP(Table311[[#This Row],[Date]],'DB Details'!$A:$T,20)</f>
        <v/>
      </c>
      <c r="D310" s="49">
        <f>VLOOKUP(Table311[[#This Row],[Date]],'DB Details'!$A:$T,18)</f>
        <v/>
      </c>
      <c r="E310" s="49">
        <f>VLOOKUP(Table311[[#This Row],[Date]],'DB Details'!$A:$T,19)</f>
        <v/>
      </c>
    </row>
    <row r="311">
      <c r="A311" s="38" t="n">
        <v>26816</v>
      </c>
      <c r="B311" s="48">
        <f>VLOOKUP(Table311[[#This Row],[Date]],'DB Details'!$A:$L,12)</f>
        <v/>
      </c>
      <c r="C311" s="49">
        <f>VLOOKUP(Table311[[#This Row],[Date]],'DB Details'!$A:$T,20)</f>
        <v/>
      </c>
      <c r="D311" s="49">
        <f>VLOOKUP(Table311[[#This Row],[Date]],'DB Details'!$A:$T,18)</f>
        <v/>
      </c>
      <c r="E311" s="49">
        <f>VLOOKUP(Table311[[#This Row],[Date]],'DB Details'!$A:$T,19)</f>
        <v/>
      </c>
    </row>
    <row r="312">
      <c r="A312" s="38" t="n">
        <v>26846</v>
      </c>
      <c r="B312" s="48">
        <f>VLOOKUP(Table311[[#This Row],[Date]],'DB Details'!$A:$L,12)</f>
        <v/>
      </c>
      <c r="C312" s="49">
        <f>VLOOKUP(Table311[[#This Row],[Date]],'DB Details'!$A:$T,20)</f>
        <v/>
      </c>
      <c r="D312" s="49">
        <f>VLOOKUP(Table311[[#This Row],[Date]],'DB Details'!$A:$T,18)</f>
        <v/>
      </c>
      <c r="E312" s="49">
        <f>VLOOKUP(Table311[[#This Row],[Date]],'DB Details'!$A:$T,19)</f>
        <v/>
      </c>
    </row>
    <row r="313">
      <c r="A313" s="38" t="n">
        <v>26877</v>
      </c>
      <c r="B313" s="48">
        <f>VLOOKUP(Table311[[#This Row],[Date]],'DB Details'!$A:$L,12)</f>
        <v/>
      </c>
      <c r="C313" s="49">
        <f>VLOOKUP(Table311[[#This Row],[Date]],'DB Details'!$A:$T,20)</f>
        <v/>
      </c>
      <c r="D313" s="49">
        <f>VLOOKUP(Table311[[#This Row],[Date]],'DB Details'!$A:$T,18)</f>
        <v/>
      </c>
      <c r="E313" s="49">
        <f>VLOOKUP(Table311[[#This Row],[Date]],'DB Details'!$A:$T,19)</f>
        <v/>
      </c>
    </row>
    <row r="314">
      <c r="A314" s="38" t="n">
        <v>26908</v>
      </c>
      <c r="B314" s="48">
        <f>VLOOKUP(Table311[[#This Row],[Date]],'DB Details'!$A:$L,12)</f>
        <v/>
      </c>
      <c r="C314" s="49">
        <f>VLOOKUP(Table311[[#This Row],[Date]],'DB Details'!$A:$T,20)</f>
        <v/>
      </c>
      <c r="D314" s="49">
        <f>VLOOKUP(Table311[[#This Row],[Date]],'DB Details'!$A:$T,18)</f>
        <v/>
      </c>
      <c r="E314" s="49">
        <f>VLOOKUP(Table311[[#This Row],[Date]],'DB Details'!$A:$T,19)</f>
        <v/>
      </c>
    </row>
    <row r="315">
      <c r="A315" s="38" t="n">
        <v>26938</v>
      </c>
      <c r="B315" s="48">
        <f>VLOOKUP(Table311[[#This Row],[Date]],'DB Details'!$A:$L,12)</f>
        <v/>
      </c>
      <c r="C315" s="49">
        <f>VLOOKUP(Table311[[#This Row],[Date]],'DB Details'!$A:$T,20)</f>
        <v/>
      </c>
      <c r="D315" s="49">
        <f>VLOOKUP(Table311[[#This Row],[Date]],'DB Details'!$A:$T,18)</f>
        <v/>
      </c>
      <c r="E315" s="49">
        <f>VLOOKUP(Table311[[#This Row],[Date]],'DB Details'!$A:$T,19)</f>
        <v/>
      </c>
    </row>
    <row r="316">
      <c r="A316" s="38" t="n">
        <v>26969</v>
      </c>
      <c r="B316" s="48">
        <f>VLOOKUP(Table311[[#This Row],[Date]],'DB Details'!$A:$L,12)</f>
        <v/>
      </c>
      <c r="C316" s="49">
        <f>VLOOKUP(Table311[[#This Row],[Date]],'DB Details'!$A:$T,20)</f>
        <v/>
      </c>
      <c r="D316" s="49">
        <f>VLOOKUP(Table311[[#This Row],[Date]],'DB Details'!$A:$T,18)</f>
        <v/>
      </c>
      <c r="E316" s="49">
        <f>VLOOKUP(Table311[[#This Row],[Date]],'DB Details'!$A:$T,19)</f>
        <v/>
      </c>
    </row>
    <row r="317">
      <c r="A317" s="38" t="n">
        <v>26999</v>
      </c>
      <c r="B317" s="48">
        <f>VLOOKUP(Table311[[#This Row],[Date]],'DB Details'!$A:$L,12)</f>
        <v/>
      </c>
      <c r="C317" s="49">
        <f>VLOOKUP(Table311[[#This Row],[Date]],'DB Details'!$A:$T,20)</f>
        <v/>
      </c>
      <c r="D317" s="49">
        <f>VLOOKUP(Table311[[#This Row],[Date]],'DB Details'!$A:$T,18)</f>
        <v/>
      </c>
      <c r="E317" s="49">
        <f>VLOOKUP(Table311[[#This Row],[Date]],'DB Details'!$A:$T,19)</f>
        <v/>
      </c>
    </row>
    <row r="318">
      <c r="A318" s="38" t="n">
        <v>27030</v>
      </c>
      <c r="B318" s="48">
        <f>VLOOKUP(Table311[[#This Row],[Date]],'DB Details'!$A:$L,12)</f>
        <v/>
      </c>
      <c r="C318" s="49">
        <f>VLOOKUP(Table311[[#This Row],[Date]],'DB Details'!$A:$T,20)</f>
        <v/>
      </c>
      <c r="D318" s="49">
        <f>VLOOKUP(Table311[[#This Row],[Date]],'DB Details'!$A:$T,18)</f>
        <v/>
      </c>
      <c r="E318" s="49">
        <f>VLOOKUP(Table311[[#This Row],[Date]],'DB Details'!$A:$T,19)</f>
        <v/>
      </c>
    </row>
    <row r="319">
      <c r="A319" s="38" t="n">
        <v>27061</v>
      </c>
      <c r="B319" s="48">
        <f>VLOOKUP(Table311[[#This Row],[Date]],'DB Details'!$A:$L,12)</f>
        <v/>
      </c>
      <c r="C319" s="49">
        <f>VLOOKUP(Table311[[#This Row],[Date]],'DB Details'!$A:$T,20)</f>
        <v/>
      </c>
      <c r="D319" s="49">
        <f>VLOOKUP(Table311[[#This Row],[Date]],'DB Details'!$A:$T,18)</f>
        <v/>
      </c>
      <c r="E319" s="49">
        <f>VLOOKUP(Table311[[#This Row],[Date]],'DB Details'!$A:$T,19)</f>
        <v/>
      </c>
    </row>
    <row r="320">
      <c r="A320" s="38" t="n">
        <v>27089</v>
      </c>
      <c r="B320" s="48">
        <f>VLOOKUP(Table311[[#This Row],[Date]],'DB Details'!$A:$L,12)</f>
        <v/>
      </c>
      <c r="C320" s="49">
        <f>VLOOKUP(Table311[[#This Row],[Date]],'DB Details'!$A:$T,20)</f>
        <v/>
      </c>
      <c r="D320" s="49">
        <f>VLOOKUP(Table311[[#This Row],[Date]],'DB Details'!$A:$T,18)</f>
        <v/>
      </c>
      <c r="E320" s="49">
        <f>VLOOKUP(Table311[[#This Row],[Date]],'DB Details'!$A:$T,19)</f>
        <v/>
      </c>
    </row>
    <row r="321">
      <c r="A321" s="38" t="n">
        <v>27120</v>
      </c>
      <c r="B321" s="48">
        <f>VLOOKUP(Table311[[#This Row],[Date]],'DB Details'!$A:$L,12)</f>
        <v/>
      </c>
      <c r="C321" s="49">
        <f>VLOOKUP(Table311[[#This Row],[Date]],'DB Details'!$A:$T,20)</f>
        <v/>
      </c>
      <c r="D321" s="49">
        <f>VLOOKUP(Table311[[#This Row],[Date]],'DB Details'!$A:$T,18)</f>
        <v/>
      </c>
      <c r="E321" s="49">
        <f>VLOOKUP(Table311[[#This Row],[Date]],'DB Details'!$A:$T,19)</f>
        <v/>
      </c>
    </row>
    <row r="322">
      <c r="A322" s="38" t="n">
        <v>27150</v>
      </c>
      <c r="B322" s="48">
        <f>VLOOKUP(Table311[[#This Row],[Date]],'DB Details'!$A:$L,12)</f>
        <v/>
      </c>
      <c r="C322" s="49">
        <f>VLOOKUP(Table311[[#This Row],[Date]],'DB Details'!$A:$T,20)</f>
        <v/>
      </c>
      <c r="D322" s="49">
        <f>VLOOKUP(Table311[[#This Row],[Date]],'DB Details'!$A:$T,18)</f>
        <v/>
      </c>
      <c r="E322" s="49">
        <f>VLOOKUP(Table311[[#This Row],[Date]],'DB Details'!$A:$T,19)</f>
        <v/>
      </c>
    </row>
    <row r="323">
      <c r="A323" s="38" t="n">
        <v>27181</v>
      </c>
      <c r="B323" s="48">
        <f>VLOOKUP(Table311[[#This Row],[Date]],'DB Details'!$A:$L,12)</f>
        <v/>
      </c>
      <c r="C323" s="49">
        <f>VLOOKUP(Table311[[#This Row],[Date]],'DB Details'!$A:$T,20)</f>
        <v/>
      </c>
      <c r="D323" s="49">
        <f>VLOOKUP(Table311[[#This Row],[Date]],'DB Details'!$A:$T,18)</f>
        <v/>
      </c>
      <c r="E323" s="49">
        <f>VLOOKUP(Table311[[#This Row],[Date]],'DB Details'!$A:$T,19)</f>
        <v/>
      </c>
    </row>
    <row r="324">
      <c r="A324" s="38" t="n">
        <v>27211</v>
      </c>
      <c r="B324" s="48">
        <f>VLOOKUP(Table311[[#This Row],[Date]],'DB Details'!$A:$L,12)</f>
        <v/>
      </c>
      <c r="C324" s="49">
        <f>VLOOKUP(Table311[[#This Row],[Date]],'DB Details'!$A:$T,20)</f>
        <v/>
      </c>
      <c r="D324" s="49">
        <f>VLOOKUP(Table311[[#This Row],[Date]],'DB Details'!$A:$T,18)</f>
        <v/>
      </c>
      <c r="E324" s="49">
        <f>VLOOKUP(Table311[[#This Row],[Date]],'DB Details'!$A:$T,19)</f>
        <v/>
      </c>
    </row>
    <row r="325">
      <c r="A325" s="38" t="n">
        <v>27242</v>
      </c>
      <c r="B325" s="48">
        <f>VLOOKUP(Table311[[#This Row],[Date]],'DB Details'!$A:$L,12)</f>
        <v/>
      </c>
      <c r="C325" s="49">
        <f>VLOOKUP(Table311[[#This Row],[Date]],'DB Details'!$A:$T,20)</f>
        <v/>
      </c>
      <c r="D325" s="49">
        <f>VLOOKUP(Table311[[#This Row],[Date]],'DB Details'!$A:$T,18)</f>
        <v/>
      </c>
      <c r="E325" s="49">
        <f>VLOOKUP(Table311[[#This Row],[Date]],'DB Details'!$A:$T,19)</f>
        <v/>
      </c>
    </row>
    <row r="326">
      <c r="A326" s="38" t="n">
        <v>27273</v>
      </c>
      <c r="B326" s="48">
        <f>VLOOKUP(Table311[[#This Row],[Date]],'DB Details'!$A:$L,12)</f>
        <v/>
      </c>
      <c r="C326" s="49">
        <f>VLOOKUP(Table311[[#This Row],[Date]],'DB Details'!$A:$T,20)</f>
        <v/>
      </c>
      <c r="D326" s="49">
        <f>VLOOKUP(Table311[[#This Row],[Date]],'DB Details'!$A:$T,18)</f>
        <v/>
      </c>
      <c r="E326" s="49">
        <f>VLOOKUP(Table311[[#This Row],[Date]],'DB Details'!$A:$T,19)</f>
        <v/>
      </c>
    </row>
    <row r="327">
      <c r="A327" s="38" t="n">
        <v>27303</v>
      </c>
      <c r="B327" s="48">
        <f>VLOOKUP(Table311[[#This Row],[Date]],'DB Details'!$A:$L,12)</f>
        <v/>
      </c>
      <c r="C327" s="49">
        <f>VLOOKUP(Table311[[#This Row],[Date]],'DB Details'!$A:$T,20)</f>
        <v/>
      </c>
      <c r="D327" s="49">
        <f>VLOOKUP(Table311[[#This Row],[Date]],'DB Details'!$A:$T,18)</f>
        <v/>
      </c>
      <c r="E327" s="49">
        <f>VLOOKUP(Table311[[#This Row],[Date]],'DB Details'!$A:$T,19)</f>
        <v/>
      </c>
    </row>
    <row r="328">
      <c r="A328" s="38" t="n">
        <v>27334</v>
      </c>
      <c r="B328" s="48">
        <f>VLOOKUP(Table311[[#This Row],[Date]],'DB Details'!$A:$L,12)</f>
        <v/>
      </c>
      <c r="C328" s="49">
        <f>VLOOKUP(Table311[[#This Row],[Date]],'DB Details'!$A:$T,20)</f>
        <v/>
      </c>
      <c r="D328" s="49">
        <f>VLOOKUP(Table311[[#This Row],[Date]],'DB Details'!$A:$T,18)</f>
        <v/>
      </c>
      <c r="E328" s="49">
        <f>VLOOKUP(Table311[[#This Row],[Date]],'DB Details'!$A:$T,19)</f>
        <v/>
      </c>
    </row>
    <row r="329">
      <c r="A329" s="38" t="n">
        <v>27364</v>
      </c>
      <c r="B329" s="48">
        <f>VLOOKUP(Table311[[#This Row],[Date]],'DB Details'!$A:$L,12)</f>
        <v/>
      </c>
      <c r="C329" s="49">
        <f>VLOOKUP(Table311[[#This Row],[Date]],'DB Details'!$A:$T,20)</f>
        <v/>
      </c>
      <c r="D329" s="49">
        <f>VLOOKUP(Table311[[#This Row],[Date]],'DB Details'!$A:$T,18)</f>
        <v/>
      </c>
      <c r="E329" s="49">
        <f>VLOOKUP(Table311[[#This Row],[Date]],'DB Details'!$A:$T,19)</f>
        <v/>
      </c>
    </row>
    <row r="330">
      <c r="A330" s="38" t="n">
        <v>27395</v>
      </c>
      <c r="B330" s="48">
        <f>VLOOKUP(Table311[[#This Row],[Date]],'DB Details'!$A:$L,12)</f>
        <v/>
      </c>
      <c r="C330" s="49">
        <f>VLOOKUP(Table311[[#This Row],[Date]],'DB Details'!$A:$T,20)</f>
        <v/>
      </c>
      <c r="D330" s="49">
        <f>VLOOKUP(Table311[[#This Row],[Date]],'DB Details'!$A:$T,18)</f>
        <v/>
      </c>
      <c r="E330" s="49">
        <f>VLOOKUP(Table311[[#This Row],[Date]],'DB Details'!$A:$T,19)</f>
        <v/>
      </c>
    </row>
    <row r="331">
      <c r="A331" s="38" t="n">
        <v>27426</v>
      </c>
      <c r="B331" s="48">
        <f>VLOOKUP(Table311[[#This Row],[Date]],'DB Details'!$A:$L,12)</f>
        <v/>
      </c>
      <c r="C331" s="49">
        <f>VLOOKUP(Table311[[#This Row],[Date]],'DB Details'!$A:$T,20)</f>
        <v/>
      </c>
      <c r="D331" s="49">
        <f>VLOOKUP(Table311[[#This Row],[Date]],'DB Details'!$A:$T,18)</f>
        <v/>
      </c>
      <c r="E331" s="49">
        <f>VLOOKUP(Table311[[#This Row],[Date]],'DB Details'!$A:$T,19)</f>
        <v/>
      </c>
    </row>
    <row r="332">
      <c r="A332" s="38" t="n">
        <v>27454</v>
      </c>
      <c r="B332" s="48">
        <f>VLOOKUP(Table311[[#This Row],[Date]],'DB Details'!$A:$L,12)</f>
        <v/>
      </c>
      <c r="C332" s="49">
        <f>VLOOKUP(Table311[[#This Row],[Date]],'DB Details'!$A:$T,20)</f>
        <v/>
      </c>
      <c r="D332" s="49">
        <f>VLOOKUP(Table311[[#This Row],[Date]],'DB Details'!$A:$T,18)</f>
        <v/>
      </c>
      <c r="E332" s="49">
        <f>VLOOKUP(Table311[[#This Row],[Date]],'DB Details'!$A:$T,19)</f>
        <v/>
      </c>
    </row>
    <row r="333">
      <c r="A333" s="38" t="n">
        <v>27485</v>
      </c>
      <c r="B333" s="48">
        <f>VLOOKUP(Table311[[#This Row],[Date]],'DB Details'!$A:$L,12)</f>
        <v/>
      </c>
      <c r="C333" s="49">
        <f>VLOOKUP(Table311[[#This Row],[Date]],'DB Details'!$A:$T,20)</f>
        <v/>
      </c>
      <c r="D333" s="49">
        <f>VLOOKUP(Table311[[#This Row],[Date]],'DB Details'!$A:$T,18)</f>
        <v/>
      </c>
      <c r="E333" s="49">
        <f>VLOOKUP(Table311[[#This Row],[Date]],'DB Details'!$A:$T,19)</f>
        <v/>
      </c>
    </row>
    <row r="334">
      <c r="A334" s="38" t="n">
        <v>27515</v>
      </c>
      <c r="B334" s="48">
        <f>VLOOKUP(Table311[[#This Row],[Date]],'DB Details'!$A:$L,12)</f>
        <v/>
      </c>
      <c r="C334" s="49">
        <f>VLOOKUP(Table311[[#This Row],[Date]],'DB Details'!$A:$T,20)</f>
        <v/>
      </c>
      <c r="D334" s="49">
        <f>VLOOKUP(Table311[[#This Row],[Date]],'DB Details'!$A:$T,18)</f>
        <v/>
      </c>
      <c r="E334" s="49">
        <f>VLOOKUP(Table311[[#This Row],[Date]],'DB Details'!$A:$T,19)</f>
        <v/>
      </c>
    </row>
    <row r="335">
      <c r="A335" s="38" t="n">
        <v>27546</v>
      </c>
      <c r="B335" s="48">
        <f>VLOOKUP(Table311[[#This Row],[Date]],'DB Details'!$A:$L,12)</f>
        <v/>
      </c>
      <c r="C335" s="49">
        <f>VLOOKUP(Table311[[#This Row],[Date]],'DB Details'!$A:$T,20)</f>
        <v/>
      </c>
      <c r="D335" s="49">
        <f>VLOOKUP(Table311[[#This Row],[Date]],'DB Details'!$A:$T,18)</f>
        <v/>
      </c>
      <c r="E335" s="49">
        <f>VLOOKUP(Table311[[#This Row],[Date]],'DB Details'!$A:$T,19)</f>
        <v/>
      </c>
    </row>
    <row r="336">
      <c r="A336" s="38" t="n">
        <v>27576</v>
      </c>
      <c r="B336" s="48">
        <f>VLOOKUP(Table311[[#This Row],[Date]],'DB Details'!$A:$L,12)</f>
        <v/>
      </c>
      <c r="C336" s="49">
        <f>VLOOKUP(Table311[[#This Row],[Date]],'DB Details'!$A:$T,20)</f>
        <v/>
      </c>
      <c r="D336" s="49">
        <f>VLOOKUP(Table311[[#This Row],[Date]],'DB Details'!$A:$T,18)</f>
        <v/>
      </c>
      <c r="E336" s="49">
        <f>VLOOKUP(Table311[[#This Row],[Date]],'DB Details'!$A:$T,19)</f>
        <v/>
      </c>
    </row>
    <row r="337">
      <c r="A337" s="38" t="n">
        <v>27607</v>
      </c>
      <c r="B337" s="48">
        <f>VLOOKUP(Table311[[#This Row],[Date]],'DB Details'!$A:$L,12)</f>
        <v/>
      </c>
      <c r="C337" s="49">
        <f>VLOOKUP(Table311[[#This Row],[Date]],'DB Details'!$A:$T,20)</f>
        <v/>
      </c>
      <c r="D337" s="49">
        <f>VLOOKUP(Table311[[#This Row],[Date]],'DB Details'!$A:$T,18)</f>
        <v/>
      </c>
      <c r="E337" s="49">
        <f>VLOOKUP(Table311[[#This Row],[Date]],'DB Details'!$A:$T,19)</f>
        <v/>
      </c>
    </row>
    <row r="338">
      <c r="A338" s="38" t="n">
        <v>27638</v>
      </c>
      <c r="B338" s="48">
        <f>VLOOKUP(Table311[[#This Row],[Date]],'DB Details'!$A:$L,12)</f>
        <v/>
      </c>
      <c r="C338" s="49">
        <f>VLOOKUP(Table311[[#This Row],[Date]],'DB Details'!$A:$T,20)</f>
        <v/>
      </c>
      <c r="D338" s="49">
        <f>VLOOKUP(Table311[[#This Row],[Date]],'DB Details'!$A:$T,18)</f>
        <v/>
      </c>
      <c r="E338" s="49">
        <f>VLOOKUP(Table311[[#This Row],[Date]],'DB Details'!$A:$T,19)</f>
        <v/>
      </c>
    </row>
    <row r="339">
      <c r="A339" s="38" t="n">
        <v>27668</v>
      </c>
      <c r="B339" s="48">
        <f>VLOOKUP(Table311[[#This Row],[Date]],'DB Details'!$A:$L,12)</f>
        <v/>
      </c>
      <c r="C339" s="49">
        <f>VLOOKUP(Table311[[#This Row],[Date]],'DB Details'!$A:$T,20)</f>
        <v/>
      </c>
      <c r="D339" s="49">
        <f>VLOOKUP(Table311[[#This Row],[Date]],'DB Details'!$A:$T,18)</f>
        <v/>
      </c>
      <c r="E339" s="49">
        <f>VLOOKUP(Table311[[#This Row],[Date]],'DB Details'!$A:$T,19)</f>
        <v/>
      </c>
    </row>
    <row r="340">
      <c r="A340" s="38" t="n">
        <v>27699</v>
      </c>
      <c r="B340" s="48">
        <f>VLOOKUP(Table311[[#This Row],[Date]],'DB Details'!$A:$L,12)</f>
        <v/>
      </c>
      <c r="C340" s="49">
        <f>VLOOKUP(Table311[[#This Row],[Date]],'DB Details'!$A:$T,20)</f>
        <v/>
      </c>
      <c r="D340" s="49">
        <f>VLOOKUP(Table311[[#This Row],[Date]],'DB Details'!$A:$T,18)</f>
        <v/>
      </c>
      <c r="E340" s="49">
        <f>VLOOKUP(Table311[[#This Row],[Date]],'DB Details'!$A:$T,19)</f>
        <v/>
      </c>
    </row>
    <row r="341">
      <c r="A341" s="38" t="n">
        <v>27729</v>
      </c>
      <c r="B341" s="48">
        <f>VLOOKUP(Table311[[#This Row],[Date]],'DB Details'!$A:$L,12)</f>
        <v/>
      </c>
      <c r="C341" s="49">
        <f>VLOOKUP(Table311[[#This Row],[Date]],'DB Details'!$A:$T,20)</f>
        <v/>
      </c>
      <c r="D341" s="49">
        <f>VLOOKUP(Table311[[#This Row],[Date]],'DB Details'!$A:$T,18)</f>
        <v/>
      </c>
      <c r="E341" s="49">
        <f>VLOOKUP(Table311[[#This Row],[Date]],'DB Details'!$A:$T,19)</f>
        <v/>
      </c>
    </row>
    <row r="342">
      <c r="A342" s="38" t="n">
        <v>27760</v>
      </c>
      <c r="B342" s="48">
        <f>VLOOKUP(Table311[[#This Row],[Date]],'DB Details'!$A:$L,12)</f>
        <v/>
      </c>
      <c r="C342" s="49">
        <f>VLOOKUP(Table311[[#This Row],[Date]],'DB Details'!$A:$T,20)</f>
        <v/>
      </c>
      <c r="D342" s="49">
        <f>VLOOKUP(Table311[[#This Row],[Date]],'DB Details'!$A:$T,18)</f>
        <v/>
      </c>
      <c r="E342" s="49">
        <f>VLOOKUP(Table311[[#This Row],[Date]],'DB Details'!$A:$T,19)</f>
        <v/>
      </c>
    </row>
    <row r="343">
      <c r="A343" s="38" t="n">
        <v>27791</v>
      </c>
      <c r="B343" s="48">
        <f>VLOOKUP(Table311[[#This Row],[Date]],'DB Details'!$A:$L,12)</f>
        <v/>
      </c>
      <c r="C343" s="49">
        <f>VLOOKUP(Table311[[#This Row],[Date]],'DB Details'!$A:$T,20)</f>
        <v/>
      </c>
      <c r="D343" s="49">
        <f>VLOOKUP(Table311[[#This Row],[Date]],'DB Details'!$A:$T,18)</f>
        <v/>
      </c>
      <c r="E343" s="49">
        <f>VLOOKUP(Table311[[#This Row],[Date]],'DB Details'!$A:$T,19)</f>
        <v/>
      </c>
    </row>
    <row r="344">
      <c r="A344" s="38" t="n">
        <v>27820</v>
      </c>
      <c r="B344" s="48">
        <f>VLOOKUP(Table311[[#This Row],[Date]],'DB Details'!$A:$L,12)</f>
        <v/>
      </c>
      <c r="C344" s="49">
        <f>VLOOKUP(Table311[[#This Row],[Date]],'DB Details'!$A:$T,20)</f>
        <v/>
      </c>
      <c r="D344" s="49">
        <f>VLOOKUP(Table311[[#This Row],[Date]],'DB Details'!$A:$T,18)</f>
        <v/>
      </c>
      <c r="E344" s="49">
        <f>VLOOKUP(Table311[[#This Row],[Date]],'DB Details'!$A:$T,19)</f>
        <v/>
      </c>
    </row>
    <row r="345">
      <c r="A345" s="38" t="n">
        <v>27851</v>
      </c>
      <c r="B345" s="48">
        <f>VLOOKUP(Table311[[#This Row],[Date]],'DB Details'!$A:$L,12)</f>
        <v/>
      </c>
      <c r="C345" s="49">
        <f>VLOOKUP(Table311[[#This Row],[Date]],'DB Details'!$A:$T,20)</f>
        <v/>
      </c>
      <c r="D345" s="49">
        <f>VLOOKUP(Table311[[#This Row],[Date]],'DB Details'!$A:$T,18)</f>
        <v/>
      </c>
      <c r="E345" s="49">
        <f>VLOOKUP(Table311[[#This Row],[Date]],'DB Details'!$A:$T,19)</f>
        <v/>
      </c>
    </row>
    <row r="346">
      <c r="A346" s="38" t="n">
        <v>27881</v>
      </c>
      <c r="B346" s="48">
        <f>VLOOKUP(Table311[[#This Row],[Date]],'DB Details'!$A:$L,12)</f>
        <v/>
      </c>
      <c r="C346" s="49">
        <f>VLOOKUP(Table311[[#This Row],[Date]],'DB Details'!$A:$T,20)</f>
        <v/>
      </c>
      <c r="D346" s="49">
        <f>VLOOKUP(Table311[[#This Row],[Date]],'DB Details'!$A:$T,18)</f>
        <v/>
      </c>
      <c r="E346" s="49">
        <f>VLOOKUP(Table311[[#This Row],[Date]],'DB Details'!$A:$T,19)</f>
        <v/>
      </c>
    </row>
    <row r="347">
      <c r="A347" s="38" t="n">
        <v>27912</v>
      </c>
      <c r="B347" s="48">
        <f>VLOOKUP(Table311[[#This Row],[Date]],'DB Details'!$A:$L,12)</f>
        <v/>
      </c>
      <c r="C347" s="49">
        <f>VLOOKUP(Table311[[#This Row],[Date]],'DB Details'!$A:$T,20)</f>
        <v/>
      </c>
      <c r="D347" s="49">
        <f>VLOOKUP(Table311[[#This Row],[Date]],'DB Details'!$A:$T,18)</f>
        <v/>
      </c>
      <c r="E347" s="49">
        <f>VLOOKUP(Table311[[#This Row],[Date]],'DB Details'!$A:$T,19)</f>
        <v/>
      </c>
    </row>
    <row r="348">
      <c r="A348" s="38" t="n">
        <v>27942</v>
      </c>
      <c r="B348" s="48">
        <f>VLOOKUP(Table311[[#This Row],[Date]],'DB Details'!$A:$L,12)</f>
        <v/>
      </c>
      <c r="C348" s="49">
        <f>VLOOKUP(Table311[[#This Row],[Date]],'DB Details'!$A:$T,20)</f>
        <v/>
      </c>
      <c r="D348" s="49">
        <f>VLOOKUP(Table311[[#This Row],[Date]],'DB Details'!$A:$T,18)</f>
        <v/>
      </c>
      <c r="E348" s="49">
        <f>VLOOKUP(Table311[[#This Row],[Date]],'DB Details'!$A:$T,19)</f>
        <v/>
      </c>
    </row>
    <row r="349">
      <c r="A349" s="38" t="n">
        <v>27973</v>
      </c>
      <c r="B349" s="48">
        <f>VLOOKUP(Table311[[#This Row],[Date]],'DB Details'!$A:$L,12)</f>
        <v/>
      </c>
      <c r="C349" s="49">
        <f>VLOOKUP(Table311[[#This Row],[Date]],'DB Details'!$A:$T,20)</f>
        <v/>
      </c>
      <c r="D349" s="49">
        <f>VLOOKUP(Table311[[#This Row],[Date]],'DB Details'!$A:$T,18)</f>
        <v/>
      </c>
      <c r="E349" s="49">
        <f>VLOOKUP(Table311[[#This Row],[Date]],'DB Details'!$A:$T,19)</f>
        <v/>
      </c>
    </row>
    <row r="350">
      <c r="A350" s="38" t="n">
        <v>28004</v>
      </c>
      <c r="B350" s="48">
        <f>VLOOKUP(Table311[[#This Row],[Date]],'DB Details'!$A:$L,12)</f>
        <v/>
      </c>
      <c r="C350" s="49">
        <f>VLOOKUP(Table311[[#This Row],[Date]],'DB Details'!$A:$T,20)</f>
        <v/>
      </c>
      <c r="D350" s="49">
        <f>VLOOKUP(Table311[[#This Row],[Date]],'DB Details'!$A:$T,18)</f>
        <v/>
      </c>
      <c r="E350" s="49">
        <f>VLOOKUP(Table311[[#This Row],[Date]],'DB Details'!$A:$T,19)</f>
        <v/>
      </c>
    </row>
    <row r="351">
      <c r="A351" s="38" t="n">
        <v>28034</v>
      </c>
      <c r="B351" s="48">
        <f>VLOOKUP(Table311[[#This Row],[Date]],'DB Details'!$A:$L,12)</f>
        <v/>
      </c>
      <c r="C351" s="49">
        <f>VLOOKUP(Table311[[#This Row],[Date]],'DB Details'!$A:$T,20)</f>
        <v/>
      </c>
      <c r="D351" s="49">
        <f>VLOOKUP(Table311[[#This Row],[Date]],'DB Details'!$A:$T,18)</f>
        <v/>
      </c>
      <c r="E351" s="49">
        <f>VLOOKUP(Table311[[#This Row],[Date]],'DB Details'!$A:$T,19)</f>
        <v/>
      </c>
    </row>
    <row r="352">
      <c r="A352" s="38" t="n">
        <v>28065</v>
      </c>
      <c r="B352" s="48">
        <f>VLOOKUP(Table311[[#This Row],[Date]],'DB Details'!$A:$L,12)</f>
        <v/>
      </c>
      <c r="C352" s="49">
        <f>VLOOKUP(Table311[[#This Row],[Date]],'DB Details'!$A:$T,20)</f>
        <v/>
      </c>
      <c r="D352" s="49">
        <f>VLOOKUP(Table311[[#This Row],[Date]],'DB Details'!$A:$T,18)</f>
        <v/>
      </c>
      <c r="E352" s="49">
        <f>VLOOKUP(Table311[[#This Row],[Date]],'DB Details'!$A:$T,19)</f>
        <v/>
      </c>
    </row>
    <row r="353">
      <c r="A353" s="38" t="n">
        <v>28095</v>
      </c>
      <c r="B353" s="48">
        <f>VLOOKUP(Table311[[#This Row],[Date]],'DB Details'!$A:$L,12)</f>
        <v/>
      </c>
      <c r="C353" s="49">
        <f>VLOOKUP(Table311[[#This Row],[Date]],'DB Details'!$A:$T,20)</f>
        <v/>
      </c>
      <c r="D353" s="49">
        <f>VLOOKUP(Table311[[#This Row],[Date]],'DB Details'!$A:$T,18)</f>
        <v/>
      </c>
      <c r="E353" s="49">
        <f>VLOOKUP(Table311[[#This Row],[Date]],'DB Details'!$A:$T,19)</f>
        <v/>
      </c>
    </row>
    <row r="354">
      <c r="A354" s="38" t="n">
        <v>28126</v>
      </c>
      <c r="B354" s="48">
        <f>VLOOKUP(Table311[[#This Row],[Date]],'DB Details'!$A:$L,12)</f>
        <v/>
      </c>
      <c r="C354" s="49">
        <f>VLOOKUP(Table311[[#This Row],[Date]],'DB Details'!$A:$T,20)</f>
        <v/>
      </c>
      <c r="D354" s="49">
        <f>VLOOKUP(Table311[[#This Row],[Date]],'DB Details'!$A:$T,18)</f>
        <v/>
      </c>
      <c r="E354" s="49">
        <f>VLOOKUP(Table311[[#This Row],[Date]],'DB Details'!$A:$T,19)</f>
        <v/>
      </c>
    </row>
    <row r="355">
      <c r="A355" s="38" t="n">
        <v>28157</v>
      </c>
      <c r="B355" s="48">
        <f>VLOOKUP(Table311[[#This Row],[Date]],'DB Details'!$A:$L,12)</f>
        <v/>
      </c>
      <c r="C355" s="49">
        <f>VLOOKUP(Table311[[#This Row],[Date]],'DB Details'!$A:$T,20)</f>
        <v/>
      </c>
      <c r="D355" s="49">
        <f>VLOOKUP(Table311[[#This Row],[Date]],'DB Details'!$A:$T,18)</f>
        <v/>
      </c>
      <c r="E355" s="49">
        <f>VLOOKUP(Table311[[#This Row],[Date]],'DB Details'!$A:$T,19)</f>
        <v/>
      </c>
    </row>
    <row r="356">
      <c r="A356" s="38" t="n">
        <v>28185</v>
      </c>
      <c r="B356" s="48">
        <f>VLOOKUP(Table311[[#This Row],[Date]],'DB Details'!$A:$L,12)</f>
        <v/>
      </c>
      <c r="C356" s="49">
        <f>VLOOKUP(Table311[[#This Row],[Date]],'DB Details'!$A:$T,20)</f>
        <v/>
      </c>
      <c r="D356" s="49">
        <f>VLOOKUP(Table311[[#This Row],[Date]],'DB Details'!$A:$T,18)</f>
        <v/>
      </c>
      <c r="E356" s="49">
        <f>VLOOKUP(Table311[[#This Row],[Date]],'DB Details'!$A:$T,19)</f>
        <v/>
      </c>
    </row>
    <row r="357">
      <c r="A357" s="38" t="n">
        <v>28216</v>
      </c>
      <c r="B357" s="48">
        <f>VLOOKUP(Table311[[#This Row],[Date]],'DB Details'!$A:$L,12)</f>
        <v/>
      </c>
      <c r="C357" s="49">
        <f>VLOOKUP(Table311[[#This Row],[Date]],'DB Details'!$A:$T,20)</f>
        <v/>
      </c>
      <c r="D357" s="49">
        <f>VLOOKUP(Table311[[#This Row],[Date]],'DB Details'!$A:$T,18)</f>
        <v/>
      </c>
      <c r="E357" s="49">
        <f>VLOOKUP(Table311[[#This Row],[Date]],'DB Details'!$A:$T,19)</f>
        <v/>
      </c>
    </row>
    <row r="358">
      <c r="A358" s="38" t="n">
        <v>28246</v>
      </c>
      <c r="B358" s="48">
        <f>VLOOKUP(Table311[[#This Row],[Date]],'DB Details'!$A:$L,12)</f>
        <v/>
      </c>
      <c r="C358" s="49">
        <f>VLOOKUP(Table311[[#This Row],[Date]],'DB Details'!$A:$T,20)</f>
        <v/>
      </c>
      <c r="D358" s="49">
        <f>VLOOKUP(Table311[[#This Row],[Date]],'DB Details'!$A:$T,18)</f>
        <v/>
      </c>
      <c r="E358" s="49">
        <f>VLOOKUP(Table311[[#This Row],[Date]],'DB Details'!$A:$T,19)</f>
        <v/>
      </c>
    </row>
    <row r="359">
      <c r="A359" s="38" t="n">
        <v>28277</v>
      </c>
      <c r="B359" s="48">
        <f>VLOOKUP(Table311[[#This Row],[Date]],'DB Details'!$A:$L,12)</f>
        <v/>
      </c>
      <c r="C359" s="49">
        <f>VLOOKUP(Table311[[#This Row],[Date]],'DB Details'!$A:$T,20)</f>
        <v/>
      </c>
      <c r="D359" s="49">
        <f>VLOOKUP(Table311[[#This Row],[Date]],'DB Details'!$A:$T,18)</f>
        <v/>
      </c>
      <c r="E359" s="49">
        <f>VLOOKUP(Table311[[#This Row],[Date]],'DB Details'!$A:$T,19)</f>
        <v/>
      </c>
    </row>
    <row r="360">
      <c r="A360" s="38" t="n">
        <v>28307</v>
      </c>
      <c r="B360" s="48">
        <f>VLOOKUP(Table311[[#This Row],[Date]],'DB Details'!$A:$L,12)</f>
        <v/>
      </c>
      <c r="C360" s="49">
        <f>VLOOKUP(Table311[[#This Row],[Date]],'DB Details'!$A:$T,20)</f>
        <v/>
      </c>
      <c r="D360" s="49">
        <f>VLOOKUP(Table311[[#This Row],[Date]],'DB Details'!$A:$T,18)</f>
        <v/>
      </c>
      <c r="E360" s="49">
        <f>VLOOKUP(Table311[[#This Row],[Date]],'DB Details'!$A:$T,19)</f>
        <v/>
      </c>
    </row>
    <row r="361">
      <c r="A361" s="38" t="n">
        <v>28338</v>
      </c>
      <c r="B361" s="48">
        <f>VLOOKUP(Table311[[#This Row],[Date]],'DB Details'!$A:$L,12)</f>
        <v/>
      </c>
      <c r="C361" s="49">
        <f>VLOOKUP(Table311[[#This Row],[Date]],'DB Details'!$A:$T,20)</f>
        <v/>
      </c>
      <c r="D361" s="49">
        <f>VLOOKUP(Table311[[#This Row],[Date]],'DB Details'!$A:$T,18)</f>
        <v/>
      </c>
      <c r="E361" s="49">
        <f>VLOOKUP(Table311[[#This Row],[Date]],'DB Details'!$A:$T,19)</f>
        <v/>
      </c>
    </row>
    <row r="362">
      <c r="A362" s="38" t="n">
        <v>28369</v>
      </c>
      <c r="B362" s="48">
        <f>VLOOKUP(Table311[[#This Row],[Date]],'DB Details'!$A:$L,12)</f>
        <v/>
      </c>
      <c r="C362" s="49">
        <f>VLOOKUP(Table311[[#This Row],[Date]],'DB Details'!$A:$T,20)</f>
        <v/>
      </c>
      <c r="D362" s="49">
        <f>VLOOKUP(Table311[[#This Row],[Date]],'DB Details'!$A:$T,18)</f>
        <v/>
      </c>
      <c r="E362" s="49">
        <f>VLOOKUP(Table311[[#This Row],[Date]],'DB Details'!$A:$T,19)</f>
        <v/>
      </c>
    </row>
    <row r="363">
      <c r="A363" s="38" t="n">
        <v>28399</v>
      </c>
      <c r="B363" s="48">
        <f>VLOOKUP(Table311[[#This Row],[Date]],'DB Details'!$A:$L,12)</f>
        <v/>
      </c>
      <c r="C363" s="49">
        <f>VLOOKUP(Table311[[#This Row],[Date]],'DB Details'!$A:$T,20)</f>
        <v/>
      </c>
      <c r="D363" s="49">
        <f>VLOOKUP(Table311[[#This Row],[Date]],'DB Details'!$A:$T,18)</f>
        <v/>
      </c>
      <c r="E363" s="49">
        <f>VLOOKUP(Table311[[#This Row],[Date]],'DB Details'!$A:$T,19)</f>
        <v/>
      </c>
    </row>
    <row r="364">
      <c r="A364" s="38" t="n">
        <v>28430</v>
      </c>
      <c r="B364" s="48">
        <f>VLOOKUP(Table311[[#This Row],[Date]],'DB Details'!$A:$L,12)</f>
        <v/>
      </c>
      <c r="C364" s="49">
        <f>VLOOKUP(Table311[[#This Row],[Date]],'DB Details'!$A:$T,20)</f>
        <v/>
      </c>
      <c r="D364" s="49">
        <f>VLOOKUP(Table311[[#This Row],[Date]],'DB Details'!$A:$T,18)</f>
        <v/>
      </c>
      <c r="E364" s="49">
        <f>VLOOKUP(Table311[[#This Row],[Date]],'DB Details'!$A:$T,19)</f>
        <v/>
      </c>
    </row>
    <row r="365">
      <c r="A365" s="38" t="n">
        <v>28460</v>
      </c>
      <c r="B365" s="48">
        <f>VLOOKUP(Table311[[#This Row],[Date]],'DB Details'!$A:$L,12)</f>
        <v/>
      </c>
      <c r="C365" s="49">
        <f>VLOOKUP(Table311[[#This Row],[Date]],'DB Details'!$A:$T,20)</f>
        <v/>
      </c>
      <c r="D365" s="49">
        <f>VLOOKUP(Table311[[#This Row],[Date]],'DB Details'!$A:$T,18)</f>
        <v/>
      </c>
      <c r="E365" s="49">
        <f>VLOOKUP(Table311[[#This Row],[Date]],'DB Details'!$A:$T,19)</f>
        <v/>
      </c>
    </row>
    <row r="366">
      <c r="A366" s="38" t="n">
        <v>28491</v>
      </c>
      <c r="B366" s="48">
        <f>VLOOKUP(Table311[[#This Row],[Date]],'DB Details'!$A:$L,12)</f>
        <v/>
      </c>
      <c r="C366" s="49">
        <f>VLOOKUP(Table311[[#This Row],[Date]],'DB Details'!$A:$T,20)</f>
        <v/>
      </c>
      <c r="D366" s="49">
        <f>VLOOKUP(Table311[[#This Row],[Date]],'DB Details'!$A:$T,18)</f>
        <v/>
      </c>
      <c r="E366" s="49">
        <f>VLOOKUP(Table311[[#This Row],[Date]],'DB Details'!$A:$T,19)</f>
        <v/>
      </c>
    </row>
    <row r="367">
      <c r="A367" s="38" t="n">
        <v>28522</v>
      </c>
      <c r="B367" s="48">
        <f>VLOOKUP(Table311[[#This Row],[Date]],'DB Details'!$A:$L,12)</f>
        <v/>
      </c>
      <c r="C367" s="49">
        <f>VLOOKUP(Table311[[#This Row],[Date]],'DB Details'!$A:$T,20)</f>
        <v/>
      </c>
      <c r="D367" s="49">
        <f>VLOOKUP(Table311[[#This Row],[Date]],'DB Details'!$A:$T,18)</f>
        <v/>
      </c>
      <c r="E367" s="49">
        <f>VLOOKUP(Table311[[#This Row],[Date]],'DB Details'!$A:$T,19)</f>
        <v/>
      </c>
    </row>
    <row r="368">
      <c r="A368" s="38" t="n">
        <v>28550</v>
      </c>
      <c r="B368" s="48">
        <f>VLOOKUP(Table311[[#This Row],[Date]],'DB Details'!$A:$L,12)</f>
        <v/>
      </c>
      <c r="C368" s="49">
        <f>VLOOKUP(Table311[[#This Row],[Date]],'DB Details'!$A:$T,20)</f>
        <v/>
      </c>
      <c r="D368" s="49">
        <f>VLOOKUP(Table311[[#This Row],[Date]],'DB Details'!$A:$T,18)</f>
        <v/>
      </c>
      <c r="E368" s="49">
        <f>VLOOKUP(Table311[[#This Row],[Date]],'DB Details'!$A:$T,19)</f>
        <v/>
      </c>
    </row>
    <row r="369">
      <c r="A369" s="38" t="n">
        <v>28581</v>
      </c>
      <c r="B369" s="48">
        <f>VLOOKUP(Table311[[#This Row],[Date]],'DB Details'!$A:$L,12)</f>
        <v/>
      </c>
      <c r="C369" s="49">
        <f>VLOOKUP(Table311[[#This Row],[Date]],'DB Details'!$A:$T,20)</f>
        <v/>
      </c>
      <c r="D369" s="49">
        <f>VLOOKUP(Table311[[#This Row],[Date]],'DB Details'!$A:$T,18)</f>
        <v/>
      </c>
      <c r="E369" s="49">
        <f>VLOOKUP(Table311[[#This Row],[Date]],'DB Details'!$A:$T,19)</f>
        <v/>
      </c>
    </row>
    <row r="370">
      <c r="A370" s="38" t="n">
        <v>28611</v>
      </c>
      <c r="B370" s="48">
        <f>VLOOKUP(Table311[[#This Row],[Date]],'DB Details'!$A:$L,12)</f>
        <v/>
      </c>
      <c r="C370" s="49">
        <f>VLOOKUP(Table311[[#This Row],[Date]],'DB Details'!$A:$T,20)</f>
        <v/>
      </c>
      <c r="D370" s="49">
        <f>VLOOKUP(Table311[[#This Row],[Date]],'DB Details'!$A:$T,18)</f>
        <v/>
      </c>
      <c r="E370" s="49">
        <f>VLOOKUP(Table311[[#This Row],[Date]],'DB Details'!$A:$T,19)</f>
        <v/>
      </c>
    </row>
    <row r="371">
      <c r="A371" s="38" t="n">
        <v>28642</v>
      </c>
      <c r="B371" s="48">
        <f>VLOOKUP(Table311[[#This Row],[Date]],'DB Details'!$A:$L,12)</f>
        <v/>
      </c>
      <c r="C371" s="49">
        <f>VLOOKUP(Table311[[#This Row],[Date]],'DB Details'!$A:$T,20)</f>
        <v/>
      </c>
      <c r="D371" s="49">
        <f>VLOOKUP(Table311[[#This Row],[Date]],'DB Details'!$A:$T,18)</f>
        <v/>
      </c>
      <c r="E371" s="49">
        <f>VLOOKUP(Table311[[#This Row],[Date]],'DB Details'!$A:$T,19)</f>
        <v/>
      </c>
    </row>
    <row r="372">
      <c r="A372" s="38" t="n">
        <v>28672</v>
      </c>
      <c r="B372" s="48">
        <f>VLOOKUP(Table311[[#This Row],[Date]],'DB Details'!$A:$L,12)</f>
        <v/>
      </c>
      <c r="C372" s="49">
        <f>VLOOKUP(Table311[[#This Row],[Date]],'DB Details'!$A:$T,20)</f>
        <v/>
      </c>
      <c r="D372" s="49">
        <f>VLOOKUP(Table311[[#This Row],[Date]],'DB Details'!$A:$T,18)</f>
        <v/>
      </c>
      <c r="E372" s="49">
        <f>VLOOKUP(Table311[[#This Row],[Date]],'DB Details'!$A:$T,19)</f>
        <v/>
      </c>
    </row>
    <row r="373">
      <c r="A373" s="38" t="n">
        <v>28703</v>
      </c>
      <c r="B373" s="48">
        <f>VLOOKUP(Table311[[#This Row],[Date]],'DB Details'!$A:$L,12)</f>
        <v/>
      </c>
      <c r="C373" s="49">
        <f>VLOOKUP(Table311[[#This Row],[Date]],'DB Details'!$A:$T,20)</f>
        <v/>
      </c>
      <c r="D373" s="49">
        <f>VLOOKUP(Table311[[#This Row],[Date]],'DB Details'!$A:$T,18)</f>
        <v/>
      </c>
      <c r="E373" s="49">
        <f>VLOOKUP(Table311[[#This Row],[Date]],'DB Details'!$A:$T,19)</f>
        <v/>
      </c>
    </row>
    <row r="374">
      <c r="A374" s="38" t="n">
        <v>28734</v>
      </c>
      <c r="B374" s="48">
        <f>VLOOKUP(Table311[[#This Row],[Date]],'DB Details'!$A:$L,12)</f>
        <v/>
      </c>
      <c r="C374" s="49">
        <f>VLOOKUP(Table311[[#This Row],[Date]],'DB Details'!$A:$T,20)</f>
        <v/>
      </c>
      <c r="D374" s="49">
        <f>VLOOKUP(Table311[[#This Row],[Date]],'DB Details'!$A:$T,18)</f>
        <v/>
      </c>
      <c r="E374" s="49">
        <f>VLOOKUP(Table311[[#This Row],[Date]],'DB Details'!$A:$T,19)</f>
        <v/>
      </c>
    </row>
    <row r="375">
      <c r="A375" s="38" t="n">
        <v>28764</v>
      </c>
      <c r="B375" s="48">
        <f>VLOOKUP(Table311[[#This Row],[Date]],'DB Details'!$A:$L,12)</f>
        <v/>
      </c>
      <c r="C375" s="49">
        <f>VLOOKUP(Table311[[#This Row],[Date]],'DB Details'!$A:$T,20)</f>
        <v/>
      </c>
      <c r="D375" s="49">
        <f>VLOOKUP(Table311[[#This Row],[Date]],'DB Details'!$A:$T,18)</f>
        <v/>
      </c>
      <c r="E375" s="49">
        <f>VLOOKUP(Table311[[#This Row],[Date]],'DB Details'!$A:$T,19)</f>
        <v/>
      </c>
    </row>
    <row r="376">
      <c r="A376" s="38" t="n">
        <v>28795</v>
      </c>
      <c r="B376" s="48">
        <f>VLOOKUP(Table311[[#This Row],[Date]],'DB Details'!$A:$L,12)</f>
        <v/>
      </c>
      <c r="C376" s="49">
        <f>VLOOKUP(Table311[[#This Row],[Date]],'DB Details'!$A:$T,20)</f>
        <v/>
      </c>
      <c r="D376" s="49">
        <f>VLOOKUP(Table311[[#This Row],[Date]],'DB Details'!$A:$T,18)</f>
        <v/>
      </c>
      <c r="E376" s="49">
        <f>VLOOKUP(Table311[[#This Row],[Date]],'DB Details'!$A:$T,19)</f>
        <v/>
      </c>
    </row>
    <row r="377">
      <c r="A377" s="38" t="n">
        <v>28825</v>
      </c>
      <c r="B377" s="48">
        <f>VLOOKUP(Table311[[#This Row],[Date]],'DB Details'!$A:$L,12)</f>
        <v/>
      </c>
      <c r="C377" s="49">
        <f>VLOOKUP(Table311[[#This Row],[Date]],'DB Details'!$A:$T,20)</f>
        <v/>
      </c>
      <c r="D377" s="49">
        <f>VLOOKUP(Table311[[#This Row],[Date]],'DB Details'!$A:$T,18)</f>
        <v/>
      </c>
      <c r="E377" s="49">
        <f>VLOOKUP(Table311[[#This Row],[Date]],'DB Details'!$A:$T,19)</f>
        <v/>
      </c>
    </row>
    <row r="378">
      <c r="A378" s="38" t="n">
        <v>28856</v>
      </c>
      <c r="B378" s="48">
        <f>VLOOKUP(Table311[[#This Row],[Date]],'DB Details'!$A:$L,12)</f>
        <v/>
      </c>
      <c r="C378" s="49">
        <f>VLOOKUP(Table311[[#This Row],[Date]],'DB Details'!$A:$T,20)</f>
        <v/>
      </c>
      <c r="D378" s="49">
        <f>VLOOKUP(Table311[[#This Row],[Date]],'DB Details'!$A:$T,18)</f>
        <v/>
      </c>
      <c r="E378" s="49">
        <f>VLOOKUP(Table311[[#This Row],[Date]],'DB Details'!$A:$T,19)</f>
        <v/>
      </c>
    </row>
    <row r="379">
      <c r="A379" s="38" t="n">
        <v>28887</v>
      </c>
      <c r="B379" s="48">
        <f>VLOOKUP(Table311[[#This Row],[Date]],'DB Details'!$A:$L,12)</f>
        <v/>
      </c>
      <c r="C379" s="49">
        <f>VLOOKUP(Table311[[#This Row],[Date]],'DB Details'!$A:$T,20)</f>
        <v/>
      </c>
      <c r="D379" s="49">
        <f>VLOOKUP(Table311[[#This Row],[Date]],'DB Details'!$A:$T,18)</f>
        <v/>
      </c>
      <c r="E379" s="49">
        <f>VLOOKUP(Table311[[#This Row],[Date]],'DB Details'!$A:$T,19)</f>
        <v/>
      </c>
    </row>
    <row r="380">
      <c r="A380" s="38" t="n">
        <v>28915</v>
      </c>
      <c r="B380" s="48">
        <f>VLOOKUP(Table311[[#This Row],[Date]],'DB Details'!$A:$L,12)</f>
        <v/>
      </c>
      <c r="C380" s="49">
        <f>VLOOKUP(Table311[[#This Row],[Date]],'DB Details'!$A:$T,20)</f>
        <v/>
      </c>
      <c r="D380" s="49">
        <f>VLOOKUP(Table311[[#This Row],[Date]],'DB Details'!$A:$T,18)</f>
        <v/>
      </c>
      <c r="E380" s="49">
        <f>VLOOKUP(Table311[[#This Row],[Date]],'DB Details'!$A:$T,19)</f>
        <v/>
      </c>
    </row>
    <row r="381">
      <c r="A381" s="38" t="n">
        <v>28946</v>
      </c>
      <c r="B381" s="48">
        <f>VLOOKUP(Table311[[#This Row],[Date]],'DB Details'!$A:$L,12)</f>
        <v/>
      </c>
      <c r="C381" s="49">
        <f>VLOOKUP(Table311[[#This Row],[Date]],'DB Details'!$A:$T,20)</f>
        <v/>
      </c>
      <c r="D381" s="49">
        <f>VLOOKUP(Table311[[#This Row],[Date]],'DB Details'!$A:$T,18)</f>
        <v/>
      </c>
      <c r="E381" s="49">
        <f>VLOOKUP(Table311[[#This Row],[Date]],'DB Details'!$A:$T,19)</f>
        <v/>
      </c>
    </row>
    <row r="382">
      <c r="A382" s="38" t="n">
        <v>28976</v>
      </c>
      <c r="B382" s="48">
        <f>VLOOKUP(Table311[[#This Row],[Date]],'DB Details'!$A:$L,12)</f>
        <v/>
      </c>
      <c r="C382" s="49">
        <f>VLOOKUP(Table311[[#This Row],[Date]],'DB Details'!$A:$T,20)</f>
        <v/>
      </c>
      <c r="D382" s="49">
        <f>VLOOKUP(Table311[[#This Row],[Date]],'DB Details'!$A:$T,18)</f>
        <v/>
      </c>
      <c r="E382" s="49">
        <f>VLOOKUP(Table311[[#This Row],[Date]],'DB Details'!$A:$T,19)</f>
        <v/>
      </c>
    </row>
    <row r="383">
      <c r="A383" s="38" t="n">
        <v>29007</v>
      </c>
      <c r="B383" s="48">
        <f>VLOOKUP(Table311[[#This Row],[Date]],'DB Details'!$A:$L,12)</f>
        <v/>
      </c>
      <c r="C383" s="49">
        <f>VLOOKUP(Table311[[#This Row],[Date]],'DB Details'!$A:$T,20)</f>
        <v/>
      </c>
      <c r="D383" s="49">
        <f>VLOOKUP(Table311[[#This Row],[Date]],'DB Details'!$A:$T,18)</f>
        <v/>
      </c>
      <c r="E383" s="49">
        <f>VLOOKUP(Table311[[#This Row],[Date]],'DB Details'!$A:$T,19)</f>
        <v/>
      </c>
    </row>
    <row r="384">
      <c r="A384" s="38" t="n">
        <v>29037</v>
      </c>
      <c r="B384" s="48">
        <f>VLOOKUP(Table311[[#This Row],[Date]],'DB Details'!$A:$L,12)</f>
        <v/>
      </c>
      <c r="C384" s="49">
        <f>VLOOKUP(Table311[[#This Row],[Date]],'DB Details'!$A:$T,20)</f>
        <v/>
      </c>
      <c r="D384" s="49">
        <f>VLOOKUP(Table311[[#This Row],[Date]],'DB Details'!$A:$T,18)</f>
        <v/>
      </c>
      <c r="E384" s="49">
        <f>VLOOKUP(Table311[[#This Row],[Date]],'DB Details'!$A:$T,19)</f>
        <v/>
      </c>
    </row>
    <row r="385">
      <c r="A385" s="38" t="n">
        <v>29068</v>
      </c>
      <c r="B385" s="48">
        <f>VLOOKUP(Table311[[#This Row],[Date]],'DB Details'!$A:$L,12)</f>
        <v/>
      </c>
      <c r="C385" s="49">
        <f>VLOOKUP(Table311[[#This Row],[Date]],'DB Details'!$A:$T,20)</f>
        <v/>
      </c>
      <c r="D385" s="49">
        <f>VLOOKUP(Table311[[#This Row],[Date]],'DB Details'!$A:$T,18)</f>
        <v/>
      </c>
      <c r="E385" s="49">
        <f>VLOOKUP(Table311[[#This Row],[Date]],'DB Details'!$A:$T,19)</f>
        <v/>
      </c>
    </row>
    <row r="386">
      <c r="A386" s="38" t="n">
        <v>29099</v>
      </c>
      <c r="B386" s="48">
        <f>VLOOKUP(Table311[[#This Row],[Date]],'DB Details'!$A:$L,12)</f>
        <v/>
      </c>
      <c r="C386" s="49">
        <f>VLOOKUP(Table311[[#This Row],[Date]],'DB Details'!$A:$T,20)</f>
        <v/>
      </c>
      <c r="D386" s="49">
        <f>VLOOKUP(Table311[[#This Row],[Date]],'DB Details'!$A:$T,18)</f>
        <v/>
      </c>
      <c r="E386" s="49">
        <f>VLOOKUP(Table311[[#This Row],[Date]],'DB Details'!$A:$T,19)</f>
        <v/>
      </c>
    </row>
    <row r="387">
      <c r="A387" s="38" t="n">
        <v>29129</v>
      </c>
      <c r="B387" s="48">
        <f>VLOOKUP(Table311[[#This Row],[Date]],'DB Details'!$A:$L,12)</f>
        <v/>
      </c>
      <c r="C387" s="49">
        <f>VLOOKUP(Table311[[#This Row],[Date]],'DB Details'!$A:$T,20)</f>
        <v/>
      </c>
      <c r="D387" s="49">
        <f>VLOOKUP(Table311[[#This Row],[Date]],'DB Details'!$A:$T,18)</f>
        <v/>
      </c>
      <c r="E387" s="49">
        <f>VLOOKUP(Table311[[#This Row],[Date]],'DB Details'!$A:$T,19)</f>
        <v/>
      </c>
    </row>
    <row r="388">
      <c r="A388" s="38" t="n">
        <v>29160</v>
      </c>
      <c r="B388" s="48">
        <f>VLOOKUP(Table311[[#This Row],[Date]],'DB Details'!$A:$L,12)</f>
        <v/>
      </c>
      <c r="C388" s="49">
        <f>VLOOKUP(Table311[[#This Row],[Date]],'DB Details'!$A:$T,20)</f>
        <v/>
      </c>
      <c r="D388" s="49">
        <f>VLOOKUP(Table311[[#This Row],[Date]],'DB Details'!$A:$T,18)</f>
        <v/>
      </c>
      <c r="E388" s="49">
        <f>VLOOKUP(Table311[[#This Row],[Date]],'DB Details'!$A:$T,19)</f>
        <v/>
      </c>
    </row>
    <row r="389">
      <c r="A389" s="38" t="n">
        <v>29190</v>
      </c>
      <c r="B389" s="48">
        <f>VLOOKUP(Table311[[#This Row],[Date]],'DB Details'!$A:$L,12)</f>
        <v/>
      </c>
      <c r="C389" s="49">
        <f>VLOOKUP(Table311[[#This Row],[Date]],'DB Details'!$A:$T,20)</f>
        <v/>
      </c>
      <c r="D389" s="49">
        <f>VLOOKUP(Table311[[#This Row],[Date]],'DB Details'!$A:$T,18)</f>
        <v/>
      </c>
      <c r="E389" s="49">
        <f>VLOOKUP(Table311[[#This Row],[Date]],'DB Details'!$A:$T,19)</f>
        <v/>
      </c>
    </row>
    <row r="390">
      <c r="A390" s="38" t="n">
        <v>29221</v>
      </c>
      <c r="B390" s="48">
        <f>VLOOKUP(Table311[[#This Row],[Date]],'DB Details'!$A:$L,12)</f>
        <v/>
      </c>
      <c r="C390" s="49">
        <f>VLOOKUP(Table311[[#This Row],[Date]],'DB Details'!$A:$T,20)</f>
        <v/>
      </c>
      <c r="D390" s="49">
        <f>VLOOKUP(Table311[[#This Row],[Date]],'DB Details'!$A:$T,18)</f>
        <v/>
      </c>
      <c r="E390" s="49">
        <f>VLOOKUP(Table311[[#This Row],[Date]],'DB Details'!$A:$T,19)</f>
        <v/>
      </c>
    </row>
    <row r="391">
      <c r="A391" s="38" t="n">
        <v>29252</v>
      </c>
      <c r="B391" s="48">
        <f>VLOOKUP(Table311[[#This Row],[Date]],'DB Details'!$A:$L,12)</f>
        <v/>
      </c>
      <c r="C391" s="49">
        <f>VLOOKUP(Table311[[#This Row],[Date]],'DB Details'!$A:$T,20)</f>
        <v/>
      </c>
      <c r="D391" s="49">
        <f>VLOOKUP(Table311[[#This Row],[Date]],'DB Details'!$A:$T,18)</f>
        <v/>
      </c>
      <c r="E391" s="49">
        <f>VLOOKUP(Table311[[#This Row],[Date]],'DB Details'!$A:$T,19)</f>
        <v/>
      </c>
    </row>
    <row r="392">
      <c r="A392" s="38" t="n">
        <v>29281</v>
      </c>
      <c r="B392" s="48">
        <f>VLOOKUP(Table311[[#This Row],[Date]],'DB Details'!$A:$L,12)</f>
        <v/>
      </c>
      <c r="C392" s="49">
        <f>VLOOKUP(Table311[[#This Row],[Date]],'DB Details'!$A:$T,20)</f>
        <v/>
      </c>
      <c r="D392" s="49">
        <f>VLOOKUP(Table311[[#This Row],[Date]],'DB Details'!$A:$T,18)</f>
        <v/>
      </c>
      <c r="E392" s="49">
        <f>VLOOKUP(Table311[[#This Row],[Date]],'DB Details'!$A:$T,19)</f>
        <v/>
      </c>
    </row>
    <row r="393">
      <c r="A393" s="38" t="n">
        <v>29312</v>
      </c>
      <c r="B393" s="48">
        <f>VLOOKUP(Table311[[#This Row],[Date]],'DB Details'!$A:$L,12)</f>
        <v/>
      </c>
      <c r="C393" s="49">
        <f>VLOOKUP(Table311[[#This Row],[Date]],'DB Details'!$A:$T,20)</f>
        <v/>
      </c>
      <c r="D393" s="49">
        <f>VLOOKUP(Table311[[#This Row],[Date]],'DB Details'!$A:$T,18)</f>
        <v/>
      </c>
      <c r="E393" s="49">
        <f>VLOOKUP(Table311[[#This Row],[Date]],'DB Details'!$A:$T,19)</f>
        <v/>
      </c>
    </row>
    <row r="394">
      <c r="A394" s="38" t="n">
        <v>29342</v>
      </c>
      <c r="B394" s="48">
        <f>VLOOKUP(Table311[[#This Row],[Date]],'DB Details'!$A:$L,12)</f>
        <v/>
      </c>
      <c r="C394" s="49">
        <f>VLOOKUP(Table311[[#This Row],[Date]],'DB Details'!$A:$T,20)</f>
        <v/>
      </c>
      <c r="D394" s="49">
        <f>VLOOKUP(Table311[[#This Row],[Date]],'DB Details'!$A:$T,18)</f>
        <v/>
      </c>
      <c r="E394" s="49">
        <f>VLOOKUP(Table311[[#This Row],[Date]],'DB Details'!$A:$T,19)</f>
        <v/>
      </c>
    </row>
    <row r="395">
      <c r="A395" s="38" t="n">
        <v>29373</v>
      </c>
      <c r="B395" s="48">
        <f>VLOOKUP(Table311[[#This Row],[Date]],'DB Details'!$A:$L,12)</f>
        <v/>
      </c>
      <c r="C395" s="49">
        <f>VLOOKUP(Table311[[#This Row],[Date]],'DB Details'!$A:$T,20)</f>
        <v/>
      </c>
      <c r="D395" s="49">
        <f>VLOOKUP(Table311[[#This Row],[Date]],'DB Details'!$A:$T,18)</f>
        <v/>
      </c>
      <c r="E395" s="49">
        <f>VLOOKUP(Table311[[#This Row],[Date]],'DB Details'!$A:$T,19)</f>
        <v/>
      </c>
    </row>
    <row r="396">
      <c r="A396" s="38" t="n">
        <v>29403</v>
      </c>
      <c r="B396" s="48">
        <f>VLOOKUP(Table311[[#This Row],[Date]],'DB Details'!$A:$L,12)</f>
        <v/>
      </c>
      <c r="C396" s="49">
        <f>VLOOKUP(Table311[[#This Row],[Date]],'DB Details'!$A:$T,20)</f>
        <v/>
      </c>
      <c r="D396" s="49">
        <f>VLOOKUP(Table311[[#This Row],[Date]],'DB Details'!$A:$T,18)</f>
        <v/>
      </c>
      <c r="E396" s="49">
        <f>VLOOKUP(Table311[[#This Row],[Date]],'DB Details'!$A:$T,19)</f>
        <v/>
      </c>
    </row>
    <row r="397">
      <c r="A397" s="38" t="n">
        <v>29434</v>
      </c>
      <c r="B397" s="48">
        <f>VLOOKUP(Table311[[#This Row],[Date]],'DB Details'!$A:$L,12)</f>
        <v/>
      </c>
      <c r="C397" s="49">
        <f>VLOOKUP(Table311[[#This Row],[Date]],'DB Details'!$A:$T,20)</f>
        <v/>
      </c>
      <c r="D397" s="49">
        <f>VLOOKUP(Table311[[#This Row],[Date]],'DB Details'!$A:$T,18)</f>
        <v/>
      </c>
      <c r="E397" s="49">
        <f>VLOOKUP(Table311[[#This Row],[Date]],'DB Details'!$A:$T,19)</f>
        <v/>
      </c>
    </row>
    <row r="398">
      <c r="A398" s="38" t="n">
        <v>29465</v>
      </c>
      <c r="B398" s="48">
        <f>VLOOKUP(Table311[[#This Row],[Date]],'DB Details'!$A:$L,12)</f>
        <v/>
      </c>
      <c r="C398" s="49">
        <f>VLOOKUP(Table311[[#This Row],[Date]],'DB Details'!$A:$T,20)</f>
        <v/>
      </c>
      <c r="D398" s="49">
        <f>VLOOKUP(Table311[[#This Row],[Date]],'DB Details'!$A:$T,18)</f>
        <v/>
      </c>
      <c r="E398" s="49">
        <f>VLOOKUP(Table311[[#This Row],[Date]],'DB Details'!$A:$T,19)</f>
        <v/>
      </c>
    </row>
    <row r="399">
      <c r="A399" s="38" t="n">
        <v>29495</v>
      </c>
      <c r="B399" s="48">
        <f>VLOOKUP(Table311[[#This Row],[Date]],'DB Details'!$A:$L,12)</f>
        <v/>
      </c>
      <c r="C399" s="49">
        <f>VLOOKUP(Table311[[#This Row],[Date]],'DB Details'!$A:$T,20)</f>
        <v/>
      </c>
      <c r="D399" s="49">
        <f>VLOOKUP(Table311[[#This Row],[Date]],'DB Details'!$A:$T,18)</f>
        <v/>
      </c>
      <c r="E399" s="49">
        <f>VLOOKUP(Table311[[#This Row],[Date]],'DB Details'!$A:$T,19)</f>
        <v/>
      </c>
    </row>
    <row r="400">
      <c r="A400" s="38" t="n">
        <v>29526</v>
      </c>
      <c r="B400" s="48">
        <f>VLOOKUP(Table311[[#This Row],[Date]],'DB Details'!$A:$L,12)</f>
        <v/>
      </c>
      <c r="C400" s="49">
        <f>VLOOKUP(Table311[[#This Row],[Date]],'DB Details'!$A:$T,20)</f>
        <v/>
      </c>
      <c r="D400" s="49">
        <f>VLOOKUP(Table311[[#This Row],[Date]],'DB Details'!$A:$T,18)</f>
        <v/>
      </c>
      <c r="E400" s="49">
        <f>VLOOKUP(Table311[[#This Row],[Date]],'DB Details'!$A:$T,19)</f>
        <v/>
      </c>
    </row>
    <row r="401">
      <c r="A401" s="38" t="n">
        <v>29556</v>
      </c>
      <c r="B401" s="48">
        <f>VLOOKUP(Table311[[#This Row],[Date]],'DB Details'!$A:$L,12)</f>
        <v/>
      </c>
      <c r="C401" s="49">
        <f>VLOOKUP(Table311[[#This Row],[Date]],'DB Details'!$A:$T,20)</f>
        <v/>
      </c>
      <c r="D401" s="49">
        <f>VLOOKUP(Table311[[#This Row],[Date]],'DB Details'!$A:$T,18)</f>
        <v/>
      </c>
      <c r="E401" s="49">
        <f>VLOOKUP(Table311[[#This Row],[Date]],'DB Details'!$A:$T,19)</f>
        <v/>
      </c>
    </row>
    <row r="402">
      <c r="A402" s="38" t="n">
        <v>29587</v>
      </c>
      <c r="B402" s="48">
        <f>VLOOKUP(Table311[[#This Row],[Date]],'DB Details'!$A:$L,12)</f>
        <v/>
      </c>
      <c r="C402" s="49">
        <f>VLOOKUP(Table311[[#This Row],[Date]],'DB Details'!$A:$T,20)</f>
        <v/>
      </c>
      <c r="D402" s="49">
        <f>VLOOKUP(Table311[[#This Row],[Date]],'DB Details'!$A:$T,18)</f>
        <v/>
      </c>
      <c r="E402" s="49">
        <f>VLOOKUP(Table311[[#This Row],[Date]],'DB Details'!$A:$T,19)</f>
        <v/>
      </c>
    </row>
    <row r="403">
      <c r="A403" s="38" t="n">
        <v>29618</v>
      </c>
      <c r="B403" s="48">
        <f>VLOOKUP(Table311[[#This Row],[Date]],'DB Details'!$A:$L,12)</f>
        <v/>
      </c>
      <c r="C403" s="49">
        <f>VLOOKUP(Table311[[#This Row],[Date]],'DB Details'!$A:$T,20)</f>
        <v/>
      </c>
      <c r="D403" s="49">
        <f>VLOOKUP(Table311[[#This Row],[Date]],'DB Details'!$A:$T,18)</f>
        <v/>
      </c>
      <c r="E403" s="49">
        <f>VLOOKUP(Table311[[#This Row],[Date]],'DB Details'!$A:$T,19)</f>
        <v/>
      </c>
    </row>
    <row r="404">
      <c r="A404" s="38" t="n">
        <v>29646</v>
      </c>
      <c r="B404" s="48">
        <f>VLOOKUP(Table311[[#This Row],[Date]],'DB Details'!$A:$L,12)</f>
        <v/>
      </c>
      <c r="C404" s="49">
        <f>VLOOKUP(Table311[[#This Row],[Date]],'DB Details'!$A:$T,20)</f>
        <v/>
      </c>
      <c r="D404" s="49">
        <f>VLOOKUP(Table311[[#This Row],[Date]],'DB Details'!$A:$T,18)</f>
        <v/>
      </c>
      <c r="E404" s="49">
        <f>VLOOKUP(Table311[[#This Row],[Date]],'DB Details'!$A:$T,19)</f>
        <v/>
      </c>
    </row>
    <row r="405">
      <c r="A405" s="38" t="n">
        <v>29677</v>
      </c>
      <c r="B405" s="48">
        <f>VLOOKUP(Table311[[#This Row],[Date]],'DB Details'!$A:$L,12)</f>
        <v/>
      </c>
      <c r="C405" s="49">
        <f>VLOOKUP(Table311[[#This Row],[Date]],'DB Details'!$A:$T,20)</f>
        <v/>
      </c>
      <c r="D405" s="49">
        <f>VLOOKUP(Table311[[#This Row],[Date]],'DB Details'!$A:$T,18)</f>
        <v/>
      </c>
      <c r="E405" s="49">
        <f>VLOOKUP(Table311[[#This Row],[Date]],'DB Details'!$A:$T,19)</f>
        <v/>
      </c>
    </row>
    <row r="406">
      <c r="A406" s="38" t="n">
        <v>29707</v>
      </c>
      <c r="B406" s="48">
        <f>VLOOKUP(Table311[[#This Row],[Date]],'DB Details'!$A:$L,12)</f>
        <v/>
      </c>
      <c r="C406" s="49">
        <f>VLOOKUP(Table311[[#This Row],[Date]],'DB Details'!$A:$T,20)</f>
        <v/>
      </c>
      <c r="D406" s="49">
        <f>VLOOKUP(Table311[[#This Row],[Date]],'DB Details'!$A:$T,18)</f>
        <v/>
      </c>
      <c r="E406" s="49">
        <f>VLOOKUP(Table311[[#This Row],[Date]],'DB Details'!$A:$T,19)</f>
        <v/>
      </c>
    </row>
    <row r="407">
      <c r="A407" s="38" t="n">
        <v>29738</v>
      </c>
      <c r="B407" s="48">
        <f>VLOOKUP(Table311[[#This Row],[Date]],'DB Details'!$A:$L,12)</f>
        <v/>
      </c>
      <c r="C407" s="49">
        <f>VLOOKUP(Table311[[#This Row],[Date]],'DB Details'!$A:$T,20)</f>
        <v/>
      </c>
      <c r="D407" s="49">
        <f>VLOOKUP(Table311[[#This Row],[Date]],'DB Details'!$A:$T,18)</f>
        <v/>
      </c>
      <c r="E407" s="49">
        <f>VLOOKUP(Table311[[#This Row],[Date]],'DB Details'!$A:$T,19)</f>
        <v/>
      </c>
    </row>
    <row r="408">
      <c r="A408" s="38" t="n">
        <v>29768</v>
      </c>
      <c r="B408" s="48">
        <f>VLOOKUP(Table311[[#This Row],[Date]],'DB Details'!$A:$L,12)</f>
        <v/>
      </c>
      <c r="C408" s="49">
        <f>VLOOKUP(Table311[[#This Row],[Date]],'DB Details'!$A:$T,20)</f>
        <v/>
      </c>
      <c r="D408" s="49">
        <f>VLOOKUP(Table311[[#This Row],[Date]],'DB Details'!$A:$T,18)</f>
        <v/>
      </c>
      <c r="E408" s="49">
        <f>VLOOKUP(Table311[[#This Row],[Date]],'DB Details'!$A:$T,19)</f>
        <v/>
      </c>
    </row>
    <row r="409">
      <c r="A409" s="38" t="n">
        <v>29799</v>
      </c>
      <c r="B409" s="48">
        <f>VLOOKUP(Table311[[#This Row],[Date]],'DB Details'!$A:$L,12)</f>
        <v/>
      </c>
      <c r="C409" s="49">
        <f>VLOOKUP(Table311[[#This Row],[Date]],'DB Details'!$A:$T,20)</f>
        <v/>
      </c>
      <c r="D409" s="49">
        <f>VLOOKUP(Table311[[#This Row],[Date]],'DB Details'!$A:$T,18)</f>
        <v/>
      </c>
      <c r="E409" s="49">
        <f>VLOOKUP(Table311[[#This Row],[Date]],'DB Details'!$A:$T,19)</f>
        <v/>
      </c>
    </row>
    <row r="410">
      <c r="A410" s="38" t="n">
        <v>29830</v>
      </c>
      <c r="B410" s="48">
        <f>VLOOKUP(Table311[[#This Row],[Date]],'DB Details'!$A:$L,12)</f>
        <v/>
      </c>
      <c r="C410" s="49">
        <f>VLOOKUP(Table311[[#This Row],[Date]],'DB Details'!$A:$T,20)</f>
        <v/>
      </c>
      <c r="D410" s="49">
        <f>VLOOKUP(Table311[[#This Row],[Date]],'DB Details'!$A:$T,18)</f>
        <v/>
      </c>
      <c r="E410" s="49">
        <f>VLOOKUP(Table311[[#This Row],[Date]],'DB Details'!$A:$T,19)</f>
        <v/>
      </c>
    </row>
    <row r="411">
      <c r="A411" s="38" t="n">
        <v>29860</v>
      </c>
      <c r="B411" s="48">
        <f>VLOOKUP(Table311[[#This Row],[Date]],'DB Details'!$A:$L,12)</f>
        <v/>
      </c>
      <c r="C411" s="49">
        <f>VLOOKUP(Table311[[#This Row],[Date]],'DB Details'!$A:$T,20)</f>
        <v/>
      </c>
      <c r="D411" s="49">
        <f>VLOOKUP(Table311[[#This Row],[Date]],'DB Details'!$A:$T,18)</f>
        <v/>
      </c>
      <c r="E411" s="49">
        <f>VLOOKUP(Table311[[#This Row],[Date]],'DB Details'!$A:$T,19)</f>
        <v/>
      </c>
    </row>
    <row r="412">
      <c r="A412" s="38" t="n">
        <v>29891</v>
      </c>
      <c r="B412" s="48">
        <f>VLOOKUP(Table311[[#This Row],[Date]],'DB Details'!$A:$L,12)</f>
        <v/>
      </c>
      <c r="C412" s="49">
        <f>VLOOKUP(Table311[[#This Row],[Date]],'DB Details'!$A:$T,20)</f>
        <v/>
      </c>
      <c r="D412" s="49">
        <f>VLOOKUP(Table311[[#This Row],[Date]],'DB Details'!$A:$T,18)</f>
        <v/>
      </c>
      <c r="E412" s="49">
        <f>VLOOKUP(Table311[[#This Row],[Date]],'DB Details'!$A:$T,19)</f>
        <v/>
      </c>
    </row>
    <row r="413">
      <c r="A413" s="38" t="n">
        <v>29921</v>
      </c>
      <c r="B413" s="48">
        <f>VLOOKUP(Table311[[#This Row],[Date]],'DB Details'!$A:$L,12)</f>
        <v/>
      </c>
      <c r="C413" s="49">
        <f>VLOOKUP(Table311[[#This Row],[Date]],'DB Details'!$A:$T,20)</f>
        <v/>
      </c>
      <c r="D413" s="49">
        <f>VLOOKUP(Table311[[#This Row],[Date]],'DB Details'!$A:$T,18)</f>
        <v/>
      </c>
      <c r="E413" s="49">
        <f>VLOOKUP(Table311[[#This Row],[Date]],'DB Details'!$A:$T,19)</f>
        <v/>
      </c>
    </row>
    <row r="414">
      <c r="A414" s="38" t="n">
        <v>29952</v>
      </c>
      <c r="B414" s="48">
        <f>VLOOKUP(Table311[[#This Row],[Date]],'DB Details'!$A:$L,12)</f>
        <v/>
      </c>
      <c r="C414" s="49">
        <f>VLOOKUP(Table311[[#This Row],[Date]],'DB Details'!$A:$T,20)</f>
        <v/>
      </c>
      <c r="D414" s="49">
        <f>VLOOKUP(Table311[[#This Row],[Date]],'DB Details'!$A:$T,18)</f>
        <v/>
      </c>
      <c r="E414" s="49">
        <f>VLOOKUP(Table311[[#This Row],[Date]],'DB Details'!$A:$T,19)</f>
        <v/>
      </c>
    </row>
    <row r="415">
      <c r="A415" s="38" t="n">
        <v>29983</v>
      </c>
      <c r="B415" s="48">
        <f>VLOOKUP(Table311[[#This Row],[Date]],'DB Details'!$A:$L,12)</f>
        <v/>
      </c>
      <c r="C415" s="49">
        <f>VLOOKUP(Table311[[#This Row],[Date]],'DB Details'!$A:$T,20)</f>
        <v/>
      </c>
      <c r="D415" s="49">
        <f>VLOOKUP(Table311[[#This Row],[Date]],'DB Details'!$A:$T,18)</f>
        <v/>
      </c>
      <c r="E415" s="49">
        <f>VLOOKUP(Table311[[#This Row],[Date]],'DB Details'!$A:$T,19)</f>
        <v/>
      </c>
    </row>
    <row r="416">
      <c r="A416" s="38" t="n">
        <v>30011</v>
      </c>
      <c r="B416" s="48">
        <f>VLOOKUP(Table311[[#This Row],[Date]],'DB Details'!$A:$L,12)</f>
        <v/>
      </c>
      <c r="C416" s="49">
        <f>VLOOKUP(Table311[[#This Row],[Date]],'DB Details'!$A:$T,20)</f>
        <v/>
      </c>
      <c r="D416" s="49">
        <f>VLOOKUP(Table311[[#This Row],[Date]],'DB Details'!$A:$T,18)</f>
        <v/>
      </c>
      <c r="E416" s="49">
        <f>VLOOKUP(Table311[[#This Row],[Date]],'DB Details'!$A:$T,19)</f>
        <v/>
      </c>
    </row>
    <row r="417">
      <c r="A417" s="38" t="n">
        <v>30042</v>
      </c>
      <c r="B417" s="48">
        <f>VLOOKUP(Table311[[#This Row],[Date]],'DB Details'!$A:$L,12)</f>
        <v/>
      </c>
      <c r="C417" s="49">
        <f>VLOOKUP(Table311[[#This Row],[Date]],'DB Details'!$A:$T,20)</f>
        <v/>
      </c>
      <c r="D417" s="49">
        <f>VLOOKUP(Table311[[#This Row],[Date]],'DB Details'!$A:$T,18)</f>
        <v/>
      </c>
      <c r="E417" s="49">
        <f>VLOOKUP(Table311[[#This Row],[Date]],'DB Details'!$A:$T,19)</f>
        <v/>
      </c>
    </row>
    <row r="418">
      <c r="A418" s="38" t="n">
        <v>30072</v>
      </c>
      <c r="B418" s="48">
        <f>VLOOKUP(Table311[[#This Row],[Date]],'DB Details'!$A:$L,12)</f>
        <v/>
      </c>
      <c r="C418" s="49">
        <f>VLOOKUP(Table311[[#This Row],[Date]],'DB Details'!$A:$T,20)</f>
        <v/>
      </c>
      <c r="D418" s="49">
        <f>VLOOKUP(Table311[[#This Row],[Date]],'DB Details'!$A:$T,18)</f>
        <v/>
      </c>
      <c r="E418" s="49">
        <f>VLOOKUP(Table311[[#This Row],[Date]],'DB Details'!$A:$T,19)</f>
        <v/>
      </c>
    </row>
    <row r="419">
      <c r="A419" s="38" t="n">
        <v>30103</v>
      </c>
      <c r="B419" s="48">
        <f>VLOOKUP(Table311[[#This Row],[Date]],'DB Details'!$A:$L,12)</f>
        <v/>
      </c>
      <c r="C419" s="49">
        <f>VLOOKUP(Table311[[#This Row],[Date]],'DB Details'!$A:$T,20)</f>
        <v/>
      </c>
      <c r="D419" s="49">
        <f>VLOOKUP(Table311[[#This Row],[Date]],'DB Details'!$A:$T,18)</f>
        <v/>
      </c>
      <c r="E419" s="49">
        <f>VLOOKUP(Table311[[#This Row],[Date]],'DB Details'!$A:$T,19)</f>
        <v/>
      </c>
    </row>
    <row r="420">
      <c r="A420" s="38" t="n">
        <v>30133</v>
      </c>
      <c r="B420" s="48">
        <f>VLOOKUP(Table311[[#This Row],[Date]],'DB Details'!$A:$L,12)</f>
        <v/>
      </c>
      <c r="C420" s="49">
        <f>VLOOKUP(Table311[[#This Row],[Date]],'DB Details'!$A:$T,20)</f>
        <v/>
      </c>
      <c r="D420" s="49">
        <f>VLOOKUP(Table311[[#This Row],[Date]],'DB Details'!$A:$T,18)</f>
        <v/>
      </c>
      <c r="E420" s="49">
        <f>VLOOKUP(Table311[[#This Row],[Date]],'DB Details'!$A:$T,19)</f>
        <v/>
      </c>
    </row>
    <row r="421">
      <c r="A421" s="38" t="n">
        <v>30164</v>
      </c>
      <c r="B421" s="48">
        <f>VLOOKUP(Table311[[#This Row],[Date]],'DB Details'!$A:$L,12)</f>
        <v/>
      </c>
      <c r="C421" s="49">
        <f>VLOOKUP(Table311[[#This Row],[Date]],'DB Details'!$A:$T,20)</f>
        <v/>
      </c>
      <c r="D421" s="49">
        <f>VLOOKUP(Table311[[#This Row],[Date]],'DB Details'!$A:$T,18)</f>
        <v/>
      </c>
      <c r="E421" s="49">
        <f>VLOOKUP(Table311[[#This Row],[Date]],'DB Details'!$A:$T,19)</f>
        <v/>
      </c>
    </row>
    <row r="422">
      <c r="A422" s="38" t="n">
        <v>30195</v>
      </c>
      <c r="B422" s="48">
        <f>VLOOKUP(Table311[[#This Row],[Date]],'DB Details'!$A:$L,12)</f>
        <v/>
      </c>
      <c r="C422" s="49">
        <f>VLOOKUP(Table311[[#This Row],[Date]],'DB Details'!$A:$T,20)</f>
        <v/>
      </c>
      <c r="D422" s="49">
        <f>VLOOKUP(Table311[[#This Row],[Date]],'DB Details'!$A:$T,18)</f>
        <v/>
      </c>
      <c r="E422" s="49">
        <f>VLOOKUP(Table311[[#This Row],[Date]],'DB Details'!$A:$T,19)</f>
        <v/>
      </c>
    </row>
    <row r="423">
      <c r="A423" s="38" t="n">
        <v>30225</v>
      </c>
      <c r="B423" s="48">
        <f>VLOOKUP(Table311[[#This Row],[Date]],'DB Details'!$A:$L,12)</f>
        <v/>
      </c>
      <c r="C423" s="49">
        <f>VLOOKUP(Table311[[#This Row],[Date]],'DB Details'!$A:$T,20)</f>
        <v/>
      </c>
      <c r="D423" s="49">
        <f>VLOOKUP(Table311[[#This Row],[Date]],'DB Details'!$A:$T,18)</f>
        <v/>
      </c>
      <c r="E423" s="49">
        <f>VLOOKUP(Table311[[#This Row],[Date]],'DB Details'!$A:$T,19)</f>
        <v/>
      </c>
    </row>
    <row r="424">
      <c r="A424" s="38" t="n">
        <v>30256</v>
      </c>
      <c r="B424" s="48">
        <f>VLOOKUP(Table311[[#This Row],[Date]],'DB Details'!$A:$L,12)</f>
        <v/>
      </c>
      <c r="C424" s="49">
        <f>VLOOKUP(Table311[[#This Row],[Date]],'DB Details'!$A:$T,20)</f>
        <v/>
      </c>
      <c r="D424" s="49">
        <f>VLOOKUP(Table311[[#This Row],[Date]],'DB Details'!$A:$T,18)</f>
        <v/>
      </c>
      <c r="E424" s="49">
        <f>VLOOKUP(Table311[[#This Row],[Date]],'DB Details'!$A:$T,19)</f>
        <v/>
      </c>
    </row>
    <row r="425">
      <c r="A425" s="38" t="n">
        <v>30286</v>
      </c>
      <c r="B425" s="48">
        <f>VLOOKUP(Table311[[#This Row],[Date]],'DB Details'!$A:$L,12)</f>
        <v/>
      </c>
      <c r="C425" s="49">
        <f>VLOOKUP(Table311[[#This Row],[Date]],'DB Details'!$A:$T,20)</f>
        <v/>
      </c>
      <c r="D425" s="49">
        <f>VLOOKUP(Table311[[#This Row],[Date]],'DB Details'!$A:$T,18)</f>
        <v/>
      </c>
      <c r="E425" s="49">
        <f>VLOOKUP(Table311[[#This Row],[Date]],'DB Details'!$A:$T,19)</f>
        <v/>
      </c>
    </row>
    <row r="426">
      <c r="A426" s="38" t="n">
        <v>30317</v>
      </c>
      <c r="B426" s="48">
        <f>VLOOKUP(Table311[[#This Row],[Date]],'DB Details'!$A:$L,12)</f>
        <v/>
      </c>
      <c r="C426" s="49">
        <f>VLOOKUP(Table311[[#This Row],[Date]],'DB Details'!$A:$T,20)</f>
        <v/>
      </c>
      <c r="D426" s="49">
        <f>VLOOKUP(Table311[[#This Row],[Date]],'DB Details'!$A:$T,18)</f>
        <v/>
      </c>
      <c r="E426" s="49">
        <f>VLOOKUP(Table311[[#This Row],[Date]],'DB Details'!$A:$T,19)</f>
        <v/>
      </c>
    </row>
    <row r="427">
      <c r="A427" s="38" t="n">
        <v>30348</v>
      </c>
      <c r="B427" s="48">
        <f>VLOOKUP(Table311[[#This Row],[Date]],'DB Details'!$A:$L,12)</f>
        <v/>
      </c>
      <c r="C427" s="49">
        <f>VLOOKUP(Table311[[#This Row],[Date]],'DB Details'!$A:$T,20)</f>
        <v/>
      </c>
      <c r="D427" s="49">
        <f>VLOOKUP(Table311[[#This Row],[Date]],'DB Details'!$A:$T,18)</f>
        <v/>
      </c>
      <c r="E427" s="49">
        <f>VLOOKUP(Table311[[#This Row],[Date]],'DB Details'!$A:$T,19)</f>
        <v/>
      </c>
    </row>
    <row r="428">
      <c r="A428" s="38" t="n">
        <v>30376</v>
      </c>
      <c r="B428" s="48">
        <f>VLOOKUP(Table311[[#This Row],[Date]],'DB Details'!$A:$L,12)</f>
        <v/>
      </c>
      <c r="C428" s="49">
        <f>VLOOKUP(Table311[[#This Row],[Date]],'DB Details'!$A:$T,20)</f>
        <v/>
      </c>
      <c r="D428" s="49">
        <f>VLOOKUP(Table311[[#This Row],[Date]],'DB Details'!$A:$T,18)</f>
        <v/>
      </c>
      <c r="E428" s="49">
        <f>VLOOKUP(Table311[[#This Row],[Date]],'DB Details'!$A:$T,19)</f>
        <v/>
      </c>
    </row>
    <row r="429">
      <c r="A429" s="38" t="n">
        <v>30407</v>
      </c>
      <c r="B429" s="48">
        <f>VLOOKUP(Table311[[#This Row],[Date]],'DB Details'!$A:$L,12)</f>
        <v/>
      </c>
      <c r="C429" s="49">
        <f>VLOOKUP(Table311[[#This Row],[Date]],'DB Details'!$A:$T,20)</f>
        <v/>
      </c>
      <c r="D429" s="49">
        <f>VLOOKUP(Table311[[#This Row],[Date]],'DB Details'!$A:$T,18)</f>
        <v/>
      </c>
      <c r="E429" s="49">
        <f>VLOOKUP(Table311[[#This Row],[Date]],'DB Details'!$A:$T,19)</f>
        <v/>
      </c>
    </row>
    <row r="430">
      <c r="A430" s="38" t="n">
        <v>30437</v>
      </c>
      <c r="B430" s="48">
        <f>VLOOKUP(Table311[[#This Row],[Date]],'DB Details'!$A:$L,12)</f>
        <v/>
      </c>
      <c r="C430" s="49">
        <f>VLOOKUP(Table311[[#This Row],[Date]],'DB Details'!$A:$T,20)</f>
        <v/>
      </c>
      <c r="D430" s="49">
        <f>VLOOKUP(Table311[[#This Row],[Date]],'DB Details'!$A:$T,18)</f>
        <v/>
      </c>
      <c r="E430" s="49">
        <f>VLOOKUP(Table311[[#This Row],[Date]],'DB Details'!$A:$T,19)</f>
        <v/>
      </c>
    </row>
    <row r="431">
      <c r="A431" s="38" t="n">
        <v>30468</v>
      </c>
      <c r="B431" s="48">
        <f>VLOOKUP(Table311[[#This Row],[Date]],'DB Details'!$A:$L,12)</f>
        <v/>
      </c>
      <c r="C431" s="49">
        <f>VLOOKUP(Table311[[#This Row],[Date]],'DB Details'!$A:$T,20)</f>
        <v/>
      </c>
      <c r="D431" s="49">
        <f>VLOOKUP(Table311[[#This Row],[Date]],'DB Details'!$A:$T,18)</f>
        <v/>
      </c>
      <c r="E431" s="49">
        <f>VLOOKUP(Table311[[#This Row],[Date]],'DB Details'!$A:$T,19)</f>
        <v/>
      </c>
    </row>
    <row r="432">
      <c r="A432" s="38" t="n">
        <v>30498</v>
      </c>
      <c r="B432" s="48">
        <f>VLOOKUP(Table311[[#This Row],[Date]],'DB Details'!$A:$L,12)</f>
        <v/>
      </c>
      <c r="C432" s="49">
        <f>VLOOKUP(Table311[[#This Row],[Date]],'DB Details'!$A:$T,20)</f>
        <v/>
      </c>
      <c r="D432" s="49">
        <f>VLOOKUP(Table311[[#This Row],[Date]],'DB Details'!$A:$T,18)</f>
        <v/>
      </c>
      <c r="E432" s="49">
        <f>VLOOKUP(Table311[[#This Row],[Date]],'DB Details'!$A:$T,19)</f>
        <v/>
      </c>
    </row>
    <row r="433">
      <c r="A433" s="38" t="n">
        <v>30529</v>
      </c>
      <c r="B433" s="48">
        <f>VLOOKUP(Table311[[#This Row],[Date]],'DB Details'!$A:$L,12)</f>
        <v/>
      </c>
      <c r="C433" s="49">
        <f>VLOOKUP(Table311[[#This Row],[Date]],'DB Details'!$A:$T,20)</f>
        <v/>
      </c>
      <c r="D433" s="49">
        <f>VLOOKUP(Table311[[#This Row],[Date]],'DB Details'!$A:$T,18)</f>
        <v/>
      </c>
      <c r="E433" s="49">
        <f>VLOOKUP(Table311[[#This Row],[Date]],'DB Details'!$A:$T,19)</f>
        <v/>
      </c>
    </row>
    <row r="434">
      <c r="A434" s="38" t="n">
        <v>30560</v>
      </c>
      <c r="B434" s="48">
        <f>VLOOKUP(Table311[[#This Row],[Date]],'DB Details'!$A:$L,12)</f>
        <v/>
      </c>
      <c r="C434" s="49">
        <f>VLOOKUP(Table311[[#This Row],[Date]],'DB Details'!$A:$T,20)</f>
        <v/>
      </c>
      <c r="D434" s="49">
        <f>VLOOKUP(Table311[[#This Row],[Date]],'DB Details'!$A:$T,18)</f>
        <v/>
      </c>
      <c r="E434" s="49">
        <f>VLOOKUP(Table311[[#This Row],[Date]],'DB Details'!$A:$T,19)</f>
        <v/>
      </c>
    </row>
    <row r="435">
      <c r="A435" s="38" t="n">
        <v>30590</v>
      </c>
      <c r="B435" s="48">
        <f>VLOOKUP(Table311[[#This Row],[Date]],'DB Details'!$A:$L,12)</f>
        <v/>
      </c>
      <c r="C435" s="49">
        <f>VLOOKUP(Table311[[#This Row],[Date]],'DB Details'!$A:$T,20)</f>
        <v/>
      </c>
      <c r="D435" s="49">
        <f>VLOOKUP(Table311[[#This Row],[Date]],'DB Details'!$A:$T,18)</f>
        <v/>
      </c>
      <c r="E435" s="49">
        <f>VLOOKUP(Table311[[#This Row],[Date]],'DB Details'!$A:$T,19)</f>
        <v/>
      </c>
    </row>
    <row r="436">
      <c r="A436" s="38" t="n">
        <v>30621</v>
      </c>
      <c r="B436" s="48">
        <f>VLOOKUP(Table311[[#This Row],[Date]],'DB Details'!$A:$L,12)</f>
        <v/>
      </c>
      <c r="C436" s="49">
        <f>VLOOKUP(Table311[[#This Row],[Date]],'DB Details'!$A:$T,20)</f>
        <v/>
      </c>
      <c r="D436" s="49">
        <f>VLOOKUP(Table311[[#This Row],[Date]],'DB Details'!$A:$T,18)</f>
        <v/>
      </c>
      <c r="E436" s="49">
        <f>VLOOKUP(Table311[[#This Row],[Date]],'DB Details'!$A:$T,19)</f>
        <v/>
      </c>
    </row>
    <row r="437">
      <c r="A437" s="38" t="n">
        <v>30651</v>
      </c>
      <c r="B437" s="48">
        <f>VLOOKUP(Table311[[#This Row],[Date]],'DB Details'!$A:$L,12)</f>
        <v/>
      </c>
      <c r="C437" s="49">
        <f>VLOOKUP(Table311[[#This Row],[Date]],'DB Details'!$A:$T,20)</f>
        <v/>
      </c>
      <c r="D437" s="49">
        <f>VLOOKUP(Table311[[#This Row],[Date]],'DB Details'!$A:$T,18)</f>
        <v/>
      </c>
      <c r="E437" s="49">
        <f>VLOOKUP(Table311[[#This Row],[Date]],'DB Details'!$A:$T,19)</f>
        <v/>
      </c>
    </row>
    <row r="438">
      <c r="A438" s="38" t="n">
        <v>30682</v>
      </c>
      <c r="B438" s="48">
        <f>VLOOKUP(Table311[[#This Row],[Date]],'DB Details'!$A:$L,12)</f>
        <v/>
      </c>
      <c r="C438" s="49">
        <f>VLOOKUP(Table311[[#This Row],[Date]],'DB Details'!$A:$T,20)</f>
        <v/>
      </c>
      <c r="D438" s="49">
        <f>VLOOKUP(Table311[[#This Row],[Date]],'DB Details'!$A:$T,18)</f>
        <v/>
      </c>
      <c r="E438" s="49">
        <f>VLOOKUP(Table311[[#This Row],[Date]],'DB Details'!$A:$T,19)</f>
        <v/>
      </c>
    </row>
    <row r="439">
      <c r="A439" s="38" t="n">
        <v>30713</v>
      </c>
      <c r="B439" s="48">
        <f>VLOOKUP(Table311[[#This Row],[Date]],'DB Details'!$A:$L,12)</f>
        <v/>
      </c>
      <c r="C439" s="49">
        <f>VLOOKUP(Table311[[#This Row],[Date]],'DB Details'!$A:$T,20)</f>
        <v/>
      </c>
      <c r="D439" s="49">
        <f>VLOOKUP(Table311[[#This Row],[Date]],'DB Details'!$A:$T,18)</f>
        <v/>
      </c>
      <c r="E439" s="49">
        <f>VLOOKUP(Table311[[#This Row],[Date]],'DB Details'!$A:$T,19)</f>
        <v/>
      </c>
    </row>
    <row r="440">
      <c r="A440" s="38" t="n">
        <v>30742</v>
      </c>
      <c r="B440" s="48">
        <f>VLOOKUP(Table311[[#This Row],[Date]],'DB Details'!$A:$L,12)</f>
        <v/>
      </c>
      <c r="C440" s="49">
        <f>VLOOKUP(Table311[[#This Row],[Date]],'DB Details'!$A:$T,20)</f>
        <v/>
      </c>
      <c r="D440" s="49">
        <f>VLOOKUP(Table311[[#This Row],[Date]],'DB Details'!$A:$T,18)</f>
        <v/>
      </c>
      <c r="E440" s="49">
        <f>VLOOKUP(Table311[[#This Row],[Date]],'DB Details'!$A:$T,19)</f>
        <v/>
      </c>
    </row>
    <row r="441">
      <c r="A441" s="38" t="n">
        <v>30773</v>
      </c>
      <c r="B441" s="48">
        <f>VLOOKUP(Table311[[#This Row],[Date]],'DB Details'!$A:$L,12)</f>
        <v/>
      </c>
      <c r="C441" s="49">
        <f>VLOOKUP(Table311[[#This Row],[Date]],'DB Details'!$A:$T,20)</f>
        <v/>
      </c>
      <c r="D441" s="49">
        <f>VLOOKUP(Table311[[#This Row],[Date]],'DB Details'!$A:$T,18)</f>
        <v/>
      </c>
      <c r="E441" s="49">
        <f>VLOOKUP(Table311[[#This Row],[Date]],'DB Details'!$A:$T,19)</f>
        <v/>
      </c>
    </row>
    <row r="442">
      <c r="A442" s="38" t="n">
        <v>30803</v>
      </c>
      <c r="B442" s="48">
        <f>VLOOKUP(Table311[[#This Row],[Date]],'DB Details'!$A:$L,12)</f>
        <v/>
      </c>
      <c r="C442" s="49">
        <f>VLOOKUP(Table311[[#This Row],[Date]],'DB Details'!$A:$T,20)</f>
        <v/>
      </c>
      <c r="D442" s="49">
        <f>VLOOKUP(Table311[[#This Row],[Date]],'DB Details'!$A:$T,18)</f>
        <v/>
      </c>
      <c r="E442" s="49">
        <f>VLOOKUP(Table311[[#This Row],[Date]],'DB Details'!$A:$T,19)</f>
        <v/>
      </c>
    </row>
    <row r="443">
      <c r="A443" s="38" t="n">
        <v>30834</v>
      </c>
      <c r="B443" s="48">
        <f>VLOOKUP(Table311[[#This Row],[Date]],'DB Details'!$A:$L,12)</f>
        <v/>
      </c>
      <c r="C443" s="49">
        <f>VLOOKUP(Table311[[#This Row],[Date]],'DB Details'!$A:$T,20)</f>
        <v/>
      </c>
      <c r="D443" s="49">
        <f>VLOOKUP(Table311[[#This Row],[Date]],'DB Details'!$A:$T,18)</f>
        <v/>
      </c>
      <c r="E443" s="49">
        <f>VLOOKUP(Table311[[#This Row],[Date]],'DB Details'!$A:$T,19)</f>
        <v/>
      </c>
    </row>
    <row r="444">
      <c r="A444" s="38" t="n">
        <v>30864</v>
      </c>
      <c r="B444" s="48">
        <f>VLOOKUP(Table311[[#This Row],[Date]],'DB Details'!$A:$L,12)</f>
        <v/>
      </c>
      <c r="C444" s="49">
        <f>VLOOKUP(Table311[[#This Row],[Date]],'DB Details'!$A:$T,20)</f>
        <v/>
      </c>
      <c r="D444" s="49">
        <f>VLOOKUP(Table311[[#This Row],[Date]],'DB Details'!$A:$T,18)</f>
        <v/>
      </c>
      <c r="E444" s="49">
        <f>VLOOKUP(Table311[[#This Row],[Date]],'DB Details'!$A:$T,19)</f>
        <v/>
      </c>
    </row>
    <row r="445">
      <c r="A445" s="38" t="n">
        <v>30895</v>
      </c>
      <c r="B445" s="48">
        <f>VLOOKUP(Table311[[#This Row],[Date]],'DB Details'!$A:$L,12)</f>
        <v/>
      </c>
      <c r="C445" s="49">
        <f>VLOOKUP(Table311[[#This Row],[Date]],'DB Details'!$A:$T,20)</f>
        <v/>
      </c>
      <c r="D445" s="49">
        <f>VLOOKUP(Table311[[#This Row],[Date]],'DB Details'!$A:$T,18)</f>
        <v/>
      </c>
      <c r="E445" s="49">
        <f>VLOOKUP(Table311[[#This Row],[Date]],'DB Details'!$A:$T,19)</f>
        <v/>
      </c>
    </row>
    <row r="446">
      <c r="A446" s="38" t="n">
        <v>30926</v>
      </c>
      <c r="B446" s="48">
        <f>VLOOKUP(Table311[[#This Row],[Date]],'DB Details'!$A:$L,12)</f>
        <v/>
      </c>
      <c r="C446" s="49">
        <f>VLOOKUP(Table311[[#This Row],[Date]],'DB Details'!$A:$T,20)</f>
        <v/>
      </c>
      <c r="D446" s="49">
        <f>VLOOKUP(Table311[[#This Row],[Date]],'DB Details'!$A:$T,18)</f>
        <v/>
      </c>
      <c r="E446" s="49">
        <f>VLOOKUP(Table311[[#This Row],[Date]],'DB Details'!$A:$T,19)</f>
        <v/>
      </c>
    </row>
    <row r="447">
      <c r="A447" s="38" t="n">
        <v>30956</v>
      </c>
      <c r="B447" s="48">
        <f>VLOOKUP(Table311[[#This Row],[Date]],'DB Details'!$A:$L,12)</f>
        <v/>
      </c>
      <c r="C447" s="49">
        <f>VLOOKUP(Table311[[#This Row],[Date]],'DB Details'!$A:$T,20)</f>
        <v/>
      </c>
      <c r="D447" s="49">
        <f>VLOOKUP(Table311[[#This Row],[Date]],'DB Details'!$A:$T,18)</f>
        <v/>
      </c>
      <c r="E447" s="49">
        <f>VLOOKUP(Table311[[#This Row],[Date]],'DB Details'!$A:$T,19)</f>
        <v/>
      </c>
    </row>
    <row r="448">
      <c r="A448" s="38" t="n">
        <v>30987</v>
      </c>
      <c r="B448" s="48">
        <f>VLOOKUP(Table311[[#This Row],[Date]],'DB Details'!$A:$L,12)</f>
        <v/>
      </c>
      <c r="C448" s="49">
        <f>VLOOKUP(Table311[[#This Row],[Date]],'DB Details'!$A:$T,20)</f>
        <v/>
      </c>
      <c r="D448" s="49">
        <f>VLOOKUP(Table311[[#This Row],[Date]],'DB Details'!$A:$T,18)</f>
        <v/>
      </c>
      <c r="E448" s="49">
        <f>VLOOKUP(Table311[[#This Row],[Date]],'DB Details'!$A:$T,19)</f>
        <v/>
      </c>
    </row>
    <row r="449">
      <c r="A449" s="38" t="n">
        <v>31017</v>
      </c>
      <c r="B449" s="48">
        <f>VLOOKUP(Table311[[#This Row],[Date]],'DB Details'!$A:$L,12)</f>
        <v/>
      </c>
      <c r="C449" s="49">
        <f>VLOOKUP(Table311[[#This Row],[Date]],'DB Details'!$A:$T,20)</f>
        <v/>
      </c>
      <c r="D449" s="49">
        <f>VLOOKUP(Table311[[#This Row],[Date]],'DB Details'!$A:$T,18)</f>
        <v/>
      </c>
      <c r="E449" s="49">
        <f>VLOOKUP(Table311[[#This Row],[Date]],'DB Details'!$A:$T,19)</f>
        <v/>
      </c>
    </row>
    <row r="450">
      <c r="A450" s="38" t="n">
        <v>31048</v>
      </c>
      <c r="B450" s="48">
        <f>VLOOKUP(Table311[[#This Row],[Date]],'DB Details'!$A:$L,12)</f>
        <v/>
      </c>
      <c r="C450" s="49">
        <f>VLOOKUP(Table311[[#This Row],[Date]],'DB Details'!$A:$T,20)</f>
        <v/>
      </c>
      <c r="D450" s="49">
        <f>VLOOKUP(Table311[[#This Row],[Date]],'DB Details'!$A:$T,18)</f>
        <v/>
      </c>
      <c r="E450" s="49">
        <f>VLOOKUP(Table311[[#This Row],[Date]],'DB Details'!$A:$T,19)</f>
        <v/>
      </c>
    </row>
    <row r="451">
      <c r="A451" s="38" t="n">
        <v>31079</v>
      </c>
      <c r="B451" s="48">
        <f>VLOOKUP(Table311[[#This Row],[Date]],'DB Details'!$A:$L,12)</f>
        <v/>
      </c>
      <c r="C451" s="49">
        <f>VLOOKUP(Table311[[#This Row],[Date]],'DB Details'!$A:$T,20)</f>
        <v/>
      </c>
      <c r="D451" s="49">
        <f>VLOOKUP(Table311[[#This Row],[Date]],'DB Details'!$A:$T,18)</f>
        <v/>
      </c>
      <c r="E451" s="49">
        <f>VLOOKUP(Table311[[#This Row],[Date]],'DB Details'!$A:$T,19)</f>
        <v/>
      </c>
    </row>
    <row r="452">
      <c r="A452" s="38" t="n">
        <v>31107</v>
      </c>
      <c r="B452" s="48">
        <f>VLOOKUP(Table311[[#This Row],[Date]],'DB Details'!$A:$L,12)</f>
        <v/>
      </c>
      <c r="C452" s="49">
        <f>VLOOKUP(Table311[[#This Row],[Date]],'DB Details'!$A:$T,20)</f>
        <v/>
      </c>
      <c r="D452" s="49">
        <f>VLOOKUP(Table311[[#This Row],[Date]],'DB Details'!$A:$T,18)</f>
        <v/>
      </c>
      <c r="E452" s="49">
        <f>VLOOKUP(Table311[[#This Row],[Date]],'DB Details'!$A:$T,19)</f>
        <v/>
      </c>
    </row>
    <row r="453">
      <c r="A453" s="38" t="n">
        <v>31138</v>
      </c>
      <c r="B453" s="48">
        <f>VLOOKUP(Table311[[#This Row],[Date]],'DB Details'!$A:$L,12)</f>
        <v/>
      </c>
      <c r="C453" s="49">
        <f>VLOOKUP(Table311[[#This Row],[Date]],'DB Details'!$A:$T,20)</f>
        <v/>
      </c>
      <c r="D453" s="49">
        <f>VLOOKUP(Table311[[#This Row],[Date]],'DB Details'!$A:$T,18)</f>
        <v/>
      </c>
      <c r="E453" s="49">
        <f>VLOOKUP(Table311[[#This Row],[Date]],'DB Details'!$A:$T,19)</f>
        <v/>
      </c>
    </row>
    <row r="454">
      <c r="A454" s="38" t="n">
        <v>31168</v>
      </c>
      <c r="B454" s="48">
        <f>VLOOKUP(Table311[[#This Row],[Date]],'DB Details'!$A:$L,12)</f>
        <v/>
      </c>
      <c r="C454" s="49">
        <f>VLOOKUP(Table311[[#This Row],[Date]],'DB Details'!$A:$T,20)</f>
        <v/>
      </c>
      <c r="D454" s="49">
        <f>VLOOKUP(Table311[[#This Row],[Date]],'DB Details'!$A:$T,18)</f>
        <v/>
      </c>
      <c r="E454" s="49">
        <f>VLOOKUP(Table311[[#This Row],[Date]],'DB Details'!$A:$T,19)</f>
        <v/>
      </c>
    </row>
    <row r="455">
      <c r="A455" s="38" t="n">
        <v>31199</v>
      </c>
      <c r="B455" s="48">
        <f>VLOOKUP(Table311[[#This Row],[Date]],'DB Details'!$A:$L,12)</f>
        <v/>
      </c>
      <c r="C455" s="49">
        <f>VLOOKUP(Table311[[#This Row],[Date]],'DB Details'!$A:$T,20)</f>
        <v/>
      </c>
      <c r="D455" s="49">
        <f>VLOOKUP(Table311[[#This Row],[Date]],'DB Details'!$A:$T,18)</f>
        <v/>
      </c>
      <c r="E455" s="49">
        <f>VLOOKUP(Table311[[#This Row],[Date]],'DB Details'!$A:$T,19)</f>
        <v/>
      </c>
    </row>
    <row r="456">
      <c r="A456" s="38" t="n">
        <v>31229</v>
      </c>
      <c r="B456" s="48">
        <f>VLOOKUP(Table311[[#This Row],[Date]],'DB Details'!$A:$L,12)</f>
        <v/>
      </c>
      <c r="C456" s="49">
        <f>VLOOKUP(Table311[[#This Row],[Date]],'DB Details'!$A:$T,20)</f>
        <v/>
      </c>
      <c r="D456" s="49">
        <f>VLOOKUP(Table311[[#This Row],[Date]],'DB Details'!$A:$T,18)</f>
        <v/>
      </c>
      <c r="E456" s="49">
        <f>VLOOKUP(Table311[[#This Row],[Date]],'DB Details'!$A:$T,19)</f>
        <v/>
      </c>
    </row>
    <row r="457">
      <c r="A457" s="38" t="n">
        <v>31260</v>
      </c>
      <c r="B457" s="48">
        <f>VLOOKUP(Table311[[#This Row],[Date]],'DB Details'!$A:$L,12)</f>
        <v/>
      </c>
      <c r="C457" s="49">
        <f>VLOOKUP(Table311[[#This Row],[Date]],'DB Details'!$A:$T,20)</f>
        <v/>
      </c>
      <c r="D457" s="49">
        <f>VLOOKUP(Table311[[#This Row],[Date]],'DB Details'!$A:$T,18)</f>
        <v/>
      </c>
      <c r="E457" s="49">
        <f>VLOOKUP(Table311[[#This Row],[Date]],'DB Details'!$A:$T,19)</f>
        <v/>
      </c>
    </row>
    <row r="458">
      <c r="A458" s="38" t="n">
        <v>31291</v>
      </c>
      <c r="B458" s="48">
        <f>VLOOKUP(Table311[[#This Row],[Date]],'DB Details'!$A:$L,12)</f>
        <v/>
      </c>
      <c r="C458" s="49">
        <f>VLOOKUP(Table311[[#This Row],[Date]],'DB Details'!$A:$T,20)</f>
        <v/>
      </c>
      <c r="D458" s="49">
        <f>VLOOKUP(Table311[[#This Row],[Date]],'DB Details'!$A:$T,18)</f>
        <v/>
      </c>
      <c r="E458" s="49">
        <f>VLOOKUP(Table311[[#This Row],[Date]],'DB Details'!$A:$T,19)</f>
        <v/>
      </c>
    </row>
    <row r="459">
      <c r="A459" s="38" t="n">
        <v>31321</v>
      </c>
      <c r="B459" s="48">
        <f>VLOOKUP(Table311[[#This Row],[Date]],'DB Details'!$A:$L,12)</f>
        <v/>
      </c>
      <c r="C459" s="49">
        <f>VLOOKUP(Table311[[#This Row],[Date]],'DB Details'!$A:$T,20)</f>
        <v/>
      </c>
      <c r="D459" s="49">
        <f>VLOOKUP(Table311[[#This Row],[Date]],'DB Details'!$A:$T,18)</f>
        <v/>
      </c>
      <c r="E459" s="49">
        <f>VLOOKUP(Table311[[#This Row],[Date]],'DB Details'!$A:$T,19)</f>
        <v/>
      </c>
    </row>
    <row r="460">
      <c r="A460" s="38" t="n">
        <v>31352</v>
      </c>
      <c r="B460" s="48">
        <f>VLOOKUP(Table311[[#This Row],[Date]],'DB Details'!$A:$L,12)</f>
        <v/>
      </c>
      <c r="C460" s="49">
        <f>VLOOKUP(Table311[[#This Row],[Date]],'DB Details'!$A:$T,20)</f>
        <v/>
      </c>
      <c r="D460" s="49">
        <f>VLOOKUP(Table311[[#This Row],[Date]],'DB Details'!$A:$T,18)</f>
        <v/>
      </c>
      <c r="E460" s="49">
        <f>VLOOKUP(Table311[[#This Row],[Date]],'DB Details'!$A:$T,19)</f>
        <v/>
      </c>
    </row>
    <row r="461">
      <c r="A461" s="38" t="n">
        <v>31382</v>
      </c>
      <c r="B461" s="48">
        <f>VLOOKUP(Table311[[#This Row],[Date]],'DB Details'!$A:$L,12)</f>
        <v/>
      </c>
      <c r="C461" s="49">
        <f>VLOOKUP(Table311[[#This Row],[Date]],'DB Details'!$A:$T,20)</f>
        <v/>
      </c>
      <c r="D461" s="49">
        <f>VLOOKUP(Table311[[#This Row],[Date]],'DB Details'!$A:$T,18)</f>
        <v/>
      </c>
      <c r="E461" s="49">
        <f>VLOOKUP(Table311[[#This Row],[Date]],'DB Details'!$A:$T,19)</f>
        <v/>
      </c>
    </row>
    <row r="462">
      <c r="A462" s="38" t="n">
        <v>31413</v>
      </c>
      <c r="B462" s="48">
        <f>VLOOKUP(Table311[[#This Row],[Date]],'DB Details'!$A:$L,12)</f>
        <v/>
      </c>
      <c r="C462" s="49">
        <f>VLOOKUP(Table311[[#This Row],[Date]],'DB Details'!$A:$T,20)</f>
        <v/>
      </c>
      <c r="D462" s="49">
        <f>VLOOKUP(Table311[[#This Row],[Date]],'DB Details'!$A:$T,18)</f>
        <v/>
      </c>
      <c r="E462" s="49">
        <f>VLOOKUP(Table311[[#This Row],[Date]],'DB Details'!$A:$T,19)</f>
        <v/>
      </c>
    </row>
    <row r="463">
      <c r="A463" s="38" t="n">
        <v>31444</v>
      </c>
      <c r="B463" s="48">
        <f>VLOOKUP(Table311[[#This Row],[Date]],'DB Details'!$A:$L,12)</f>
        <v/>
      </c>
      <c r="C463" s="49">
        <f>VLOOKUP(Table311[[#This Row],[Date]],'DB Details'!$A:$T,20)</f>
        <v/>
      </c>
      <c r="D463" s="49">
        <f>VLOOKUP(Table311[[#This Row],[Date]],'DB Details'!$A:$T,18)</f>
        <v/>
      </c>
      <c r="E463" s="49">
        <f>VLOOKUP(Table311[[#This Row],[Date]],'DB Details'!$A:$T,19)</f>
        <v/>
      </c>
    </row>
    <row r="464">
      <c r="A464" s="38" t="n">
        <v>31472</v>
      </c>
      <c r="B464" s="48">
        <f>VLOOKUP(Table311[[#This Row],[Date]],'DB Details'!$A:$L,12)</f>
        <v/>
      </c>
      <c r="C464" s="49">
        <f>VLOOKUP(Table311[[#This Row],[Date]],'DB Details'!$A:$T,20)</f>
        <v/>
      </c>
      <c r="D464" s="49">
        <f>VLOOKUP(Table311[[#This Row],[Date]],'DB Details'!$A:$T,18)</f>
        <v/>
      </c>
      <c r="E464" s="49">
        <f>VLOOKUP(Table311[[#This Row],[Date]],'DB Details'!$A:$T,19)</f>
        <v/>
      </c>
    </row>
    <row r="465">
      <c r="A465" s="38" t="n">
        <v>31503</v>
      </c>
      <c r="B465" s="48">
        <f>VLOOKUP(Table311[[#This Row],[Date]],'DB Details'!$A:$L,12)</f>
        <v/>
      </c>
      <c r="C465" s="49">
        <f>VLOOKUP(Table311[[#This Row],[Date]],'DB Details'!$A:$T,20)</f>
        <v/>
      </c>
      <c r="D465" s="49">
        <f>VLOOKUP(Table311[[#This Row],[Date]],'DB Details'!$A:$T,18)</f>
        <v/>
      </c>
      <c r="E465" s="49">
        <f>VLOOKUP(Table311[[#This Row],[Date]],'DB Details'!$A:$T,19)</f>
        <v/>
      </c>
    </row>
    <row r="466">
      <c r="A466" s="38" t="n">
        <v>31533</v>
      </c>
      <c r="B466" s="48">
        <f>VLOOKUP(Table311[[#This Row],[Date]],'DB Details'!$A:$L,12)</f>
        <v/>
      </c>
      <c r="C466" s="49">
        <f>VLOOKUP(Table311[[#This Row],[Date]],'DB Details'!$A:$T,20)</f>
        <v/>
      </c>
      <c r="D466" s="49">
        <f>VLOOKUP(Table311[[#This Row],[Date]],'DB Details'!$A:$T,18)</f>
        <v/>
      </c>
      <c r="E466" s="49">
        <f>VLOOKUP(Table311[[#This Row],[Date]],'DB Details'!$A:$T,19)</f>
        <v/>
      </c>
    </row>
    <row r="467">
      <c r="A467" s="38" t="n">
        <v>31564</v>
      </c>
      <c r="B467" s="48">
        <f>VLOOKUP(Table311[[#This Row],[Date]],'DB Details'!$A:$L,12)</f>
        <v/>
      </c>
      <c r="C467" s="49">
        <f>VLOOKUP(Table311[[#This Row],[Date]],'DB Details'!$A:$T,20)</f>
        <v/>
      </c>
      <c r="D467" s="49">
        <f>VLOOKUP(Table311[[#This Row],[Date]],'DB Details'!$A:$T,18)</f>
        <v/>
      </c>
      <c r="E467" s="49">
        <f>VLOOKUP(Table311[[#This Row],[Date]],'DB Details'!$A:$T,19)</f>
        <v/>
      </c>
    </row>
    <row r="468">
      <c r="A468" s="38" t="n">
        <v>31594</v>
      </c>
      <c r="B468" s="48">
        <f>VLOOKUP(Table311[[#This Row],[Date]],'DB Details'!$A:$L,12)</f>
        <v/>
      </c>
      <c r="C468" s="49">
        <f>VLOOKUP(Table311[[#This Row],[Date]],'DB Details'!$A:$T,20)</f>
        <v/>
      </c>
      <c r="D468" s="49">
        <f>VLOOKUP(Table311[[#This Row],[Date]],'DB Details'!$A:$T,18)</f>
        <v/>
      </c>
      <c r="E468" s="49">
        <f>VLOOKUP(Table311[[#This Row],[Date]],'DB Details'!$A:$T,19)</f>
        <v/>
      </c>
    </row>
    <row r="469">
      <c r="A469" s="38" t="n">
        <v>31625</v>
      </c>
      <c r="B469" s="48">
        <f>VLOOKUP(Table311[[#This Row],[Date]],'DB Details'!$A:$L,12)</f>
        <v/>
      </c>
      <c r="C469" s="49">
        <f>VLOOKUP(Table311[[#This Row],[Date]],'DB Details'!$A:$T,20)</f>
        <v/>
      </c>
      <c r="D469" s="49">
        <f>VLOOKUP(Table311[[#This Row],[Date]],'DB Details'!$A:$T,18)</f>
        <v/>
      </c>
      <c r="E469" s="49">
        <f>VLOOKUP(Table311[[#This Row],[Date]],'DB Details'!$A:$T,19)</f>
        <v/>
      </c>
    </row>
    <row r="470">
      <c r="A470" s="38" t="n">
        <v>31656</v>
      </c>
      <c r="B470" s="48">
        <f>VLOOKUP(Table311[[#This Row],[Date]],'DB Details'!$A:$L,12)</f>
        <v/>
      </c>
      <c r="C470" s="49">
        <f>VLOOKUP(Table311[[#This Row],[Date]],'DB Details'!$A:$T,20)</f>
        <v/>
      </c>
      <c r="D470" s="49">
        <f>VLOOKUP(Table311[[#This Row],[Date]],'DB Details'!$A:$T,18)</f>
        <v/>
      </c>
      <c r="E470" s="49">
        <f>VLOOKUP(Table311[[#This Row],[Date]],'DB Details'!$A:$T,19)</f>
        <v/>
      </c>
    </row>
    <row r="471">
      <c r="A471" s="38" t="n">
        <v>31686</v>
      </c>
      <c r="B471" s="48">
        <f>VLOOKUP(Table311[[#This Row],[Date]],'DB Details'!$A:$L,12)</f>
        <v/>
      </c>
      <c r="C471" s="49">
        <f>VLOOKUP(Table311[[#This Row],[Date]],'DB Details'!$A:$T,20)</f>
        <v/>
      </c>
      <c r="D471" s="49">
        <f>VLOOKUP(Table311[[#This Row],[Date]],'DB Details'!$A:$T,18)</f>
        <v/>
      </c>
      <c r="E471" s="49">
        <f>VLOOKUP(Table311[[#This Row],[Date]],'DB Details'!$A:$T,19)</f>
        <v/>
      </c>
    </row>
    <row r="472">
      <c r="A472" s="38" t="n">
        <v>31717</v>
      </c>
      <c r="B472" s="48">
        <f>VLOOKUP(Table311[[#This Row],[Date]],'DB Details'!$A:$L,12)</f>
        <v/>
      </c>
      <c r="C472" s="49">
        <f>VLOOKUP(Table311[[#This Row],[Date]],'DB Details'!$A:$T,20)</f>
        <v/>
      </c>
      <c r="D472" s="49">
        <f>VLOOKUP(Table311[[#This Row],[Date]],'DB Details'!$A:$T,18)</f>
        <v/>
      </c>
      <c r="E472" s="49">
        <f>VLOOKUP(Table311[[#This Row],[Date]],'DB Details'!$A:$T,19)</f>
        <v/>
      </c>
    </row>
    <row r="473">
      <c r="A473" s="38" t="n">
        <v>31747</v>
      </c>
      <c r="B473" s="48">
        <f>VLOOKUP(Table311[[#This Row],[Date]],'DB Details'!$A:$L,12)</f>
        <v/>
      </c>
      <c r="C473" s="49">
        <f>VLOOKUP(Table311[[#This Row],[Date]],'DB Details'!$A:$T,20)</f>
        <v/>
      </c>
      <c r="D473" s="49">
        <f>VLOOKUP(Table311[[#This Row],[Date]],'DB Details'!$A:$T,18)</f>
        <v/>
      </c>
      <c r="E473" s="49">
        <f>VLOOKUP(Table311[[#This Row],[Date]],'DB Details'!$A:$T,19)</f>
        <v/>
      </c>
    </row>
    <row r="474">
      <c r="A474" s="38" t="n">
        <v>31778</v>
      </c>
      <c r="B474" s="48">
        <f>VLOOKUP(Table311[[#This Row],[Date]],'DB Details'!$A:$L,12)</f>
        <v/>
      </c>
      <c r="C474" s="49">
        <f>VLOOKUP(Table311[[#This Row],[Date]],'DB Details'!$A:$T,20)</f>
        <v/>
      </c>
      <c r="D474" s="49">
        <f>VLOOKUP(Table311[[#This Row],[Date]],'DB Details'!$A:$T,18)</f>
        <v/>
      </c>
      <c r="E474" s="49">
        <f>VLOOKUP(Table311[[#This Row],[Date]],'DB Details'!$A:$T,19)</f>
        <v/>
      </c>
    </row>
    <row r="475">
      <c r="A475" s="38" t="n">
        <v>31809</v>
      </c>
      <c r="B475" s="48">
        <f>VLOOKUP(Table311[[#This Row],[Date]],'DB Details'!$A:$L,12)</f>
        <v/>
      </c>
      <c r="C475" s="49">
        <f>VLOOKUP(Table311[[#This Row],[Date]],'DB Details'!$A:$T,20)</f>
        <v/>
      </c>
      <c r="D475" s="49">
        <f>VLOOKUP(Table311[[#This Row],[Date]],'DB Details'!$A:$T,18)</f>
        <v/>
      </c>
      <c r="E475" s="49">
        <f>VLOOKUP(Table311[[#This Row],[Date]],'DB Details'!$A:$T,19)</f>
        <v/>
      </c>
    </row>
    <row r="476">
      <c r="A476" s="38" t="n">
        <v>31837</v>
      </c>
      <c r="B476" s="48">
        <f>VLOOKUP(Table311[[#This Row],[Date]],'DB Details'!$A:$L,12)</f>
        <v/>
      </c>
      <c r="C476" s="49">
        <f>VLOOKUP(Table311[[#This Row],[Date]],'DB Details'!$A:$T,20)</f>
        <v/>
      </c>
      <c r="D476" s="49">
        <f>VLOOKUP(Table311[[#This Row],[Date]],'DB Details'!$A:$T,18)</f>
        <v/>
      </c>
      <c r="E476" s="49">
        <f>VLOOKUP(Table311[[#This Row],[Date]],'DB Details'!$A:$T,19)</f>
        <v/>
      </c>
    </row>
    <row r="477">
      <c r="A477" s="38" t="n">
        <v>31868</v>
      </c>
      <c r="B477" s="48">
        <f>VLOOKUP(Table311[[#This Row],[Date]],'DB Details'!$A:$L,12)</f>
        <v/>
      </c>
      <c r="C477" s="49">
        <f>VLOOKUP(Table311[[#This Row],[Date]],'DB Details'!$A:$T,20)</f>
        <v/>
      </c>
      <c r="D477" s="49">
        <f>VLOOKUP(Table311[[#This Row],[Date]],'DB Details'!$A:$T,18)</f>
        <v/>
      </c>
      <c r="E477" s="49">
        <f>VLOOKUP(Table311[[#This Row],[Date]],'DB Details'!$A:$T,19)</f>
        <v/>
      </c>
    </row>
    <row r="478">
      <c r="A478" s="38" t="n">
        <v>31898</v>
      </c>
      <c r="B478" s="48">
        <f>VLOOKUP(Table311[[#This Row],[Date]],'DB Details'!$A:$L,12)</f>
        <v/>
      </c>
      <c r="C478" s="49">
        <f>VLOOKUP(Table311[[#This Row],[Date]],'DB Details'!$A:$T,20)</f>
        <v/>
      </c>
      <c r="D478" s="49">
        <f>VLOOKUP(Table311[[#This Row],[Date]],'DB Details'!$A:$T,18)</f>
        <v/>
      </c>
      <c r="E478" s="49">
        <f>VLOOKUP(Table311[[#This Row],[Date]],'DB Details'!$A:$T,19)</f>
        <v/>
      </c>
    </row>
    <row r="479">
      <c r="A479" s="38" t="n">
        <v>31929</v>
      </c>
      <c r="B479" s="48">
        <f>VLOOKUP(Table311[[#This Row],[Date]],'DB Details'!$A:$L,12)</f>
        <v/>
      </c>
      <c r="C479" s="49">
        <f>VLOOKUP(Table311[[#This Row],[Date]],'DB Details'!$A:$T,20)</f>
        <v/>
      </c>
      <c r="D479" s="49">
        <f>VLOOKUP(Table311[[#This Row],[Date]],'DB Details'!$A:$T,18)</f>
        <v/>
      </c>
      <c r="E479" s="49">
        <f>VLOOKUP(Table311[[#This Row],[Date]],'DB Details'!$A:$T,19)</f>
        <v/>
      </c>
    </row>
    <row r="480">
      <c r="A480" s="38" t="n">
        <v>31959</v>
      </c>
      <c r="B480" s="48">
        <f>VLOOKUP(Table311[[#This Row],[Date]],'DB Details'!$A:$L,12)</f>
        <v/>
      </c>
      <c r="C480" s="49">
        <f>VLOOKUP(Table311[[#This Row],[Date]],'DB Details'!$A:$T,20)</f>
        <v/>
      </c>
      <c r="D480" s="49">
        <f>VLOOKUP(Table311[[#This Row],[Date]],'DB Details'!$A:$T,18)</f>
        <v/>
      </c>
      <c r="E480" s="49">
        <f>VLOOKUP(Table311[[#This Row],[Date]],'DB Details'!$A:$T,19)</f>
        <v/>
      </c>
    </row>
    <row r="481">
      <c r="A481" s="38" t="n">
        <v>31990</v>
      </c>
      <c r="B481" s="48">
        <f>VLOOKUP(Table311[[#This Row],[Date]],'DB Details'!$A:$L,12)</f>
        <v/>
      </c>
      <c r="C481" s="49">
        <f>VLOOKUP(Table311[[#This Row],[Date]],'DB Details'!$A:$T,20)</f>
        <v/>
      </c>
      <c r="D481" s="49">
        <f>VLOOKUP(Table311[[#This Row],[Date]],'DB Details'!$A:$T,18)</f>
        <v/>
      </c>
      <c r="E481" s="49">
        <f>VLOOKUP(Table311[[#This Row],[Date]],'DB Details'!$A:$T,19)</f>
        <v/>
      </c>
    </row>
    <row r="482">
      <c r="A482" s="38" t="n">
        <v>32021</v>
      </c>
      <c r="B482" s="48">
        <f>VLOOKUP(Table311[[#This Row],[Date]],'DB Details'!$A:$L,12)</f>
        <v/>
      </c>
      <c r="C482" s="49">
        <f>VLOOKUP(Table311[[#This Row],[Date]],'DB Details'!$A:$T,20)</f>
        <v/>
      </c>
      <c r="D482" s="49">
        <f>VLOOKUP(Table311[[#This Row],[Date]],'DB Details'!$A:$T,18)</f>
        <v/>
      </c>
      <c r="E482" s="49">
        <f>VLOOKUP(Table311[[#This Row],[Date]],'DB Details'!$A:$T,19)</f>
        <v/>
      </c>
    </row>
    <row r="483">
      <c r="A483" s="38" t="n">
        <v>32051</v>
      </c>
      <c r="B483" s="48">
        <f>VLOOKUP(Table311[[#This Row],[Date]],'DB Details'!$A:$L,12)</f>
        <v/>
      </c>
      <c r="C483" s="49">
        <f>VLOOKUP(Table311[[#This Row],[Date]],'DB Details'!$A:$T,20)</f>
        <v/>
      </c>
      <c r="D483" s="49">
        <f>VLOOKUP(Table311[[#This Row],[Date]],'DB Details'!$A:$T,18)</f>
        <v/>
      </c>
      <c r="E483" s="49">
        <f>VLOOKUP(Table311[[#This Row],[Date]],'DB Details'!$A:$T,19)</f>
        <v/>
      </c>
    </row>
    <row r="484">
      <c r="A484" s="38" t="n">
        <v>32082</v>
      </c>
      <c r="B484" s="48">
        <f>VLOOKUP(Table311[[#This Row],[Date]],'DB Details'!$A:$L,12)</f>
        <v/>
      </c>
      <c r="C484" s="49">
        <f>VLOOKUP(Table311[[#This Row],[Date]],'DB Details'!$A:$T,20)</f>
        <v/>
      </c>
      <c r="D484" s="49">
        <f>VLOOKUP(Table311[[#This Row],[Date]],'DB Details'!$A:$T,18)</f>
        <v/>
      </c>
      <c r="E484" s="49">
        <f>VLOOKUP(Table311[[#This Row],[Date]],'DB Details'!$A:$T,19)</f>
        <v/>
      </c>
    </row>
    <row r="485">
      <c r="A485" s="38" t="n">
        <v>32112</v>
      </c>
      <c r="B485" s="48">
        <f>VLOOKUP(Table311[[#This Row],[Date]],'DB Details'!$A:$L,12)</f>
        <v/>
      </c>
      <c r="C485" s="49">
        <f>VLOOKUP(Table311[[#This Row],[Date]],'DB Details'!$A:$T,20)</f>
        <v/>
      </c>
      <c r="D485" s="49">
        <f>VLOOKUP(Table311[[#This Row],[Date]],'DB Details'!$A:$T,18)</f>
        <v/>
      </c>
      <c r="E485" s="49">
        <f>VLOOKUP(Table311[[#This Row],[Date]],'DB Details'!$A:$T,19)</f>
        <v/>
      </c>
    </row>
    <row r="486">
      <c r="A486" s="38" t="n">
        <v>32143</v>
      </c>
      <c r="B486" s="48">
        <f>VLOOKUP(Table311[[#This Row],[Date]],'DB Details'!$A:$L,12)</f>
        <v/>
      </c>
      <c r="C486" s="49">
        <f>VLOOKUP(Table311[[#This Row],[Date]],'DB Details'!$A:$T,20)</f>
        <v/>
      </c>
      <c r="D486" s="49">
        <f>VLOOKUP(Table311[[#This Row],[Date]],'DB Details'!$A:$T,18)</f>
        <v/>
      </c>
      <c r="E486" s="49">
        <f>VLOOKUP(Table311[[#This Row],[Date]],'DB Details'!$A:$T,19)</f>
        <v/>
      </c>
    </row>
    <row r="487">
      <c r="A487" s="38" t="n">
        <v>32174</v>
      </c>
      <c r="B487" s="48">
        <f>VLOOKUP(Table311[[#This Row],[Date]],'DB Details'!$A:$L,12)</f>
        <v/>
      </c>
      <c r="C487" s="49">
        <f>VLOOKUP(Table311[[#This Row],[Date]],'DB Details'!$A:$T,20)</f>
        <v/>
      </c>
      <c r="D487" s="49">
        <f>VLOOKUP(Table311[[#This Row],[Date]],'DB Details'!$A:$T,18)</f>
        <v/>
      </c>
      <c r="E487" s="49">
        <f>VLOOKUP(Table311[[#This Row],[Date]],'DB Details'!$A:$T,19)</f>
        <v/>
      </c>
    </row>
    <row r="488">
      <c r="A488" s="38" t="n">
        <v>32203</v>
      </c>
      <c r="B488" s="48">
        <f>VLOOKUP(Table311[[#This Row],[Date]],'DB Details'!$A:$L,12)</f>
        <v/>
      </c>
      <c r="C488" s="49">
        <f>VLOOKUP(Table311[[#This Row],[Date]],'DB Details'!$A:$T,20)</f>
        <v/>
      </c>
      <c r="D488" s="49">
        <f>VLOOKUP(Table311[[#This Row],[Date]],'DB Details'!$A:$T,18)</f>
        <v/>
      </c>
      <c r="E488" s="49">
        <f>VLOOKUP(Table311[[#This Row],[Date]],'DB Details'!$A:$T,19)</f>
        <v/>
      </c>
    </row>
    <row r="489">
      <c r="A489" s="38" t="n">
        <v>32234</v>
      </c>
      <c r="B489" s="48">
        <f>VLOOKUP(Table311[[#This Row],[Date]],'DB Details'!$A:$L,12)</f>
        <v/>
      </c>
      <c r="C489" s="49">
        <f>VLOOKUP(Table311[[#This Row],[Date]],'DB Details'!$A:$T,20)</f>
        <v/>
      </c>
      <c r="D489" s="49">
        <f>VLOOKUP(Table311[[#This Row],[Date]],'DB Details'!$A:$T,18)</f>
        <v/>
      </c>
      <c r="E489" s="49">
        <f>VLOOKUP(Table311[[#This Row],[Date]],'DB Details'!$A:$T,19)</f>
        <v/>
      </c>
    </row>
    <row r="490">
      <c r="A490" s="38" t="n">
        <v>32264</v>
      </c>
      <c r="B490" s="48">
        <f>VLOOKUP(Table311[[#This Row],[Date]],'DB Details'!$A:$L,12)</f>
        <v/>
      </c>
      <c r="C490" s="49">
        <f>VLOOKUP(Table311[[#This Row],[Date]],'DB Details'!$A:$T,20)</f>
        <v/>
      </c>
      <c r="D490" s="49">
        <f>VLOOKUP(Table311[[#This Row],[Date]],'DB Details'!$A:$T,18)</f>
        <v/>
      </c>
      <c r="E490" s="49">
        <f>VLOOKUP(Table311[[#This Row],[Date]],'DB Details'!$A:$T,19)</f>
        <v/>
      </c>
    </row>
    <row r="491">
      <c r="A491" s="38" t="n">
        <v>32295</v>
      </c>
      <c r="B491" s="48">
        <f>VLOOKUP(Table311[[#This Row],[Date]],'DB Details'!$A:$L,12)</f>
        <v/>
      </c>
      <c r="C491" s="49">
        <f>VLOOKUP(Table311[[#This Row],[Date]],'DB Details'!$A:$T,20)</f>
        <v/>
      </c>
      <c r="D491" s="49">
        <f>VLOOKUP(Table311[[#This Row],[Date]],'DB Details'!$A:$T,18)</f>
        <v/>
      </c>
      <c r="E491" s="49">
        <f>VLOOKUP(Table311[[#This Row],[Date]],'DB Details'!$A:$T,19)</f>
        <v/>
      </c>
    </row>
    <row r="492">
      <c r="A492" s="38" t="n">
        <v>32325</v>
      </c>
      <c r="B492" s="48">
        <f>VLOOKUP(Table311[[#This Row],[Date]],'DB Details'!$A:$L,12)</f>
        <v/>
      </c>
      <c r="C492" s="49">
        <f>VLOOKUP(Table311[[#This Row],[Date]],'DB Details'!$A:$T,20)</f>
        <v/>
      </c>
      <c r="D492" s="49">
        <f>VLOOKUP(Table311[[#This Row],[Date]],'DB Details'!$A:$T,18)</f>
        <v/>
      </c>
      <c r="E492" s="49">
        <f>VLOOKUP(Table311[[#This Row],[Date]],'DB Details'!$A:$T,19)</f>
        <v/>
      </c>
    </row>
    <row r="493">
      <c r="A493" s="38" t="n">
        <v>32356</v>
      </c>
      <c r="B493" s="48">
        <f>VLOOKUP(Table311[[#This Row],[Date]],'DB Details'!$A:$L,12)</f>
        <v/>
      </c>
      <c r="C493" s="49">
        <f>VLOOKUP(Table311[[#This Row],[Date]],'DB Details'!$A:$T,20)</f>
        <v/>
      </c>
      <c r="D493" s="49">
        <f>VLOOKUP(Table311[[#This Row],[Date]],'DB Details'!$A:$T,18)</f>
        <v/>
      </c>
      <c r="E493" s="49">
        <f>VLOOKUP(Table311[[#This Row],[Date]],'DB Details'!$A:$T,19)</f>
        <v/>
      </c>
    </row>
    <row r="494">
      <c r="A494" s="38" t="n">
        <v>32387</v>
      </c>
      <c r="B494" s="48">
        <f>VLOOKUP(Table311[[#This Row],[Date]],'DB Details'!$A:$L,12)</f>
        <v/>
      </c>
      <c r="C494" s="49">
        <f>VLOOKUP(Table311[[#This Row],[Date]],'DB Details'!$A:$T,20)</f>
        <v/>
      </c>
      <c r="D494" s="49">
        <f>VLOOKUP(Table311[[#This Row],[Date]],'DB Details'!$A:$T,18)</f>
        <v/>
      </c>
      <c r="E494" s="49">
        <f>VLOOKUP(Table311[[#This Row],[Date]],'DB Details'!$A:$T,19)</f>
        <v/>
      </c>
    </row>
    <row r="495">
      <c r="A495" s="38" t="n">
        <v>32417</v>
      </c>
      <c r="B495" s="48">
        <f>VLOOKUP(Table311[[#This Row],[Date]],'DB Details'!$A:$L,12)</f>
        <v/>
      </c>
      <c r="C495" s="49">
        <f>VLOOKUP(Table311[[#This Row],[Date]],'DB Details'!$A:$T,20)</f>
        <v/>
      </c>
      <c r="D495" s="49">
        <f>VLOOKUP(Table311[[#This Row],[Date]],'DB Details'!$A:$T,18)</f>
        <v/>
      </c>
      <c r="E495" s="49">
        <f>VLOOKUP(Table311[[#This Row],[Date]],'DB Details'!$A:$T,19)</f>
        <v/>
      </c>
    </row>
    <row r="496">
      <c r="A496" s="38" t="n">
        <v>32448</v>
      </c>
      <c r="B496" s="48">
        <f>VLOOKUP(Table311[[#This Row],[Date]],'DB Details'!$A:$L,12)</f>
        <v/>
      </c>
      <c r="C496" s="49">
        <f>VLOOKUP(Table311[[#This Row],[Date]],'DB Details'!$A:$T,20)</f>
        <v/>
      </c>
      <c r="D496" s="49">
        <f>VLOOKUP(Table311[[#This Row],[Date]],'DB Details'!$A:$T,18)</f>
        <v/>
      </c>
      <c r="E496" s="49">
        <f>VLOOKUP(Table311[[#This Row],[Date]],'DB Details'!$A:$T,19)</f>
        <v/>
      </c>
    </row>
    <row r="497">
      <c r="A497" s="38" t="n">
        <v>32478</v>
      </c>
      <c r="B497" s="48">
        <f>VLOOKUP(Table311[[#This Row],[Date]],'DB Details'!$A:$L,12)</f>
        <v/>
      </c>
      <c r="C497" s="49">
        <f>VLOOKUP(Table311[[#This Row],[Date]],'DB Details'!$A:$T,20)</f>
        <v/>
      </c>
      <c r="D497" s="49">
        <f>VLOOKUP(Table311[[#This Row],[Date]],'DB Details'!$A:$T,18)</f>
        <v/>
      </c>
      <c r="E497" s="49">
        <f>VLOOKUP(Table311[[#This Row],[Date]],'DB Details'!$A:$T,19)</f>
        <v/>
      </c>
    </row>
    <row r="498">
      <c r="A498" s="38" t="n">
        <v>32509</v>
      </c>
      <c r="B498" s="48">
        <f>VLOOKUP(Table311[[#This Row],[Date]],'DB Details'!$A:$L,12)</f>
        <v/>
      </c>
      <c r="C498" s="49">
        <f>VLOOKUP(Table311[[#This Row],[Date]],'DB Details'!$A:$T,20)</f>
        <v/>
      </c>
      <c r="D498" s="49">
        <f>VLOOKUP(Table311[[#This Row],[Date]],'DB Details'!$A:$T,18)</f>
        <v/>
      </c>
      <c r="E498" s="49">
        <f>VLOOKUP(Table311[[#This Row],[Date]],'DB Details'!$A:$T,19)</f>
        <v/>
      </c>
    </row>
    <row r="499">
      <c r="A499" s="38" t="n">
        <v>32540</v>
      </c>
      <c r="B499" s="48">
        <f>VLOOKUP(Table311[[#This Row],[Date]],'DB Details'!$A:$L,12)</f>
        <v/>
      </c>
      <c r="C499" s="49">
        <f>VLOOKUP(Table311[[#This Row],[Date]],'DB Details'!$A:$T,20)</f>
        <v/>
      </c>
      <c r="D499" s="49">
        <f>VLOOKUP(Table311[[#This Row],[Date]],'DB Details'!$A:$T,18)</f>
        <v/>
      </c>
      <c r="E499" s="49">
        <f>VLOOKUP(Table311[[#This Row],[Date]],'DB Details'!$A:$T,19)</f>
        <v/>
      </c>
    </row>
    <row r="500">
      <c r="A500" s="38" t="n">
        <v>32568</v>
      </c>
      <c r="B500" s="48">
        <f>VLOOKUP(Table311[[#This Row],[Date]],'DB Details'!$A:$L,12)</f>
        <v/>
      </c>
      <c r="C500" s="49">
        <f>VLOOKUP(Table311[[#This Row],[Date]],'DB Details'!$A:$T,20)</f>
        <v/>
      </c>
      <c r="D500" s="49">
        <f>VLOOKUP(Table311[[#This Row],[Date]],'DB Details'!$A:$T,18)</f>
        <v/>
      </c>
      <c r="E500" s="49">
        <f>VLOOKUP(Table311[[#This Row],[Date]],'DB Details'!$A:$T,19)</f>
        <v/>
      </c>
    </row>
    <row r="501">
      <c r="A501" s="38" t="n">
        <v>32599</v>
      </c>
      <c r="B501" s="48">
        <f>VLOOKUP(Table311[[#This Row],[Date]],'DB Details'!$A:$L,12)</f>
        <v/>
      </c>
      <c r="C501" s="49">
        <f>VLOOKUP(Table311[[#This Row],[Date]],'DB Details'!$A:$T,20)</f>
        <v/>
      </c>
      <c r="D501" s="49">
        <f>VLOOKUP(Table311[[#This Row],[Date]],'DB Details'!$A:$T,18)</f>
        <v/>
      </c>
      <c r="E501" s="49">
        <f>VLOOKUP(Table311[[#This Row],[Date]],'DB Details'!$A:$T,19)</f>
        <v/>
      </c>
    </row>
    <row r="502">
      <c r="A502" s="38" t="n">
        <v>32629</v>
      </c>
      <c r="B502" s="48">
        <f>VLOOKUP(Table311[[#This Row],[Date]],'DB Details'!$A:$L,12)</f>
        <v/>
      </c>
      <c r="C502" s="49">
        <f>VLOOKUP(Table311[[#This Row],[Date]],'DB Details'!$A:$T,20)</f>
        <v/>
      </c>
      <c r="D502" s="49">
        <f>VLOOKUP(Table311[[#This Row],[Date]],'DB Details'!$A:$T,18)</f>
        <v/>
      </c>
      <c r="E502" s="49">
        <f>VLOOKUP(Table311[[#This Row],[Date]],'DB Details'!$A:$T,19)</f>
        <v/>
      </c>
    </row>
    <row r="503">
      <c r="A503" s="38" t="n">
        <v>32660</v>
      </c>
      <c r="B503" s="48">
        <f>VLOOKUP(Table311[[#This Row],[Date]],'DB Details'!$A:$L,12)</f>
        <v/>
      </c>
      <c r="C503" s="49">
        <f>VLOOKUP(Table311[[#This Row],[Date]],'DB Details'!$A:$T,20)</f>
        <v/>
      </c>
      <c r="D503" s="49">
        <f>VLOOKUP(Table311[[#This Row],[Date]],'DB Details'!$A:$T,18)</f>
        <v/>
      </c>
      <c r="E503" s="49">
        <f>VLOOKUP(Table311[[#This Row],[Date]],'DB Details'!$A:$T,19)</f>
        <v/>
      </c>
    </row>
    <row r="504">
      <c r="A504" s="38" t="n">
        <v>32690</v>
      </c>
      <c r="B504" s="48">
        <f>VLOOKUP(Table311[[#This Row],[Date]],'DB Details'!$A:$L,12)</f>
        <v/>
      </c>
      <c r="C504" s="49">
        <f>VLOOKUP(Table311[[#This Row],[Date]],'DB Details'!$A:$T,20)</f>
        <v/>
      </c>
      <c r="D504" s="49">
        <f>VLOOKUP(Table311[[#This Row],[Date]],'DB Details'!$A:$T,18)</f>
        <v/>
      </c>
      <c r="E504" s="49">
        <f>VLOOKUP(Table311[[#This Row],[Date]],'DB Details'!$A:$T,19)</f>
        <v/>
      </c>
    </row>
    <row r="505">
      <c r="A505" s="38" t="n">
        <v>32721</v>
      </c>
      <c r="B505" s="48">
        <f>VLOOKUP(Table311[[#This Row],[Date]],'DB Details'!$A:$L,12)</f>
        <v/>
      </c>
      <c r="C505" s="49">
        <f>VLOOKUP(Table311[[#This Row],[Date]],'DB Details'!$A:$T,20)</f>
        <v/>
      </c>
      <c r="D505" s="49">
        <f>VLOOKUP(Table311[[#This Row],[Date]],'DB Details'!$A:$T,18)</f>
        <v/>
      </c>
      <c r="E505" s="49">
        <f>VLOOKUP(Table311[[#This Row],[Date]],'DB Details'!$A:$T,19)</f>
        <v/>
      </c>
    </row>
    <row r="506">
      <c r="A506" s="38" t="n">
        <v>32752</v>
      </c>
      <c r="B506" s="48">
        <f>VLOOKUP(Table311[[#This Row],[Date]],'DB Details'!$A:$L,12)</f>
        <v/>
      </c>
      <c r="C506" s="49">
        <f>VLOOKUP(Table311[[#This Row],[Date]],'DB Details'!$A:$T,20)</f>
        <v/>
      </c>
      <c r="D506" s="49">
        <f>VLOOKUP(Table311[[#This Row],[Date]],'DB Details'!$A:$T,18)</f>
        <v/>
      </c>
      <c r="E506" s="49">
        <f>VLOOKUP(Table311[[#This Row],[Date]],'DB Details'!$A:$T,19)</f>
        <v/>
      </c>
    </row>
    <row r="507">
      <c r="A507" s="38" t="n">
        <v>32782</v>
      </c>
      <c r="B507" s="48">
        <f>VLOOKUP(Table311[[#This Row],[Date]],'DB Details'!$A:$L,12)</f>
        <v/>
      </c>
      <c r="C507" s="49">
        <f>VLOOKUP(Table311[[#This Row],[Date]],'DB Details'!$A:$T,20)</f>
        <v/>
      </c>
      <c r="D507" s="49">
        <f>VLOOKUP(Table311[[#This Row],[Date]],'DB Details'!$A:$T,18)</f>
        <v/>
      </c>
      <c r="E507" s="49">
        <f>VLOOKUP(Table311[[#This Row],[Date]],'DB Details'!$A:$T,19)</f>
        <v/>
      </c>
    </row>
    <row r="508">
      <c r="A508" s="38" t="n">
        <v>32813</v>
      </c>
      <c r="B508" s="48">
        <f>VLOOKUP(Table311[[#This Row],[Date]],'DB Details'!$A:$L,12)</f>
        <v/>
      </c>
      <c r="C508" s="49">
        <f>VLOOKUP(Table311[[#This Row],[Date]],'DB Details'!$A:$T,20)</f>
        <v/>
      </c>
      <c r="D508" s="49">
        <f>VLOOKUP(Table311[[#This Row],[Date]],'DB Details'!$A:$T,18)</f>
        <v/>
      </c>
      <c r="E508" s="49">
        <f>VLOOKUP(Table311[[#This Row],[Date]],'DB Details'!$A:$T,19)</f>
        <v/>
      </c>
    </row>
    <row r="509">
      <c r="A509" s="38" t="n">
        <v>32843</v>
      </c>
      <c r="B509" s="48">
        <f>VLOOKUP(Table311[[#This Row],[Date]],'DB Details'!$A:$L,12)</f>
        <v/>
      </c>
      <c r="C509" s="49">
        <f>VLOOKUP(Table311[[#This Row],[Date]],'DB Details'!$A:$T,20)</f>
        <v/>
      </c>
      <c r="D509" s="49">
        <f>VLOOKUP(Table311[[#This Row],[Date]],'DB Details'!$A:$T,18)</f>
        <v/>
      </c>
      <c r="E509" s="49">
        <f>VLOOKUP(Table311[[#This Row],[Date]],'DB Details'!$A:$T,19)</f>
        <v/>
      </c>
    </row>
    <row r="510">
      <c r="A510" s="38" t="n">
        <v>32874</v>
      </c>
      <c r="B510" s="48">
        <f>VLOOKUP(Table311[[#This Row],[Date]],'DB Details'!$A:$L,12)</f>
        <v/>
      </c>
      <c r="C510" s="49">
        <f>VLOOKUP(Table311[[#This Row],[Date]],'DB Details'!$A:$T,20)</f>
        <v/>
      </c>
      <c r="D510" s="49">
        <f>VLOOKUP(Table311[[#This Row],[Date]],'DB Details'!$A:$T,18)</f>
        <v/>
      </c>
      <c r="E510" s="49">
        <f>VLOOKUP(Table311[[#This Row],[Date]],'DB Details'!$A:$T,19)</f>
        <v/>
      </c>
    </row>
    <row r="511">
      <c r="A511" s="38" t="n">
        <v>32905</v>
      </c>
      <c r="B511" s="48">
        <f>VLOOKUP(Table311[[#This Row],[Date]],'DB Details'!$A:$L,12)</f>
        <v/>
      </c>
      <c r="C511" s="49">
        <f>VLOOKUP(Table311[[#This Row],[Date]],'DB Details'!$A:$T,20)</f>
        <v/>
      </c>
      <c r="D511" s="49">
        <f>VLOOKUP(Table311[[#This Row],[Date]],'DB Details'!$A:$T,18)</f>
        <v/>
      </c>
      <c r="E511" s="49">
        <f>VLOOKUP(Table311[[#This Row],[Date]],'DB Details'!$A:$T,19)</f>
        <v/>
      </c>
    </row>
    <row r="512">
      <c r="A512" s="38" t="n">
        <v>32933</v>
      </c>
      <c r="B512" s="48">
        <f>VLOOKUP(Table311[[#This Row],[Date]],'DB Details'!$A:$L,12)</f>
        <v/>
      </c>
      <c r="C512" s="49">
        <f>VLOOKUP(Table311[[#This Row],[Date]],'DB Details'!$A:$T,20)</f>
        <v/>
      </c>
      <c r="D512" s="49">
        <f>VLOOKUP(Table311[[#This Row],[Date]],'DB Details'!$A:$T,18)</f>
        <v/>
      </c>
      <c r="E512" s="49">
        <f>VLOOKUP(Table311[[#This Row],[Date]],'DB Details'!$A:$T,19)</f>
        <v/>
      </c>
    </row>
    <row r="513">
      <c r="A513" s="38" t="n">
        <v>32964</v>
      </c>
      <c r="B513" s="48">
        <f>VLOOKUP(Table311[[#This Row],[Date]],'DB Details'!$A:$L,12)</f>
        <v/>
      </c>
      <c r="C513" s="49">
        <f>VLOOKUP(Table311[[#This Row],[Date]],'DB Details'!$A:$T,20)</f>
        <v/>
      </c>
      <c r="D513" s="49">
        <f>VLOOKUP(Table311[[#This Row],[Date]],'DB Details'!$A:$T,18)</f>
        <v/>
      </c>
      <c r="E513" s="49">
        <f>VLOOKUP(Table311[[#This Row],[Date]],'DB Details'!$A:$T,19)</f>
        <v/>
      </c>
    </row>
    <row r="514">
      <c r="A514" s="38" t="n">
        <v>32994</v>
      </c>
      <c r="B514" s="48">
        <f>VLOOKUP(Table311[[#This Row],[Date]],'DB Details'!$A:$L,12)</f>
        <v/>
      </c>
      <c r="C514" s="49">
        <f>VLOOKUP(Table311[[#This Row],[Date]],'DB Details'!$A:$T,20)</f>
        <v/>
      </c>
      <c r="D514" s="49">
        <f>VLOOKUP(Table311[[#This Row],[Date]],'DB Details'!$A:$T,18)</f>
        <v/>
      </c>
      <c r="E514" s="49">
        <f>VLOOKUP(Table311[[#This Row],[Date]],'DB Details'!$A:$T,19)</f>
        <v/>
      </c>
    </row>
    <row r="515">
      <c r="A515" s="38" t="n">
        <v>33025</v>
      </c>
      <c r="B515" s="48">
        <f>VLOOKUP(Table311[[#This Row],[Date]],'DB Details'!$A:$L,12)</f>
        <v/>
      </c>
      <c r="C515" s="49">
        <f>VLOOKUP(Table311[[#This Row],[Date]],'DB Details'!$A:$T,20)</f>
        <v/>
      </c>
      <c r="D515" s="49">
        <f>VLOOKUP(Table311[[#This Row],[Date]],'DB Details'!$A:$T,18)</f>
        <v/>
      </c>
      <c r="E515" s="49">
        <f>VLOOKUP(Table311[[#This Row],[Date]],'DB Details'!$A:$T,19)</f>
        <v/>
      </c>
    </row>
    <row r="516">
      <c r="A516" s="38" t="n">
        <v>33055</v>
      </c>
      <c r="B516" s="48">
        <f>VLOOKUP(Table311[[#This Row],[Date]],'DB Details'!$A:$L,12)</f>
        <v/>
      </c>
      <c r="C516" s="49">
        <f>VLOOKUP(Table311[[#This Row],[Date]],'DB Details'!$A:$T,20)</f>
        <v/>
      </c>
      <c r="D516" s="49">
        <f>VLOOKUP(Table311[[#This Row],[Date]],'DB Details'!$A:$T,18)</f>
        <v/>
      </c>
      <c r="E516" s="49">
        <f>VLOOKUP(Table311[[#This Row],[Date]],'DB Details'!$A:$T,19)</f>
        <v/>
      </c>
    </row>
    <row r="517">
      <c r="A517" s="38" t="n">
        <v>33086</v>
      </c>
      <c r="B517" s="48">
        <f>VLOOKUP(Table311[[#This Row],[Date]],'DB Details'!$A:$L,12)</f>
        <v/>
      </c>
      <c r="C517" s="49">
        <f>VLOOKUP(Table311[[#This Row],[Date]],'DB Details'!$A:$T,20)</f>
        <v/>
      </c>
      <c r="D517" s="49">
        <f>VLOOKUP(Table311[[#This Row],[Date]],'DB Details'!$A:$T,18)</f>
        <v/>
      </c>
      <c r="E517" s="49">
        <f>VLOOKUP(Table311[[#This Row],[Date]],'DB Details'!$A:$T,19)</f>
        <v/>
      </c>
    </row>
    <row r="518">
      <c r="A518" s="38" t="n">
        <v>33117</v>
      </c>
      <c r="B518" s="48">
        <f>VLOOKUP(Table311[[#This Row],[Date]],'DB Details'!$A:$L,12)</f>
        <v/>
      </c>
      <c r="C518" s="49">
        <f>VLOOKUP(Table311[[#This Row],[Date]],'DB Details'!$A:$T,20)</f>
        <v/>
      </c>
      <c r="D518" s="49">
        <f>VLOOKUP(Table311[[#This Row],[Date]],'DB Details'!$A:$T,18)</f>
        <v/>
      </c>
      <c r="E518" s="49">
        <f>VLOOKUP(Table311[[#This Row],[Date]],'DB Details'!$A:$T,19)</f>
        <v/>
      </c>
    </row>
    <row r="519">
      <c r="A519" s="38" t="n">
        <v>33147</v>
      </c>
      <c r="B519" s="48">
        <f>VLOOKUP(Table311[[#This Row],[Date]],'DB Details'!$A:$L,12)</f>
        <v/>
      </c>
      <c r="C519" s="49">
        <f>VLOOKUP(Table311[[#This Row],[Date]],'DB Details'!$A:$T,20)</f>
        <v/>
      </c>
      <c r="D519" s="49">
        <f>VLOOKUP(Table311[[#This Row],[Date]],'DB Details'!$A:$T,18)</f>
        <v/>
      </c>
      <c r="E519" s="49">
        <f>VLOOKUP(Table311[[#This Row],[Date]],'DB Details'!$A:$T,19)</f>
        <v/>
      </c>
    </row>
    <row r="520">
      <c r="A520" s="38" t="n">
        <v>33178</v>
      </c>
      <c r="B520" s="48">
        <f>VLOOKUP(Table311[[#This Row],[Date]],'DB Details'!$A:$L,12)</f>
        <v/>
      </c>
      <c r="C520" s="49">
        <f>VLOOKUP(Table311[[#This Row],[Date]],'DB Details'!$A:$T,20)</f>
        <v/>
      </c>
      <c r="D520" s="49">
        <f>VLOOKUP(Table311[[#This Row],[Date]],'DB Details'!$A:$T,18)</f>
        <v/>
      </c>
      <c r="E520" s="49">
        <f>VLOOKUP(Table311[[#This Row],[Date]],'DB Details'!$A:$T,19)</f>
        <v/>
      </c>
    </row>
    <row r="521">
      <c r="A521" s="38" t="n">
        <v>33208</v>
      </c>
      <c r="B521" s="48">
        <f>VLOOKUP(Table311[[#This Row],[Date]],'DB Details'!$A:$L,12)</f>
        <v/>
      </c>
      <c r="C521" s="49">
        <f>VLOOKUP(Table311[[#This Row],[Date]],'DB Details'!$A:$T,20)</f>
        <v/>
      </c>
      <c r="D521" s="49">
        <f>VLOOKUP(Table311[[#This Row],[Date]],'DB Details'!$A:$T,18)</f>
        <v/>
      </c>
      <c r="E521" s="49">
        <f>VLOOKUP(Table311[[#This Row],[Date]],'DB Details'!$A:$T,19)</f>
        <v/>
      </c>
    </row>
    <row r="522">
      <c r="A522" s="38" t="n">
        <v>33239</v>
      </c>
      <c r="B522" s="48">
        <f>VLOOKUP(Table311[[#This Row],[Date]],'DB Details'!$A:$L,12)</f>
        <v/>
      </c>
      <c r="C522" s="49">
        <f>VLOOKUP(Table311[[#This Row],[Date]],'DB Details'!$A:$T,20)</f>
        <v/>
      </c>
      <c r="D522" s="49">
        <f>VLOOKUP(Table311[[#This Row],[Date]],'DB Details'!$A:$T,18)</f>
        <v/>
      </c>
      <c r="E522" s="49">
        <f>VLOOKUP(Table311[[#This Row],[Date]],'DB Details'!$A:$T,19)</f>
        <v/>
      </c>
    </row>
    <row r="523">
      <c r="A523" s="38" t="n">
        <v>33270</v>
      </c>
      <c r="B523" s="48">
        <f>VLOOKUP(Table311[[#This Row],[Date]],'DB Details'!$A:$L,12)</f>
        <v/>
      </c>
      <c r="C523" s="49">
        <f>VLOOKUP(Table311[[#This Row],[Date]],'DB Details'!$A:$T,20)</f>
        <v/>
      </c>
      <c r="D523" s="49">
        <f>VLOOKUP(Table311[[#This Row],[Date]],'DB Details'!$A:$T,18)</f>
        <v/>
      </c>
      <c r="E523" s="49">
        <f>VLOOKUP(Table311[[#This Row],[Date]],'DB Details'!$A:$T,19)</f>
        <v/>
      </c>
    </row>
    <row r="524">
      <c r="A524" s="38" t="n">
        <v>33298</v>
      </c>
      <c r="B524" s="48">
        <f>VLOOKUP(Table311[[#This Row],[Date]],'DB Details'!$A:$L,12)</f>
        <v/>
      </c>
      <c r="C524" s="49">
        <f>VLOOKUP(Table311[[#This Row],[Date]],'DB Details'!$A:$T,20)</f>
        <v/>
      </c>
      <c r="D524" s="49">
        <f>VLOOKUP(Table311[[#This Row],[Date]],'DB Details'!$A:$T,18)</f>
        <v/>
      </c>
      <c r="E524" s="49">
        <f>VLOOKUP(Table311[[#This Row],[Date]],'DB Details'!$A:$T,19)</f>
        <v/>
      </c>
    </row>
    <row r="525">
      <c r="A525" s="38" t="n">
        <v>33329</v>
      </c>
      <c r="B525" s="48">
        <f>VLOOKUP(Table311[[#This Row],[Date]],'DB Details'!$A:$L,12)</f>
        <v/>
      </c>
      <c r="C525" s="49">
        <f>VLOOKUP(Table311[[#This Row],[Date]],'DB Details'!$A:$T,20)</f>
        <v/>
      </c>
      <c r="D525" s="49">
        <f>VLOOKUP(Table311[[#This Row],[Date]],'DB Details'!$A:$T,18)</f>
        <v/>
      </c>
      <c r="E525" s="49">
        <f>VLOOKUP(Table311[[#This Row],[Date]],'DB Details'!$A:$T,19)</f>
        <v/>
      </c>
    </row>
    <row r="526">
      <c r="A526" s="38" t="n">
        <v>33359</v>
      </c>
      <c r="B526" s="48">
        <f>VLOOKUP(Table311[[#This Row],[Date]],'DB Details'!$A:$L,12)</f>
        <v/>
      </c>
      <c r="C526" s="49">
        <f>VLOOKUP(Table311[[#This Row],[Date]],'DB Details'!$A:$T,20)</f>
        <v/>
      </c>
      <c r="D526" s="49">
        <f>VLOOKUP(Table311[[#This Row],[Date]],'DB Details'!$A:$T,18)</f>
        <v/>
      </c>
      <c r="E526" s="49">
        <f>VLOOKUP(Table311[[#This Row],[Date]],'DB Details'!$A:$T,19)</f>
        <v/>
      </c>
    </row>
    <row r="527">
      <c r="A527" s="38" t="n">
        <v>33390</v>
      </c>
      <c r="B527" s="48">
        <f>VLOOKUP(Table311[[#This Row],[Date]],'DB Details'!$A:$L,12)</f>
        <v/>
      </c>
      <c r="C527" s="49">
        <f>VLOOKUP(Table311[[#This Row],[Date]],'DB Details'!$A:$T,20)</f>
        <v/>
      </c>
      <c r="D527" s="49">
        <f>VLOOKUP(Table311[[#This Row],[Date]],'DB Details'!$A:$T,18)</f>
        <v/>
      </c>
      <c r="E527" s="49">
        <f>VLOOKUP(Table311[[#This Row],[Date]],'DB Details'!$A:$T,19)</f>
        <v/>
      </c>
    </row>
    <row r="528">
      <c r="A528" s="38" t="n">
        <v>33420</v>
      </c>
      <c r="B528" s="48">
        <f>VLOOKUP(Table311[[#This Row],[Date]],'DB Details'!$A:$L,12)</f>
        <v/>
      </c>
      <c r="C528" s="49">
        <f>VLOOKUP(Table311[[#This Row],[Date]],'DB Details'!$A:$T,20)</f>
        <v/>
      </c>
      <c r="D528" s="49">
        <f>VLOOKUP(Table311[[#This Row],[Date]],'DB Details'!$A:$T,18)</f>
        <v/>
      </c>
      <c r="E528" s="49">
        <f>VLOOKUP(Table311[[#This Row],[Date]],'DB Details'!$A:$T,19)</f>
        <v/>
      </c>
    </row>
    <row r="529">
      <c r="A529" s="38" t="n">
        <v>33451</v>
      </c>
      <c r="B529" s="48">
        <f>VLOOKUP(Table311[[#This Row],[Date]],'DB Details'!$A:$L,12)</f>
        <v/>
      </c>
      <c r="C529" s="49">
        <f>VLOOKUP(Table311[[#This Row],[Date]],'DB Details'!$A:$T,20)</f>
        <v/>
      </c>
      <c r="D529" s="49">
        <f>VLOOKUP(Table311[[#This Row],[Date]],'DB Details'!$A:$T,18)</f>
        <v/>
      </c>
      <c r="E529" s="49">
        <f>VLOOKUP(Table311[[#This Row],[Date]],'DB Details'!$A:$T,19)</f>
        <v/>
      </c>
    </row>
    <row r="530">
      <c r="A530" s="38" t="n">
        <v>33482</v>
      </c>
      <c r="B530" s="48">
        <f>VLOOKUP(Table311[[#This Row],[Date]],'DB Details'!$A:$L,12)</f>
        <v/>
      </c>
      <c r="C530" s="49">
        <f>VLOOKUP(Table311[[#This Row],[Date]],'DB Details'!$A:$T,20)</f>
        <v/>
      </c>
      <c r="D530" s="49">
        <f>VLOOKUP(Table311[[#This Row],[Date]],'DB Details'!$A:$T,18)</f>
        <v/>
      </c>
      <c r="E530" s="49">
        <f>VLOOKUP(Table311[[#This Row],[Date]],'DB Details'!$A:$T,19)</f>
        <v/>
      </c>
    </row>
    <row r="531">
      <c r="A531" s="38" t="n">
        <v>33512</v>
      </c>
      <c r="B531" s="48">
        <f>VLOOKUP(Table311[[#This Row],[Date]],'DB Details'!$A:$L,12)</f>
        <v/>
      </c>
      <c r="C531" s="49">
        <f>VLOOKUP(Table311[[#This Row],[Date]],'DB Details'!$A:$T,20)</f>
        <v/>
      </c>
      <c r="D531" s="49">
        <f>VLOOKUP(Table311[[#This Row],[Date]],'DB Details'!$A:$T,18)</f>
        <v/>
      </c>
      <c r="E531" s="49">
        <f>VLOOKUP(Table311[[#This Row],[Date]],'DB Details'!$A:$T,19)</f>
        <v/>
      </c>
    </row>
    <row r="532">
      <c r="A532" s="38" t="n">
        <v>33543</v>
      </c>
      <c r="B532" s="48">
        <f>VLOOKUP(Table311[[#This Row],[Date]],'DB Details'!$A:$L,12)</f>
        <v/>
      </c>
      <c r="C532" s="49">
        <f>VLOOKUP(Table311[[#This Row],[Date]],'DB Details'!$A:$T,20)</f>
        <v/>
      </c>
      <c r="D532" s="49">
        <f>VLOOKUP(Table311[[#This Row],[Date]],'DB Details'!$A:$T,18)</f>
        <v/>
      </c>
      <c r="E532" s="49">
        <f>VLOOKUP(Table311[[#This Row],[Date]],'DB Details'!$A:$T,19)</f>
        <v/>
      </c>
    </row>
    <row r="533">
      <c r="A533" s="38" t="n">
        <v>33573</v>
      </c>
      <c r="B533" s="48">
        <f>VLOOKUP(Table311[[#This Row],[Date]],'DB Details'!$A:$L,12)</f>
        <v/>
      </c>
      <c r="C533" s="49">
        <f>VLOOKUP(Table311[[#This Row],[Date]],'DB Details'!$A:$T,20)</f>
        <v/>
      </c>
      <c r="D533" s="49">
        <f>VLOOKUP(Table311[[#This Row],[Date]],'DB Details'!$A:$T,18)</f>
        <v/>
      </c>
      <c r="E533" s="49">
        <f>VLOOKUP(Table311[[#This Row],[Date]],'DB Details'!$A:$T,19)</f>
        <v/>
      </c>
    </row>
    <row r="534">
      <c r="A534" s="38" t="n">
        <v>33604</v>
      </c>
      <c r="B534" s="48">
        <f>VLOOKUP(Table311[[#This Row],[Date]],'DB Details'!$A:$L,12)</f>
        <v/>
      </c>
      <c r="C534" s="49">
        <f>VLOOKUP(Table311[[#This Row],[Date]],'DB Details'!$A:$T,20)</f>
        <v/>
      </c>
      <c r="D534" s="49">
        <f>VLOOKUP(Table311[[#This Row],[Date]],'DB Details'!$A:$T,18)</f>
        <v/>
      </c>
      <c r="E534" s="49">
        <f>VLOOKUP(Table311[[#This Row],[Date]],'DB Details'!$A:$T,19)</f>
        <v/>
      </c>
    </row>
    <row r="535">
      <c r="A535" s="38" t="n">
        <v>33635</v>
      </c>
      <c r="B535" s="48">
        <f>VLOOKUP(Table311[[#This Row],[Date]],'DB Details'!$A:$L,12)</f>
        <v/>
      </c>
      <c r="C535" s="49">
        <f>VLOOKUP(Table311[[#This Row],[Date]],'DB Details'!$A:$T,20)</f>
        <v/>
      </c>
      <c r="D535" s="49">
        <f>VLOOKUP(Table311[[#This Row],[Date]],'DB Details'!$A:$T,18)</f>
        <v/>
      </c>
      <c r="E535" s="49">
        <f>VLOOKUP(Table311[[#This Row],[Date]],'DB Details'!$A:$T,19)</f>
        <v/>
      </c>
    </row>
    <row r="536">
      <c r="A536" s="38" t="n">
        <v>33664</v>
      </c>
      <c r="B536" s="48">
        <f>VLOOKUP(Table311[[#This Row],[Date]],'DB Details'!$A:$L,12)</f>
        <v/>
      </c>
      <c r="C536" s="49">
        <f>VLOOKUP(Table311[[#This Row],[Date]],'DB Details'!$A:$T,20)</f>
        <v/>
      </c>
      <c r="D536" s="49">
        <f>VLOOKUP(Table311[[#This Row],[Date]],'DB Details'!$A:$T,18)</f>
        <v/>
      </c>
      <c r="E536" s="49">
        <f>VLOOKUP(Table311[[#This Row],[Date]],'DB Details'!$A:$T,19)</f>
        <v/>
      </c>
    </row>
    <row r="537">
      <c r="A537" s="38" t="n">
        <v>33695</v>
      </c>
      <c r="B537" s="48">
        <f>VLOOKUP(Table311[[#This Row],[Date]],'DB Details'!$A:$L,12)</f>
        <v/>
      </c>
      <c r="C537" s="49">
        <f>VLOOKUP(Table311[[#This Row],[Date]],'DB Details'!$A:$T,20)</f>
        <v/>
      </c>
      <c r="D537" s="49">
        <f>VLOOKUP(Table311[[#This Row],[Date]],'DB Details'!$A:$T,18)</f>
        <v/>
      </c>
      <c r="E537" s="49">
        <f>VLOOKUP(Table311[[#This Row],[Date]],'DB Details'!$A:$T,19)</f>
        <v/>
      </c>
    </row>
    <row r="538">
      <c r="A538" s="38" t="n">
        <v>33725</v>
      </c>
      <c r="B538" s="48">
        <f>VLOOKUP(Table311[[#This Row],[Date]],'DB Details'!$A:$L,12)</f>
        <v/>
      </c>
      <c r="C538" s="49">
        <f>VLOOKUP(Table311[[#This Row],[Date]],'DB Details'!$A:$T,20)</f>
        <v/>
      </c>
      <c r="D538" s="49">
        <f>VLOOKUP(Table311[[#This Row],[Date]],'DB Details'!$A:$T,18)</f>
        <v/>
      </c>
      <c r="E538" s="49">
        <f>VLOOKUP(Table311[[#This Row],[Date]],'DB Details'!$A:$T,19)</f>
        <v/>
      </c>
    </row>
    <row r="539">
      <c r="A539" s="38" t="n">
        <v>33756</v>
      </c>
      <c r="B539" s="48">
        <f>VLOOKUP(Table311[[#This Row],[Date]],'DB Details'!$A:$L,12)</f>
        <v/>
      </c>
      <c r="C539" s="49">
        <f>VLOOKUP(Table311[[#This Row],[Date]],'DB Details'!$A:$T,20)</f>
        <v/>
      </c>
      <c r="D539" s="49">
        <f>VLOOKUP(Table311[[#This Row],[Date]],'DB Details'!$A:$T,18)</f>
        <v/>
      </c>
      <c r="E539" s="49">
        <f>VLOOKUP(Table311[[#This Row],[Date]],'DB Details'!$A:$T,19)</f>
        <v/>
      </c>
    </row>
    <row r="540">
      <c r="A540" s="38" t="n">
        <v>33786</v>
      </c>
      <c r="B540" s="48">
        <f>VLOOKUP(Table311[[#This Row],[Date]],'DB Details'!$A:$L,12)</f>
        <v/>
      </c>
      <c r="C540" s="49">
        <f>VLOOKUP(Table311[[#This Row],[Date]],'DB Details'!$A:$T,20)</f>
        <v/>
      </c>
      <c r="D540" s="49">
        <f>VLOOKUP(Table311[[#This Row],[Date]],'DB Details'!$A:$T,18)</f>
        <v/>
      </c>
      <c r="E540" s="49">
        <f>VLOOKUP(Table311[[#This Row],[Date]],'DB Details'!$A:$T,19)</f>
        <v/>
      </c>
    </row>
    <row r="541">
      <c r="A541" s="38" t="n">
        <v>33817</v>
      </c>
      <c r="B541" s="48">
        <f>VLOOKUP(Table311[[#This Row],[Date]],'DB Details'!$A:$L,12)</f>
        <v/>
      </c>
      <c r="C541" s="49">
        <f>VLOOKUP(Table311[[#This Row],[Date]],'DB Details'!$A:$T,20)</f>
        <v/>
      </c>
      <c r="D541" s="49">
        <f>VLOOKUP(Table311[[#This Row],[Date]],'DB Details'!$A:$T,18)</f>
        <v/>
      </c>
      <c r="E541" s="49">
        <f>VLOOKUP(Table311[[#This Row],[Date]],'DB Details'!$A:$T,19)</f>
        <v/>
      </c>
    </row>
    <row r="542">
      <c r="A542" s="38" t="n">
        <v>33848</v>
      </c>
      <c r="B542" s="48">
        <f>VLOOKUP(Table311[[#This Row],[Date]],'DB Details'!$A:$L,12)</f>
        <v/>
      </c>
      <c r="C542" s="49">
        <f>VLOOKUP(Table311[[#This Row],[Date]],'DB Details'!$A:$T,20)</f>
        <v/>
      </c>
      <c r="D542" s="49">
        <f>VLOOKUP(Table311[[#This Row],[Date]],'DB Details'!$A:$T,18)</f>
        <v/>
      </c>
      <c r="E542" s="49">
        <f>VLOOKUP(Table311[[#This Row],[Date]],'DB Details'!$A:$T,19)</f>
        <v/>
      </c>
    </row>
    <row r="543">
      <c r="A543" s="38" t="n">
        <v>33878</v>
      </c>
      <c r="B543" s="48">
        <f>VLOOKUP(Table311[[#This Row],[Date]],'DB Details'!$A:$L,12)</f>
        <v/>
      </c>
      <c r="C543" s="49">
        <f>VLOOKUP(Table311[[#This Row],[Date]],'DB Details'!$A:$T,20)</f>
        <v/>
      </c>
      <c r="D543" s="49">
        <f>VLOOKUP(Table311[[#This Row],[Date]],'DB Details'!$A:$T,18)</f>
        <v/>
      </c>
      <c r="E543" s="49">
        <f>VLOOKUP(Table311[[#This Row],[Date]],'DB Details'!$A:$T,19)</f>
        <v/>
      </c>
    </row>
    <row r="544">
      <c r="A544" s="38" t="n">
        <v>33909</v>
      </c>
      <c r="B544" s="48">
        <f>VLOOKUP(Table311[[#This Row],[Date]],'DB Details'!$A:$L,12)</f>
        <v/>
      </c>
      <c r="C544" s="49">
        <f>VLOOKUP(Table311[[#This Row],[Date]],'DB Details'!$A:$T,20)</f>
        <v/>
      </c>
      <c r="D544" s="49">
        <f>VLOOKUP(Table311[[#This Row],[Date]],'DB Details'!$A:$T,18)</f>
        <v/>
      </c>
      <c r="E544" s="49">
        <f>VLOOKUP(Table311[[#This Row],[Date]],'DB Details'!$A:$T,19)</f>
        <v/>
      </c>
    </row>
    <row r="545">
      <c r="A545" s="38" t="n">
        <v>33939</v>
      </c>
      <c r="B545" s="48">
        <f>VLOOKUP(Table311[[#This Row],[Date]],'DB Details'!$A:$L,12)</f>
        <v/>
      </c>
      <c r="C545" s="49">
        <f>VLOOKUP(Table311[[#This Row],[Date]],'DB Details'!$A:$T,20)</f>
        <v/>
      </c>
      <c r="D545" s="49">
        <f>VLOOKUP(Table311[[#This Row],[Date]],'DB Details'!$A:$T,18)</f>
        <v/>
      </c>
      <c r="E545" s="49">
        <f>VLOOKUP(Table311[[#This Row],[Date]],'DB Details'!$A:$T,19)</f>
        <v/>
      </c>
    </row>
    <row r="546">
      <c r="A546" s="38" t="n">
        <v>33970</v>
      </c>
      <c r="B546" s="48">
        <f>VLOOKUP(Table311[[#This Row],[Date]],'DB Details'!$A:$L,12)</f>
        <v/>
      </c>
      <c r="C546" s="49">
        <f>VLOOKUP(Table311[[#This Row],[Date]],'DB Details'!$A:$T,20)</f>
        <v/>
      </c>
      <c r="D546" s="49">
        <f>VLOOKUP(Table311[[#This Row],[Date]],'DB Details'!$A:$T,18)</f>
        <v/>
      </c>
      <c r="E546" s="49">
        <f>VLOOKUP(Table311[[#This Row],[Date]],'DB Details'!$A:$T,19)</f>
        <v/>
      </c>
    </row>
    <row r="547">
      <c r="A547" s="38" t="n">
        <v>34001</v>
      </c>
      <c r="B547" s="48">
        <f>VLOOKUP(Table311[[#This Row],[Date]],'DB Details'!$A:$L,12)</f>
        <v/>
      </c>
      <c r="C547" s="49">
        <f>VLOOKUP(Table311[[#This Row],[Date]],'DB Details'!$A:$T,20)</f>
        <v/>
      </c>
      <c r="D547" s="49">
        <f>VLOOKUP(Table311[[#This Row],[Date]],'DB Details'!$A:$T,18)</f>
        <v/>
      </c>
      <c r="E547" s="49">
        <f>VLOOKUP(Table311[[#This Row],[Date]],'DB Details'!$A:$T,19)</f>
        <v/>
      </c>
    </row>
    <row r="548">
      <c r="A548" s="38" t="n">
        <v>34029</v>
      </c>
      <c r="B548" s="48">
        <f>VLOOKUP(Table311[[#This Row],[Date]],'DB Details'!$A:$L,12)</f>
        <v/>
      </c>
      <c r="C548" s="49">
        <f>VLOOKUP(Table311[[#This Row],[Date]],'DB Details'!$A:$T,20)</f>
        <v/>
      </c>
      <c r="D548" s="49">
        <f>VLOOKUP(Table311[[#This Row],[Date]],'DB Details'!$A:$T,18)</f>
        <v/>
      </c>
      <c r="E548" s="49">
        <f>VLOOKUP(Table311[[#This Row],[Date]],'DB Details'!$A:$T,19)</f>
        <v/>
      </c>
    </row>
    <row r="549">
      <c r="A549" s="38" t="n">
        <v>34060</v>
      </c>
      <c r="B549" s="48">
        <f>VLOOKUP(Table311[[#This Row],[Date]],'DB Details'!$A:$L,12)</f>
        <v/>
      </c>
      <c r="C549" s="49">
        <f>VLOOKUP(Table311[[#This Row],[Date]],'DB Details'!$A:$T,20)</f>
        <v/>
      </c>
      <c r="D549" s="49">
        <f>VLOOKUP(Table311[[#This Row],[Date]],'DB Details'!$A:$T,18)</f>
        <v/>
      </c>
      <c r="E549" s="49">
        <f>VLOOKUP(Table311[[#This Row],[Date]],'DB Details'!$A:$T,19)</f>
        <v/>
      </c>
    </row>
    <row r="550">
      <c r="A550" s="38" t="n">
        <v>34090</v>
      </c>
      <c r="B550" s="48">
        <f>VLOOKUP(Table311[[#This Row],[Date]],'DB Details'!$A:$L,12)</f>
        <v/>
      </c>
      <c r="C550" s="49">
        <f>VLOOKUP(Table311[[#This Row],[Date]],'DB Details'!$A:$T,20)</f>
        <v/>
      </c>
      <c r="D550" s="49">
        <f>VLOOKUP(Table311[[#This Row],[Date]],'DB Details'!$A:$T,18)</f>
        <v/>
      </c>
      <c r="E550" s="49">
        <f>VLOOKUP(Table311[[#This Row],[Date]],'DB Details'!$A:$T,19)</f>
        <v/>
      </c>
    </row>
    <row r="551">
      <c r="A551" s="38" t="n">
        <v>34121</v>
      </c>
      <c r="B551" s="48">
        <f>VLOOKUP(Table311[[#This Row],[Date]],'DB Details'!$A:$L,12)</f>
        <v/>
      </c>
      <c r="C551" s="49">
        <f>VLOOKUP(Table311[[#This Row],[Date]],'DB Details'!$A:$T,20)</f>
        <v/>
      </c>
      <c r="D551" s="49">
        <f>VLOOKUP(Table311[[#This Row],[Date]],'DB Details'!$A:$T,18)</f>
        <v/>
      </c>
      <c r="E551" s="49">
        <f>VLOOKUP(Table311[[#This Row],[Date]],'DB Details'!$A:$T,19)</f>
        <v/>
      </c>
    </row>
    <row r="552">
      <c r="A552" s="38" t="n">
        <v>34151</v>
      </c>
      <c r="B552" s="48">
        <f>VLOOKUP(Table311[[#This Row],[Date]],'DB Details'!$A:$L,12)</f>
        <v/>
      </c>
      <c r="C552" s="49">
        <f>VLOOKUP(Table311[[#This Row],[Date]],'DB Details'!$A:$T,20)</f>
        <v/>
      </c>
      <c r="D552" s="49">
        <f>VLOOKUP(Table311[[#This Row],[Date]],'DB Details'!$A:$T,18)</f>
        <v/>
      </c>
      <c r="E552" s="49">
        <f>VLOOKUP(Table311[[#This Row],[Date]],'DB Details'!$A:$T,19)</f>
        <v/>
      </c>
    </row>
    <row r="553">
      <c r="A553" s="38" t="n">
        <v>34182</v>
      </c>
      <c r="B553" s="48">
        <f>VLOOKUP(Table311[[#This Row],[Date]],'DB Details'!$A:$L,12)</f>
        <v/>
      </c>
      <c r="C553" s="49">
        <f>VLOOKUP(Table311[[#This Row],[Date]],'DB Details'!$A:$T,20)</f>
        <v/>
      </c>
      <c r="D553" s="49">
        <f>VLOOKUP(Table311[[#This Row],[Date]],'DB Details'!$A:$T,18)</f>
        <v/>
      </c>
      <c r="E553" s="49">
        <f>VLOOKUP(Table311[[#This Row],[Date]],'DB Details'!$A:$T,19)</f>
        <v/>
      </c>
    </row>
    <row r="554">
      <c r="A554" s="38" t="n">
        <v>34213</v>
      </c>
      <c r="B554" s="48">
        <f>VLOOKUP(Table311[[#This Row],[Date]],'DB Details'!$A:$L,12)</f>
        <v/>
      </c>
      <c r="C554" s="49">
        <f>VLOOKUP(Table311[[#This Row],[Date]],'DB Details'!$A:$T,20)</f>
        <v/>
      </c>
      <c r="D554" s="49">
        <f>VLOOKUP(Table311[[#This Row],[Date]],'DB Details'!$A:$T,18)</f>
        <v/>
      </c>
      <c r="E554" s="49">
        <f>VLOOKUP(Table311[[#This Row],[Date]],'DB Details'!$A:$T,19)</f>
        <v/>
      </c>
    </row>
    <row r="555">
      <c r="A555" s="38" t="n">
        <v>34243</v>
      </c>
      <c r="B555" s="48">
        <f>VLOOKUP(Table311[[#This Row],[Date]],'DB Details'!$A:$L,12)</f>
        <v/>
      </c>
      <c r="C555" s="49">
        <f>VLOOKUP(Table311[[#This Row],[Date]],'DB Details'!$A:$T,20)</f>
        <v/>
      </c>
      <c r="D555" s="49">
        <f>VLOOKUP(Table311[[#This Row],[Date]],'DB Details'!$A:$T,18)</f>
        <v/>
      </c>
      <c r="E555" s="49">
        <f>VLOOKUP(Table311[[#This Row],[Date]],'DB Details'!$A:$T,19)</f>
        <v/>
      </c>
    </row>
    <row r="556">
      <c r="A556" s="38" t="n">
        <v>34274</v>
      </c>
      <c r="B556" s="48">
        <f>VLOOKUP(Table311[[#This Row],[Date]],'DB Details'!$A:$L,12)</f>
        <v/>
      </c>
      <c r="C556" s="49">
        <f>VLOOKUP(Table311[[#This Row],[Date]],'DB Details'!$A:$T,20)</f>
        <v/>
      </c>
      <c r="D556" s="49">
        <f>VLOOKUP(Table311[[#This Row],[Date]],'DB Details'!$A:$T,18)</f>
        <v/>
      </c>
      <c r="E556" s="49">
        <f>VLOOKUP(Table311[[#This Row],[Date]],'DB Details'!$A:$T,19)</f>
        <v/>
      </c>
    </row>
    <row r="557">
      <c r="A557" s="38" t="n">
        <v>34304</v>
      </c>
      <c r="B557" s="48">
        <f>VLOOKUP(Table311[[#This Row],[Date]],'DB Details'!$A:$L,12)</f>
        <v/>
      </c>
      <c r="C557" s="49">
        <f>VLOOKUP(Table311[[#This Row],[Date]],'DB Details'!$A:$T,20)</f>
        <v/>
      </c>
      <c r="D557" s="49">
        <f>VLOOKUP(Table311[[#This Row],[Date]],'DB Details'!$A:$T,18)</f>
        <v/>
      </c>
      <c r="E557" s="49">
        <f>VLOOKUP(Table311[[#This Row],[Date]],'DB Details'!$A:$T,19)</f>
        <v/>
      </c>
    </row>
    <row r="558">
      <c r="A558" s="38" t="n">
        <v>34335</v>
      </c>
      <c r="B558" s="48">
        <f>VLOOKUP(Table311[[#This Row],[Date]],'DB Details'!$A:$L,12)</f>
        <v/>
      </c>
      <c r="C558" s="49">
        <f>VLOOKUP(Table311[[#This Row],[Date]],'DB Details'!$A:$T,20)</f>
        <v/>
      </c>
      <c r="D558" s="49">
        <f>VLOOKUP(Table311[[#This Row],[Date]],'DB Details'!$A:$T,18)</f>
        <v/>
      </c>
      <c r="E558" s="49">
        <f>VLOOKUP(Table311[[#This Row],[Date]],'DB Details'!$A:$T,19)</f>
        <v/>
      </c>
    </row>
    <row r="559">
      <c r="A559" s="38" t="n">
        <v>34366</v>
      </c>
      <c r="B559" s="48">
        <f>VLOOKUP(Table311[[#This Row],[Date]],'DB Details'!$A:$L,12)</f>
        <v/>
      </c>
      <c r="C559" s="49">
        <f>VLOOKUP(Table311[[#This Row],[Date]],'DB Details'!$A:$T,20)</f>
        <v/>
      </c>
      <c r="D559" s="49">
        <f>VLOOKUP(Table311[[#This Row],[Date]],'DB Details'!$A:$T,18)</f>
        <v/>
      </c>
      <c r="E559" s="49">
        <f>VLOOKUP(Table311[[#This Row],[Date]],'DB Details'!$A:$T,19)</f>
        <v/>
      </c>
    </row>
    <row r="560">
      <c r="A560" s="38" t="n">
        <v>34394</v>
      </c>
      <c r="B560" s="48">
        <f>VLOOKUP(Table311[[#This Row],[Date]],'DB Details'!$A:$L,12)</f>
        <v/>
      </c>
      <c r="C560" s="49">
        <f>VLOOKUP(Table311[[#This Row],[Date]],'DB Details'!$A:$T,20)</f>
        <v/>
      </c>
      <c r="D560" s="49">
        <f>VLOOKUP(Table311[[#This Row],[Date]],'DB Details'!$A:$T,18)</f>
        <v/>
      </c>
      <c r="E560" s="49">
        <f>VLOOKUP(Table311[[#This Row],[Date]],'DB Details'!$A:$T,19)</f>
        <v/>
      </c>
    </row>
    <row r="561">
      <c r="A561" s="38" t="n">
        <v>34425</v>
      </c>
      <c r="B561" s="48">
        <f>VLOOKUP(Table311[[#This Row],[Date]],'DB Details'!$A:$L,12)</f>
        <v/>
      </c>
      <c r="C561" s="49">
        <f>VLOOKUP(Table311[[#This Row],[Date]],'DB Details'!$A:$T,20)</f>
        <v/>
      </c>
      <c r="D561" s="49">
        <f>VLOOKUP(Table311[[#This Row],[Date]],'DB Details'!$A:$T,18)</f>
        <v/>
      </c>
      <c r="E561" s="49">
        <f>VLOOKUP(Table311[[#This Row],[Date]],'DB Details'!$A:$T,19)</f>
        <v/>
      </c>
    </row>
    <row r="562">
      <c r="A562" s="38" t="n">
        <v>34455</v>
      </c>
      <c r="B562" s="48">
        <f>VLOOKUP(Table311[[#This Row],[Date]],'DB Details'!$A:$L,12)</f>
        <v/>
      </c>
      <c r="C562" s="49">
        <f>VLOOKUP(Table311[[#This Row],[Date]],'DB Details'!$A:$T,20)</f>
        <v/>
      </c>
      <c r="D562" s="49">
        <f>VLOOKUP(Table311[[#This Row],[Date]],'DB Details'!$A:$T,18)</f>
        <v/>
      </c>
      <c r="E562" s="49">
        <f>VLOOKUP(Table311[[#This Row],[Date]],'DB Details'!$A:$T,19)</f>
        <v/>
      </c>
    </row>
    <row r="563">
      <c r="A563" s="38" t="n">
        <v>34486</v>
      </c>
      <c r="B563" s="48">
        <f>VLOOKUP(Table311[[#This Row],[Date]],'DB Details'!$A:$L,12)</f>
        <v/>
      </c>
      <c r="C563" s="49">
        <f>VLOOKUP(Table311[[#This Row],[Date]],'DB Details'!$A:$T,20)</f>
        <v/>
      </c>
      <c r="D563" s="49">
        <f>VLOOKUP(Table311[[#This Row],[Date]],'DB Details'!$A:$T,18)</f>
        <v/>
      </c>
      <c r="E563" s="49">
        <f>VLOOKUP(Table311[[#This Row],[Date]],'DB Details'!$A:$T,19)</f>
        <v/>
      </c>
    </row>
    <row r="564">
      <c r="A564" s="38" t="n">
        <v>34516</v>
      </c>
      <c r="B564" s="48">
        <f>VLOOKUP(Table311[[#This Row],[Date]],'DB Details'!$A:$L,12)</f>
        <v/>
      </c>
      <c r="C564" s="49">
        <f>VLOOKUP(Table311[[#This Row],[Date]],'DB Details'!$A:$T,20)</f>
        <v/>
      </c>
      <c r="D564" s="49">
        <f>VLOOKUP(Table311[[#This Row],[Date]],'DB Details'!$A:$T,18)</f>
        <v/>
      </c>
      <c r="E564" s="49">
        <f>VLOOKUP(Table311[[#This Row],[Date]],'DB Details'!$A:$T,19)</f>
        <v/>
      </c>
    </row>
    <row r="565">
      <c r="A565" s="38" t="n">
        <v>34547</v>
      </c>
      <c r="B565" s="48">
        <f>VLOOKUP(Table311[[#This Row],[Date]],'DB Details'!$A:$L,12)</f>
        <v/>
      </c>
      <c r="C565" s="49">
        <f>VLOOKUP(Table311[[#This Row],[Date]],'DB Details'!$A:$T,20)</f>
        <v/>
      </c>
      <c r="D565" s="49">
        <f>VLOOKUP(Table311[[#This Row],[Date]],'DB Details'!$A:$T,18)</f>
        <v/>
      </c>
      <c r="E565" s="49">
        <f>VLOOKUP(Table311[[#This Row],[Date]],'DB Details'!$A:$T,19)</f>
        <v/>
      </c>
    </row>
    <row r="566">
      <c r="A566" s="38" t="n">
        <v>34578</v>
      </c>
      <c r="B566" s="48">
        <f>VLOOKUP(Table311[[#This Row],[Date]],'DB Details'!$A:$L,12)</f>
        <v/>
      </c>
      <c r="C566" s="49">
        <f>VLOOKUP(Table311[[#This Row],[Date]],'DB Details'!$A:$T,20)</f>
        <v/>
      </c>
      <c r="D566" s="49">
        <f>VLOOKUP(Table311[[#This Row],[Date]],'DB Details'!$A:$T,18)</f>
        <v/>
      </c>
      <c r="E566" s="49">
        <f>VLOOKUP(Table311[[#This Row],[Date]],'DB Details'!$A:$T,19)</f>
        <v/>
      </c>
    </row>
    <row r="567">
      <c r="A567" s="38" t="n">
        <v>34608</v>
      </c>
      <c r="B567" s="48">
        <f>VLOOKUP(Table311[[#This Row],[Date]],'DB Details'!$A:$L,12)</f>
        <v/>
      </c>
      <c r="C567" s="49">
        <f>VLOOKUP(Table311[[#This Row],[Date]],'DB Details'!$A:$T,20)</f>
        <v/>
      </c>
      <c r="D567" s="49">
        <f>VLOOKUP(Table311[[#This Row],[Date]],'DB Details'!$A:$T,18)</f>
        <v/>
      </c>
      <c r="E567" s="49">
        <f>VLOOKUP(Table311[[#This Row],[Date]],'DB Details'!$A:$T,19)</f>
        <v/>
      </c>
    </row>
    <row r="568">
      <c r="A568" s="38" t="n">
        <v>34639</v>
      </c>
      <c r="B568" s="48">
        <f>VLOOKUP(Table311[[#This Row],[Date]],'DB Details'!$A:$L,12)</f>
        <v/>
      </c>
      <c r="C568" s="49">
        <f>VLOOKUP(Table311[[#This Row],[Date]],'DB Details'!$A:$T,20)</f>
        <v/>
      </c>
      <c r="D568" s="49">
        <f>VLOOKUP(Table311[[#This Row],[Date]],'DB Details'!$A:$T,18)</f>
        <v/>
      </c>
      <c r="E568" s="49">
        <f>VLOOKUP(Table311[[#This Row],[Date]],'DB Details'!$A:$T,19)</f>
        <v/>
      </c>
    </row>
    <row r="569">
      <c r="A569" s="38" t="n">
        <v>34669</v>
      </c>
      <c r="B569" s="48">
        <f>VLOOKUP(Table311[[#This Row],[Date]],'DB Details'!$A:$L,12)</f>
        <v/>
      </c>
      <c r="C569" s="49">
        <f>VLOOKUP(Table311[[#This Row],[Date]],'DB Details'!$A:$T,20)</f>
        <v/>
      </c>
      <c r="D569" s="49">
        <f>VLOOKUP(Table311[[#This Row],[Date]],'DB Details'!$A:$T,18)</f>
        <v/>
      </c>
      <c r="E569" s="49">
        <f>VLOOKUP(Table311[[#This Row],[Date]],'DB Details'!$A:$T,19)</f>
        <v/>
      </c>
    </row>
    <row r="570">
      <c r="A570" s="38" t="n">
        <v>34700</v>
      </c>
      <c r="B570" s="48">
        <f>VLOOKUP(Table311[[#This Row],[Date]],'DB Details'!$A:$L,12)</f>
        <v/>
      </c>
      <c r="C570" s="49">
        <f>VLOOKUP(Table311[[#This Row],[Date]],'DB Details'!$A:$T,20)</f>
        <v/>
      </c>
      <c r="D570" s="49">
        <f>VLOOKUP(Table311[[#This Row],[Date]],'DB Details'!$A:$T,18)</f>
        <v/>
      </c>
      <c r="E570" s="49">
        <f>VLOOKUP(Table311[[#This Row],[Date]],'DB Details'!$A:$T,19)</f>
        <v/>
      </c>
    </row>
    <row r="571">
      <c r="A571" s="38" t="n">
        <v>34731</v>
      </c>
      <c r="B571" s="48">
        <f>VLOOKUP(Table311[[#This Row],[Date]],'DB Details'!$A:$L,12)</f>
        <v/>
      </c>
      <c r="C571" s="49">
        <f>VLOOKUP(Table311[[#This Row],[Date]],'DB Details'!$A:$T,20)</f>
        <v/>
      </c>
      <c r="D571" s="49">
        <f>VLOOKUP(Table311[[#This Row],[Date]],'DB Details'!$A:$T,18)</f>
        <v/>
      </c>
      <c r="E571" s="49">
        <f>VLOOKUP(Table311[[#This Row],[Date]],'DB Details'!$A:$T,19)</f>
        <v/>
      </c>
    </row>
    <row r="572">
      <c r="A572" s="38" t="n">
        <v>34759</v>
      </c>
      <c r="B572" s="48">
        <f>VLOOKUP(Table311[[#This Row],[Date]],'DB Details'!$A:$L,12)</f>
        <v/>
      </c>
      <c r="C572" s="49">
        <f>VLOOKUP(Table311[[#This Row],[Date]],'DB Details'!$A:$T,20)</f>
        <v/>
      </c>
      <c r="D572" s="49">
        <f>VLOOKUP(Table311[[#This Row],[Date]],'DB Details'!$A:$T,18)</f>
        <v/>
      </c>
      <c r="E572" s="49">
        <f>VLOOKUP(Table311[[#This Row],[Date]],'DB Details'!$A:$T,19)</f>
        <v/>
      </c>
    </row>
    <row r="573">
      <c r="A573" s="38" t="n">
        <v>34790</v>
      </c>
      <c r="B573" s="48">
        <f>VLOOKUP(Table311[[#This Row],[Date]],'DB Details'!$A:$L,12)</f>
        <v/>
      </c>
      <c r="C573" s="49">
        <f>VLOOKUP(Table311[[#This Row],[Date]],'DB Details'!$A:$T,20)</f>
        <v/>
      </c>
      <c r="D573" s="49">
        <f>VLOOKUP(Table311[[#This Row],[Date]],'DB Details'!$A:$T,18)</f>
        <v/>
      </c>
      <c r="E573" s="49">
        <f>VLOOKUP(Table311[[#This Row],[Date]],'DB Details'!$A:$T,19)</f>
        <v/>
      </c>
    </row>
    <row r="574">
      <c r="A574" s="38" t="n">
        <v>34820</v>
      </c>
      <c r="B574" s="48">
        <f>VLOOKUP(Table311[[#This Row],[Date]],'DB Details'!$A:$L,12)</f>
        <v/>
      </c>
      <c r="C574" s="49">
        <f>VLOOKUP(Table311[[#This Row],[Date]],'DB Details'!$A:$T,20)</f>
        <v/>
      </c>
      <c r="D574" s="49">
        <f>VLOOKUP(Table311[[#This Row],[Date]],'DB Details'!$A:$T,18)</f>
        <v/>
      </c>
      <c r="E574" s="49">
        <f>VLOOKUP(Table311[[#This Row],[Date]],'DB Details'!$A:$T,19)</f>
        <v/>
      </c>
    </row>
    <row r="575">
      <c r="A575" s="38" t="n">
        <v>34851</v>
      </c>
      <c r="B575" s="48">
        <f>VLOOKUP(Table311[[#This Row],[Date]],'DB Details'!$A:$L,12)</f>
        <v/>
      </c>
      <c r="C575" s="49">
        <f>VLOOKUP(Table311[[#This Row],[Date]],'DB Details'!$A:$T,20)</f>
        <v/>
      </c>
      <c r="D575" s="49">
        <f>VLOOKUP(Table311[[#This Row],[Date]],'DB Details'!$A:$T,18)</f>
        <v/>
      </c>
      <c r="E575" s="49">
        <f>VLOOKUP(Table311[[#This Row],[Date]],'DB Details'!$A:$T,19)</f>
        <v/>
      </c>
    </row>
    <row r="576">
      <c r="A576" s="38" t="n">
        <v>34881</v>
      </c>
      <c r="B576" s="48">
        <f>VLOOKUP(Table311[[#This Row],[Date]],'DB Details'!$A:$L,12)</f>
        <v/>
      </c>
      <c r="C576" s="49">
        <f>VLOOKUP(Table311[[#This Row],[Date]],'DB Details'!$A:$T,20)</f>
        <v/>
      </c>
      <c r="D576" s="49">
        <f>VLOOKUP(Table311[[#This Row],[Date]],'DB Details'!$A:$T,18)</f>
        <v/>
      </c>
      <c r="E576" s="49">
        <f>VLOOKUP(Table311[[#This Row],[Date]],'DB Details'!$A:$T,19)</f>
        <v/>
      </c>
    </row>
    <row r="577">
      <c r="A577" s="38" t="n">
        <v>34912</v>
      </c>
      <c r="B577" s="48">
        <f>VLOOKUP(Table311[[#This Row],[Date]],'DB Details'!$A:$L,12)</f>
        <v/>
      </c>
      <c r="C577" s="49">
        <f>VLOOKUP(Table311[[#This Row],[Date]],'DB Details'!$A:$T,20)</f>
        <v/>
      </c>
      <c r="D577" s="49">
        <f>VLOOKUP(Table311[[#This Row],[Date]],'DB Details'!$A:$T,18)</f>
        <v/>
      </c>
      <c r="E577" s="49">
        <f>VLOOKUP(Table311[[#This Row],[Date]],'DB Details'!$A:$T,19)</f>
        <v/>
      </c>
    </row>
    <row r="578">
      <c r="A578" s="38" t="n">
        <v>34943</v>
      </c>
      <c r="B578" s="48">
        <f>VLOOKUP(Table311[[#This Row],[Date]],'DB Details'!$A:$L,12)</f>
        <v/>
      </c>
      <c r="C578" s="49">
        <f>VLOOKUP(Table311[[#This Row],[Date]],'DB Details'!$A:$T,20)</f>
        <v/>
      </c>
      <c r="D578" s="49">
        <f>VLOOKUP(Table311[[#This Row],[Date]],'DB Details'!$A:$T,18)</f>
        <v/>
      </c>
      <c r="E578" s="49">
        <f>VLOOKUP(Table311[[#This Row],[Date]],'DB Details'!$A:$T,19)</f>
        <v/>
      </c>
    </row>
    <row r="579">
      <c r="A579" s="38" t="n">
        <v>34973</v>
      </c>
      <c r="B579" s="48">
        <f>VLOOKUP(Table311[[#This Row],[Date]],'DB Details'!$A:$L,12)</f>
        <v/>
      </c>
      <c r="C579" s="49">
        <f>VLOOKUP(Table311[[#This Row],[Date]],'DB Details'!$A:$T,20)</f>
        <v/>
      </c>
      <c r="D579" s="49">
        <f>VLOOKUP(Table311[[#This Row],[Date]],'DB Details'!$A:$T,18)</f>
        <v/>
      </c>
      <c r="E579" s="49">
        <f>VLOOKUP(Table311[[#This Row],[Date]],'DB Details'!$A:$T,19)</f>
        <v/>
      </c>
    </row>
    <row r="580">
      <c r="A580" s="38" t="n">
        <v>35004</v>
      </c>
      <c r="B580" s="48">
        <f>VLOOKUP(Table311[[#This Row],[Date]],'DB Details'!$A:$L,12)</f>
        <v/>
      </c>
      <c r="C580" s="49">
        <f>VLOOKUP(Table311[[#This Row],[Date]],'DB Details'!$A:$T,20)</f>
        <v/>
      </c>
      <c r="D580" s="49">
        <f>VLOOKUP(Table311[[#This Row],[Date]],'DB Details'!$A:$T,18)</f>
        <v/>
      </c>
      <c r="E580" s="49">
        <f>VLOOKUP(Table311[[#This Row],[Date]],'DB Details'!$A:$T,19)</f>
        <v/>
      </c>
    </row>
    <row r="581">
      <c r="A581" s="38" t="n">
        <v>35034</v>
      </c>
      <c r="B581" s="48">
        <f>VLOOKUP(Table311[[#This Row],[Date]],'DB Details'!$A:$L,12)</f>
        <v/>
      </c>
      <c r="C581" s="49">
        <f>VLOOKUP(Table311[[#This Row],[Date]],'DB Details'!$A:$T,20)</f>
        <v/>
      </c>
      <c r="D581" s="49">
        <f>VLOOKUP(Table311[[#This Row],[Date]],'DB Details'!$A:$T,18)</f>
        <v/>
      </c>
      <c r="E581" s="49">
        <f>VLOOKUP(Table311[[#This Row],[Date]],'DB Details'!$A:$T,19)</f>
        <v/>
      </c>
    </row>
    <row r="582">
      <c r="A582" s="38" t="n">
        <v>35065</v>
      </c>
      <c r="B582" s="48">
        <f>VLOOKUP(Table311[[#This Row],[Date]],'DB Details'!$A:$L,12)</f>
        <v/>
      </c>
      <c r="C582" s="49">
        <f>VLOOKUP(Table311[[#This Row],[Date]],'DB Details'!$A:$T,20)</f>
        <v/>
      </c>
      <c r="D582" s="49">
        <f>VLOOKUP(Table311[[#This Row],[Date]],'DB Details'!$A:$T,18)</f>
        <v/>
      </c>
      <c r="E582" s="49">
        <f>VLOOKUP(Table311[[#This Row],[Date]],'DB Details'!$A:$T,19)</f>
        <v/>
      </c>
    </row>
    <row r="583">
      <c r="A583" s="38" t="n">
        <v>35096</v>
      </c>
      <c r="B583" s="48">
        <f>VLOOKUP(Table311[[#This Row],[Date]],'DB Details'!$A:$L,12)</f>
        <v/>
      </c>
      <c r="C583" s="49">
        <f>VLOOKUP(Table311[[#This Row],[Date]],'DB Details'!$A:$T,20)</f>
        <v/>
      </c>
      <c r="D583" s="49">
        <f>VLOOKUP(Table311[[#This Row],[Date]],'DB Details'!$A:$T,18)</f>
        <v/>
      </c>
      <c r="E583" s="49">
        <f>VLOOKUP(Table311[[#This Row],[Date]],'DB Details'!$A:$T,19)</f>
        <v/>
      </c>
    </row>
    <row r="584">
      <c r="A584" s="38" t="n">
        <v>35125</v>
      </c>
      <c r="B584" s="48">
        <f>VLOOKUP(Table311[[#This Row],[Date]],'DB Details'!$A:$L,12)</f>
        <v/>
      </c>
      <c r="C584" s="49">
        <f>VLOOKUP(Table311[[#This Row],[Date]],'DB Details'!$A:$T,20)</f>
        <v/>
      </c>
      <c r="D584" s="49">
        <f>VLOOKUP(Table311[[#This Row],[Date]],'DB Details'!$A:$T,18)</f>
        <v/>
      </c>
      <c r="E584" s="49">
        <f>VLOOKUP(Table311[[#This Row],[Date]],'DB Details'!$A:$T,19)</f>
        <v/>
      </c>
    </row>
    <row r="585">
      <c r="A585" s="38" t="n">
        <v>35156</v>
      </c>
      <c r="B585" s="48">
        <f>VLOOKUP(Table311[[#This Row],[Date]],'DB Details'!$A:$L,12)</f>
        <v/>
      </c>
      <c r="C585" s="49">
        <f>VLOOKUP(Table311[[#This Row],[Date]],'DB Details'!$A:$T,20)</f>
        <v/>
      </c>
      <c r="D585" s="49">
        <f>VLOOKUP(Table311[[#This Row],[Date]],'DB Details'!$A:$T,18)</f>
        <v/>
      </c>
      <c r="E585" s="49">
        <f>VLOOKUP(Table311[[#This Row],[Date]],'DB Details'!$A:$T,19)</f>
        <v/>
      </c>
    </row>
    <row r="586">
      <c r="A586" s="38" t="n">
        <v>35186</v>
      </c>
      <c r="B586" s="48">
        <f>VLOOKUP(Table311[[#This Row],[Date]],'DB Details'!$A:$L,12)</f>
        <v/>
      </c>
      <c r="C586" s="49">
        <f>VLOOKUP(Table311[[#This Row],[Date]],'DB Details'!$A:$T,20)</f>
        <v/>
      </c>
      <c r="D586" s="49">
        <f>VLOOKUP(Table311[[#This Row],[Date]],'DB Details'!$A:$T,18)</f>
        <v/>
      </c>
      <c r="E586" s="49">
        <f>VLOOKUP(Table311[[#This Row],[Date]],'DB Details'!$A:$T,19)</f>
        <v/>
      </c>
    </row>
    <row r="587">
      <c r="A587" s="38" t="n">
        <v>35217</v>
      </c>
      <c r="B587" s="48">
        <f>VLOOKUP(Table311[[#This Row],[Date]],'DB Details'!$A:$L,12)</f>
        <v/>
      </c>
      <c r="C587" s="49">
        <f>VLOOKUP(Table311[[#This Row],[Date]],'DB Details'!$A:$T,20)</f>
        <v/>
      </c>
      <c r="D587" s="49">
        <f>VLOOKUP(Table311[[#This Row],[Date]],'DB Details'!$A:$T,18)</f>
        <v/>
      </c>
      <c r="E587" s="49">
        <f>VLOOKUP(Table311[[#This Row],[Date]],'DB Details'!$A:$T,19)</f>
        <v/>
      </c>
    </row>
    <row r="588">
      <c r="A588" s="38" t="n">
        <v>35247</v>
      </c>
      <c r="B588" s="48">
        <f>VLOOKUP(Table311[[#This Row],[Date]],'DB Details'!$A:$L,12)</f>
        <v/>
      </c>
      <c r="C588" s="49">
        <f>VLOOKUP(Table311[[#This Row],[Date]],'DB Details'!$A:$T,20)</f>
        <v/>
      </c>
      <c r="D588" s="49">
        <f>VLOOKUP(Table311[[#This Row],[Date]],'DB Details'!$A:$T,18)</f>
        <v/>
      </c>
      <c r="E588" s="49">
        <f>VLOOKUP(Table311[[#This Row],[Date]],'DB Details'!$A:$T,19)</f>
        <v/>
      </c>
    </row>
    <row r="589">
      <c r="A589" s="38" t="n">
        <v>35278</v>
      </c>
      <c r="B589" s="48">
        <f>VLOOKUP(Table311[[#This Row],[Date]],'DB Details'!$A:$L,12)</f>
        <v/>
      </c>
      <c r="C589" s="49">
        <f>VLOOKUP(Table311[[#This Row],[Date]],'DB Details'!$A:$T,20)</f>
        <v/>
      </c>
      <c r="D589" s="49">
        <f>VLOOKUP(Table311[[#This Row],[Date]],'DB Details'!$A:$T,18)</f>
        <v/>
      </c>
      <c r="E589" s="49">
        <f>VLOOKUP(Table311[[#This Row],[Date]],'DB Details'!$A:$T,19)</f>
        <v/>
      </c>
    </row>
    <row r="590">
      <c r="A590" s="38" t="n">
        <v>35309</v>
      </c>
      <c r="B590" s="48">
        <f>VLOOKUP(Table311[[#This Row],[Date]],'DB Details'!$A:$L,12)</f>
        <v/>
      </c>
      <c r="C590" s="49">
        <f>VLOOKUP(Table311[[#This Row],[Date]],'DB Details'!$A:$T,20)</f>
        <v/>
      </c>
      <c r="D590" s="49">
        <f>VLOOKUP(Table311[[#This Row],[Date]],'DB Details'!$A:$T,18)</f>
        <v/>
      </c>
      <c r="E590" s="49">
        <f>VLOOKUP(Table311[[#This Row],[Date]],'DB Details'!$A:$T,19)</f>
        <v/>
      </c>
    </row>
    <row r="591">
      <c r="A591" s="38" t="n">
        <v>35339</v>
      </c>
      <c r="B591" s="48">
        <f>VLOOKUP(Table311[[#This Row],[Date]],'DB Details'!$A:$L,12)</f>
        <v/>
      </c>
      <c r="C591" s="49">
        <f>VLOOKUP(Table311[[#This Row],[Date]],'DB Details'!$A:$T,20)</f>
        <v/>
      </c>
      <c r="D591" s="49">
        <f>VLOOKUP(Table311[[#This Row],[Date]],'DB Details'!$A:$T,18)</f>
        <v/>
      </c>
      <c r="E591" s="49">
        <f>VLOOKUP(Table311[[#This Row],[Date]],'DB Details'!$A:$T,19)</f>
        <v/>
      </c>
    </row>
    <row r="592">
      <c r="A592" s="38" t="n">
        <v>35370</v>
      </c>
      <c r="B592" s="48">
        <f>VLOOKUP(Table311[[#This Row],[Date]],'DB Details'!$A:$L,12)</f>
        <v/>
      </c>
      <c r="C592" s="49">
        <f>VLOOKUP(Table311[[#This Row],[Date]],'DB Details'!$A:$T,20)</f>
        <v/>
      </c>
      <c r="D592" s="49">
        <f>VLOOKUP(Table311[[#This Row],[Date]],'DB Details'!$A:$T,18)</f>
        <v/>
      </c>
      <c r="E592" s="49">
        <f>VLOOKUP(Table311[[#This Row],[Date]],'DB Details'!$A:$T,19)</f>
        <v/>
      </c>
    </row>
    <row r="593">
      <c r="A593" s="38" t="n">
        <v>35400</v>
      </c>
      <c r="B593" s="48">
        <f>VLOOKUP(Table311[[#This Row],[Date]],'DB Details'!$A:$L,12)</f>
        <v/>
      </c>
      <c r="C593" s="49">
        <f>VLOOKUP(Table311[[#This Row],[Date]],'DB Details'!$A:$T,20)</f>
        <v/>
      </c>
      <c r="D593" s="49">
        <f>VLOOKUP(Table311[[#This Row],[Date]],'DB Details'!$A:$T,18)</f>
        <v/>
      </c>
      <c r="E593" s="49">
        <f>VLOOKUP(Table311[[#This Row],[Date]],'DB Details'!$A:$T,19)</f>
        <v/>
      </c>
    </row>
    <row r="594">
      <c r="A594" s="38" t="n">
        <v>35431</v>
      </c>
      <c r="B594" s="48">
        <f>VLOOKUP(Table311[[#This Row],[Date]],'DB Details'!$A:$L,12)</f>
        <v/>
      </c>
      <c r="C594" s="49">
        <f>VLOOKUP(Table311[[#This Row],[Date]],'DB Details'!$A:$T,20)</f>
        <v/>
      </c>
      <c r="D594" s="49">
        <f>VLOOKUP(Table311[[#This Row],[Date]],'DB Details'!$A:$T,18)</f>
        <v/>
      </c>
      <c r="E594" s="49">
        <f>VLOOKUP(Table311[[#This Row],[Date]],'DB Details'!$A:$T,19)</f>
        <v/>
      </c>
    </row>
    <row r="595">
      <c r="A595" s="38" t="n">
        <v>35462</v>
      </c>
      <c r="B595" s="48">
        <f>VLOOKUP(Table311[[#This Row],[Date]],'DB Details'!$A:$L,12)</f>
        <v/>
      </c>
      <c r="C595" s="49">
        <f>VLOOKUP(Table311[[#This Row],[Date]],'DB Details'!$A:$T,20)</f>
        <v/>
      </c>
      <c r="D595" s="49">
        <f>VLOOKUP(Table311[[#This Row],[Date]],'DB Details'!$A:$T,18)</f>
        <v/>
      </c>
      <c r="E595" s="49">
        <f>VLOOKUP(Table311[[#This Row],[Date]],'DB Details'!$A:$T,19)</f>
        <v/>
      </c>
    </row>
    <row r="596">
      <c r="A596" s="38" t="n">
        <v>35490</v>
      </c>
      <c r="B596" s="48">
        <f>VLOOKUP(Table311[[#This Row],[Date]],'DB Details'!$A:$L,12)</f>
        <v/>
      </c>
      <c r="C596" s="49">
        <f>VLOOKUP(Table311[[#This Row],[Date]],'DB Details'!$A:$T,20)</f>
        <v/>
      </c>
      <c r="D596" s="49">
        <f>VLOOKUP(Table311[[#This Row],[Date]],'DB Details'!$A:$T,18)</f>
        <v/>
      </c>
      <c r="E596" s="49">
        <f>VLOOKUP(Table311[[#This Row],[Date]],'DB Details'!$A:$T,19)</f>
        <v/>
      </c>
    </row>
    <row r="597">
      <c r="A597" s="38" t="n">
        <v>35521</v>
      </c>
      <c r="B597" s="48">
        <f>VLOOKUP(Table311[[#This Row],[Date]],'DB Details'!$A:$L,12)</f>
        <v/>
      </c>
      <c r="C597" s="49">
        <f>VLOOKUP(Table311[[#This Row],[Date]],'DB Details'!$A:$T,20)</f>
        <v/>
      </c>
      <c r="D597" s="49">
        <f>VLOOKUP(Table311[[#This Row],[Date]],'DB Details'!$A:$T,18)</f>
        <v/>
      </c>
      <c r="E597" s="49">
        <f>VLOOKUP(Table311[[#This Row],[Date]],'DB Details'!$A:$T,19)</f>
        <v/>
      </c>
    </row>
    <row r="598">
      <c r="A598" s="38" t="n">
        <v>35551</v>
      </c>
      <c r="B598" s="48">
        <f>VLOOKUP(Table311[[#This Row],[Date]],'DB Details'!$A:$L,12)</f>
        <v/>
      </c>
      <c r="C598" s="49">
        <f>VLOOKUP(Table311[[#This Row],[Date]],'DB Details'!$A:$T,20)</f>
        <v/>
      </c>
      <c r="D598" s="49">
        <f>VLOOKUP(Table311[[#This Row],[Date]],'DB Details'!$A:$T,18)</f>
        <v/>
      </c>
      <c r="E598" s="49">
        <f>VLOOKUP(Table311[[#This Row],[Date]],'DB Details'!$A:$T,19)</f>
        <v/>
      </c>
    </row>
    <row r="599">
      <c r="A599" s="38" t="n">
        <v>35582</v>
      </c>
      <c r="B599" s="48">
        <f>VLOOKUP(Table311[[#This Row],[Date]],'DB Details'!$A:$L,12)</f>
        <v/>
      </c>
      <c r="C599" s="49">
        <f>VLOOKUP(Table311[[#This Row],[Date]],'DB Details'!$A:$T,20)</f>
        <v/>
      </c>
      <c r="D599" s="49">
        <f>VLOOKUP(Table311[[#This Row],[Date]],'DB Details'!$A:$T,18)</f>
        <v/>
      </c>
      <c r="E599" s="49">
        <f>VLOOKUP(Table311[[#This Row],[Date]],'DB Details'!$A:$T,19)</f>
        <v/>
      </c>
    </row>
    <row r="600">
      <c r="A600" s="38" t="n">
        <v>35612</v>
      </c>
      <c r="B600" s="48">
        <f>VLOOKUP(Table311[[#This Row],[Date]],'DB Details'!$A:$L,12)</f>
        <v/>
      </c>
      <c r="C600" s="49">
        <f>VLOOKUP(Table311[[#This Row],[Date]],'DB Details'!$A:$T,20)</f>
        <v/>
      </c>
      <c r="D600" s="49">
        <f>VLOOKUP(Table311[[#This Row],[Date]],'DB Details'!$A:$T,18)</f>
        <v/>
      </c>
      <c r="E600" s="49">
        <f>VLOOKUP(Table311[[#This Row],[Date]],'DB Details'!$A:$T,19)</f>
        <v/>
      </c>
    </row>
    <row r="601">
      <c r="A601" s="38" t="n">
        <v>35643</v>
      </c>
      <c r="B601" s="48">
        <f>VLOOKUP(Table311[[#This Row],[Date]],'DB Details'!$A:$L,12)</f>
        <v/>
      </c>
      <c r="C601" s="49">
        <f>VLOOKUP(Table311[[#This Row],[Date]],'DB Details'!$A:$T,20)</f>
        <v/>
      </c>
      <c r="D601" s="49">
        <f>VLOOKUP(Table311[[#This Row],[Date]],'DB Details'!$A:$T,18)</f>
        <v/>
      </c>
      <c r="E601" s="49">
        <f>VLOOKUP(Table311[[#This Row],[Date]],'DB Details'!$A:$T,19)</f>
        <v/>
      </c>
    </row>
    <row r="602">
      <c r="A602" s="38" t="n">
        <v>35674</v>
      </c>
      <c r="B602" s="48">
        <f>VLOOKUP(Table311[[#This Row],[Date]],'DB Details'!$A:$L,12)</f>
        <v/>
      </c>
      <c r="C602" s="49">
        <f>VLOOKUP(Table311[[#This Row],[Date]],'DB Details'!$A:$T,20)</f>
        <v/>
      </c>
      <c r="D602" s="49">
        <f>VLOOKUP(Table311[[#This Row],[Date]],'DB Details'!$A:$T,18)</f>
        <v/>
      </c>
      <c r="E602" s="49">
        <f>VLOOKUP(Table311[[#This Row],[Date]],'DB Details'!$A:$T,19)</f>
        <v/>
      </c>
    </row>
    <row r="603">
      <c r="A603" s="38" t="n">
        <v>35704</v>
      </c>
      <c r="B603" s="48">
        <f>VLOOKUP(Table311[[#This Row],[Date]],'DB Details'!$A:$L,12)</f>
        <v/>
      </c>
      <c r="C603" s="49">
        <f>VLOOKUP(Table311[[#This Row],[Date]],'DB Details'!$A:$T,20)</f>
        <v/>
      </c>
      <c r="D603" s="49">
        <f>VLOOKUP(Table311[[#This Row],[Date]],'DB Details'!$A:$T,18)</f>
        <v/>
      </c>
      <c r="E603" s="49">
        <f>VLOOKUP(Table311[[#This Row],[Date]],'DB Details'!$A:$T,19)</f>
        <v/>
      </c>
    </row>
    <row r="604">
      <c r="A604" s="38" t="n">
        <v>35735</v>
      </c>
      <c r="B604" s="48">
        <f>VLOOKUP(Table311[[#This Row],[Date]],'DB Details'!$A:$L,12)</f>
        <v/>
      </c>
      <c r="C604" s="49">
        <f>VLOOKUP(Table311[[#This Row],[Date]],'DB Details'!$A:$T,20)</f>
        <v/>
      </c>
      <c r="D604" s="49">
        <f>VLOOKUP(Table311[[#This Row],[Date]],'DB Details'!$A:$T,18)</f>
        <v/>
      </c>
      <c r="E604" s="49">
        <f>VLOOKUP(Table311[[#This Row],[Date]],'DB Details'!$A:$T,19)</f>
        <v/>
      </c>
    </row>
    <row r="605">
      <c r="A605" s="38" t="n">
        <v>35765</v>
      </c>
      <c r="B605" s="48">
        <f>VLOOKUP(Table311[[#This Row],[Date]],'DB Details'!$A:$L,12)</f>
        <v/>
      </c>
      <c r="C605" s="49">
        <f>VLOOKUP(Table311[[#This Row],[Date]],'DB Details'!$A:$T,20)</f>
        <v/>
      </c>
      <c r="D605" s="49">
        <f>VLOOKUP(Table311[[#This Row],[Date]],'DB Details'!$A:$T,18)</f>
        <v/>
      </c>
      <c r="E605" s="49">
        <f>VLOOKUP(Table311[[#This Row],[Date]],'DB Details'!$A:$T,19)</f>
        <v/>
      </c>
    </row>
    <row r="606">
      <c r="A606" s="38" t="n">
        <v>35796</v>
      </c>
      <c r="B606" s="48">
        <f>VLOOKUP(Table311[[#This Row],[Date]],'DB Details'!$A:$L,12)</f>
        <v/>
      </c>
      <c r="C606" s="49">
        <f>VLOOKUP(Table311[[#This Row],[Date]],'DB Details'!$A:$T,20)</f>
        <v/>
      </c>
      <c r="D606" s="49">
        <f>VLOOKUP(Table311[[#This Row],[Date]],'DB Details'!$A:$T,18)</f>
        <v/>
      </c>
      <c r="E606" s="49">
        <f>VLOOKUP(Table311[[#This Row],[Date]],'DB Details'!$A:$T,19)</f>
        <v/>
      </c>
    </row>
    <row r="607">
      <c r="A607" s="38" t="n">
        <v>35827</v>
      </c>
      <c r="B607" s="48">
        <f>VLOOKUP(Table311[[#This Row],[Date]],'DB Details'!$A:$L,12)</f>
        <v/>
      </c>
      <c r="C607" s="49">
        <f>VLOOKUP(Table311[[#This Row],[Date]],'DB Details'!$A:$T,20)</f>
        <v/>
      </c>
      <c r="D607" s="49">
        <f>VLOOKUP(Table311[[#This Row],[Date]],'DB Details'!$A:$T,18)</f>
        <v/>
      </c>
      <c r="E607" s="49">
        <f>VLOOKUP(Table311[[#This Row],[Date]],'DB Details'!$A:$T,19)</f>
        <v/>
      </c>
    </row>
    <row r="608">
      <c r="A608" s="38" t="n">
        <v>35855</v>
      </c>
      <c r="B608" s="48">
        <f>VLOOKUP(Table311[[#This Row],[Date]],'DB Details'!$A:$L,12)</f>
        <v/>
      </c>
      <c r="C608" s="49">
        <f>VLOOKUP(Table311[[#This Row],[Date]],'DB Details'!$A:$T,20)</f>
        <v/>
      </c>
      <c r="D608" s="49">
        <f>VLOOKUP(Table311[[#This Row],[Date]],'DB Details'!$A:$T,18)</f>
        <v/>
      </c>
      <c r="E608" s="49">
        <f>VLOOKUP(Table311[[#This Row],[Date]],'DB Details'!$A:$T,19)</f>
        <v/>
      </c>
    </row>
    <row r="609">
      <c r="A609" s="38" t="n">
        <v>35886</v>
      </c>
      <c r="B609" s="48">
        <f>VLOOKUP(Table311[[#This Row],[Date]],'DB Details'!$A:$L,12)</f>
        <v/>
      </c>
      <c r="C609" s="49">
        <f>VLOOKUP(Table311[[#This Row],[Date]],'DB Details'!$A:$T,20)</f>
        <v/>
      </c>
      <c r="D609" s="49">
        <f>VLOOKUP(Table311[[#This Row],[Date]],'DB Details'!$A:$T,18)</f>
        <v/>
      </c>
      <c r="E609" s="49">
        <f>VLOOKUP(Table311[[#This Row],[Date]],'DB Details'!$A:$T,19)</f>
        <v/>
      </c>
    </row>
    <row r="610">
      <c r="A610" s="38" t="n">
        <v>35916</v>
      </c>
      <c r="B610" s="48">
        <f>VLOOKUP(Table311[[#This Row],[Date]],'DB Details'!$A:$L,12)</f>
        <v/>
      </c>
      <c r="C610" s="49">
        <f>VLOOKUP(Table311[[#This Row],[Date]],'DB Details'!$A:$T,20)</f>
        <v/>
      </c>
      <c r="D610" s="49">
        <f>VLOOKUP(Table311[[#This Row],[Date]],'DB Details'!$A:$T,18)</f>
        <v/>
      </c>
      <c r="E610" s="49">
        <f>VLOOKUP(Table311[[#This Row],[Date]],'DB Details'!$A:$T,19)</f>
        <v/>
      </c>
    </row>
    <row r="611">
      <c r="A611" s="38" t="n">
        <v>35947</v>
      </c>
      <c r="B611" s="48">
        <f>VLOOKUP(Table311[[#This Row],[Date]],'DB Details'!$A:$L,12)</f>
        <v/>
      </c>
      <c r="C611" s="49">
        <f>VLOOKUP(Table311[[#This Row],[Date]],'DB Details'!$A:$T,20)</f>
        <v/>
      </c>
      <c r="D611" s="49">
        <f>VLOOKUP(Table311[[#This Row],[Date]],'DB Details'!$A:$T,18)</f>
        <v/>
      </c>
      <c r="E611" s="49">
        <f>VLOOKUP(Table311[[#This Row],[Date]],'DB Details'!$A:$T,19)</f>
        <v/>
      </c>
    </row>
    <row r="612">
      <c r="A612" s="38" t="n">
        <v>35977</v>
      </c>
      <c r="B612" s="48">
        <f>VLOOKUP(Table311[[#This Row],[Date]],'DB Details'!$A:$L,12)</f>
        <v/>
      </c>
      <c r="C612" s="49">
        <f>VLOOKUP(Table311[[#This Row],[Date]],'DB Details'!$A:$T,20)</f>
        <v/>
      </c>
      <c r="D612" s="49">
        <f>VLOOKUP(Table311[[#This Row],[Date]],'DB Details'!$A:$T,18)</f>
        <v/>
      </c>
      <c r="E612" s="49">
        <f>VLOOKUP(Table311[[#This Row],[Date]],'DB Details'!$A:$T,19)</f>
        <v/>
      </c>
    </row>
    <row r="613">
      <c r="A613" s="38" t="n">
        <v>36008</v>
      </c>
      <c r="B613" s="48">
        <f>VLOOKUP(Table311[[#This Row],[Date]],'DB Details'!$A:$L,12)</f>
        <v/>
      </c>
      <c r="C613" s="49">
        <f>VLOOKUP(Table311[[#This Row],[Date]],'DB Details'!$A:$T,20)</f>
        <v/>
      </c>
      <c r="D613" s="49">
        <f>VLOOKUP(Table311[[#This Row],[Date]],'DB Details'!$A:$T,18)</f>
        <v/>
      </c>
      <c r="E613" s="49">
        <f>VLOOKUP(Table311[[#This Row],[Date]],'DB Details'!$A:$T,19)</f>
        <v/>
      </c>
    </row>
    <row r="614">
      <c r="A614" s="38" t="n">
        <v>36039</v>
      </c>
      <c r="B614" s="48">
        <f>VLOOKUP(Table311[[#This Row],[Date]],'DB Details'!$A:$L,12)</f>
        <v/>
      </c>
      <c r="C614" s="49">
        <f>VLOOKUP(Table311[[#This Row],[Date]],'DB Details'!$A:$T,20)</f>
        <v/>
      </c>
      <c r="D614" s="49">
        <f>VLOOKUP(Table311[[#This Row],[Date]],'DB Details'!$A:$T,18)</f>
        <v/>
      </c>
      <c r="E614" s="49">
        <f>VLOOKUP(Table311[[#This Row],[Date]],'DB Details'!$A:$T,19)</f>
        <v/>
      </c>
    </row>
    <row r="615">
      <c r="A615" s="38" t="n">
        <v>36069</v>
      </c>
      <c r="B615" s="48">
        <f>VLOOKUP(Table311[[#This Row],[Date]],'DB Details'!$A:$L,12)</f>
        <v/>
      </c>
      <c r="C615" s="49">
        <f>VLOOKUP(Table311[[#This Row],[Date]],'DB Details'!$A:$T,20)</f>
        <v/>
      </c>
      <c r="D615" s="49">
        <f>VLOOKUP(Table311[[#This Row],[Date]],'DB Details'!$A:$T,18)</f>
        <v/>
      </c>
      <c r="E615" s="49">
        <f>VLOOKUP(Table311[[#This Row],[Date]],'DB Details'!$A:$T,19)</f>
        <v/>
      </c>
    </row>
    <row r="616">
      <c r="A616" s="38" t="n">
        <v>36100</v>
      </c>
      <c r="B616" s="48">
        <f>VLOOKUP(Table311[[#This Row],[Date]],'DB Details'!$A:$L,12)</f>
        <v/>
      </c>
      <c r="C616" s="49">
        <f>VLOOKUP(Table311[[#This Row],[Date]],'DB Details'!$A:$T,20)</f>
        <v/>
      </c>
      <c r="D616" s="49">
        <f>VLOOKUP(Table311[[#This Row],[Date]],'DB Details'!$A:$T,18)</f>
        <v/>
      </c>
      <c r="E616" s="49">
        <f>VLOOKUP(Table311[[#This Row],[Date]],'DB Details'!$A:$T,19)</f>
        <v/>
      </c>
    </row>
    <row r="617">
      <c r="A617" s="38" t="n">
        <v>36130</v>
      </c>
      <c r="B617" s="48">
        <f>VLOOKUP(Table311[[#This Row],[Date]],'DB Details'!$A:$L,12)</f>
        <v/>
      </c>
      <c r="C617" s="49">
        <f>VLOOKUP(Table311[[#This Row],[Date]],'DB Details'!$A:$T,20)</f>
        <v/>
      </c>
      <c r="D617" s="49">
        <f>VLOOKUP(Table311[[#This Row],[Date]],'DB Details'!$A:$T,18)</f>
        <v/>
      </c>
      <c r="E617" s="49">
        <f>VLOOKUP(Table311[[#This Row],[Date]],'DB Details'!$A:$T,19)</f>
        <v/>
      </c>
    </row>
    <row r="618">
      <c r="A618" s="38" t="n">
        <v>36161</v>
      </c>
      <c r="B618" s="48">
        <f>VLOOKUP(Table311[[#This Row],[Date]],'DB Details'!$A:$L,12)</f>
        <v/>
      </c>
      <c r="C618" s="49">
        <f>VLOOKUP(Table311[[#This Row],[Date]],'DB Details'!$A:$T,20)</f>
        <v/>
      </c>
      <c r="D618" s="49">
        <f>VLOOKUP(Table311[[#This Row],[Date]],'DB Details'!$A:$T,18)</f>
        <v/>
      </c>
      <c r="E618" s="49">
        <f>VLOOKUP(Table311[[#This Row],[Date]],'DB Details'!$A:$T,19)</f>
        <v/>
      </c>
    </row>
    <row r="619">
      <c r="A619" s="38" t="n">
        <v>36192</v>
      </c>
      <c r="B619" s="48">
        <f>VLOOKUP(Table311[[#This Row],[Date]],'DB Details'!$A:$L,12)</f>
        <v/>
      </c>
      <c r="C619" s="49">
        <f>VLOOKUP(Table311[[#This Row],[Date]],'DB Details'!$A:$T,20)</f>
        <v/>
      </c>
      <c r="D619" s="49">
        <f>VLOOKUP(Table311[[#This Row],[Date]],'DB Details'!$A:$T,18)</f>
        <v/>
      </c>
      <c r="E619" s="49">
        <f>VLOOKUP(Table311[[#This Row],[Date]],'DB Details'!$A:$T,19)</f>
        <v/>
      </c>
    </row>
    <row r="620">
      <c r="A620" s="38" t="n">
        <v>36220</v>
      </c>
      <c r="B620" s="48">
        <f>VLOOKUP(Table311[[#This Row],[Date]],'DB Details'!$A:$L,12)</f>
        <v/>
      </c>
      <c r="C620" s="49">
        <f>VLOOKUP(Table311[[#This Row],[Date]],'DB Details'!$A:$T,20)</f>
        <v/>
      </c>
      <c r="D620" s="49">
        <f>VLOOKUP(Table311[[#This Row],[Date]],'DB Details'!$A:$T,18)</f>
        <v/>
      </c>
      <c r="E620" s="49">
        <f>VLOOKUP(Table311[[#This Row],[Date]],'DB Details'!$A:$T,19)</f>
        <v/>
      </c>
    </row>
    <row r="621">
      <c r="A621" s="38" t="n">
        <v>36251</v>
      </c>
      <c r="B621" s="48">
        <f>VLOOKUP(Table311[[#This Row],[Date]],'DB Details'!$A:$L,12)</f>
        <v/>
      </c>
      <c r="C621" s="49">
        <f>VLOOKUP(Table311[[#This Row],[Date]],'DB Details'!$A:$T,20)</f>
        <v/>
      </c>
      <c r="D621" s="49">
        <f>VLOOKUP(Table311[[#This Row],[Date]],'DB Details'!$A:$T,18)</f>
        <v/>
      </c>
      <c r="E621" s="49">
        <f>VLOOKUP(Table311[[#This Row],[Date]],'DB Details'!$A:$T,19)</f>
        <v/>
      </c>
    </row>
    <row r="622">
      <c r="A622" s="38" t="n">
        <v>36281</v>
      </c>
      <c r="B622" s="48">
        <f>VLOOKUP(Table311[[#This Row],[Date]],'DB Details'!$A:$L,12)</f>
        <v/>
      </c>
      <c r="C622" s="49">
        <f>VLOOKUP(Table311[[#This Row],[Date]],'DB Details'!$A:$T,20)</f>
        <v/>
      </c>
      <c r="D622" s="49">
        <f>VLOOKUP(Table311[[#This Row],[Date]],'DB Details'!$A:$T,18)</f>
        <v/>
      </c>
      <c r="E622" s="49">
        <f>VLOOKUP(Table311[[#This Row],[Date]],'DB Details'!$A:$T,19)</f>
        <v/>
      </c>
    </row>
    <row r="623">
      <c r="A623" s="38" t="n">
        <v>36312</v>
      </c>
      <c r="B623" s="48">
        <f>VLOOKUP(Table311[[#This Row],[Date]],'DB Details'!$A:$L,12)</f>
        <v/>
      </c>
      <c r="C623" s="49">
        <f>VLOOKUP(Table311[[#This Row],[Date]],'DB Details'!$A:$T,20)</f>
        <v/>
      </c>
      <c r="D623" s="49">
        <f>VLOOKUP(Table311[[#This Row],[Date]],'DB Details'!$A:$T,18)</f>
        <v/>
      </c>
      <c r="E623" s="49">
        <f>VLOOKUP(Table311[[#This Row],[Date]],'DB Details'!$A:$T,19)</f>
        <v/>
      </c>
    </row>
    <row r="624">
      <c r="A624" s="38" t="n">
        <v>36342</v>
      </c>
      <c r="B624" s="48">
        <f>VLOOKUP(Table311[[#This Row],[Date]],'DB Details'!$A:$L,12)</f>
        <v/>
      </c>
      <c r="C624" s="49">
        <f>VLOOKUP(Table311[[#This Row],[Date]],'DB Details'!$A:$T,20)</f>
        <v/>
      </c>
      <c r="D624" s="49">
        <f>VLOOKUP(Table311[[#This Row],[Date]],'DB Details'!$A:$T,18)</f>
        <v/>
      </c>
      <c r="E624" s="49">
        <f>VLOOKUP(Table311[[#This Row],[Date]],'DB Details'!$A:$T,19)</f>
        <v/>
      </c>
    </row>
    <row r="625">
      <c r="A625" s="38" t="n">
        <v>36373</v>
      </c>
      <c r="B625" s="48">
        <f>VLOOKUP(Table311[[#This Row],[Date]],'DB Details'!$A:$L,12)</f>
        <v/>
      </c>
      <c r="C625" s="49">
        <f>VLOOKUP(Table311[[#This Row],[Date]],'DB Details'!$A:$T,20)</f>
        <v/>
      </c>
      <c r="D625" s="49">
        <f>VLOOKUP(Table311[[#This Row],[Date]],'DB Details'!$A:$T,18)</f>
        <v/>
      </c>
      <c r="E625" s="49">
        <f>VLOOKUP(Table311[[#This Row],[Date]],'DB Details'!$A:$T,19)</f>
        <v/>
      </c>
    </row>
    <row r="626">
      <c r="A626" s="38" t="n">
        <v>36404</v>
      </c>
      <c r="B626" s="48">
        <f>VLOOKUP(Table311[[#This Row],[Date]],'DB Details'!$A:$L,12)</f>
        <v/>
      </c>
      <c r="C626" s="49">
        <f>VLOOKUP(Table311[[#This Row],[Date]],'DB Details'!$A:$T,20)</f>
        <v/>
      </c>
      <c r="D626" s="49">
        <f>VLOOKUP(Table311[[#This Row],[Date]],'DB Details'!$A:$T,18)</f>
        <v/>
      </c>
      <c r="E626" s="49">
        <f>VLOOKUP(Table311[[#This Row],[Date]],'DB Details'!$A:$T,19)</f>
        <v/>
      </c>
    </row>
    <row r="627">
      <c r="A627" s="38" t="n">
        <v>36434</v>
      </c>
      <c r="B627" s="48">
        <f>VLOOKUP(Table311[[#This Row],[Date]],'DB Details'!$A:$L,12)</f>
        <v/>
      </c>
      <c r="C627" s="49">
        <f>VLOOKUP(Table311[[#This Row],[Date]],'DB Details'!$A:$T,20)</f>
        <v/>
      </c>
      <c r="D627" s="49">
        <f>VLOOKUP(Table311[[#This Row],[Date]],'DB Details'!$A:$T,18)</f>
        <v/>
      </c>
      <c r="E627" s="49">
        <f>VLOOKUP(Table311[[#This Row],[Date]],'DB Details'!$A:$T,19)</f>
        <v/>
      </c>
    </row>
    <row r="628">
      <c r="A628" s="38" t="n">
        <v>36465</v>
      </c>
      <c r="B628" s="48">
        <f>VLOOKUP(Table311[[#This Row],[Date]],'DB Details'!$A:$L,12)</f>
        <v/>
      </c>
      <c r="C628" s="49">
        <f>VLOOKUP(Table311[[#This Row],[Date]],'DB Details'!$A:$T,20)</f>
        <v/>
      </c>
      <c r="D628" s="49">
        <f>VLOOKUP(Table311[[#This Row],[Date]],'DB Details'!$A:$T,18)</f>
        <v/>
      </c>
      <c r="E628" s="49">
        <f>VLOOKUP(Table311[[#This Row],[Date]],'DB Details'!$A:$T,19)</f>
        <v/>
      </c>
    </row>
    <row r="629">
      <c r="A629" s="38" t="n">
        <v>36495</v>
      </c>
      <c r="B629" s="48">
        <f>VLOOKUP(Table311[[#This Row],[Date]],'DB Details'!$A:$L,12)</f>
        <v/>
      </c>
      <c r="C629" s="49">
        <f>VLOOKUP(Table311[[#This Row],[Date]],'DB Details'!$A:$T,20)</f>
        <v/>
      </c>
      <c r="D629" s="49">
        <f>VLOOKUP(Table311[[#This Row],[Date]],'DB Details'!$A:$T,18)</f>
        <v/>
      </c>
      <c r="E629" s="49">
        <f>VLOOKUP(Table311[[#This Row],[Date]],'DB Details'!$A:$T,19)</f>
        <v/>
      </c>
    </row>
    <row r="630">
      <c r="A630" s="38" t="n">
        <v>36526</v>
      </c>
      <c r="B630" s="48">
        <f>VLOOKUP(Table311[[#This Row],[Date]],'DB Details'!$A:$L,12)</f>
        <v/>
      </c>
      <c r="C630" s="49">
        <f>VLOOKUP(Table311[[#This Row],[Date]],'DB Details'!$A:$T,20)</f>
        <v/>
      </c>
      <c r="D630" s="49">
        <f>VLOOKUP(Table311[[#This Row],[Date]],'DB Details'!$A:$T,18)</f>
        <v/>
      </c>
      <c r="E630" s="49">
        <f>VLOOKUP(Table311[[#This Row],[Date]],'DB Details'!$A:$T,19)</f>
        <v/>
      </c>
    </row>
    <row r="631">
      <c r="A631" s="38" t="n">
        <v>36557</v>
      </c>
      <c r="B631" s="48">
        <f>VLOOKUP(Table311[[#This Row],[Date]],'DB Details'!$A:$L,12)</f>
        <v/>
      </c>
      <c r="C631" s="49">
        <f>VLOOKUP(Table311[[#This Row],[Date]],'DB Details'!$A:$T,20)</f>
        <v/>
      </c>
      <c r="D631" s="49">
        <f>VLOOKUP(Table311[[#This Row],[Date]],'DB Details'!$A:$T,18)</f>
        <v/>
      </c>
      <c r="E631" s="49">
        <f>VLOOKUP(Table311[[#This Row],[Date]],'DB Details'!$A:$T,19)</f>
        <v/>
      </c>
    </row>
    <row r="632">
      <c r="A632" s="38" t="n">
        <v>36586</v>
      </c>
      <c r="B632" s="48">
        <f>VLOOKUP(Table311[[#This Row],[Date]],'DB Details'!$A:$L,12)</f>
        <v/>
      </c>
      <c r="C632" s="49">
        <f>VLOOKUP(Table311[[#This Row],[Date]],'DB Details'!$A:$T,20)</f>
        <v/>
      </c>
      <c r="D632" s="49">
        <f>VLOOKUP(Table311[[#This Row],[Date]],'DB Details'!$A:$T,18)</f>
        <v/>
      </c>
      <c r="E632" s="49">
        <f>VLOOKUP(Table311[[#This Row],[Date]],'DB Details'!$A:$T,19)</f>
        <v/>
      </c>
    </row>
    <row r="633">
      <c r="A633" s="38" t="n">
        <v>36617</v>
      </c>
      <c r="B633" s="48">
        <f>VLOOKUP(Table311[[#This Row],[Date]],'DB Details'!$A:$L,12)</f>
        <v/>
      </c>
      <c r="C633" s="49">
        <f>VLOOKUP(Table311[[#This Row],[Date]],'DB Details'!$A:$T,20)</f>
        <v/>
      </c>
      <c r="D633" s="49">
        <f>VLOOKUP(Table311[[#This Row],[Date]],'DB Details'!$A:$T,18)</f>
        <v/>
      </c>
      <c r="E633" s="49">
        <f>VLOOKUP(Table311[[#This Row],[Date]],'DB Details'!$A:$T,19)</f>
        <v/>
      </c>
    </row>
    <row r="634">
      <c r="A634" s="38" t="n">
        <v>36647</v>
      </c>
      <c r="B634" s="48">
        <f>VLOOKUP(Table311[[#This Row],[Date]],'DB Details'!$A:$L,12)</f>
        <v/>
      </c>
      <c r="C634" s="49">
        <f>VLOOKUP(Table311[[#This Row],[Date]],'DB Details'!$A:$T,20)</f>
        <v/>
      </c>
      <c r="D634" s="49">
        <f>VLOOKUP(Table311[[#This Row],[Date]],'DB Details'!$A:$T,18)</f>
        <v/>
      </c>
      <c r="E634" s="49">
        <f>VLOOKUP(Table311[[#This Row],[Date]],'DB Details'!$A:$T,19)</f>
        <v/>
      </c>
    </row>
    <row r="635">
      <c r="A635" s="38" t="n">
        <v>36678</v>
      </c>
      <c r="B635" s="48">
        <f>VLOOKUP(Table311[[#This Row],[Date]],'DB Details'!$A:$L,12)</f>
        <v/>
      </c>
      <c r="C635" s="49">
        <f>VLOOKUP(Table311[[#This Row],[Date]],'DB Details'!$A:$T,20)</f>
        <v/>
      </c>
      <c r="D635" s="49">
        <f>VLOOKUP(Table311[[#This Row],[Date]],'DB Details'!$A:$T,18)</f>
        <v/>
      </c>
      <c r="E635" s="49">
        <f>VLOOKUP(Table311[[#This Row],[Date]],'DB Details'!$A:$T,19)</f>
        <v/>
      </c>
    </row>
    <row r="636">
      <c r="A636" s="38" t="n">
        <v>36708</v>
      </c>
      <c r="B636" s="48">
        <f>VLOOKUP(Table311[[#This Row],[Date]],'DB Details'!$A:$L,12)</f>
        <v/>
      </c>
      <c r="C636" s="49">
        <f>VLOOKUP(Table311[[#This Row],[Date]],'DB Details'!$A:$T,20)</f>
        <v/>
      </c>
      <c r="D636" s="49">
        <f>VLOOKUP(Table311[[#This Row],[Date]],'DB Details'!$A:$T,18)</f>
        <v/>
      </c>
      <c r="E636" s="49">
        <f>VLOOKUP(Table311[[#This Row],[Date]],'DB Details'!$A:$T,19)</f>
        <v/>
      </c>
    </row>
    <row r="637">
      <c r="A637" s="38" t="n">
        <v>36739</v>
      </c>
      <c r="B637" s="48">
        <f>VLOOKUP(Table311[[#This Row],[Date]],'DB Details'!$A:$L,12)</f>
        <v/>
      </c>
      <c r="C637" s="49">
        <f>VLOOKUP(Table311[[#This Row],[Date]],'DB Details'!$A:$T,20)</f>
        <v/>
      </c>
      <c r="D637" s="49">
        <f>VLOOKUP(Table311[[#This Row],[Date]],'DB Details'!$A:$T,18)</f>
        <v/>
      </c>
      <c r="E637" s="49">
        <f>VLOOKUP(Table311[[#This Row],[Date]],'DB Details'!$A:$T,19)</f>
        <v/>
      </c>
    </row>
    <row r="638">
      <c r="A638" s="38" t="n">
        <v>36770</v>
      </c>
      <c r="B638" s="48">
        <f>VLOOKUP(Table311[[#This Row],[Date]],'DB Details'!$A:$L,12)</f>
        <v/>
      </c>
      <c r="C638" s="49">
        <f>VLOOKUP(Table311[[#This Row],[Date]],'DB Details'!$A:$T,20)</f>
        <v/>
      </c>
      <c r="D638" s="49">
        <f>VLOOKUP(Table311[[#This Row],[Date]],'DB Details'!$A:$T,18)</f>
        <v/>
      </c>
      <c r="E638" s="49">
        <f>VLOOKUP(Table311[[#This Row],[Date]],'DB Details'!$A:$T,19)</f>
        <v/>
      </c>
    </row>
    <row r="639">
      <c r="A639" s="38" t="n">
        <v>36800</v>
      </c>
      <c r="B639" s="48">
        <f>VLOOKUP(Table311[[#This Row],[Date]],'DB Details'!$A:$L,12)</f>
        <v/>
      </c>
      <c r="C639" s="49">
        <f>VLOOKUP(Table311[[#This Row],[Date]],'DB Details'!$A:$T,20)</f>
        <v/>
      </c>
      <c r="D639" s="49">
        <f>VLOOKUP(Table311[[#This Row],[Date]],'DB Details'!$A:$T,18)</f>
        <v/>
      </c>
      <c r="E639" s="49">
        <f>VLOOKUP(Table311[[#This Row],[Date]],'DB Details'!$A:$T,19)</f>
        <v/>
      </c>
    </row>
    <row r="640">
      <c r="A640" s="38" t="n">
        <v>36831</v>
      </c>
      <c r="B640" s="48">
        <f>VLOOKUP(Table311[[#This Row],[Date]],'DB Details'!$A:$L,12)</f>
        <v/>
      </c>
      <c r="C640" s="49">
        <f>VLOOKUP(Table311[[#This Row],[Date]],'DB Details'!$A:$T,20)</f>
        <v/>
      </c>
      <c r="D640" s="49">
        <f>VLOOKUP(Table311[[#This Row],[Date]],'DB Details'!$A:$T,18)</f>
        <v/>
      </c>
      <c r="E640" s="49">
        <f>VLOOKUP(Table311[[#This Row],[Date]],'DB Details'!$A:$T,19)</f>
        <v/>
      </c>
    </row>
    <row r="641">
      <c r="A641" s="38" t="n">
        <v>36861</v>
      </c>
      <c r="B641" s="48">
        <f>VLOOKUP(Table311[[#This Row],[Date]],'DB Details'!$A:$L,12)</f>
        <v/>
      </c>
      <c r="C641" s="49">
        <f>VLOOKUP(Table311[[#This Row],[Date]],'DB Details'!$A:$T,20)</f>
        <v/>
      </c>
      <c r="D641" s="49">
        <f>VLOOKUP(Table311[[#This Row],[Date]],'DB Details'!$A:$T,18)</f>
        <v/>
      </c>
      <c r="E641" s="49">
        <f>VLOOKUP(Table311[[#This Row],[Date]],'DB Details'!$A:$T,19)</f>
        <v/>
      </c>
    </row>
    <row r="642">
      <c r="A642" s="38" t="n">
        <v>36892</v>
      </c>
      <c r="B642" s="48">
        <f>VLOOKUP(Table311[[#This Row],[Date]],'DB Details'!$A:$L,12)</f>
        <v/>
      </c>
      <c r="C642" s="49">
        <f>VLOOKUP(Table311[[#This Row],[Date]],'DB Details'!$A:$T,20)</f>
        <v/>
      </c>
      <c r="D642" s="49">
        <f>VLOOKUP(Table311[[#This Row],[Date]],'DB Details'!$A:$T,18)</f>
        <v/>
      </c>
      <c r="E642" s="49">
        <f>VLOOKUP(Table311[[#This Row],[Date]],'DB Details'!$A:$T,19)</f>
        <v/>
      </c>
    </row>
    <row r="643">
      <c r="A643" s="38" t="n">
        <v>36923</v>
      </c>
      <c r="B643" s="48">
        <f>VLOOKUP(Table311[[#This Row],[Date]],'DB Details'!$A:$L,12)</f>
        <v/>
      </c>
      <c r="C643" s="49">
        <f>VLOOKUP(Table311[[#This Row],[Date]],'DB Details'!$A:$T,20)</f>
        <v/>
      </c>
      <c r="D643" s="49">
        <f>VLOOKUP(Table311[[#This Row],[Date]],'DB Details'!$A:$T,18)</f>
        <v/>
      </c>
      <c r="E643" s="49">
        <f>VLOOKUP(Table311[[#This Row],[Date]],'DB Details'!$A:$T,19)</f>
        <v/>
      </c>
    </row>
    <row r="644">
      <c r="A644" s="38" t="n">
        <v>36951</v>
      </c>
      <c r="B644" s="48">
        <f>VLOOKUP(Table311[[#This Row],[Date]],'DB Details'!$A:$L,12)</f>
        <v/>
      </c>
      <c r="C644" s="49">
        <f>VLOOKUP(Table311[[#This Row],[Date]],'DB Details'!$A:$T,20)</f>
        <v/>
      </c>
      <c r="D644" s="49">
        <f>VLOOKUP(Table311[[#This Row],[Date]],'DB Details'!$A:$T,18)</f>
        <v/>
      </c>
      <c r="E644" s="49">
        <f>VLOOKUP(Table311[[#This Row],[Date]],'DB Details'!$A:$T,19)</f>
        <v/>
      </c>
    </row>
    <row r="645">
      <c r="A645" s="38" t="n">
        <v>36982</v>
      </c>
      <c r="B645" s="48">
        <f>VLOOKUP(Table311[[#This Row],[Date]],'DB Details'!$A:$L,12)</f>
        <v/>
      </c>
      <c r="C645" s="49">
        <f>VLOOKUP(Table311[[#This Row],[Date]],'DB Details'!$A:$T,20)</f>
        <v/>
      </c>
      <c r="D645" s="49">
        <f>VLOOKUP(Table311[[#This Row],[Date]],'DB Details'!$A:$T,18)</f>
        <v/>
      </c>
      <c r="E645" s="49">
        <f>VLOOKUP(Table311[[#This Row],[Date]],'DB Details'!$A:$T,19)</f>
        <v/>
      </c>
    </row>
    <row r="646">
      <c r="A646" s="38" t="n">
        <v>37012</v>
      </c>
      <c r="B646" s="48">
        <f>VLOOKUP(Table311[[#This Row],[Date]],'DB Details'!$A:$L,12)</f>
        <v/>
      </c>
      <c r="C646" s="49">
        <f>VLOOKUP(Table311[[#This Row],[Date]],'DB Details'!$A:$T,20)</f>
        <v/>
      </c>
      <c r="D646" s="49">
        <f>VLOOKUP(Table311[[#This Row],[Date]],'DB Details'!$A:$T,18)</f>
        <v/>
      </c>
      <c r="E646" s="49">
        <f>VLOOKUP(Table311[[#This Row],[Date]],'DB Details'!$A:$T,19)</f>
        <v/>
      </c>
    </row>
    <row r="647">
      <c r="A647" s="38" t="n">
        <v>37043</v>
      </c>
      <c r="B647" s="48">
        <f>VLOOKUP(Table311[[#This Row],[Date]],'DB Details'!$A:$L,12)</f>
        <v/>
      </c>
      <c r="C647" s="49">
        <f>VLOOKUP(Table311[[#This Row],[Date]],'DB Details'!$A:$T,20)</f>
        <v/>
      </c>
      <c r="D647" s="49">
        <f>VLOOKUP(Table311[[#This Row],[Date]],'DB Details'!$A:$T,18)</f>
        <v/>
      </c>
      <c r="E647" s="49">
        <f>VLOOKUP(Table311[[#This Row],[Date]],'DB Details'!$A:$T,19)</f>
        <v/>
      </c>
    </row>
    <row r="648">
      <c r="A648" s="38" t="n">
        <v>37073</v>
      </c>
      <c r="B648" s="48">
        <f>VLOOKUP(Table311[[#This Row],[Date]],'DB Details'!$A:$L,12)</f>
        <v/>
      </c>
      <c r="C648" s="49">
        <f>VLOOKUP(Table311[[#This Row],[Date]],'DB Details'!$A:$T,20)</f>
        <v/>
      </c>
      <c r="D648" s="49">
        <f>VLOOKUP(Table311[[#This Row],[Date]],'DB Details'!$A:$T,18)</f>
        <v/>
      </c>
      <c r="E648" s="49">
        <f>VLOOKUP(Table311[[#This Row],[Date]],'DB Details'!$A:$T,19)</f>
        <v/>
      </c>
    </row>
    <row r="649">
      <c r="A649" s="38" t="n">
        <v>37104</v>
      </c>
      <c r="B649" s="48">
        <f>VLOOKUP(Table311[[#This Row],[Date]],'DB Details'!$A:$L,12)</f>
        <v/>
      </c>
      <c r="C649" s="49">
        <f>VLOOKUP(Table311[[#This Row],[Date]],'DB Details'!$A:$T,20)</f>
        <v/>
      </c>
      <c r="D649" s="49">
        <f>VLOOKUP(Table311[[#This Row],[Date]],'DB Details'!$A:$T,18)</f>
        <v/>
      </c>
      <c r="E649" s="49">
        <f>VLOOKUP(Table311[[#This Row],[Date]],'DB Details'!$A:$T,19)</f>
        <v/>
      </c>
    </row>
    <row r="650">
      <c r="A650" s="38" t="n">
        <v>37135</v>
      </c>
      <c r="B650" s="48">
        <f>VLOOKUP(Table311[[#This Row],[Date]],'DB Details'!$A:$L,12)</f>
        <v/>
      </c>
      <c r="C650" s="49">
        <f>VLOOKUP(Table311[[#This Row],[Date]],'DB Details'!$A:$T,20)</f>
        <v/>
      </c>
      <c r="D650" s="49">
        <f>VLOOKUP(Table311[[#This Row],[Date]],'DB Details'!$A:$T,18)</f>
        <v/>
      </c>
      <c r="E650" s="49">
        <f>VLOOKUP(Table311[[#This Row],[Date]],'DB Details'!$A:$T,19)</f>
        <v/>
      </c>
    </row>
    <row r="651">
      <c r="A651" s="38" t="n">
        <v>37165</v>
      </c>
      <c r="B651" s="48">
        <f>VLOOKUP(Table311[[#This Row],[Date]],'DB Details'!$A:$L,12)</f>
        <v/>
      </c>
      <c r="C651" s="49">
        <f>VLOOKUP(Table311[[#This Row],[Date]],'DB Details'!$A:$T,20)</f>
        <v/>
      </c>
      <c r="D651" s="49">
        <f>VLOOKUP(Table311[[#This Row],[Date]],'DB Details'!$A:$T,18)</f>
        <v/>
      </c>
      <c r="E651" s="49">
        <f>VLOOKUP(Table311[[#This Row],[Date]],'DB Details'!$A:$T,19)</f>
        <v/>
      </c>
    </row>
    <row r="652">
      <c r="A652" s="38" t="n">
        <v>37196</v>
      </c>
      <c r="B652" s="48">
        <f>VLOOKUP(Table311[[#This Row],[Date]],'DB Details'!$A:$L,12)</f>
        <v/>
      </c>
      <c r="C652" s="49">
        <f>VLOOKUP(Table311[[#This Row],[Date]],'DB Details'!$A:$T,20)</f>
        <v/>
      </c>
      <c r="D652" s="49">
        <f>VLOOKUP(Table311[[#This Row],[Date]],'DB Details'!$A:$T,18)</f>
        <v/>
      </c>
      <c r="E652" s="49">
        <f>VLOOKUP(Table311[[#This Row],[Date]],'DB Details'!$A:$T,19)</f>
        <v/>
      </c>
    </row>
    <row r="653">
      <c r="A653" s="38" t="n">
        <v>37226</v>
      </c>
      <c r="B653" s="48">
        <f>VLOOKUP(Table311[[#This Row],[Date]],'DB Details'!$A:$L,12)</f>
        <v/>
      </c>
      <c r="C653" s="49">
        <f>VLOOKUP(Table311[[#This Row],[Date]],'DB Details'!$A:$T,20)</f>
        <v/>
      </c>
      <c r="D653" s="49">
        <f>VLOOKUP(Table311[[#This Row],[Date]],'DB Details'!$A:$T,18)</f>
        <v/>
      </c>
      <c r="E653" s="49">
        <f>VLOOKUP(Table311[[#This Row],[Date]],'DB Details'!$A:$T,19)</f>
        <v/>
      </c>
    </row>
    <row r="654">
      <c r="A654" s="38" t="n">
        <v>37257</v>
      </c>
      <c r="B654" s="48">
        <f>VLOOKUP(Table311[[#This Row],[Date]],'DB Details'!$A:$L,12)</f>
        <v/>
      </c>
      <c r="C654" s="49">
        <f>VLOOKUP(Table311[[#This Row],[Date]],'DB Details'!$A:$T,20)</f>
        <v/>
      </c>
      <c r="D654" s="49">
        <f>VLOOKUP(Table311[[#This Row],[Date]],'DB Details'!$A:$T,18)</f>
        <v/>
      </c>
      <c r="E654" s="49">
        <f>VLOOKUP(Table311[[#This Row],[Date]],'DB Details'!$A:$T,19)</f>
        <v/>
      </c>
    </row>
    <row r="655">
      <c r="A655" s="38" t="n">
        <v>37288</v>
      </c>
      <c r="B655" s="48">
        <f>VLOOKUP(Table311[[#This Row],[Date]],'DB Details'!$A:$L,12)</f>
        <v/>
      </c>
      <c r="C655" s="49">
        <f>VLOOKUP(Table311[[#This Row],[Date]],'DB Details'!$A:$T,20)</f>
        <v/>
      </c>
      <c r="D655" s="49">
        <f>VLOOKUP(Table311[[#This Row],[Date]],'DB Details'!$A:$T,18)</f>
        <v/>
      </c>
      <c r="E655" s="49">
        <f>VLOOKUP(Table311[[#This Row],[Date]],'DB Details'!$A:$T,19)</f>
        <v/>
      </c>
    </row>
    <row r="656">
      <c r="A656" s="38" t="n">
        <v>37316</v>
      </c>
      <c r="B656" s="48">
        <f>VLOOKUP(Table311[[#This Row],[Date]],'DB Details'!$A:$L,12)</f>
        <v/>
      </c>
      <c r="C656" s="49">
        <f>VLOOKUP(Table311[[#This Row],[Date]],'DB Details'!$A:$T,20)</f>
        <v/>
      </c>
      <c r="D656" s="49">
        <f>VLOOKUP(Table311[[#This Row],[Date]],'DB Details'!$A:$T,18)</f>
        <v/>
      </c>
      <c r="E656" s="49">
        <f>VLOOKUP(Table311[[#This Row],[Date]],'DB Details'!$A:$T,19)</f>
        <v/>
      </c>
    </row>
    <row r="657">
      <c r="A657" s="38" t="n">
        <v>37347</v>
      </c>
      <c r="B657" s="48">
        <f>VLOOKUP(Table311[[#This Row],[Date]],'DB Details'!$A:$L,12)</f>
        <v/>
      </c>
      <c r="C657" s="49">
        <f>VLOOKUP(Table311[[#This Row],[Date]],'DB Details'!$A:$T,20)</f>
        <v/>
      </c>
      <c r="D657" s="49">
        <f>VLOOKUP(Table311[[#This Row],[Date]],'DB Details'!$A:$T,18)</f>
        <v/>
      </c>
      <c r="E657" s="49">
        <f>VLOOKUP(Table311[[#This Row],[Date]],'DB Details'!$A:$T,19)</f>
        <v/>
      </c>
    </row>
    <row r="658">
      <c r="A658" s="38" t="n">
        <v>37377</v>
      </c>
      <c r="B658" s="48">
        <f>VLOOKUP(Table311[[#This Row],[Date]],'DB Details'!$A:$L,12)</f>
        <v/>
      </c>
      <c r="C658" s="49">
        <f>VLOOKUP(Table311[[#This Row],[Date]],'DB Details'!$A:$T,20)</f>
        <v/>
      </c>
      <c r="D658" s="49">
        <f>VLOOKUP(Table311[[#This Row],[Date]],'DB Details'!$A:$T,18)</f>
        <v/>
      </c>
      <c r="E658" s="49">
        <f>VLOOKUP(Table311[[#This Row],[Date]],'DB Details'!$A:$T,19)</f>
        <v/>
      </c>
    </row>
    <row r="659">
      <c r="A659" s="38" t="n">
        <v>37408</v>
      </c>
      <c r="B659" s="48">
        <f>VLOOKUP(Table311[[#This Row],[Date]],'DB Details'!$A:$L,12)</f>
        <v/>
      </c>
      <c r="C659" s="49">
        <f>VLOOKUP(Table311[[#This Row],[Date]],'DB Details'!$A:$T,20)</f>
        <v/>
      </c>
      <c r="D659" s="49">
        <f>VLOOKUP(Table311[[#This Row],[Date]],'DB Details'!$A:$T,18)</f>
        <v/>
      </c>
      <c r="E659" s="49">
        <f>VLOOKUP(Table311[[#This Row],[Date]],'DB Details'!$A:$T,19)</f>
        <v/>
      </c>
    </row>
    <row r="660">
      <c r="A660" s="38" t="n">
        <v>37438</v>
      </c>
      <c r="B660" s="48">
        <f>VLOOKUP(Table311[[#This Row],[Date]],'DB Details'!$A:$L,12)</f>
        <v/>
      </c>
      <c r="C660" s="49">
        <f>VLOOKUP(Table311[[#This Row],[Date]],'DB Details'!$A:$T,20)</f>
        <v/>
      </c>
      <c r="D660" s="49">
        <f>VLOOKUP(Table311[[#This Row],[Date]],'DB Details'!$A:$T,18)</f>
        <v/>
      </c>
      <c r="E660" s="49">
        <f>VLOOKUP(Table311[[#This Row],[Date]],'DB Details'!$A:$T,19)</f>
        <v/>
      </c>
    </row>
    <row r="661">
      <c r="A661" s="38" t="n">
        <v>37469</v>
      </c>
      <c r="B661" s="48">
        <f>VLOOKUP(Table311[[#This Row],[Date]],'DB Details'!$A:$L,12)</f>
        <v/>
      </c>
      <c r="C661" s="49">
        <f>VLOOKUP(Table311[[#This Row],[Date]],'DB Details'!$A:$T,20)</f>
        <v/>
      </c>
      <c r="D661" s="49">
        <f>VLOOKUP(Table311[[#This Row],[Date]],'DB Details'!$A:$T,18)</f>
        <v/>
      </c>
      <c r="E661" s="49">
        <f>VLOOKUP(Table311[[#This Row],[Date]],'DB Details'!$A:$T,19)</f>
        <v/>
      </c>
    </row>
    <row r="662">
      <c r="A662" s="38" t="n">
        <v>37500</v>
      </c>
      <c r="B662" s="48">
        <f>VLOOKUP(Table311[[#This Row],[Date]],'DB Details'!$A:$L,12)</f>
        <v/>
      </c>
      <c r="C662" s="49">
        <f>VLOOKUP(Table311[[#This Row],[Date]],'DB Details'!$A:$T,20)</f>
        <v/>
      </c>
      <c r="D662" s="49">
        <f>VLOOKUP(Table311[[#This Row],[Date]],'DB Details'!$A:$T,18)</f>
        <v/>
      </c>
      <c r="E662" s="49">
        <f>VLOOKUP(Table311[[#This Row],[Date]],'DB Details'!$A:$T,19)</f>
        <v/>
      </c>
    </row>
    <row r="663">
      <c r="A663" s="38" t="n">
        <v>37530</v>
      </c>
      <c r="B663" s="48">
        <f>VLOOKUP(Table311[[#This Row],[Date]],'DB Details'!$A:$L,12)</f>
        <v/>
      </c>
      <c r="C663" s="49">
        <f>VLOOKUP(Table311[[#This Row],[Date]],'DB Details'!$A:$T,20)</f>
        <v/>
      </c>
      <c r="D663" s="49">
        <f>VLOOKUP(Table311[[#This Row],[Date]],'DB Details'!$A:$T,18)</f>
        <v/>
      </c>
      <c r="E663" s="49">
        <f>VLOOKUP(Table311[[#This Row],[Date]],'DB Details'!$A:$T,19)</f>
        <v/>
      </c>
    </row>
    <row r="664">
      <c r="A664" s="38" t="n">
        <v>37561</v>
      </c>
      <c r="B664" s="48">
        <f>VLOOKUP(Table311[[#This Row],[Date]],'DB Details'!$A:$L,12)</f>
        <v/>
      </c>
      <c r="C664" s="49">
        <f>VLOOKUP(Table311[[#This Row],[Date]],'DB Details'!$A:$T,20)</f>
        <v/>
      </c>
      <c r="D664" s="49">
        <f>VLOOKUP(Table311[[#This Row],[Date]],'DB Details'!$A:$T,18)</f>
        <v/>
      </c>
      <c r="E664" s="49">
        <f>VLOOKUP(Table311[[#This Row],[Date]],'DB Details'!$A:$T,19)</f>
        <v/>
      </c>
    </row>
    <row r="665">
      <c r="A665" s="38" t="n">
        <v>37591</v>
      </c>
      <c r="B665" s="48">
        <f>VLOOKUP(Table311[[#This Row],[Date]],'DB Details'!$A:$L,12)</f>
        <v/>
      </c>
      <c r="C665" s="49">
        <f>VLOOKUP(Table311[[#This Row],[Date]],'DB Details'!$A:$T,20)</f>
        <v/>
      </c>
      <c r="D665" s="49">
        <f>VLOOKUP(Table311[[#This Row],[Date]],'DB Details'!$A:$T,18)</f>
        <v/>
      </c>
      <c r="E665" s="49">
        <f>VLOOKUP(Table311[[#This Row],[Date]],'DB Details'!$A:$T,19)</f>
        <v/>
      </c>
    </row>
    <row r="666">
      <c r="A666" s="38" t="n">
        <v>37622</v>
      </c>
      <c r="B666" s="48">
        <f>VLOOKUP(Table311[[#This Row],[Date]],'DB Details'!$A:$L,12)</f>
        <v/>
      </c>
      <c r="C666" s="49">
        <f>VLOOKUP(Table311[[#This Row],[Date]],'DB Details'!$A:$T,20)</f>
        <v/>
      </c>
      <c r="D666" s="49">
        <f>VLOOKUP(Table311[[#This Row],[Date]],'DB Details'!$A:$T,18)</f>
        <v/>
      </c>
      <c r="E666" s="49">
        <f>VLOOKUP(Table311[[#This Row],[Date]],'DB Details'!$A:$T,19)</f>
        <v/>
      </c>
    </row>
    <row r="667">
      <c r="A667" s="38" t="n">
        <v>37653</v>
      </c>
      <c r="B667" s="48">
        <f>VLOOKUP(Table311[[#This Row],[Date]],'DB Details'!$A:$L,12)</f>
        <v/>
      </c>
      <c r="C667" s="49">
        <f>VLOOKUP(Table311[[#This Row],[Date]],'DB Details'!$A:$T,20)</f>
        <v/>
      </c>
      <c r="D667" s="49">
        <f>VLOOKUP(Table311[[#This Row],[Date]],'DB Details'!$A:$T,18)</f>
        <v/>
      </c>
      <c r="E667" s="49">
        <f>VLOOKUP(Table311[[#This Row],[Date]],'DB Details'!$A:$T,19)</f>
        <v/>
      </c>
    </row>
    <row r="668">
      <c r="A668" s="38" t="n">
        <v>37681</v>
      </c>
      <c r="B668" s="48">
        <f>VLOOKUP(Table311[[#This Row],[Date]],'DB Details'!$A:$L,12)</f>
        <v/>
      </c>
      <c r="C668" s="49">
        <f>VLOOKUP(Table311[[#This Row],[Date]],'DB Details'!$A:$T,20)</f>
        <v/>
      </c>
      <c r="D668" s="49">
        <f>VLOOKUP(Table311[[#This Row],[Date]],'DB Details'!$A:$T,18)</f>
        <v/>
      </c>
      <c r="E668" s="49">
        <f>VLOOKUP(Table311[[#This Row],[Date]],'DB Details'!$A:$T,19)</f>
        <v/>
      </c>
    </row>
    <row r="669">
      <c r="A669" s="38" t="n">
        <v>37712</v>
      </c>
      <c r="B669" s="48">
        <f>VLOOKUP(Table311[[#This Row],[Date]],'DB Details'!$A:$L,12)</f>
        <v/>
      </c>
      <c r="C669" s="49">
        <f>VLOOKUP(Table311[[#This Row],[Date]],'DB Details'!$A:$T,20)</f>
        <v/>
      </c>
      <c r="D669" s="49">
        <f>VLOOKUP(Table311[[#This Row],[Date]],'DB Details'!$A:$T,18)</f>
        <v/>
      </c>
      <c r="E669" s="49">
        <f>VLOOKUP(Table311[[#This Row],[Date]],'DB Details'!$A:$T,19)</f>
        <v/>
      </c>
    </row>
    <row r="670">
      <c r="A670" s="38" t="n">
        <v>37742</v>
      </c>
      <c r="B670" s="48">
        <f>VLOOKUP(Table311[[#This Row],[Date]],'DB Details'!$A:$L,12)</f>
        <v/>
      </c>
      <c r="C670" s="49">
        <f>VLOOKUP(Table311[[#This Row],[Date]],'DB Details'!$A:$T,20)</f>
        <v/>
      </c>
      <c r="D670" s="49">
        <f>VLOOKUP(Table311[[#This Row],[Date]],'DB Details'!$A:$T,18)</f>
        <v/>
      </c>
      <c r="E670" s="49">
        <f>VLOOKUP(Table311[[#This Row],[Date]],'DB Details'!$A:$T,19)</f>
        <v/>
      </c>
    </row>
    <row r="671">
      <c r="A671" s="38" t="n">
        <v>37773</v>
      </c>
      <c r="B671" s="48">
        <f>VLOOKUP(Table311[[#This Row],[Date]],'DB Details'!$A:$L,12)</f>
        <v/>
      </c>
      <c r="C671" s="49">
        <f>VLOOKUP(Table311[[#This Row],[Date]],'DB Details'!$A:$T,20)</f>
        <v/>
      </c>
      <c r="D671" s="49">
        <f>VLOOKUP(Table311[[#This Row],[Date]],'DB Details'!$A:$T,18)</f>
        <v/>
      </c>
      <c r="E671" s="49">
        <f>VLOOKUP(Table311[[#This Row],[Date]],'DB Details'!$A:$T,19)</f>
        <v/>
      </c>
    </row>
    <row r="672">
      <c r="A672" s="38" t="n">
        <v>37803</v>
      </c>
      <c r="B672" s="48">
        <f>VLOOKUP(Table311[[#This Row],[Date]],'DB Details'!$A:$L,12)</f>
        <v/>
      </c>
      <c r="C672" s="49">
        <f>VLOOKUP(Table311[[#This Row],[Date]],'DB Details'!$A:$T,20)</f>
        <v/>
      </c>
      <c r="D672" s="49">
        <f>VLOOKUP(Table311[[#This Row],[Date]],'DB Details'!$A:$T,18)</f>
        <v/>
      </c>
      <c r="E672" s="49">
        <f>VLOOKUP(Table311[[#This Row],[Date]],'DB Details'!$A:$T,19)</f>
        <v/>
      </c>
    </row>
    <row r="673">
      <c r="A673" s="38" t="n">
        <v>37834</v>
      </c>
      <c r="B673" s="48">
        <f>VLOOKUP(Table311[[#This Row],[Date]],'DB Details'!$A:$L,12)</f>
        <v/>
      </c>
      <c r="C673" s="49">
        <f>VLOOKUP(Table311[[#This Row],[Date]],'DB Details'!$A:$T,20)</f>
        <v/>
      </c>
      <c r="D673" s="49">
        <f>VLOOKUP(Table311[[#This Row],[Date]],'DB Details'!$A:$T,18)</f>
        <v/>
      </c>
      <c r="E673" s="49">
        <f>VLOOKUP(Table311[[#This Row],[Date]],'DB Details'!$A:$T,19)</f>
        <v/>
      </c>
    </row>
    <row r="674">
      <c r="A674" s="38" t="n">
        <v>37865</v>
      </c>
      <c r="B674" s="48">
        <f>VLOOKUP(Table311[[#This Row],[Date]],'DB Details'!$A:$L,12)</f>
        <v/>
      </c>
      <c r="C674" s="49">
        <f>VLOOKUP(Table311[[#This Row],[Date]],'DB Details'!$A:$T,20)</f>
        <v/>
      </c>
      <c r="D674" s="49">
        <f>VLOOKUP(Table311[[#This Row],[Date]],'DB Details'!$A:$T,18)</f>
        <v/>
      </c>
      <c r="E674" s="49">
        <f>VLOOKUP(Table311[[#This Row],[Date]],'DB Details'!$A:$T,19)</f>
        <v/>
      </c>
    </row>
    <row r="675">
      <c r="A675" s="38" t="n">
        <v>37895</v>
      </c>
      <c r="B675" s="48">
        <f>VLOOKUP(Table311[[#This Row],[Date]],'DB Details'!$A:$L,12)</f>
        <v/>
      </c>
      <c r="C675" s="49">
        <f>VLOOKUP(Table311[[#This Row],[Date]],'DB Details'!$A:$T,20)</f>
        <v/>
      </c>
      <c r="D675" s="49">
        <f>VLOOKUP(Table311[[#This Row],[Date]],'DB Details'!$A:$T,18)</f>
        <v/>
      </c>
      <c r="E675" s="49">
        <f>VLOOKUP(Table311[[#This Row],[Date]],'DB Details'!$A:$T,19)</f>
        <v/>
      </c>
    </row>
    <row r="676">
      <c r="A676" s="38" t="n">
        <v>37926</v>
      </c>
      <c r="B676" s="48">
        <f>VLOOKUP(Table311[[#This Row],[Date]],'DB Details'!$A:$L,12)</f>
        <v/>
      </c>
      <c r="C676" s="49">
        <f>VLOOKUP(Table311[[#This Row],[Date]],'DB Details'!$A:$T,20)</f>
        <v/>
      </c>
      <c r="D676" s="49">
        <f>VLOOKUP(Table311[[#This Row],[Date]],'DB Details'!$A:$T,18)</f>
        <v/>
      </c>
      <c r="E676" s="49">
        <f>VLOOKUP(Table311[[#This Row],[Date]],'DB Details'!$A:$T,19)</f>
        <v/>
      </c>
    </row>
    <row r="677">
      <c r="A677" s="38" t="n">
        <v>37956</v>
      </c>
      <c r="B677" s="48">
        <f>VLOOKUP(Table311[[#This Row],[Date]],'DB Details'!$A:$L,12)</f>
        <v/>
      </c>
      <c r="C677" s="49">
        <f>VLOOKUP(Table311[[#This Row],[Date]],'DB Details'!$A:$T,20)</f>
        <v/>
      </c>
      <c r="D677" s="49">
        <f>VLOOKUP(Table311[[#This Row],[Date]],'DB Details'!$A:$T,18)</f>
        <v/>
      </c>
      <c r="E677" s="49">
        <f>VLOOKUP(Table311[[#This Row],[Date]],'DB Details'!$A:$T,19)</f>
        <v/>
      </c>
    </row>
    <row r="678">
      <c r="A678" s="38" t="n">
        <v>37987</v>
      </c>
      <c r="B678" s="48">
        <f>VLOOKUP(Table311[[#This Row],[Date]],'DB Details'!$A:$L,12)</f>
        <v/>
      </c>
      <c r="C678" s="49">
        <f>VLOOKUP(Table311[[#This Row],[Date]],'DB Details'!$A:$T,20)</f>
        <v/>
      </c>
      <c r="D678" s="49">
        <f>VLOOKUP(Table311[[#This Row],[Date]],'DB Details'!$A:$T,18)</f>
        <v/>
      </c>
      <c r="E678" s="49">
        <f>VLOOKUP(Table311[[#This Row],[Date]],'DB Details'!$A:$T,19)</f>
        <v/>
      </c>
    </row>
    <row r="679">
      <c r="A679" s="38" t="n">
        <v>38018</v>
      </c>
      <c r="B679" s="48">
        <f>VLOOKUP(Table311[[#This Row],[Date]],'DB Details'!$A:$L,12)</f>
        <v/>
      </c>
      <c r="C679" s="49">
        <f>VLOOKUP(Table311[[#This Row],[Date]],'DB Details'!$A:$T,20)</f>
        <v/>
      </c>
      <c r="D679" s="49">
        <f>VLOOKUP(Table311[[#This Row],[Date]],'DB Details'!$A:$T,18)</f>
        <v/>
      </c>
      <c r="E679" s="49">
        <f>VLOOKUP(Table311[[#This Row],[Date]],'DB Details'!$A:$T,19)</f>
        <v/>
      </c>
    </row>
    <row r="680">
      <c r="A680" s="38" t="n">
        <v>38047</v>
      </c>
      <c r="B680" s="48">
        <f>VLOOKUP(Table311[[#This Row],[Date]],'DB Details'!$A:$L,12)</f>
        <v/>
      </c>
      <c r="C680" s="49">
        <f>VLOOKUP(Table311[[#This Row],[Date]],'DB Details'!$A:$T,20)</f>
        <v/>
      </c>
      <c r="D680" s="49">
        <f>VLOOKUP(Table311[[#This Row],[Date]],'DB Details'!$A:$T,18)</f>
        <v/>
      </c>
      <c r="E680" s="49">
        <f>VLOOKUP(Table311[[#This Row],[Date]],'DB Details'!$A:$T,19)</f>
        <v/>
      </c>
    </row>
    <row r="681">
      <c r="A681" s="38" t="n">
        <v>38078</v>
      </c>
      <c r="B681" s="48">
        <f>VLOOKUP(Table311[[#This Row],[Date]],'DB Details'!$A:$L,12)</f>
        <v/>
      </c>
      <c r="C681" s="49">
        <f>VLOOKUP(Table311[[#This Row],[Date]],'DB Details'!$A:$T,20)</f>
        <v/>
      </c>
      <c r="D681" s="49">
        <f>VLOOKUP(Table311[[#This Row],[Date]],'DB Details'!$A:$T,18)</f>
        <v/>
      </c>
      <c r="E681" s="49">
        <f>VLOOKUP(Table311[[#This Row],[Date]],'DB Details'!$A:$T,19)</f>
        <v/>
      </c>
    </row>
    <row r="682">
      <c r="A682" s="38" t="n">
        <v>38108</v>
      </c>
      <c r="B682" s="48">
        <f>VLOOKUP(Table311[[#This Row],[Date]],'DB Details'!$A:$L,12)</f>
        <v/>
      </c>
      <c r="C682" s="49">
        <f>VLOOKUP(Table311[[#This Row],[Date]],'DB Details'!$A:$T,20)</f>
        <v/>
      </c>
      <c r="D682" s="49">
        <f>VLOOKUP(Table311[[#This Row],[Date]],'DB Details'!$A:$T,18)</f>
        <v/>
      </c>
      <c r="E682" s="49">
        <f>VLOOKUP(Table311[[#This Row],[Date]],'DB Details'!$A:$T,19)</f>
        <v/>
      </c>
    </row>
    <row r="683">
      <c r="A683" s="38" t="n">
        <v>38139</v>
      </c>
      <c r="B683" s="48">
        <f>VLOOKUP(Table311[[#This Row],[Date]],'DB Details'!$A:$L,12)</f>
        <v/>
      </c>
      <c r="C683" s="49">
        <f>VLOOKUP(Table311[[#This Row],[Date]],'DB Details'!$A:$T,20)</f>
        <v/>
      </c>
      <c r="D683" s="49">
        <f>VLOOKUP(Table311[[#This Row],[Date]],'DB Details'!$A:$T,18)</f>
        <v/>
      </c>
      <c r="E683" s="49">
        <f>VLOOKUP(Table311[[#This Row],[Date]],'DB Details'!$A:$T,19)</f>
        <v/>
      </c>
    </row>
    <row r="684">
      <c r="A684" s="38" t="n">
        <v>38169</v>
      </c>
      <c r="B684" s="48">
        <f>VLOOKUP(Table311[[#This Row],[Date]],'DB Details'!$A:$L,12)</f>
        <v/>
      </c>
      <c r="C684" s="49">
        <f>VLOOKUP(Table311[[#This Row],[Date]],'DB Details'!$A:$T,20)</f>
        <v/>
      </c>
      <c r="D684" s="49">
        <f>VLOOKUP(Table311[[#This Row],[Date]],'DB Details'!$A:$T,18)</f>
        <v/>
      </c>
      <c r="E684" s="49">
        <f>VLOOKUP(Table311[[#This Row],[Date]],'DB Details'!$A:$T,19)</f>
        <v/>
      </c>
    </row>
    <row r="685">
      <c r="A685" s="38" t="n">
        <v>38200</v>
      </c>
      <c r="B685" s="48">
        <f>VLOOKUP(Table311[[#This Row],[Date]],'DB Details'!$A:$L,12)</f>
        <v/>
      </c>
      <c r="C685" s="49">
        <f>VLOOKUP(Table311[[#This Row],[Date]],'DB Details'!$A:$T,20)</f>
        <v/>
      </c>
      <c r="D685" s="49">
        <f>VLOOKUP(Table311[[#This Row],[Date]],'DB Details'!$A:$T,18)</f>
        <v/>
      </c>
      <c r="E685" s="49">
        <f>VLOOKUP(Table311[[#This Row],[Date]],'DB Details'!$A:$T,19)</f>
        <v/>
      </c>
    </row>
    <row r="686">
      <c r="A686" s="38" t="n">
        <v>38231</v>
      </c>
      <c r="B686" s="48">
        <f>VLOOKUP(Table311[[#This Row],[Date]],'DB Details'!$A:$L,12)</f>
        <v/>
      </c>
      <c r="C686" s="49">
        <f>VLOOKUP(Table311[[#This Row],[Date]],'DB Details'!$A:$T,20)</f>
        <v/>
      </c>
      <c r="D686" s="49">
        <f>VLOOKUP(Table311[[#This Row],[Date]],'DB Details'!$A:$T,18)</f>
        <v/>
      </c>
      <c r="E686" s="49">
        <f>VLOOKUP(Table311[[#This Row],[Date]],'DB Details'!$A:$T,19)</f>
        <v/>
      </c>
    </row>
    <row r="687">
      <c r="A687" s="38" t="n">
        <v>38261</v>
      </c>
      <c r="B687" s="48">
        <f>VLOOKUP(Table311[[#This Row],[Date]],'DB Details'!$A:$L,12)</f>
        <v/>
      </c>
      <c r="C687" s="49">
        <f>VLOOKUP(Table311[[#This Row],[Date]],'DB Details'!$A:$T,20)</f>
        <v/>
      </c>
      <c r="D687" s="49">
        <f>VLOOKUP(Table311[[#This Row],[Date]],'DB Details'!$A:$T,18)</f>
        <v/>
      </c>
      <c r="E687" s="49">
        <f>VLOOKUP(Table311[[#This Row],[Date]],'DB Details'!$A:$T,19)</f>
        <v/>
      </c>
    </row>
    <row r="688">
      <c r="A688" s="38" t="n">
        <v>38292</v>
      </c>
      <c r="B688" s="48">
        <f>VLOOKUP(Table311[[#This Row],[Date]],'DB Details'!$A:$L,12)</f>
        <v/>
      </c>
      <c r="C688" s="49">
        <f>VLOOKUP(Table311[[#This Row],[Date]],'DB Details'!$A:$T,20)</f>
        <v/>
      </c>
      <c r="D688" s="49">
        <f>VLOOKUP(Table311[[#This Row],[Date]],'DB Details'!$A:$T,18)</f>
        <v/>
      </c>
      <c r="E688" s="49">
        <f>VLOOKUP(Table311[[#This Row],[Date]],'DB Details'!$A:$T,19)</f>
        <v/>
      </c>
    </row>
    <row r="689">
      <c r="A689" s="38" t="n">
        <v>38322</v>
      </c>
      <c r="B689" s="48">
        <f>VLOOKUP(Table311[[#This Row],[Date]],'DB Details'!$A:$L,12)</f>
        <v/>
      </c>
      <c r="C689" s="49">
        <f>VLOOKUP(Table311[[#This Row],[Date]],'DB Details'!$A:$T,20)</f>
        <v/>
      </c>
      <c r="D689" s="49">
        <f>VLOOKUP(Table311[[#This Row],[Date]],'DB Details'!$A:$T,18)</f>
        <v/>
      </c>
      <c r="E689" s="49">
        <f>VLOOKUP(Table311[[#This Row],[Date]],'DB Details'!$A:$T,19)</f>
        <v/>
      </c>
    </row>
    <row r="690">
      <c r="A690" s="38" t="n">
        <v>38353</v>
      </c>
      <c r="B690" s="48">
        <f>VLOOKUP(Table311[[#This Row],[Date]],'DB Details'!$A:$L,12)</f>
        <v/>
      </c>
      <c r="C690" s="49">
        <f>VLOOKUP(Table311[[#This Row],[Date]],'DB Details'!$A:$T,20)</f>
        <v/>
      </c>
      <c r="D690" s="49">
        <f>VLOOKUP(Table311[[#This Row],[Date]],'DB Details'!$A:$T,18)</f>
        <v/>
      </c>
      <c r="E690" s="49">
        <f>VLOOKUP(Table311[[#This Row],[Date]],'DB Details'!$A:$T,19)</f>
        <v/>
      </c>
    </row>
    <row r="691">
      <c r="A691" s="38" t="n">
        <v>38384</v>
      </c>
      <c r="B691" s="48">
        <f>VLOOKUP(Table311[[#This Row],[Date]],'DB Details'!$A:$L,12)</f>
        <v/>
      </c>
      <c r="C691" s="49">
        <f>VLOOKUP(Table311[[#This Row],[Date]],'DB Details'!$A:$T,20)</f>
        <v/>
      </c>
      <c r="D691" s="49">
        <f>VLOOKUP(Table311[[#This Row],[Date]],'DB Details'!$A:$T,18)</f>
        <v/>
      </c>
      <c r="E691" s="49">
        <f>VLOOKUP(Table311[[#This Row],[Date]],'DB Details'!$A:$T,19)</f>
        <v/>
      </c>
    </row>
    <row r="692">
      <c r="A692" s="38" t="n">
        <v>38412</v>
      </c>
      <c r="B692" s="48">
        <f>VLOOKUP(Table311[[#This Row],[Date]],'DB Details'!$A:$L,12)</f>
        <v/>
      </c>
      <c r="C692" s="49">
        <f>VLOOKUP(Table311[[#This Row],[Date]],'DB Details'!$A:$T,20)</f>
        <v/>
      </c>
      <c r="D692" s="49">
        <f>VLOOKUP(Table311[[#This Row],[Date]],'DB Details'!$A:$T,18)</f>
        <v/>
      </c>
      <c r="E692" s="49">
        <f>VLOOKUP(Table311[[#This Row],[Date]],'DB Details'!$A:$T,19)</f>
        <v/>
      </c>
    </row>
    <row r="693">
      <c r="A693" s="38" t="n">
        <v>38443</v>
      </c>
      <c r="B693" s="48">
        <f>VLOOKUP(Table311[[#This Row],[Date]],'DB Details'!$A:$L,12)</f>
        <v/>
      </c>
      <c r="C693" s="49">
        <f>VLOOKUP(Table311[[#This Row],[Date]],'DB Details'!$A:$T,20)</f>
        <v/>
      </c>
      <c r="D693" s="49">
        <f>VLOOKUP(Table311[[#This Row],[Date]],'DB Details'!$A:$T,18)</f>
        <v/>
      </c>
      <c r="E693" s="49">
        <f>VLOOKUP(Table311[[#This Row],[Date]],'DB Details'!$A:$T,19)</f>
        <v/>
      </c>
    </row>
    <row r="694">
      <c r="A694" s="38" t="n">
        <v>38473</v>
      </c>
      <c r="B694" s="48">
        <f>VLOOKUP(Table311[[#This Row],[Date]],'DB Details'!$A:$L,12)</f>
        <v/>
      </c>
      <c r="C694" s="49">
        <f>VLOOKUP(Table311[[#This Row],[Date]],'DB Details'!$A:$T,20)</f>
        <v/>
      </c>
      <c r="D694" s="49">
        <f>VLOOKUP(Table311[[#This Row],[Date]],'DB Details'!$A:$T,18)</f>
        <v/>
      </c>
      <c r="E694" s="49">
        <f>VLOOKUP(Table311[[#This Row],[Date]],'DB Details'!$A:$T,19)</f>
        <v/>
      </c>
    </row>
    <row r="695">
      <c r="A695" s="38" t="n">
        <v>38504</v>
      </c>
      <c r="B695" s="48">
        <f>VLOOKUP(Table311[[#This Row],[Date]],'DB Details'!$A:$L,12)</f>
        <v/>
      </c>
      <c r="C695" s="49">
        <f>VLOOKUP(Table311[[#This Row],[Date]],'DB Details'!$A:$T,20)</f>
        <v/>
      </c>
      <c r="D695" s="49">
        <f>VLOOKUP(Table311[[#This Row],[Date]],'DB Details'!$A:$T,18)</f>
        <v/>
      </c>
      <c r="E695" s="49">
        <f>VLOOKUP(Table311[[#This Row],[Date]],'DB Details'!$A:$T,19)</f>
        <v/>
      </c>
    </row>
    <row r="696">
      <c r="A696" s="38" t="n">
        <v>38534</v>
      </c>
      <c r="B696" s="48">
        <f>VLOOKUP(Table311[[#This Row],[Date]],'DB Details'!$A:$L,12)</f>
        <v/>
      </c>
      <c r="C696" s="49">
        <f>VLOOKUP(Table311[[#This Row],[Date]],'DB Details'!$A:$T,20)</f>
        <v/>
      </c>
      <c r="D696" s="49">
        <f>VLOOKUP(Table311[[#This Row],[Date]],'DB Details'!$A:$T,18)</f>
        <v/>
      </c>
      <c r="E696" s="49">
        <f>VLOOKUP(Table311[[#This Row],[Date]],'DB Details'!$A:$T,19)</f>
        <v/>
      </c>
    </row>
    <row r="697">
      <c r="A697" s="38" t="n">
        <v>38565</v>
      </c>
      <c r="B697" s="48">
        <f>VLOOKUP(Table311[[#This Row],[Date]],'DB Details'!$A:$L,12)</f>
        <v/>
      </c>
      <c r="C697" s="49">
        <f>VLOOKUP(Table311[[#This Row],[Date]],'DB Details'!$A:$T,20)</f>
        <v/>
      </c>
      <c r="D697" s="49">
        <f>VLOOKUP(Table311[[#This Row],[Date]],'DB Details'!$A:$T,18)</f>
        <v/>
      </c>
      <c r="E697" s="49">
        <f>VLOOKUP(Table311[[#This Row],[Date]],'DB Details'!$A:$T,19)</f>
        <v/>
      </c>
    </row>
    <row r="698">
      <c r="A698" s="38" t="n">
        <v>38596</v>
      </c>
      <c r="B698" s="48">
        <f>VLOOKUP(Table311[[#This Row],[Date]],'DB Details'!$A:$L,12)</f>
        <v/>
      </c>
      <c r="C698" s="49">
        <f>VLOOKUP(Table311[[#This Row],[Date]],'DB Details'!$A:$T,20)</f>
        <v/>
      </c>
      <c r="D698" s="49">
        <f>VLOOKUP(Table311[[#This Row],[Date]],'DB Details'!$A:$T,18)</f>
        <v/>
      </c>
      <c r="E698" s="49">
        <f>VLOOKUP(Table311[[#This Row],[Date]],'DB Details'!$A:$T,19)</f>
        <v/>
      </c>
    </row>
    <row r="699">
      <c r="A699" s="38" t="n">
        <v>38626</v>
      </c>
      <c r="B699" s="48">
        <f>VLOOKUP(Table311[[#This Row],[Date]],'DB Details'!$A:$L,12)</f>
        <v/>
      </c>
      <c r="C699" s="49">
        <f>VLOOKUP(Table311[[#This Row],[Date]],'DB Details'!$A:$T,20)</f>
        <v/>
      </c>
      <c r="D699" s="49">
        <f>VLOOKUP(Table311[[#This Row],[Date]],'DB Details'!$A:$T,18)</f>
        <v/>
      </c>
      <c r="E699" s="49">
        <f>VLOOKUP(Table311[[#This Row],[Date]],'DB Details'!$A:$T,19)</f>
        <v/>
      </c>
    </row>
    <row r="700">
      <c r="A700" s="38" t="n">
        <v>38657</v>
      </c>
      <c r="B700" s="48">
        <f>VLOOKUP(Table311[[#This Row],[Date]],'DB Details'!$A:$L,12)</f>
        <v/>
      </c>
      <c r="C700" s="49">
        <f>VLOOKUP(Table311[[#This Row],[Date]],'DB Details'!$A:$T,20)</f>
        <v/>
      </c>
      <c r="D700" s="49">
        <f>VLOOKUP(Table311[[#This Row],[Date]],'DB Details'!$A:$T,18)</f>
        <v/>
      </c>
      <c r="E700" s="49">
        <f>VLOOKUP(Table311[[#This Row],[Date]],'DB Details'!$A:$T,19)</f>
        <v/>
      </c>
    </row>
    <row r="701">
      <c r="A701" s="38" t="n">
        <v>38687</v>
      </c>
      <c r="B701" s="48">
        <f>VLOOKUP(Table311[[#This Row],[Date]],'DB Details'!$A:$L,12)</f>
        <v/>
      </c>
      <c r="C701" s="49">
        <f>VLOOKUP(Table311[[#This Row],[Date]],'DB Details'!$A:$T,20)</f>
        <v/>
      </c>
      <c r="D701" s="49">
        <f>VLOOKUP(Table311[[#This Row],[Date]],'DB Details'!$A:$T,18)</f>
        <v/>
      </c>
      <c r="E701" s="49">
        <f>VLOOKUP(Table311[[#This Row],[Date]],'DB Details'!$A:$T,19)</f>
        <v/>
      </c>
    </row>
    <row r="702">
      <c r="A702" s="38" t="n">
        <v>38718</v>
      </c>
      <c r="B702" s="48">
        <f>VLOOKUP(Table311[[#This Row],[Date]],'DB Details'!$A:$L,12)</f>
        <v/>
      </c>
      <c r="C702" s="49">
        <f>VLOOKUP(Table311[[#This Row],[Date]],'DB Details'!$A:$T,20)</f>
        <v/>
      </c>
      <c r="D702" s="49">
        <f>VLOOKUP(Table311[[#This Row],[Date]],'DB Details'!$A:$T,18)</f>
        <v/>
      </c>
      <c r="E702" s="49">
        <f>VLOOKUP(Table311[[#This Row],[Date]],'DB Details'!$A:$T,19)</f>
        <v/>
      </c>
    </row>
    <row r="703">
      <c r="A703" s="38" t="n">
        <v>38749</v>
      </c>
      <c r="B703" s="48">
        <f>VLOOKUP(Table311[[#This Row],[Date]],'DB Details'!$A:$L,12)</f>
        <v/>
      </c>
      <c r="C703" s="49">
        <f>VLOOKUP(Table311[[#This Row],[Date]],'DB Details'!$A:$T,20)</f>
        <v/>
      </c>
      <c r="D703" s="49">
        <f>VLOOKUP(Table311[[#This Row],[Date]],'DB Details'!$A:$T,18)</f>
        <v/>
      </c>
      <c r="E703" s="49">
        <f>VLOOKUP(Table311[[#This Row],[Date]],'DB Details'!$A:$T,19)</f>
        <v/>
      </c>
    </row>
    <row r="704">
      <c r="A704" s="38" t="n">
        <v>38777</v>
      </c>
      <c r="B704" s="48">
        <f>VLOOKUP(Table311[[#This Row],[Date]],'DB Details'!$A:$L,12)</f>
        <v/>
      </c>
      <c r="C704" s="49">
        <f>VLOOKUP(Table311[[#This Row],[Date]],'DB Details'!$A:$T,20)</f>
        <v/>
      </c>
      <c r="D704" s="49">
        <f>VLOOKUP(Table311[[#This Row],[Date]],'DB Details'!$A:$T,18)</f>
        <v/>
      </c>
      <c r="E704" s="49">
        <f>VLOOKUP(Table311[[#This Row],[Date]],'DB Details'!$A:$T,19)</f>
        <v/>
      </c>
    </row>
    <row r="705">
      <c r="A705" s="38" t="n">
        <v>38808</v>
      </c>
      <c r="B705" s="48">
        <f>VLOOKUP(Table311[[#This Row],[Date]],'DB Details'!$A:$L,12)</f>
        <v/>
      </c>
      <c r="C705" s="49">
        <f>VLOOKUP(Table311[[#This Row],[Date]],'DB Details'!$A:$T,20)</f>
        <v/>
      </c>
      <c r="D705" s="49">
        <f>VLOOKUP(Table311[[#This Row],[Date]],'DB Details'!$A:$T,18)</f>
        <v/>
      </c>
      <c r="E705" s="49">
        <f>VLOOKUP(Table311[[#This Row],[Date]],'DB Details'!$A:$T,19)</f>
        <v/>
      </c>
    </row>
    <row r="706">
      <c r="A706" s="38" t="n">
        <v>38838</v>
      </c>
      <c r="B706" s="48">
        <f>VLOOKUP(Table311[[#This Row],[Date]],'DB Details'!$A:$L,12)</f>
        <v/>
      </c>
      <c r="C706" s="49">
        <f>VLOOKUP(Table311[[#This Row],[Date]],'DB Details'!$A:$T,20)</f>
        <v/>
      </c>
      <c r="D706" s="49">
        <f>VLOOKUP(Table311[[#This Row],[Date]],'DB Details'!$A:$T,18)</f>
        <v/>
      </c>
      <c r="E706" s="49">
        <f>VLOOKUP(Table311[[#This Row],[Date]],'DB Details'!$A:$T,19)</f>
        <v/>
      </c>
    </row>
    <row r="707">
      <c r="A707" s="38" t="n">
        <v>38869</v>
      </c>
      <c r="B707" s="48">
        <f>VLOOKUP(Table311[[#This Row],[Date]],'DB Details'!$A:$L,12)</f>
        <v/>
      </c>
      <c r="C707" s="49">
        <f>VLOOKUP(Table311[[#This Row],[Date]],'DB Details'!$A:$T,20)</f>
        <v/>
      </c>
      <c r="D707" s="49">
        <f>VLOOKUP(Table311[[#This Row],[Date]],'DB Details'!$A:$T,18)</f>
        <v/>
      </c>
      <c r="E707" s="49">
        <f>VLOOKUP(Table311[[#This Row],[Date]],'DB Details'!$A:$T,19)</f>
        <v/>
      </c>
    </row>
    <row r="708">
      <c r="A708" s="38" t="n">
        <v>38899</v>
      </c>
      <c r="B708" s="48">
        <f>VLOOKUP(Table311[[#This Row],[Date]],'DB Details'!$A:$L,12)</f>
        <v/>
      </c>
      <c r="C708" s="49">
        <f>VLOOKUP(Table311[[#This Row],[Date]],'DB Details'!$A:$T,20)</f>
        <v/>
      </c>
      <c r="D708" s="49">
        <f>VLOOKUP(Table311[[#This Row],[Date]],'DB Details'!$A:$T,18)</f>
        <v/>
      </c>
      <c r="E708" s="49">
        <f>VLOOKUP(Table311[[#This Row],[Date]],'DB Details'!$A:$T,19)</f>
        <v/>
      </c>
    </row>
    <row r="709">
      <c r="A709" s="38" t="n">
        <v>38930</v>
      </c>
      <c r="B709" s="48">
        <f>VLOOKUP(Table311[[#This Row],[Date]],'DB Details'!$A:$L,12)</f>
        <v/>
      </c>
      <c r="C709" s="49">
        <f>VLOOKUP(Table311[[#This Row],[Date]],'DB Details'!$A:$T,20)</f>
        <v/>
      </c>
      <c r="D709" s="49">
        <f>VLOOKUP(Table311[[#This Row],[Date]],'DB Details'!$A:$T,18)</f>
        <v/>
      </c>
      <c r="E709" s="49">
        <f>VLOOKUP(Table311[[#This Row],[Date]],'DB Details'!$A:$T,19)</f>
        <v/>
      </c>
    </row>
    <row r="710">
      <c r="A710" s="38" t="n">
        <v>38961</v>
      </c>
      <c r="B710" s="48">
        <f>VLOOKUP(Table311[[#This Row],[Date]],'DB Details'!$A:$L,12)</f>
        <v/>
      </c>
      <c r="C710" s="49">
        <f>VLOOKUP(Table311[[#This Row],[Date]],'DB Details'!$A:$T,20)</f>
        <v/>
      </c>
      <c r="D710" s="49">
        <f>VLOOKUP(Table311[[#This Row],[Date]],'DB Details'!$A:$T,18)</f>
        <v/>
      </c>
      <c r="E710" s="49">
        <f>VLOOKUP(Table311[[#This Row],[Date]],'DB Details'!$A:$T,19)</f>
        <v/>
      </c>
    </row>
    <row r="711">
      <c r="A711" s="38" t="n">
        <v>38991</v>
      </c>
      <c r="B711" s="48">
        <f>VLOOKUP(Table311[[#This Row],[Date]],'DB Details'!$A:$L,12)</f>
        <v/>
      </c>
      <c r="C711" s="49">
        <f>VLOOKUP(Table311[[#This Row],[Date]],'DB Details'!$A:$T,20)</f>
        <v/>
      </c>
      <c r="D711" s="49">
        <f>VLOOKUP(Table311[[#This Row],[Date]],'DB Details'!$A:$T,18)</f>
        <v/>
      </c>
      <c r="E711" s="49">
        <f>VLOOKUP(Table311[[#This Row],[Date]],'DB Details'!$A:$T,19)</f>
        <v/>
      </c>
    </row>
    <row r="712">
      <c r="A712" s="38" t="n">
        <v>39022</v>
      </c>
      <c r="B712" s="48">
        <f>VLOOKUP(Table311[[#This Row],[Date]],'DB Details'!$A:$L,12)</f>
        <v/>
      </c>
      <c r="C712" s="49">
        <f>VLOOKUP(Table311[[#This Row],[Date]],'DB Details'!$A:$T,20)</f>
        <v/>
      </c>
      <c r="D712" s="49">
        <f>VLOOKUP(Table311[[#This Row],[Date]],'DB Details'!$A:$T,18)</f>
        <v/>
      </c>
      <c r="E712" s="49">
        <f>VLOOKUP(Table311[[#This Row],[Date]],'DB Details'!$A:$T,19)</f>
        <v/>
      </c>
    </row>
    <row r="713">
      <c r="A713" s="38" t="n">
        <v>39052</v>
      </c>
      <c r="B713" s="48">
        <f>VLOOKUP(Table311[[#This Row],[Date]],'DB Details'!$A:$L,12)</f>
        <v/>
      </c>
      <c r="C713" s="49">
        <f>VLOOKUP(Table311[[#This Row],[Date]],'DB Details'!$A:$T,20)</f>
        <v/>
      </c>
      <c r="D713" s="49">
        <f>VLOOKUP(Table311[[#This Row],[Date]],'DB Details'!$A:$T,18)</f>
        <v/>
      </c>
      <c r="E713" s="49">
        <f>VLOOKUP(Table311[[#This Row],[Date]],'DB Details'!$A:$T,19)</f>
        <v/>
      </c>
    </row>
    <row r="714">
      <c r="A714" s="38" t="n">
        <v>39083</v>
      </c>
      <c r="B714" s="48">
        <f>VLOOKUP(Table311[[#This Row],[Date]],'DB Details'!$A:$L,12)</f>
        <v/>
      </c>
      <c r="C714" s="49">
        <f>VLOOKUP(Table311[[#This Row],[Date]],'DB Details'!$A:$T,20)</f>
        <v/>
      </c>
      <c r="D714" s="49">
        <f>VLOOKUP(Table311[[#This Row],[Date]],'DB Details'!$A:$T,18)</f>
        <v/>
      </c>
      <c r="E714" s="49">
        <f>VLOOKUP(Table311[[#This Row],[Date]],'DB Details'!$A:$T,19)</f>
        <v/>
      </c>
    </row>
    <row r="715">
      <c r="A715" s="38" t="n">
        <v>39114</v>
      </c>
      <c r="B715" s="48">
        <f>VLOOKUP(Table311[[#This Row],[Date]],'DB Details'!$A:$L,12)</f>
        <v/>
      </c>
      <c r="C715" s="49">
        <f>VLOOKUP(Table311[[#This Row],[Date]],'DB Details'!$A:$T,20)</f>
        <v/>
      </c>
      <c r="D715" s="49">
        <f>VLOOKUP(Table311[[#This Row],[Date]],'DB Details'!$A:$T,18)</f>
        <v/>
      </c>
      <c r="E715" s="49">
        <f>VLOOKUP(Table311[[#This Row],[Date]],'DB Details'!$A:$T,19)</f>
        <v/>
      </c>
    </row>
    <row r="716">
      <c r="A716" s="38" t="n">
        <v>39142</v>
      </c>
      <c r="B716" s="48">
        <f>VLOOKUP(Table311[[#This Row],[Date]],'DB Details'!$A:$L,12)</f>
        <v/>
      </c>
      <c r="C716" s="49">
        <f>VLOOKUP(Table311[[#This Row],[Date]],'DB Details'!$A:$T,20)</f>
        <v/>
      </c>
      <c r="D716" s="49">
        <f>VLOOKUP(Table311[[#This Row],[Date]],'DB Details'!$A:$T,18)</f>
        <v/>
      </c>
      <c r="E716" s="49">
        <f>VLOOKUP(Table311[[#This Row],[Date]],'DB Details'!$A:$T,19)</f>
        <v/>
      </c>
    </row>
    <row r="717">
      <c r="A717" s="38" t="n">
        <v>39173</v>
      </c>
      <c r="B717" s="48">
        <f>VLOOKUP(Table311[[#This Row],[Date]],'DB Details'!$A:$L,12)</f>
        <v/>
      </c>
      <c r="C717" s="49">
        <f>VLOOKUP(Table311[[#This Row],[Date]],'DB Details'!$A:$T,20)</f>
        <v/>
      </c>
      <c r="D717" s="49">
        <f>VLOOKUP(Table311[[#This Row],[Date]],'DB Details'!$A:$T,18)</f>
        <v/>
      </c>
      <c r="E717" s="49">
        <f>VLOOKUP(Table311[[#This Row],[Date]],'DB Details'!$A:$T,19)</f>
        <v/>
      </c>
    </row>
    <row r="718">
      <c r="A718" s="38" t="n">
        <v>39203</v>
      </c>
      <c r="B718" s="48">
        <f>VLOOKUP(Table311[[#This Row],[Date]],'DB Details'!$A:$L,12)</f>
        <v/>
      </c>
      <c r="C718" s="49">
        <f>VLOOKUP(Table311[[#This Row],[Date]],'DB Details'!$A:$T,20)</f>
        <v/>
      </c>
      <c r="D718" s="49">
        <f>VLOOKUP(Table311[[#This Row],[Date]],'DB Details'!$A:$T,18)</f>
        <v/>
      </c>
      <c r="E718" s="49">
        <f>VLOOKUP(Table311[[#This Row],[Date]],'DB Details'!$A:$T,19)</f>
        <v/>
      </c>
    </row>
    <row r="719">
      <c r="A719" s="38" t="n">
        <v>39234</v>
      </c>
      <c r="B719" s="48">
        <f>VLOOKUP(Table311[[#This Row],[Date]],'DB Details'!$A:$L,12)</f>
        <v/>
      </c>
      <c r="C719" s="49">
        <f>VLOOKUP(Table311[[#This Row],[Date]],'DB Details'!$A:$T,20)</f>
        <v/>
      </c>
      <c r="D719" s="49">
        <f>VLOOKUP(Table311[[#This Row],[Date]],'DB Details'!$A:$T,18)</f>
        <v/>
      </c>
      <c r="E719" s="49">
        <f>VLOOKUP(Table311[[#This Row],[Date]],'DB Details'!$A:$T,19)</f>
        <v/>
      </c>
    </row>
    <row r="720">
      <c r="A720" s="38" t="n">
        <v>39264</v>
      </c>
      <c r="B720" s="48">
        <f>VLOOKUP(Table311[[#This Row],[Date]],'DB Details'!$A:$L,12)</f>
        <v/>
      </c>
      <c r="C720" s="49">
        <f>VLOOKUP(Table311[[#This Row],[Date]],'DB Details'!$A:$T,20)</f>
        <v/>
      </c>
      <c r="D720" s="49">
        <f>VLOOKUP(Table311[[#This Row],[Date]],'DB Details'!$A:$T,18)</f>
        <v/>
      </c>
      <c r="E720" s="49">
        <f>VLOOKUP(Table311[[#This Row],[Date]],'DB Details'!$A:$T,19)</f>
        <v/>
      </c>
    </row>
    <row r="721">
      <c r="A721" s="38" t="n">
        <v>39295</v>
      </c>
      <c r="B721" s="48">
        <f>VLOOKUP(Table311[[#This Row],[Date]],'DB Details'!$A:$L,12)</f>
        <v/>
      </c>
      <c r="C721" s="49">
        <f>VLOOKUP(Table311[[#This Row],[Date]],'DB Details'!$A:$T,20)</f>
        <v/>
      </c>
      <c r="D721" s="49">
        <f>VLOOKUP(Table311[[#This Row],[Date]],'DB Details'!$A:$T,18)</f>
        <v/>
      </c>
      <c r="E721" s="49">
        <f>VLOOKUP(Table311[[#This Row],[Date]],'DB Details'!$A:$T,19)</f>
        <v/>
      </c>
    </row>
    <row r="722">
      <c r="A722" s="38" t="n">
        <v>39326</v>
      </c>
      <c r="B722" s="48">
        <f>VLOOKUP(Table311[[#This Row],[Date]],'DB Details'!$A:$L,12)</f>
        <v/>
      </c>
      <c r="C722" s="49">
        <f>VLOOKUP(Table311[[#This Row],[Date]],'DB Details'!$A:$T,20)</f>
        <v/>
      </c>
      <c r="D722" s="49">
        <f>VLOOKUP(Table311[[#This Row],[Date]],'DB Details'!$A:$T,18)</f>
        <v/>
      </c>
      <c r="E722" s="49">
        <f>VLOOKUP(Table311[[#This Row],[Date]],'DB Details'!$A:$T,19)</f>
        <v/>
      </c>
    </row>
    <row r="723">
      <c r="A723" s="38" t="n">
        <v>39356</v>
      </c>
      <c r="B723" s="48">
        <f>VLOOKUP(Table311[[#This Row],[Date]],'DB Details'!$A:$L,12)</f>
        <v/>
      </c>
      <c r="C723" s="49">
        <f>VLOOKUP(Table311[[#This Row],[Date]],'DB Details'!$A:$T,20)</f>
        <v/>
      </c>
      <c r="D723" s="49">
        <f>VLOOKUP(Table311[[#This Row],[Date]],'DB Details'!$A:$T,18)</f>
        <v/>
      </c>
      <c r="E723" s="49">
        <f>VLOOKUP(Table311[[#This Row],[Date]],'DB Details'!$A:$T,19)</f>
        <v/>
      </c>
    </row>
    <row r="724">
      <c r="A724" s="38" t="n">
        <v>39387</v>
      </c>
      <c r="B724" s="48">
        <f>VLOOKUP(Table311[[#This Row],[Date]],'DB Details'!$A:$L,12)</f>
        <v/>
      </c>
      <c r="C724" s="49">
        <f>VLOOKUP(Table311[[#This Row],[Date]],'DB Details'!$A:$T,20)</f>
        <v/>
      </c>
      <c r="D724" s="49">
        <f>VLOOKUP(Table311[[#This Row],[Date]],'DB Details'!$A:$T,18)</f>
        <v/>
      </c>
      <c r="E724" s="49">
        <f>VLOOKUP(Table311[[#This Row],[Date]],'DB Details'!$A:$T,19)</f>
        <v/>
      </c>
    </row>
    <row r="725">
      <c r="A725" s="38" t="n">
        <v>39417</v>
      </c>
      <c r="B725" s="48">
        <f>VLOOKUP(Table311[[#This Row],[Date]],'DB Details'!$A:$L,12)</f>
        <v/>
      </c>
      <c r="C725" s="49">
        <f>VLOOKUP(Table311[[#This Row],[Date]],'DB Details'!$A:$T,20)</f>
        <v/>
      </c>
      <c r="D725" s="49">
        <f>VLOOKUP(Table311[[#This Row],[Date]],'DB Details'!$A:$T,18)</f>
        <v/>
      </c>
      <c r="E725" s="49">
        <f>VLOOKUP(Table311[[#This Row],[Date]],'DB Details'!$A:$T,19)</f>
        <v/>
      </c>
    </row>
    <row r="726">
      <c r="A726" s="38" t="n">
        <v>39448</v>
      </c>
      <c r="B726" s="48">
        <f>VLOOKUP(Table311[[#This Row],[Date]],'DB Details'!$A:$L,12)</f>
        <v/>
      </c>
      <c r="C726" s="49">
        <f>VLOOKUP(Table311[[#This Row],[Date]],'DB Details'!$A:$T,20)</f>
        <v/>
      </c>
      <c r="D726" s="49">
        <f>VLOOKUP(Table311[[#This Row],[Date]],'DB Details'!$A:$T,18)</f>
        <v/>
      </c>
      <c r="E726" s="49">
        <f>VLOOKUP(Table311[[#This Row],[Date]],'DB Details'!$A:$T,19)</f>
        <v/>
      </c>
    </row>
    <row r="727">
      <c r="A727" s="38" t="n">
        <v>39479</v>
      </c>
      <c r="B727" s="48">
        <f>VLOOKUP(Table311[[#This Row],[Date]],'DB Details'!$A:$L,12)</f>
        <v/>
      </c>
      <c r="C727" s="49">
        <f>VLOOKUP(Table311[[#This Row],[Date]],'DB Details'!$A:$T,20)</f>
        <v/>
      </c>
      <c r="D727" s="49">
        <f>VLOOKUP(Table311[[#This Row],[Date]],'DB Details'!$A:$T,18)</f>
        <v/>
      </c>
      <c r="E727" s="49">
        <f>VLOOKUP(Table311[[#This Row],[Date]],'DB Details'!$A:$T,19)</f>
        <v/>
      </c>
    </row>
    <row r="728">
      <c r="A728" s="38" t="n">
        <v>39508</v>
      </c>
      <c r="B728" s="48">
        <f>VLOOKUP(Table311[[#This Row],[Date]],'DB Details'!$A:$L,12)</f>
        <v/>
      </c>
      <c r="C728" s="49">
        <f>VLOOKUP(Table311[[#This Row],[Date]],'DB Details'!$A:$T,20)</f>
        <v/>
      </c>
      <c r="D728" s="49">
        <f>VLOOKUP(Table311[[#This Row],[Date]],'DB Details'!$A:$T,18)</f>
        <v/>
      </c>
      <c r="E728" s="49">
        <f>VLOOKUP(Table311[[#This Row],[Date]],'DB Details'!$A:$T,19)</f>
        <v/>
      </c>
    </row>
    <row r="729">
      <c r="A729" s="38" t="n">
        <v>39539</v>
      </c>
      <c r="B729" s="48">
        <f>VLOOKUP(Table311[[#This Row],[Date]],'DB Details'!$A:$L,12)</f>
        <v/>
      </c>
      <c r="C729" s="49">
        <f>VLOOKUP(Table311[[#This Row],[Date]],'DB Details'!$A:$T,20)</f>
        <v/>
      </c>
      <c r="D729" s="49">
        <f>VLOOKUP(Table311[[#This Row],[Date]],'DB Details'!$A:$T,18)</f>
        <v/>
      </c>
      <c r="E729" s="49">
        <f>VLOOKUP(Table311[[#This Row],[Date]],'DB Details'!$A:$T,19)</f>
        <v/>
      </c>
    </row>
    <row r="730">
      <c r="A730" s="38" t="n">
        <v>39569</v>
      </c>
      <c r="B730" s="48">
        <f>VLOOKUP(Table311[[#This Row],[Date]],'DB Details'!$A:$L,12)</f>
        <v/>
      </c>
      <c r="C730" s="49">
        <f>VLOOKUP(Table311[[#This Row],[Date]],'DB Details'!$A:$T,20)</f>
        <v/>
      </c>
      <c r="D730" s="49">
        <f>VLOOKUP(Table311[[#This Row],[Date]],'DB Details'!$A:$T,18)</f>
        <v/>
      </c>
      <c r="E730" s="49">
        <f>VLOOKUP(Table311[[#This Row],[Date]],'DB Details'!$A:$T,19)</f>
        <v/>
      </c>
    </row>
    <row r="731">
      <c r="A731" s="38" t="n">
        <v>39600</v>
      </c>
      <c r="B731" s="48">
        <f>VLOOKUP(Table311[[#This Row],[Date]],'DB Details'!$A:$L,12)</f>
        <v/>
      </c>
      <c r="C731" s="49">
        <f>VLOOKUP(Table311[[#This Row],[Date]],'DB Details'!$A:$T,20)</f>
        <v/>
      </c>
      <c r="D731" s="49">
        <f>VLOOKUP(Table311[[#This Row],[Date]],'DB Details'!$A:$T,18)</f>
        <v/>
      </c>
      <c r="E731" s="49">
        <f>VLOOKUP(Table311[[#This Row],[Date]],'DB Details'!$A:$T,19)</f>
        <v/>
      </c>
    </row>
    <row r="732">
      <c r="A732" s="38" t="n">
        <v>39630</v>
      </c>
      <c r="B732" s="48">
        <f>VLOOKUP(Table311[[#This Row],[Date]],'DB Details'!$A:$L,12)</f>
        <v/>
      </c>
      <c r="C732" s="49">
        <f>VLOOKUP(Table311[[#This Row],[Date]],'DB Details'!$A:$T,20)</f>
        <v/>
      </c>
      <c r="D732" s="49">
        <f>VLOOKUP(Table311[[#This Row],[Date]],'DB Details'!$A:$T,18)</f>
        <v/>
      </c>
      <c r="E732" s="49">
        <f>VLOOKUP(Table311[[#This Row],[Date]],'DB Details'!$A:$T,19)</f>
        <v/>
      </c>
    </row>
    <row r="733">
      <c r="A733" s="38" t="n">
        <v>39661</v>
      </c>
      <c r="B733" s="48">
        <f>VLOOKUP(Table311[[#This Row],[Date]],'DB Details'!$A:$L,12)</f>
        <v/>
      </c>
      <c r="C733" s="49">
        <f>VLOOKUP(Table311[[#This Row],[Date]],'DB Details'!$A:$T,20)</f>
        <v/>
      </c>
      <c r="D733" s="49">
        <f>VLOOKUP(Table311[[#This Row],[Date]],'DB Details'!$A:$T,18)</f>
        <v/>
      </c>
      <c r="E733" s="49">
        <f>VLOOKUP(Table311[[#This Row],[Date]],'DB Details'!$A:$T,19)</f>
        <v/>
      </c>
    </row>
    <row r="734">
      <c r="A734" s="38" t="n">
        <v>39692</v>
      </c>
      <c r="B734" s="48">
        <f>VLOOKUP(Table311[[#This Row],[Date]],'DB Details'!$A:$L,12)</f>
        <v/>
      </c>
      <c r="C734" s="49">
        <f>VLOOKUP(Table311[[#This Row],[Date]],'DB Details'!$A:$T,20)</f>
        <v/>
      </c>
      <c r="D734" s="49">
        <f>VLOOKUP(Table311[[#This Row],[Date]],'DB Details'!$A:$T,18)</f>
        <v/>
      </c>
      <c r="E734" s="49">
        <f>VLOOKUP(Table311[[#This Row],[Date]],'DB Details'!$A:$T,19)</f>
        <v/>
      </c>
    </row>
    <row r="735">
      <c r="A735" s="38" t="n">
        <v>39722</v>
      </c>
      <c r="B735" s="48">
        <f>VLOOKUP(Table311[[#This Row],[Date]],'DB Details'!$A:$L,12)</f>
        <v/>
      </c>
      <c r="C735" s="49">
        <f>VLOOKUP(Table311[[#This Row],[Date]],'DB Details'!$A:$T,20)</f>
        <v/>
      </c>
      <c r="D735" s="49">
        <f>VLOOKUP(Table311[[#This Row],[Date]],'DB Details'!$A:$T,18)</f>
        <v/>
      </c>
      <c r="E735" s="49">
        <f>VLOOKUP(Table311[[#This Row],[Date]],'DB Details'!$A:$T,19)</f>
        <v/>
      </c>
    </row>
    <row r="736">
      <c r="A736" s="38" t="n">
        <v>39753</v>
      </c>
      <c r="B736" s="48">
        <f>VLOOKUP(Table311[[#This Row],[Date]],'DB Details'!$A:$L,12)</f>
        <v/>
      </c>
      <c r="C736" s="49">
        <f>VLOOKUP(Table311[[#This Row],[Date]],'DB Details'!$A:$T,20)</f>
        <v/>
      </c>
      <c r="D736" s="49">
        <f>VLOOKUP(Table311[[#This Row],[Date]],'DB Details'!$A:$T,18)</f>
        <v/>
      </c>
      <c r="E736" s="49">
        <f>VLOOKUP(Table311[[#This Row],[Date]],'DB Details'!$A:$T,19)</f>
        <v/>
      </c>
    </row>
    <row r="737">
      <c r="A737" s="38" t="n">
        <v>39783</v>
      </c>
      <c r="B737" s="48">
        <f>VLOOKUP(Table311[[#This Row],[Date]],'DB Details'!$A:$L,12)</f>
        <v/>
      </c>
      <c r="C737" s="49">
        <f>VLOOKUP(Table311[[#This Row],[Date]],'DB Details'!$A:$T,20)</f>
        <v/>
      </c>
      <c r="D737" s="49">
        <f>VLOOKUP(Table311[[#This Row],[Date]],'DB Details'!$A:$T,18)</f>
        <v/>
      </c>
      <c r="E737" s="49">
        <f>VLOOKUP(Table311[[#This Row],[Date]],'DB Details'!$A:$T,19)</f>
        <v/>
      </c>
    </row>
    <row r="738">
      <c r="A738" s="38" t="n">
        <v>39814</v>
      </c>
      <c r="B738" s="48">
        <f>VLOOKUP(Table311[[#This Row],[Date]],'DB Details'!$A:$L,12)</f>
        <v/>
      </c>
      <c r="C738" s="49">
        <f>VLOOKUP(Table311[[#This Row],[Date]],'DB Details'!$A:$T,20)</f>
        <v/>
      </c>
      <c r="D738" s="49">
        <f>VLOOKUP(Table311[[#This Row],[Date]],'DB Details'!$A:$T,18)</f>
        <v/>
      </c>
      <c r="E738" s="49">
        <f>VLOOKUP(Table311[[#This Row],[Date]],'DB Details'!$A:$T,19)</f>
        <v/>
      </c>
    </row>
    <row r="739">
      <c r="A739" s="38" t="n">
        <v>39845</v>
      </c>
      <c r="B739" s="48">
        <f>VLOOKUP(Table311[[#This Row],[Date]],'DB Details'!$A:$L,12)</f>
        <v/>
      </c>
      <c r="C739" s="49">
        <f>VLOOKUP(Table311[[#This Row],[Date]],'DB Details'!$A:$T,20)</f>
        <v/>
      </c>
      <c r="D739" s="49">
        <f>VLOOKUP(Table311[[#This Row],[Date]],'DB Details'!$A:$T,18)</f>
        <v/>
      </c>
      <c r="E739" s="49">
        <f>VLOOKUP(Table311[[#This Row],[Date]],'DB Details'!$A:$T,19)</f>
        <v/>
      </c>
    </row>
    <row r="740">
      <c r="A740" s="38" t="n">
        <v>39873</v>
      </c>
      <c r="B740" s="48">
        <f>VLOOKUP(Table311[[#This Row],[Date]],'DB Details'!$A:$L,12)</f>
        <v/>
      </c>
      <c r="C740" s="49">
        <f>VLOOKUP(Table311[[#This Row],[Date]],'DB Details'!$A:$T,20)</f>
        <v/>
      </c>
      <c r="D740" s="49">
        <f>VLOOKUP(Table311[[#This Row],[Date]],'DB Details'!$A:$T,18)</f>
        <v/>
      </c>
      <c r="E740" s="49">
        <f>VLOOKUP(Table311[[#This Row],[Date]],'DB Details'!$A:$T,19)</f>
        <v/>
      </c>
    </row>
    <row r="741">
      <c r="A741" s="38" t="n">
        <v>39904</v>
      </c>
      <c r="B741" s="48">
        <f>VLOOKUP(Table311[[#This Row],[Date]],'DB Details'!$A:$L,12)</f>
        <v/>
      </c>
      <c r="C741" s="49">
        <f>VLOOKUP(Table311[[#This Row],[Date]],'DB Details'!$A:$T,20)</f>
        <v/>
      </c>
      <c r="D741" s="49">
        <f>VLOOKUP(Table311[[#This Row],[Date]],'DB Details'!$A:$T,18)</f>
        <v/>
      </c>
      <c r="E741" s="49">
        <f>VLOOKUP(Table311[[#This Row],[Date]],'DB Details'!$A:$T,19)</f>
        <v/>
      </c>
    </row>
    <row r="742">
      <c r="A742" s="38" t="n">
        <v>39934</v>
      </c>
      <c r="B742" s="48">
        <f>VLOOKUP(Table311[[#This Row],[Date]],'DB Details'!$A:$L,12)</f>
        <v/>
      </c>
      <c r="C742" s="49">
        <f>VLOOKUP(Table311[[#This Row],[Date]],'DB Details'!$A:$T,20)</f>
        <v/>
      </c>
      <c r="D742" s="49">
        <f>VLOOKUP(Table311[[#This Row],[Date]],'DB Details'!$A:$T,18)</f>
        <v/>
      </c>
      <c r="E742" s="49">
        <f>VLOOKUP(Table311[[#This Row],[Date]],'DB Details'!$A:$T,19)</f>
        <v/>
      </c>
    </row>
    <row r="743">
      <c r="A743" s="38" t="n">
        <v>39965</v>
      </c>
      <c r="B743" s="48">
        <f>VLOOKUP(Table311[[#This Row],[Date]],'DB Details'!$A:$L,12)</f>
        <v/>
      </c>
      <c r="C743" s="49">
        <f>VLOOKUP(Table311[[#This Row],[Date]],'DB Details'!$A:$T,20)</f>
        <v/>
      </c>
      <c r="D743" s="49">
        <f>VLOOKUP(Table311[[#This Row],[Date]],'DB Details'!$A:$T,18)</f>
        <v/>
      </c>
      <c r="E743" s="49">
        <f>VLOOKUP(Table311[[#This Row],[Date]],'DB Details'!$A:$T,19)</f>
        <v/>
      </c>
    </row>
    <row r="744">
      <c r="A744" s="38" t="n">
        <v>39995</v>
      </c>
      <c r="B744" s="48">
        <f>VLOOKUP(Table311[[#This Row],[Date]],'DB Details'!$A:$L,12)</f>
        <v/>
      </c>
      <c r="C744" s="49">
        <f>VLOOKUP(Table311[[#This Row],[Date]],'DB Details'!$A:$T,20)</f>
        <v/>
      </c>
      <c r="D744" s="49">
        <f>VLOOKUP(Table311[[#This Row],[Date]],'DB Details'!$A:$T,18)</f>
        <v/>
      </c>
      <c r="E744" s="49">
        <f>VLOOKUP(Table311[[#This Row],[Date]],'DB Details'!$A:$T,19)</f>
        <v/>
      </c>
    </row>
    <row r="745">
      <c r="A745" s="38" t="n">
        <v>40026</v>
      </c>
      <c r="B745" s="48">
        <f>VLOOKUP(Table311[[#This Row],[Date]],'DB Details'!$A:$L,12)</f>
        <v/>
      </c>
      <c r="C745" s="49">
        <f>VLOOKUP(Table311[[#This Row],[Date]],'DB Details'!$A:$T,20)</f>
        <v/>
      </c>
      <c r="D745" s="49">
        <f>VLOOKUP(Table311[[#This Row],[Date]],'DB Details'!$A:$T,18)</f>
        <v/>
      </c>
      <c r="E745" s="49">
        <f>VLOOKUP(Table311[[#This Row],[Date]],'DB Details'!$A:$T,19)</f>
        <v/>
      </c>
    </row>
    <row r="746">
      <c r="A746" s="38" t="n">
        <v>40057</v>
      </c>
      <c r="B746" s="48">
        <f>VLOOKUP(Table311[[#This Row],[Date]],'DB Details'!$A:$L,12)</f>
        <v/>
      </c>
      <c r="C746" s="49">
        <f>VLOOKUP(Table311[[#This Row],[Date]],'DB Details'!$A:$T,20)</f>
        <v/>
      </c>
      <c r="D746" s="49">
        <f>VLOOKUP(Table311[[#This Row],[Date]],'DB Details'!$A:$T,18)</f>
        <v/>
      </c>
      <c r="E746" s="49">
        <f>VLOOKUP(Table311[[#This Row],[Date]],'DB Details'!$A:$T,19)</f>
        <v/>
      </c>
    </row>
    <row r="747">
      <c r="A747" s="38" t="n">
        <v>40087</v>
      </c>
      <c r="B747" s="48">
        <f>VLOOKUP(Table311[[#This Row],[Date]],'DB Details'!$A:$L,12)</f>
        <v/>
      </c>
      <c r="C747" s="49">
        <f>VLOOKUP(Table311[[#This Row],[Date]],'DB Details'!$A:$T,20)</f>
        <v/>
      </c>
      <c r="D747" s="49">
        <f>VLOOKUP(Table311[[#This Row],[Date]],'DB Details'!$A:$T,18)</f>
        <v/>
      </c>
      <c r="E747" s="49">
        <f>VLOOKUP(Table311[[#This Row],[Date]],'DB Details'!$A:$T,19)</f>
        <v/>
      </c>
    </row>
    <row r="748">
      <c r="A748" s="38" t="n">
        <v>40118</v>
      </c>
      <c r="B748" s="48">
        <f>VLOOKUP(Table311[[#This Row],[Date]],'DB Details'!$A:$L,12)</f>
        <v/>
      </c>
      <c r="C748" s="49">
        <f>VLOOKUP(Table311[[#This Row],[Date]],'DB Details'!$A:$T,20)</f>
        <v/>
      </c>
      <c r="D748" s="49">
        <f>VLOOKUP(Table311[[#This Row],[Date]],'DB Details'!$A:$T,18)</f>
        <v/>
      </c>
      <c r="E748" s="49">
        <f>VLOOKUP(Table311[[#This Row],[Date]],'DB Details'!$A:$T,19)</f>
        <v/>
      </c>
    </row>
    <row r="749">
      <c r="A749" s="38" t="n">
        <v>40148</v>
      </c>
      <c r="B749" s="48">
        <f>VLOOKUP(Table311[[#This Row],[Date]],'DB Details'!$A:$L,12)</f>
        <v/>
      </c>
      <c r="C749" s="49">
        <f>VLOOKUP(Table311[[#This Row],[Date]],'DB Details'!$A:$T,20)</f>
        <v/>
      </c>
      <c r="D749" s="49">
        <f>VLOOKUP(Table311[[#This Row],[Date]],'DB Details'!$A:$T,18)</f>
        <v/>
      </c>
      <c r="E749" s="49">
        <f>VLOOKUP(Table311[[#This Row],[Date]],'DB Details'!$A:$T,19)</f>
        <v/>
      </c>
    </row>
    <row r="750">
      <c r="A750" s="38" t="n">
        <v>40179</v>
      </c>
      <c r="B750" s="48">
        <f>VLOOKUP(Table311[[#This Row],[Date]],'DB Details'!$A:$L,12)</f>
        <v/>
      </c>
      <c r="C750" s="49">
        <f>VLOOKUP(Table311[[#This Row],[Date]],'DB Details'!$A:$T,20)</f>
        <v/>
      </c>
      <c r="D750" s="49">
        <f>VLOOKUP(Table311[[#This Row],[Date]],'DB Details'!$A:$T,18)</f>
        <v/>
      </c>
      <c r="E750" s="49">
        <f>VLOOKUP(Table311[[#This Row],[Date]],'DB Details'!$A:$T,19)</f>
        <v/>
      </c>
    </row>
    <row r="751">
      <c r="A751" s="38" t="n">
        <v>40210</v>
      </c>
      <c r="B751" s="48">
        <f>VLOOKUP(Table311[[#This Row],[Date]],'DB Details'!$A:$L,12)</f>
        <v/>
      </c>
      <c r="C751" s="49">
        <f>VLOOKUP(Table311[[#This Row],[Date]],'DB Details'!$A:$T,20)</f>
        <v/>
      </c>
      <c r="D751" s="49">
        <f>VLOOKUP(Table311[[#This Row],[Date]],'DB Details'!$A:$T,18)</f>
        <v/>
      </c>
      <c r="E751" s="49">
        <f>VLOOKUP(Table311[[#This Row],[Date]],'DB Details'!$A:$T,19)</f>
        <v/>
      </c>
    </row>
    <row r="752">
      <c r="A752" s="38" t="n">
        <v>40238</v>
      </c>
      <c r="B752" s="48">
        <f>VLOOKUP(Table311[[#This Row],[Date]],'DB Details'!$A:$L,12)</f>
        <v/>
      </c>
      <c r="C752" s="49">
        <f>VLOOKUP(Table311[[#This Row],[Date]],'DB Details'!$A:$T,20)</f>
        <v/>
      </c>
      <c r="D752" s="49">
        <f>VLOOKUP(Table311[[#This Row],[Date]],'DB Details'!$A:$T,18)</f>
        <v/>
      </c>
      <c r="E752" s="49">
        <f>VLOOKUP(Table311[[#This Row],[Date]],'DB Details'!$A:$T,19)</f>
        <v/>
      </c>
    </row>
    <row r="753">
      <c r="A753" s="38" t="n">
        <v>40269</v>
      </c>
      <c r="B753" s="48">
        <f>VLOOKUP(Table311[[#This Row],[Date]],'DB Details'!$A:$L,12)</f>
        <v/>
      </c>
      <c r="C753" s="49">
        <f>VLOOKUP(Table311[[#This Row],[Date]],'DB Details'!$A:$T,20)</f>
        <v/>
      </c>
      <c r="D753" s="49">
        <f>VLOOKUP(Table311[[#This Row],[Date]],'DB Details'!$A:$T,18)</f>
        <v/>
      </c>
      <c r="E753" s="49">
        <f>VLOOKUP(Table311[[#This Row],[Date]],'DB Details'!$A:$T,19)</f>
        <v/>
      </c>
    </row>
    <row r="754">
      <c r="A754" s="38" t="n">
        <v>40299</v>
      </c>
      <c r="B754" s="48">
        <f>VLOOKUP(Table311[[#This Row],[Date]],'DB Details'!$A:$L,12)</f>
        <v/>
      </c>
      <c r="C754" s="49">
        <f>VLOOKUP(Table311[[#This Row],[Date]],'DB Details'!$A:$T,20)</f>
        <v/>
      </c>
      <c r="D754" s="49">
        <f>VLOOKUP(Table311[[#This Row],[Date]],'DB Details'!$A:$T,18)</f>
        <v/>
      </c>
      <c r="E754" s="49">
        <f>VLOOKUP(Table311[[#This Row],[Date]],'DB Details'!$A:$T,19)</f>
        <v/>
      </c>
    </row>
    <row r="755">
      <c r="A755" s="38" t="n">
        <v>40330</v>
      </c>
      <c r="B755" s="48">
        <f>VLOOKUP(Table311[[#This Row],[Date]],'DB Details'!$A:$L,12)</f>
        <v/>
      </c>
      <c r="C755" s="49">
        <f>VLOOKUP(Table311[[#This Row],[Date]],'DB Details'!$A:$T,20)</f>
        <v/>
      </c>
      <c r="D755" s="49">
        <f>VLOOKUP(Table311[[#This Row],[Date]],'DB Details'!$A:$T,18)</f>
        <v/>
      </c>
      <c r="E755" s="49">
        <f>VLOOKUP(Table311[[#This Row],[Date]],'DB Details'!$A:$T,19)</f>
        <v/>
      </c>
    </row>
    <row r="756">
      <c r="A756" s="38" t="n">
        <v>40360</v>
      </c>
      <c r="B756" s="48">
        <f>VLOOKUP(Table311[[#This Row],[Date]],'DB Details'!$A:$L,12)</f>
        <v/>
      </c>
      <c r="C756" s="49">
        <f>VLOOKUP(Table311[[#This Row],[Date]],'DB Details'!$A:$T,20)</f>
        <v/>
      </c>
      <c r="D756" s="49">
        <f>VLOOKUP(Table311[[#This Row],[Date]],'DB Details'!$A:$T,18)</f>
        <v/>
      </c>
      <c r="E756" s="49">
        <f>VLOOKUP(Table311[[#This Row],[Date]],'DB Details'!$A:$T,19)</f>
        <v/>
      </c>
    </row>
    <row r="757">
      <c r="A757" s="38" t="n">
        <v>40391</v>
      </c>
      <c r="B757" s="48">
        <f>VLOOKUP(Table311[[#This Row],[Date]],'DB Details'!$A:$L,12)</f>
        <v/>
      </c>
      <c r="C757" s="49">
        <f>VLOOKUP(Table311[[#This Row],[Date]],'DB Details'!$A:$T,20)</f>
        <v/>
      </c>
      <c r="D757" s="49">
        <f>VLOOKUP(Table311[[#This Row],[Date]],'DB Details'!$A:$T,18)</f>
        <v/>
      </c>
      <c r="E757" s="49">
        <f>VLOOKUP(Table311[[#This Row],[Date]],'DB Details'!$A:$T,19)</f>
        <v/>
      </c>
    </row>
    <row r="758">
      <c r="A758" s="38" t="n">
        <v>40422</v>
      </c>
      <c r="B758" s="48">
        <f>VLOOKUP(Table311[[#This Row],[Date]],'DB Details'!$A:$L,12)</f>
        <v/>
      </c>
      <c r="C758" s="49">
        <f>VLOOKUP(Table311[[#This Row],[Date]],'DB Details'!$A:$T,20)</f>
        <v/>
      </c>
      <c r="D758" s="49">
        <f>VLOOKUP(Table311[[#This Row],[Date]],'DB Details'!$A:$T,18)</f>
        <v/>
      </c>
      <c r="E758" s="49">
        <f>VLOOKUP(Table311[[#This Row],[Date]],'DB Details'!$A:$T,19)</f>
        <v/>
      </c>
    </row>
    <row r="759">
      <c r="A759" s="38" t="n">
        <v>40452</v>
      </c>
      <c r="B759" s="48">
        <f>VLOOKUP(Table311[[#This Row],[Date]],'DB Details'!$A:$L,12)</f>
        <v/>
      </c>
      <c r="C759" s="49">
        <f>VLOOKUP(Table311[[#This Row],[Date]],'DB Details'!$A:$T,20)</f>
        <v/>
      </c>
      <c r="D759" s="49">
        <f>VLOOKUP(Table311[[#This Row],[Date]],'DB Details'!$A:$T,18)</f>
        <v/>
      </c>
      <c r="E759" s="49">
        <f>VLOOKUP(Table311[[#This Row],[Date]],'DB Details'!$A:$T,19)</f>
        <v/>
      </c>
    </row>
    <row r="760">
      <c r="A760" s="38" t="n">
        <v>40483</v>
      </c>
      <c r="B760" s="48">
        <f>VLOOKUP(Table311[[#This Row],[Date]],'DB Details'!$A:$L,12)</f>
        <v/>
      </c>
      <c r="C760" s="49">
        <f>VLOOKUP(Table311[[#This Row],[Date]],'DB Details'!$A:$T,20)</f>
        <v/>
      </c>
      <c r="D760" s="49">
        <f>VLOOKUP(Table311[[#This Row],[Date]],'DB Details'!$A:$T,18)</f>
        <v/>
      </c>
      <c r="E760" s="49">
        <f>VLOOKUP(Table311[[#This Row],[Date]],'DB Details'!$A:$T,19)</f>
        <v/>
      </c>
    </row>
    <row r="761">
      <c r="A761" s="38" t="n">
        <v>40513</v>
      </c>
      <c r="B761" s="48">
        <f>VLOOKUP(Table311[[#This Row],[Date]],'DB Details'!$A:$L,12)</f>
        <v/>
      </c>
      <c r="C761" s="49">
        <f>VLOOKUP(Table311[[#This Row],[Date]],'DB Details'!$A:$T,20)</f>
        <v/>
      </c>
      <c r="D761" s="49">
        <f>VLOOKUP(Table311[[#This Row],[Date]],'DB Details'!$A:$T,18)</f>
        <v/>
      </c>
      <c r="E761" s="49">
        <f>VLOOKUP(Table311[[#This Row],[Date]],'DB Details'!$A:$T,19)</f>
        <v/>
      </c>
    </row>
    <row r="762">
      <c r="A762" s="38" t="n">
        <v>40544</v>
      </c>
      <c r="B762" s="48">
        <f>VLOOKUP(Table311[[#This Row],[Date]],'DB Details'!$A:$L,12)</f>
        <v/>
      </c>
      <c r="C762" s="49">
        <f>VLOOKUP(Table311[[#This Row],[Date]],'DB Details'!$A:$T,20)</f>
        <v/>
      </c>
      <c r="D762" s="49">
        <f>VLOOKUP(Table311[[#This Row],[Date]],'DB Details'!$A:$T,18)</f>
        <v/>
      </c>
      <c r="E762" s="49">
        <f>VLOOKUP(Table311[[#This Row],[Date]],'DB Details'!$A:$T,19)</f>
        <v/>
      </c>
    </row>
    <row r="763">
      <c r="A763" s="38" t="n">
        <v>40575</v>
      </c>
      <c r="B763" s="48">
        <f>VLOOKUP(Table311[[#This Row],[Date]],'DB Details'!$A:$L,12)</f>
        <v/>
      </c>
      <c r="C763" s="49">
        <f>VLOOKUP(Table311[[#This Row],[Date]],'DB Details'!$A:$T,20)</f>
        <v/>
      </c>
      <c r="D763" s="49">
        <f>VLOOKUP(Table311[[#This Row],[Date]],'DB Details'!$A:$T,18)</f>
        <v/>
      </c>
      <c r="E763" s="49">
        <f>VLOOKUP(Table311[[#This Row],[Date]],'DB Details'!$A:$T,19)</f>
        <v/>
      </c>
    </row>
    <row r="764">
      <c r="A764" s="38" t="n">
        <v>40603</v>
      </c>
      <c r="B764" s="48">
        <f>VLOOKUP(Table311[[#This Row],[Date]],'DB Details'!$A:$L,12)</f>
        <v/>
      </c>
      <c r="C764" s="49">
        <f>VLOOKUP(Table311[[#This Row],[Date]],'DB Details'!$A:$T,20)</f>
        <v/>
      </c>
      <c r="D764" s="49">
        <f>VLOOKUP(Table311[[#This Row],[Date]],'DB Details'!$A:$T,18)</f>
        <v/>
      </c>
      <c r="E764" s="49">
        <f>VLOOKUP(Table311[[#This Row],[Date]],'DB Details'!$A:$T,19)</f>
        <v/>
      </c>
    </row>
    <row r="765">
      <c r="A765" s="38" t="n">
        <v>40634</v>
      </c>
      <c r="B765" s="48">
        <f>VLOOKUP(Table311[[#This Row],[Date]],'DB Details'!$A:$L,12)</f>
        <v/>
      </c>
      <c r="C765" s="49">
        <f>VLOOKUP(Table311[[#This Row],[Date]],'DB Details'!$A:$T,20)</f>
        <v/>
      </c>
      <c r="D765" s="49">
        <f>VLOOKUP(Table311[[#This Row],[Date]],'DB Details'!$A:$T,18)</f>
        <v/>
      </c>
      <c r="E765" s="49">
        <f>VLOOKUP(Table311[[#This Row],[Date]],'DB Details'!$A:$T,19)</f>
        <v/>
      </c>
    </row>
    <row r="766">
      <c r="A766" s="38" t="n">
        <v>40664</v>
      </c>
      <c r="B766" s="48">
        <f>VLOOKUP(Table311[[#This Row],[Date]],'DB Details'!$A:$L,12)</f>
        <v/>
      </c>
      <c r="C766" s="49">
        <f>VLOOKUP(Table311[[#This Row],[Date]],'DB Details'!$A:$T,20)</f>
        <v/>
      </c>
      <c r="D766" s="49">
        <f>VLOOKUP(Table311[[#This Row],[Date]],'DB Details'!$A:$T,18)</f>
        <v/>
      </c>
      <c r="E766" s="49">
        <f>VLOOKUP(Table311[[#This Row],[Date]],'DB Details'!$A:$T,19)</f>
        <v/>
      </c>
    </row>
    <row r="767">
      <c r="A767" s="38" t="n">
        <v>40695</v>
      </c>
      <c r="B767" s="48">
        <f>VLOOKUP(Table311[[#This Row],[Date]],'DB Details'!$A:$L,12)</f>
        <v/>
      </c>
      <c r="C767" s="49">
        <f>VLOOKUP(Table311[[#This Row],[Date]],'DB Details'!$A:$T,20)</f>
        <v/>
      </c>
      <c r="D767" s="49">
        <f>VLOOKUP(Table311[[#This Row],[Date]],'DB Details'!$A:$T,18)</f>
        <v/>
      </c>
      <c r="E767" s="49">
        <f>VLOOKUP(Table311[[#This Row],[Date]],'DB Details'!$A:$T,19)</f>
        <v/>
      </c>
    </row>
    <row r="768">
      <c r="A768" s="38" t="n">
        <v>40725</v>
      </c>
      <c r="B768" s="48">
        <f>VLOOKUP(Table311[[#This Row],[Date]],'DB Details'!$A:$L,12)</f>
        <v/>
      </c>
      <c r="C768" s="49">
        <f>VLOOKUP(Table311[[#This Row],[Date]],'DB Details'!$A:$T,20)</f>
        <v/>
      </c>
      <c r="D768" s="49">
        <f>VLOOKUP(Table311[[#This Row],[Date]],'DB Details'!$A:$T,18)</f>
        <v/>
      </c>
      <c r="E768" s="49">
        <f>VLOOKUP(Table311[[#This Row],[Date]],'DB Details'!$A:$T,19)</f>
        <v/>
      </c>
    </row>
    <row r="769">
      <c r="A769" s="38" t="n">
        <v>40756</v>
      </c>
      <c r="B769" s="48">
        <f>VLOOKUP(Table311[[#This Row],[Date]],'DB Details'!$A:$L,12)</f>
        <v/>
      </c>
      <c r="C769" s="49">
        <f>VLOOKUP(Table311[[#This Row],[Date]],'DB Details'!$A:$T,20)</f>
        <v/>
      </c>
      <c r="D769" s="49">
        <f>VLOOKUP(Table311[[#This Row],[Date]],'DB Details'!$A:$T,18)</f>
        <v/>
      </c>
      <c r="E769" s="49">
        <f>VLOOKUP(Table311[[#This Row],[Date]],'DB Details'!$A:$T,19)</f>
        <v/>
      </c>
    </row>
    <row r="770">
      <c r="A770" s="38" t="n">
        <v>40787</v>
      </c>
      <c r="B770" s="48">
        <f>VLOOKUP(Table311[[#This Row],[Date]],'DB Details'!$A:$L,12)</f>
        <v/>
      </c>
      <c r="C770" s="49">
        <f>VLOOKUP(Table311[[#This Row],[Date]],'DB Details'!$A:$T,20)</f>
        <v/>
      </c>
      <c r="D770" s="49">
        <f>VLOOKUP(Table311[[#This Row],[Date]],'DB Details'!$A:$T,18)</f>
        <v/>
      </c>
      <c r="E770" s="49">
        <f>VLOOKUP(Table311[[#This Row],[Date]],'DB Details'!$A:$T,19)</f>
        <v/>
      </c>
    </row>
    <row r="771">
      <c r="A771" s="38" t="n">
        <v>40817</v>
      </c>
      <c r="B771" s="48">
        <f>VLOOKUP(Table311[[#This Row],[Date]],'DB Details'!$A:$L,12)</f>
        <v/>
      </c>
      <c r="C771" s="49">
        <f>VLOOKUP(Table311[[#This Row],[Date]],'DB Details'!$A:$T,20)</f>
        <v/>
      </c>
      <c r="D771" s="49">
        <f>VLOOKUP(Table311[[#This Row],[Date]],'DB Details'!$A:$T,18)</f>
        <v/>
      </c>
      <c r="E771" s="49">
        <f>VLOOKUP(Table311[[#This Row],[Date]],'DB Details'!$A:$T,19)</f>
        <v/>
      </c>
    </row>
    <row r="772">
      <c r="A772" s="38" t="n">
        <v>40848</v>
      </c>
      <c r="B772" s="48">
        <f>VLOOKUP(Table311[[#This Row],[Date]],'DB Details'!$A:$L,12)</f>
        <v/>
      </c>
      <c r="C772" s="49">
        <f>VLOOKUP(Table311[[#This Row],[Date]],'DB Details'!$A:$T,20)</f>
        <v/>
      </c>
      <c r="D772" s="49">
        <f>VLOOKUP(Table311[[#This Row],[Date]],'DB Details'!$A:$T,18)</f>
        <v/>
      </c>
      <c r="E772" s="49">
        <f>VLOOKUP(Table311[[#This Row],[Date]],'DB Details'!$A:$T,19)</f>
        <v/>
      </c>
    </row>
    <row r="773">
      <c r="A773" s="38" t="n">
        <v>40878</v>
      </c>
      <c r="B773" s="48">
        <f>VLOOKUP(Table311[[#This Row],[Date]],'DB Details'!$A:$L,12)</f>
        <v/>
      </c>
      <c r="C773" s="49">
        <f>VLOOKUP(Table311[[#This Row],[Date]],'DB Details'!$A:$T,20)</f>
        <v/>
      </c>
      <c r="D773" s="49">
        <f>VLOOKUP(Table311[[#This Row],[Date]],'DB Details'!$A:$T,18)</f>
        <v/>
      </c>
      <c r="E773" s="49">
        <f>VLOOKUP(Table311[[#This Row],[Date]],'DB Details'!$A:$T,19)</f>
        <v/>
      </c>
    </row>
    <row r="774">
      <c r="A774" s="38" t="n">
        <v>40909</v>
      </c>
      <c r="B774" s="48">
        <f>VLOOKUP(Table311[[#This Row],[Date]],'DB Details'!$A:$L,12)</f>
        <v/>
      </c>
      <c r="C774" s="49">
        <f>VLOOKUP(Table311[[#This Row],[Date]],'DB Details'!$A:$T,20)</f>
        <v/>
      </c>
      <c r="D774" s="49">
        <f>VLOOKUP(Table311[[#This Row],[Date]],'DB Details'!$A:$T,18)</f>
        <v/>
      </c>
      <c r="E774" s="49">
        <f>VLOOKUP(Table311[[#This Row],[Date]],'DB Details'!$A:$T,19)</f>
        <v/>
      </c>
    </row>
    <row r="775">
      <c r="A775" s="38" t="n">
        <v>40940</v>
      </c>
      <c r="B775" s="48">
        <f>VLOOKUP(Table311[[#This Row],[Date]],'DB Details'!$A:$L,12)</f>
        <v/>
      </c>
      <c r="C775" s="49">
        <f>VLOOKUP(Table311[[#This Row],[Date]],'DB Details'!$A:$T,20)</f>
        <v/>
      </c>
      <c r="D775" s="49">
        <f>VLOOKUP(Table311[[#This Row],[Date]],'DB Details'!$A:$T,18)</f>
        <v/>
      </c>
      <c r="E775" s="49">
        <f>VLOOKUP(Table311[[#This Row],[Date]],'DB Details'!$A:$T,19)</f>
        <v/>
      </c>
    </row>
    <row r="776">
      <c r="A776" s="38" t="n">
        <v>40969</v>
      </c>
      <c r="B776" s="48">
        <f>VLOOKUP(Table311[[#This Row],[Date]],'DB Details'!$A:$L,12)</f>
        <v/>
      </c>
      <c r="C776" s="49">
        <f>VLOOKUP(Table311[[#This Row],[Date]],'DB Details'!$A:$T,20)</f>
        <v/>
      </c>
      <c r="D776" s="49">
        <f>VLOOKUP(Table311[[#This Row],[Date]],'DB Details'!$A:$T,18)</f>
        <v/>
      </c>
      <c r="E776" s="49">
        <f>VLOOKUP(Table311[[#This Row],[Date]],'DB Details'!$A:$T,19)</f>
        <v/>
      </c>
    </row>
    <row r="777">
      <c r="A777" s="38" t="n">
        <v>41000</v>
      </c>
      <c r="B777" s="48">
        <f>VLOOKUP(Table311[[#This Row],[Date]],'DB Details'!$A:$L,12)</f>
        <v/>
      </c>
      <c r="C777" s="49">
        <f>VLOOKUP(Table311[[#This Row],[Date]],'DB Details'!$A:$T,20)</f>
        <v/>
      </c>
      <c r="D777" s="49">
        <f>VLOOKUP(Table311[[#This Row],[Date]],'DB Details'!$A:$T,18)</f>
        <v/>
      </c>
      <c r="E777" s="49">
        <f>VLOOKUP(Table311[[#This Row],[Date]],'DB Details'!$A:$T,19)</f>
        <v/>
      </c>
    </row>
    <row r="778">
      <c r="A778" s="38" t="n">
        <v>41030</v>
      </c>
      <c r="B778" s="48">
        <f>VLOOKUP(Table311[[#This Row],[Date]],'DB Details'!$A:$L,12)</f>
        <v/>
      </c>
      <c r="C778" s="49">
        <f>VLOOKUP(Table311[[#This Row],[Date]],'DB Details'!$A:$T,20)</f>
        <v/>
      </c>
      <c r="D778" s="49">
        <f>VLOOKUP(Table311[[#This Row],[Date]],'DB Details'!$A:$T,18)</f>
        <v/>
      </c>
      <c r="E778" s="49">
        <f>VLOOKUP(Table311[[#This Row],[Date]],'DB Details'!$A:$T,19)</f>
        <v/>
      </c>
    </row>
    <row r="779">
      <c r="A779" s="38" t="n">
        <v>41061</v>
      </c>
      <c r="B779" s="48">
        <f>VLOOKUP(Table311[[#This Row],[Date]],'DB Details'!$A:$L,12)</f>
        <v/>
      </c>
      <c r="C779" s="49">
        <f>VLOOKUP(Table311[[#This Row],[Date]],'DB Details'!$A:$T,20)</f>
        <v/>
      </c>
      <c r="D779" s="49">
        <f>VLOOKUP(Table311[[#This Row],[Date]],'DB Details'!$A:$T,18)</f>
        <v/>
      </c>
      <c r="E779" s="49">
        <f>VLOOKUP(Table311[[#This Row],[Date]],'DB Details'!$A:$T,19)</f>
        <v/>
      </c>
    </row>
    <row r="780">
      <c r="A780" s="38" t="n">
        <v>41091</v>
      </c>
      <c r="B780" s="48">
        <f>VLOOKUP(Table311[[#This Row],[Date]],'DB Details'!$A:$L,12)</f>
        <v/>
      </c>
      <c r="C780" s="49">
        <f>VLOOKUP(Table311[[#This Row],[Date]],'DB Details'!$A:$T,20)</f>
        <v/>
      </c>
      <c r="D780" s="49">
        <f>VLOOKUP(Table311[[#This Row],[Date]],'DB Details'!$A:$T,18)</f>
        <v/>
      </c>
      <c r="E780" s="49">
        <f>VLOOKUP(Table311[[#This Row],[Date]],'DB Details'!$A:$T,19)</f>
        <v/>
      </c>
    </row>
    <row r="781">
      <c r="A781" s="38" t="n">
        <v>41122</v>
      </c>
      <c r="B781" s="48">
        <f>VLOOKUP(Table311[[#This Row],[Date]],'DB Details'!$A:$L,12)</f>
        <v/>
      </c>
      <c r="C781" s="49">
        <f>VLOOKUP(Table311[[#This Row],[Date]],'DB Details'!$A:$T,20)</f>
        <v/>
      </c>
      <c r="D781" s="49">
        <f>VLOOKUP(Table311[[#This Row],[Date]],'DB Details'!$A:$T,18)</f>
        <v/>
      </c>
      <c r="E781" s="49">
        <f>VLOOKUP(Table311[[#This Row],[Date]],'DB Details'!$A:$T,19)</f>
        <v/>
      </c>
    </row>
    <row r="782">
      <c r="A782" s="38" t="n">
        <v>41153</v>
      </c>
      <c r="B782" s="48">
        <f>VLOOKUP(Table311[[#This Row],[Date]],'DB Details'!$A:$L,12)</f>
        <v/>
      </c>
      <c r="C782" s="49">
        <f>VLOOKUP(Table311[[#This Row],[Date]],'DB Details'!$A:$T,20)</f>
        <v/>
      </c>
      <c r="D782" s="49">
        <f>VLOOKUP(Table311[[#This Row],[Date]],'DB Details'!$A:$T,18)</f>
        <v/>
      </c>
      <c r="E782" s="49">
        <f>VLOOKUP(Table311[[#This Row],[Date]],'DB Details'!$A:$T,19)</f>
        <v/>
      </c>
    </row>
    <row r="783">
      <c r="A783" s="38" t="n">
        <v>41183</v>
      </c>
      <c r="B783" s="48">
        <f>VLOOKUP(Table311[[#This Row],[Date]],'DB Details'!$A:$L,12)</f>
        <v/>
      </c>
      <c r="C783" s="49">
        <f>VLOOKUP(Table311[[#This Row],[Date]],'DB Details'!$A:$T,20)</f>
        <v/>
      </c>
      <c r="D783" s="49">
        <f>VLOOKUP(Table311[[#This Row],[Date]],'DB Details'!$A:$T,18)</f>
        <v/>
      </c>
      <c r="E783" s="49">
        <f>VLOOKUP(Table311[[#This Row],[Date]],'DB Details'!$A:$T,19)</f>
        <v/>
      </c>
    </row>
    <row r="784">
      <c r="A784" s="38" t="n">
        <v>41214</v>
      </c>
      <c r="B784" s="48">
        <f>VLOOKUP(Table311[[#This Row],[Date]],'DB Details'!$A:$L,12)</f>
        <v/>
      </c>
      <c r="C784" s="49">
        <f>VLOOKUP(Table311[[#This Row],[Date]],'DB Details'!$A:$T,20)</f>
        <v/>
      </c>
      <c r="D784" s="49">
        <f>VLOOKUP(Table311[[#This Row],[Date]],'DB Details'!$A:$T,18)</f>
        <v/>
      </c>
      <c r="E784" s="49">
        <f>VLOOKUP(Table311[[#This Row],[Date]],'DB Details'!$A:$T,19)</f>
        <v/>
      </c>
    </row>
    <row r="785">
      <c r="A785" s="38" t="n">
        <v>41244</v>
      </c>
      <c r="B785" s="48">
        <f>VLOOKUP(Table311[[#This Row],[Date]],'DB Details'!$A:$L,12)</f>
        <v/>
      </c>
      <c r="C785" s="49">
        <f>VLOOKUP(Table311[[#This Row],[Date]],'DB Details'!$A:$T,20)</f>
        <v/>
      </c>
      <c r="D785" s="49">
        <f>VLOOKUP(Table311[[#This Row],[Date]],'DB Details'!$A:$T,18)</f>
        <v/>
      </c>
      <c r="E785" s="49">
        <f>VLOOKUP(Table311[[#This Row],[Date]],'DB Details'!$A:$T,19)</f>
        <v/>
      </c>
    </row>
    <row r="786">
      <c r="A786" s="38" t="n">
        <v>41275</v>
      </c>
      <c r="B786" s="48">
        <f>VLOOKUP(Table311[[#This Row],[Date]],'DB Details'!$A:$L,12)</f>
        <v/>
      </c>
      <c r="C786" s="49">
        <f>VLOOKUP(Table311[[#This Row],[Date]],'DB Details'!$A:$T,20)</f>
        <v/>
      </c>
      <c r="D786" s="49">
        <f>VLOOKUP(Table311[[#This Row],[Date]],'DB Details'!$A:$T,18)</f>
        <v/>
      </c>
      <c r="E786" s="49">
        <f>VLOOKUP(Table311[[#This Row],[Date]],'DB Details'!$A:$T,19)</f>
        <v/>
      </c>
    </row>
    <row r="787">
      <c r="A787" s="38" t="n">
        <v>41306</v>
      </c>
      <c r="B787" s="48">
        <f>VLOOKUP(Table311[[#This Row],[Date]],'DB Details'!$A:$L,12)</f>
        <v/>
      </c>
      <c r="C787" s="49">
        <f>VLOOKUP(Table311[[#This Row],[Date]],'DB Details'!$A:$T,20)</f>
        <v/>
      </c>
      <c r="D787" s="49">
        <f>VLOOKUP(Table311[[#This Row],[Date]],'DB Details'!$A:$T,18)</f>
        <v/>
      </c>
      <c r="E787" s="49">
        <f>VLOOKUP(Table311[[#This Row],[Date]],'DB Details'!$A:$T,19)</f>
        <v/>
      </c>
    </row>
    <row r="788">
      <c r="A788" s="38" t="n">
        <v>41334</v>
      </c>
      <c r="B788" s="48">
        <f>VLOOKUP(Table311[[#This Row],[Date]],'DB Details'!$A:$L,12)</f>
        <v/>
      </c>
      <c r="C788" s="49">
        <f>VLOOKUP(Table311[[#This Row],[Date]],'DB Details'!$A:$T,20)</f>
        <v/>
      </c>
      <c r="D788" s="49">
        <f>VLOOKUP(Table311[[#This Row],[Date]],'DB Details'!$A:$T,18)</f>
        <v/>
      </c>
      <c r="E788" s="49">
        <f>VLOOKUP(Table311[[#This Row],[Date]],'DB Details'!$A:$T,19)</f>
        <v/>
      </c>
    </row>
    <row r="789">
      <c r="A789" s="38" t="n">
        <v>41365</v>
      </c>
      <c r="B789" s="48">
        <f>VLOOKUP(Table311[[#This Row],[Date]],'DB Details'!$A:$L,12)</f>
        <v/>
      </c>
      <c r="C789" s="49">
        <f>VLOOKUP(Table311[[#This Row],[Date]],'DB Details'!$A:$T,20)</f>
        <v/>
      </c>
      <c r="D789" s="49">
        <f>VLOOKUP(Table311[[#This Row],[Date]],'DB Details'!$A:$T,18)</f>
        <v/>
      </c>
      <c r="E789" s="49">
        <f>VLOOKUP(Table311[[#This Row],[Date]],'DB Details'!$A:$T,19)</f>
        <v/>
      </c>
    </row>
    <row r="790">
      <c r="A790" s="38" t="n">
        <v>41395</v>
      </c>
      <c r="B790" s="48">
        <f>VLOOKUP(Table311[[#This Row],[Date]],'DB Details'!$A:$L,12)</f>
        <v/>
      </c>
      <c r="C790" s="49">
        <f>VLOOKUP(Table311[[#This Row],[Date]],'DB Details'!$A:$T,20)</f>
        <v/>
      </c>
      <c r="D790" s="49">
        <f>VLOOKUP(Table311[[#This Row],[Date]],'DB Details'!$A:$T,18)</f>
        <v/>
      </c>
      <c r="E790" s="49">
        <f>VLOOKUP(Table311[[#This Row],[Date]],'DB Details'!$A:$T,19)</f>
        <v/>
      </c>
    </row>
    <row r="791">
      <c r="A791" s="38" t="n">
        <v>41426</v>
      </c>
      <c r="B791" s="48">
        <f>VLOOKUP(Table311[[#This Row],[Date]],'DB Details'!$A:$L,12)</f>
        <v/>
      </c>
      <c r="C791" s="49">
        <f>VLOOKUP(Table311[[#This Row],[Date]],'DB Details'!$A:$T,20)</f>
        <v/>
      </c>
      <c r="D791" s="49">
        <f>VLOOKUP(Table311[[#This Row],[Date]],'DB Details'!$A:$T,18)</f>
        <v/>
      </c>
      <c r="E791" s="49">
        <f>VLOOKUP(Table311[[#This Row],[Date]],'DB Details'!$A:$T,19)</f>
        <v/>
      </c>
    </row>
    <row r="792">
      <c r="A792" s="38" t="n">
        <v>41456</v>
      </c>
      <c r="B792" s="48">
        <f>VLOOKUP(Table311[[#This Row],[Date]],'DB Details'!$A:$L,12)</f>
        <v/>
      </c>
      <c r="C792" s="49">
        <f>VLOOKUP(Table311[[#This Row],[Date]],'DB Details'!$A:$T,20)</f>
        <v/>
      </c>
      <c r="D792" s="49">
        <f>VLOOKUP(Table311[[#This Row],[Date]],'DB Details'!$A:$T,18)</f>
        <v/>
      </c>
      <c r="E792" s="49">
        <f>VLOOKUP(Table311[[#This Row],[Date]],'DB Details'!$A:$T,19)</f>
        <v/>
      </c>
    </row>
    <row r="793">
      <c r="A793" s="38" t="n">
        <v>41487</v>
      </c>
      <c r="B793" s="48">
        <f>VLOOKUP(Table311[[#This Row],[Date]],'DB Details'!$A:$L,12)</f>
        <v/>
      </c>
      <c r="C793" s="49">
        <f>VLOOKUP(Table311[[#This Row],[Date]],'DB Details'!$A:$T,20)</f>
        <v/>
      </c>
      <c r="D793" s="49">
        <f>VLOOKUP(Table311[[#This Row],[Date]],'DB Details'!$A:$T,18)</f>
        <v/>
      </c>
      <c r="E793" s="49">
        <f>VLOOKUP(Table311[[#This Row],[Date]],'DB Details'!$A:$T,19)</f>
        <v/>
      </c>
    </row>
    <row r="794">
      <c r="A794" s="38" t="n">
        <v>41518</v>
      </c>
      <c r="B794" s="48">
        <f>VLOOKUP(Table311[[#This Row],[Date]],'DB Details'!$A:$L,12)</f>
        <v/>
      </c>
      <c r="C794" s="49">
        <f>VLOOKUP(Table311[[#This Row],[Date]],'DB Details'!$A:$T,20)</f>
        <v/>
      </c>
      <c r="D794" s="49">
        <f>VLOOKUP(Table311[[#This Row],[Date]],'DB Details'!$A:$T,18)</f>
        <v/>
      </c>
      <c r="E794" s="49">
        <f>VLOOKUP(Table311[[#This Row],[Date]],'DB Details'!$A:$T,19)</f>
        <v/>
      </c>
    </row>
    <row r="795">
      <c r="A795" s="38" t="n">
        <v>41548</v>
      </c>
      <c r="B795" s="48">
        <f>VLOOKUP(Table311[[#This Row],[Date]],'DB Details'!$A:$L,12)</f>
        <v/>
      </c>
      <c r="C795" s="49">
        <f>VLOOKUP(Table311[[#This Row],[Date]],'DB Details'!$A:$T,20)</f>
        <v/>
      </c>
      <c r="D795" s="49">
        <f>VLOOKUP(Table311[[#This Row],[Date]],'DB Details'!$A:$T,18)</f>
        <v/>
      </c>
      <c r="E795" s="49">
        <f>VLOOKUP(Table311[[#This Row],[Date]],'DB Details'!$A:$T,19)</f>
        <v/>
      </c>
    </row>
    <row r="796">
      <c r="A796" s="38" t="n">
        <v>41579</v>
      </c>
      <c r="B796" s="48">
        <f>VLOOKUP(Table311[[#This Row],[Date]],'DB Details'!$A:$L,12)</f>
        <v/>
      </c>
      <c r="C796" s="49">
        <f>VLOOKUP(Table311[[#This Row],[Date]],'DB Details'!$A:$T,20)</f>
        <v/>
      </c>
      <c r="D796" s="49">
        <f>VLOOKUP(Table311[[#This Row],[Date]],'DB Details'!$A:$T,18)</f>
        <v/>
      </c>
      <c r="E796" s="49">
        <f>VLOOKUP(Table311[[#This Row],[Date]],'DB Details'!$A:$T,19)</f>
        <v/>
      </c>
    </row>
    <row r="797">
      <c r="A797" s="38" t="n">
        <v>41609</v>
      </c>
      <c r="B797" s="48">
        <f>VLOOKUP(Table311[[#This Row],[Date]],'DB Details'!$A:$L,12)</f>
        <v/>
      </c>
      <c r="C797" s="49">
        <f>VLOOKUP(Table311[[#This Row],[Date]],'DB Details'!$A:$T,20)</f>
        <v/>
      </c>
      <c r="D797" s="49">
        <f>VLOOKUP(Table311[[#This Row],[Date]],'DB Details'!$A:$T,18)</f>
        <v/>
      </c>
      <c r="E797" s="49">
        <f>VLOOKUP(Table311[[#This Row],[Date]],'DB Details'!$A:$T,19)</f>
        <v/>
      </c>
    </row>
    <row r="798">
      <c r="A798" s="38" t="n">
        <v>41640</v>
      </c>
      <c r="B798" s="48">
        <f>VLOOKUP(Table311[[#This Row],[Date]],'DB Details'!$A:$L,12)</f>
        <v/>
      </c>
      <c r="C798" s="49">
        <f>VLOOKUP(Table311[[#This Row],[Date]],'DB Details'!$A:$T,20)</f>
        <v/>
      </c>
      <c r="D798" s="49">
        <f>VLOOKUP(Table311[[#This Row],[Date]],'DB Details'!$A:$T,18)</f>
        <v/>
      </c>
      <c r="E798" s="49">
        <f>VLOOKUP(Table311[[#This Row],[Date]],'DB Details'!$A:$T,19)</f>
        <v/>
      </c>
    </row>
    <row r="799">
      <c r="A799" s="38" t="n">
        <v>41671</v>
      </c>
      <c r="B799" s="48">
        <f>VLOOKUP(Table311[[#This Row],[Date]],'DB Details'!$A:$L,12)</f>
        <v/>
      </c>
      <c r="C799" s="49">
        <f>VLOOKUP(Table311[[#This Row],[Date]],'DB Details'!$A:$T,20)</f>
        <v/>
      </c>
      <c r="D799" s="49">
        <f>VLOOKUP(Table311[[#This Row],[Date]],'DB Details'!$A:$T,18)</f>
        <v/>
      </c>
      <c r="E799" s="49">
        <f>VLOOKUP(Table311[[#This Row],[Date]],'DB Details'!$A:$T,19)</f>
        <v/>
      </c>
    </row>
    <row r="800">
      <c r="A800" s="38" t="n">
        <v>41699</v>
      </c>
      <c r="B800" s="48">
        <f>VLOOKUP(Table311[[#This Row],[Date]],'DB Details'!$A:$L,12)</f>
        <v/>
      </c>
      <c r="C800" s="49">
        <f>VLOOKUP(Table311[[#This Row],[Date]],'DB Details'!$A:$T,20)</f>
        <v/>
      </c>
      <c r="D800" s="49">
        <f>VLOOKUP(Table311[[#This Row],[Date]],'DB Details'!$A:$T,18)</f>
        <v/>
      </c>
      <c r="E800" s="49">
        <f>VLOOKUP(Table311[[#This Row],[Date]],'DB Details'!$A:$T,19)</f>
        <v/>
      </c>
    </row>
    <row r="801">
      <c r="A801" s="38" t="n">
        <v>41730</v>
      </c>
      <c r="B801" s="48">
        <f>VLOOKUP(Table311[[#This Row],[Date]],'DB Details'!$A:$L,12)</f>
        <v/>
      </c>
      <c r="C801" s="49">
        <f>VLOOKUP(Table311[[#This Row],[Date]],'DB Details'!$A:$T,20)</f>
        <v/>
      </c>
      <c r="D801" s="49">
        <f>VLOOKUP(Table311[[#This Row],[Date]],'DB Details'!$A:$T,18)</f>
        <v/>
      </c>
      <c r="E801" s="49">
        <f>VLOOKUP(Table311[[#This Row],[Date]],'DB Details'!$A:$T,19)</f>
        <v/>
      </c>
    </row>
    <row r="802">
      <c r="A802" s="38" t="n">
        <v>41760</v>
      </c>
      <c r="B802" s="48">
        <f>VLOOKUP(Table311[[#This Row],[Date]],'DB Details'!$A:$L,12)</f>
        <v/>
      </c>
      <c r="C802" s="49">
        <f>VLOOKUP(Table311[[#This Row],[Date]],'DB Details'!$A:$T,20)</f>
        <v/>
      </c>
      <c r="D802" s="49">
        <f>VLOOKUP(Table311[[#This Row],[Date]],'DB Details'!$A:$T,18)</f>
        <v/>
      </c>
      <c r="E802" s="49">
        <f>VLOOKUP(Table311[[#This Row],[Date]],'DB Details'!$A:$T,19)</f>
        <v/>
      </c>
    </row>
    <row r="803">
      <c r="A803" s="38" t="n">
        <v>41791</v>
      </c>
      <c r="B803" s="48">
        <f>VLOOKUP(Table311[[#This Row],[Date]],'DB Details'!$A:$L,12)</f>
        <v/>
      </c>
      <c r="C803" s="49">
        <f>VLOOKUP(Table311[[#This Row],[Date]],'DB Details'!$A:$T,20)</f>
        <v/>
      </c>
      <c r="D803" s="49">
        <f>VLOOKUP(Table311[[#This Row],[Date]],'DB Details'!$A:$T,18)</f>
        <v/>
      </c>
      <c r="E803" s="49">
        <f>VLOOKUP(Table311[[#This Row],[Date]],'DB Details'!$A:$T,19)</f>
        <v/>
      </c>
    </row>
    <row r="804">
      <c r="A804" s="38" t="n">
        <v>41821</v>
      </c>
      <c r="B804" s="48">
        <f>VLOOKUP(Table311[[#This Row],[Date]],'DB Details'!$A:$L,12)</f>
        <v/>
      </c>
      <c r="C804" s="49">
        <f>VLOOKUP(Table311[[#This Row],[Date]],'DB Details'!$A:$T,20)</f>
        <v/>
      </c>
      <c r="D804" s="49">
        <f>VLOOKUP(Table311[[#This Row],[Date]],'DB Details'!$A:$T,18)</f>
        <v/>
      </c>
      <c r="E804" s="49">
        <f>VLOOKUP(Table311[[#This Row],[Date]],'DB Details'!$A:$T,19)</f>
        <v/>
      </c>
    </row>
    <row r="805">
      <c r="A805" s="38" t="n">
        <v>41852</v>
      </c>
      <c r="B805" s="48">
        <f>VLOOKUP(Table311[[#This Row],[Date]],'DB Details'!$A:$L,12)</f>
        <v/>
      </c>
      <c r="C805" s="49">
        <f>VLOOKUP(Table311[[#This Row],[Date]],'DB Details'!$A:$T,20)</f>
        <v/>
      </c>
      <c r="D805" s="49">
        <f>VLOOKUP(Table311[[#This Row],[Date]],'DB Details'!$A:$T,18)</f>
        <v/>
      </c>
      <c r="E805" s="49">
        <f>VLOOKUP(Table311[[#This Row],[Date]],'DB Details'!$A:$T,19)</f>
        <v/>
      </c>
    </row>
    <row r="806">
      <c r="A806" s="38" t="n">
        <v>41883</v>
      </c>
      <c r="B806" s="48">
        <f>VLOOKUP(Table311[[#This Row],[Date]],'DB Details'!$A:$L,12)</f>
        <v/>
      </c>
      <c r="C806" s="49">
        <f>VLOOKUP(Table311[[#This Row],[Date]],'DB Details'!$A:$T,20)</f>
        <v/>
      </c>
      <c r="D806" s="49">
        <f>VLOOKUP(Table311[[#This Row],[Date]],'DB Details'!$A:$T,18)</f>
        <v/>
      </c>
      <c r="E806" s="49">
        <f>VLOOKUP(Table311[[#This Row],[Date]],'DB Details'!$A:$T,19)</f>
        <v/>
      </c>
    </row>
    <row r="807">
      <c r="A807" s="38" t="n">
        <v>41913</v>
      </c>
      <c r="B807" s="48">
        <f>VLOOKUP(Table311[[#This Row],[Date]],'DB Details'!$A:$L,12)</f>
        <v/>
      </c>
      <c r="C807" s="49">
        <f>VLOOKUP(Table311[[#This Row],[Date]],'DB Details'!$A:$T,20)</f>
        <v/>
      </c>
      <c r="D807" s="49">
        <f>VLOOKUP(Table311[[#This Row],[Date]],'DB Details'!$A:$T,18)</f>
        <v/>
      </c>
      <c r="E807" s="49">
        <f>VLOOKUP(Table311[[#This Row],[Date]],'DB Details'!$A:$T,19)</f>
        <v/>
      </c>
    </row>
    <row r="808">
      <c r="A808" s="38" t="n">
        <v>41944</v>
      </c>
      <c r="B808" s="48">
        <f>VLOOKUP(Table311[[#This Row],[Date]],'DB Details'!$A:$L,12)</f>
        <v/>
      </c>
      <c r="C808" s="49">
        <f>VLOOKUP(Table311[[#This Row],[Date]],'DB Details'!$A:$T,20)</f>
        <v/>
      </c>
      <c r="D808" s="49">
        <f>VLOOKUP(Table311[[#This Row],[Date]],'DB Details'!$A:$T,18)</f>
        <v/>
      </c>
      <c r="E808" s="49">
        <f>VLOOKUP(Table311[[#This Row],[Date]],'DB Details'!$A:$T,19)</f>
        <v/>
      </c>
    </row>
    <row r="809">
      <c r="A809" s="38" t="n">
        <v>41974</v>
      </c>
      <c r="B809" s="48">
        <f>VLOOKUP(Table311[[#This Row],[Date]],'DB Details'!$A:$L,12)</f>
        <v/>
      </c>
      <c r="C809" s="49">
        <f>VLOOKUP(Table311[[#This Row],[Date]],'DB Details'!$A:$T,20)</f>
        <v/>
      </c>
      <c r="D809" s="49">
        <f>VLOOKUP(Table311[[#This Row],[Date]],'DB Details'!$A:$T,18)</f>
        <v/>
      </c>
      <c r="E809" s="49">
        <f>VLOOKUP(Table311[[#This Row],[Date]],'DB Details'!$A:$T,19)</f>
        <v/>
      </c>
    </row>
    <row r="810">
      <c r="A810" s="38" t="n">
        <v>42005</v>
      </c>
      <c r="B810" s="48">
        <f>VLOOKUP(Table311[[#This Row],[Date]],'DB Details'!$A:$L,12)</f>
        <v/>
      </c>
      <c r="C810" s="49">
        <f>VLOOKUP(Table311[[#This Row],[Date]],'DB Details'!$A:$T,20)</f>
        <v/>
      </c>
      <c r="D810" s="49">
        <f>VLOOKUP(Table311[[#This Row],[Date]],'DB Details'!$A:$T,18)</f>
        <v/>
      </c>
      <c r="E810" s="49">
        <f>VLOOKUP(Table311[[#This Row],[Date]],'DB Details'!$A:$T,19)</f>
        <v/>
      </c>
    </row>
    <row r="811">
      <c r="A811" s="38" t="n">
        <v>42036</v>
      </c>
      <c r="B811" s="48">
        <f>VLOOKUP(Table311[[#This Row],[Date]],'DB Details'!$A:$L,12)</f>
        <v/>
      </c>
      <c r="C811" s="49">
        <f>VLOOKUP(Table311[[#This Row],[Date]],'DB Details'!$A:$T,20)</f>
        <v/>
      </c>
      <c r="D811" s="49">
        <f>VLOOKUP(Table311[[#This Row],[Date]],'DB Details'!$A:$T,18)</f>
        <v/>
      </c>
      <c r="E811" s="49">
        <f>VLOOKUP(Table311[[#This Row],[Date]],'DB Details'!$A:$T,19)</f>
        <v/>
      </c>
    </row>
    <row r="812">
      <c r="A812" s="38" t="n">
        <v>42064</v>
      </c>
      <c r="B812" s="48">
        <f>VLOOKUP(Table311[[#This Row],[Date]],'DB Details'!$A:$L,12)</f>
        <v/>
      </c>
      <c r="C812" s="49">
        <f>VLOOKUP(Table311[[#This Row],[Date]],'DB Details'!$A:$T,20)</f>
        <v/>
      </c>
      <c r="D812" s="49">
        <f>VLOOKUP(Table311[[#This Row],[Date]],'DB Details'!$A:$T,18)</f>
        <v/>
      </c>
      <c r="E812" s="49">
        <f>VLOOKUP(Table311[[#This Row],[Date]],'DB Details'!$A:$T,19)</f>
        <v/>
      </c>
    </row>
    <row r="813">
      <c r="A813" s="38" t="n">
        <v>42095</v>
      </c>
      <c r="B813" s="48">
        <f>VLOOKUP(Table311[[#This Row],[Date]],'DB Details'!$A:$L,12)</f>
        <v/>
      </c>
      <c r="C813" s="49">
        <f>VLOOKUP(Table311[[#This Row],[Date]],'DB Details'!$A:$T,20)</f>
        <v/>
      </c>
      <c r="D813" s="49">
        <f>VLOOKUP(Table311[[#This Row],[Date]],'DB Details'!$A:$T,18)</f>
        <v/>
      </c>
      <c r="E813" s="49">
        <f>VLOOKUP(Table311[[#This Row],[Date]],'DB Details'!$A:$T,19)</f>
        <v/>
      </c>
    </row>
    <row r="814">
      <c r="A814" s="38" t="n">
        <v>42125</v>
      </c>
      <c r="B814" s="48">
        <f>VLOOKUP(Table311[[#This Row],[Date]],'DB Details'!$A:$L,12)</f>
        <v/>
      </c>
      <c r="C814" s="49">
        <f>VLOOKUP(Table311[[#This Row],[Date]],'DB Details'!$A:$T,20)</f>
        <v/>
      </c>
      <c r="D814" s="49">
        <f>VLOOKUP(Table311[[#This Row],[Date]],'DB Details'!$A:$T,18)</f>
        <v/>
      </c>
      <c r="E814" s="49">
        <f>VLOOKUP(Table311[[#This Row],[Date]],'DB Details'!$A:$T,19)</f>
        <v/>
      </c>
    </row>
    <row r="815">
      <c r="A815" s="38" t="n">
        <v>42156</v>
      </c>
      <c r="B815" s="48">
        <f>VLOOKUP(Table311[[#This Row],[Date]],'DB Details'!$A:$L,12)</f>
        <v/>
      </c>
      <c r="C815" s="49">
        <f>VLOOKUP(Table311[[#This Row],[Date]],'DB Details'!$A:$T,20)</f>
        <v/>
      </c>
      <c r="D815" s="49">
        <f>VLOOKUP(Table311[[#This Row],[Date]],'DB Details'!$A:$T,18)</f>
        <v/>
      </c>
      <c r="E815" s="49">
        <f>VLOOKUP(Table311[[#This Row],[Date]],'DB Details'!$A:$T,19)</f>
        <v/>
      </c>
    </row>
    <row r="816">
      <c r="A816" s="38" t="n">
        <v>42186</v>
      </c>
      <c r="B816" s="48">
        <f>VLOOKUP(Table311[[#This Row],[Date]],'DB Details'!$A:$L,12)</f>
        <v/>
      </c>
      <c r="C816" s="49">
        <f>VLOOKUP(Table311[[#This Row],[Date]],'DB Details'!$A:$T,20)</f>
        <v/>
      </c>
      <c r="D816" s="49">
        <f>VLOOKUP(Table311[[#This Row],[Date]],'DB Details'!$A:$T,18)</f>
        <v/>
      </c>
      <c r="E816" s="49">
        <f>VLOOKUP(Table311[[#This Row],[Date]],'DB Details'!$A:$T,19)</f>
        <v/>
      </c>
    </row>
    <row r="817">
      <c r="A817" s="38" t="n">
        <v>42217</v>
      </c>
      <c r="B817" s="48">
        <f>VLOOKUP(Table311[[#This Row],[Date]],'DB Details'!$A:$L,12)</f>
        <v/>
      </c>
      <c r="C817" s="49">
        <f>VLOOKUP(Table311[[#This Row],[Date]],'DB Details'!$A:$T,20)</f>
        <v/>
      </c>
      <c r="D817" s="49">
        <f>VLOOKUP(Table311[[#This Row],[Date]],'DB Details'!$A:$T,18)</f>
        <v/>
      </c>
      <c r="E817" s="49">
        <f>VLOOKUP(Table311[[#This Row],[Date]],'DB Details'!$A:$T,19)</f>
        <v/>
      </c>
    </row>
    <row r="818">
      <c r="A818" s="38" t="n">
        <v>42248</v>
      </c>
      <c r="B818" s="48">
        <f>VLOOKUP(Table311[[#This Row],[Date]],'DB Details'!$A:$L,12)</f>
        <v/>
      </c>
      <c r="C818" s="49">
        <f>VLOOKUP(Table311[[#This Row],[Date]],'DB Details'!$A:$T,20)</f>
        <v/>
      </c>
      <c r="D818" s="49">
        <f>VLOOKUP(Table311[[#This Row],[Date]],'DB Details'!$A:$T,18)</f>
        <v/>
      </c>
      <c r="E818" s="49">
        <f>VLOOKUP(Table311[[#This Row],[Date]],'DB Details'!$A:$T,19)</f>
        <v/>
      </c>
    </row>
    <row r="819">
      <c r="A819" s="38" t="n">
        <v>42278</v>
      </c>
      <c r="B819" s="48">
        <f>VLOOKUP(Table311[[#This Row],[Date]],'DB Details'!$A:$L,12)</f>
        <v/>
      </c>
      <c r="C819" s="49">
        <f>VLOOKUP(Table311[[#This Row],[Date]],'DB Details'!$A:$T,20)</f>
        <v/>
      </c>
      <c r="D819" s="49">
        <f>VLOOKUP(Table311[[#This Row],[Date]],'DB Details'!$A:$T,18)</f>
        <v/>
      </c>
      <c r="E819" s="49">
        <f>VLOOKUP(Table311[[#This Row],[Date]],'DB Details'!$A:$T,19)</f>
        <v/>
      </c>
    </row>
    <row r="820">
      <c r="A820" s="38" t="n">
        <v>42309</v>
      </c>
      <c r="B820" s="48">
        <f>VLOOKUP(Table311[[#This Row],[Date]],'DB Details'!$A:$L,12)</f>
        <v/>
      </c>
      <c r="C820" s="49">
        <f>VLOOKUP(Table311[[#This Row],[Date]],'DB Details'!$A:$T,20)</f>
        <v/>
      </c>
      <c r="D820" s="49">
        <f>VLOOKUP(Table311[[#This Row],[Date]],'DB Details'!$A:$T,18)</f>
        <v/>
      </c>
      <c r="E820" s="49">
        <f>VLOOKUP(Table311[[#This Row],[Date]],'DB Details'!$A:$T,19)</f>
        <v/>
      </c>
    </row>
    <row r="821">
      <c r="A821" s="38" t="n">
        <v>42339</v>
      </c>
      <c r="B821" s="48">
        <f>VLOOKUP(Table311[[#This Row],[Date]],'DB Details'!$A:$L,12)</f>
        <v/>
      </c>
      <c r="C821" s="49">
        <f>VLOOKUP(Table311[[#This Row],[Date]],'DB Details'!$A:$T,20)</f>
        <v/>
      </c>
      <c r="D821" s="49">
        <f>VLOOKUP(Table311[[#This Row],[Date]],'DB Details'!$A:$T,18)</f>
        <v/>
      </c>
      <c r="E821" s="49">
        <f>VLOOKUP(Table311[[#This Row],[Date]],'DB Details'!$A:$T,19)</f>
        <v/>
      </c>
    </row>
    <row r="822">
      <c r="A822" s="38" t="n">
        <v>42370</v>
      </c>
      <c r="B822" s="48">
        <f>VLOOKUP(Table311[[#This Row],[Date]],'DB Details'!$A:$L,12)</f>
        <v/>
      </c>
      <c r="C822" s="49">
        <f>VLOOKUP(Table311[[#This Row],[Date]],'DB Details'!$A:$T,20)</f>
        <v/>
      </c>
      <c r="D822" s="49">
        <f>VLOOKUP(Table311[[#This Row],[Date]],'DB Details'!$A:$T,18)</f>
        <v/>
      </c>
      <c r="E822" s="49">
        <f>VLOOKUP(Table311[[#This Row],[Date]],'DB Details'!$A:$T,19)</f>
        <v/>
      </c>
    </row>
    <row r="823">
      <c r="A823" s="38" t="n">
        <v>42401</v>
      </c>
      <c r="B823" s="48">
        <f>VLOOKUP(Table311[[#This Row],[Date]],'DB Details'!$A:$L,12)</f>
        <v/>
      </c>
      <c r="C823" s="49">
        <f>VLOOKUP(Table311[[#This Row],[Date]],'DB Details'!$A:$T,20)</f>
        <v/>
      </c>
      <c r="D823" s="49">
        <f>VLOOKUP(Table311[[#This Row],[Date]],'DB Details'!$A:$T,18)</f>
        <v/>
      </c>
      <c r="E823" s="49">
        <f>VLOOKUP(Table311[[#This Row],[Date]],'DB Details'!$A:$T,19)</f>
        <v/>
      </c>
    </row>
    <row r="824">
      <c r="A824" s="38" t="n">
        <v>42430</v>
      </c>
      <c r="B824" s="48">
        <f>VLOOKUP(Table311[[#This Row],[Date]],'DB Details'!$A:$L,12)</f>
        <v/>
      </c>
      <c r="C824" s="49">
        <f>VLOOKUP(Table311[[#This Row],[Date]],'DB Details'!$A:$T,20)</f>
        <v/>
      </c>
      <c r="D824" s="49">
        <f>VLOOKUP(Table311[[#This Row],[Date]],'DB Details'!$A:$T,18)</f>
        <v/>
      </c>
      <c r="E824" s="49">
        <f>VLOOKUP(Table311[[#This Row],[Date]],'DB Details'!$A:$T,19)</f>
        <v/>
      </c>
    </row>
    <row r="825">
      <c r="A825" s="38" t="n">
        <v>42461</v>
      </c>
      <c r="B825" s="48">
        <f>VLOOKUP(Table311[[#This Row],[Date]],'DB Details'!$A:$L,12)</f>
        <v/>
      </c>
      <c r="C825" s="49">
        <f>VLOOKUP(Table311[[#This Row],[Date]],'DB Details'!$A:$T,20)</f>
        <v/>
      </c>
      <c r="D825" s="49">
        <f>VLOOKUP(Table311[[#This Row],[Date]],'DB Details'!$A:$T,18)</f>
        <v/>
      </c>
      <c r="E825" s="49">
        <f>VLOOKUP(Table311[[#This Row],[Date]],'DB Details'!$A:$T,19)</f>
        <v/>
      </c>
    </row>
    <row r="826">
      <c r="A826" s="38" t="n">
        <v>42491</v>
      </c>
      <c r="B826" s="48">
        <f>VLOOKUP(Table311[[#This Row],[Date]],'DB Details'!$A:$L,12)</f>
        <v/>
      </c>
      <c r="C826" s="49">
        <f>VLOOKUP(Table311[[#This Row],[Date]],'DB Details'!$A:$T,20)</f>
        <v/>
      </c>
      <c r="D826" s="49">
        <f>VLOOKUP(Table311[[#This Row],[Date]],'DB Details'!$A:$T,18)</f>
        <v/>
      </c>
      <c r="E826" s="49">
        <f>VLOOKUP(Table311[[#This Row],[Date]],'DB Details'!$A:$T,19)</f>
        <v/>
      </c>
    </row>
    <row r="827">
      <c r="A827" s="38" t="n">
        <v>42522</v>
      </c>
      <c r="B827" s="48">
        <f>VLOOKUP(Table311[[#This Row],[Date]],'DB Details'!$A:$L,12)</f>
        <v/>
      </c>
      <c r="C827" s="49">
        <f>VLOOKUP(Table311[[#This Row],[Date]],'DB Details'!$A:$T,20)</f>
        <v/>
      </c>
      <c r="D827" s="49">
        <f>VLOOKUP(Table311[[#This Row],[Date]],'DB Details'!$A:$T,18)</f>
        <v/>
      </c>
      <c r="E827" s="49">
        <f>VLOOKUP(Table311[[#This Row],[Date]],'DB Details'!$A:$T,19)</f>
        <v/>
      </c>
    </row>
    <row r="828">
      <c r="A828" s="38" t="n">
        <v>42552</v>
      </c>
      <c r="B828" s="48">
        <f>VLOOKUP(Table311[[#This Row],[Date]],'DB Details'!$A:$L,12)</f>
        <v/>
      </c>
      <c r="C828" s="49">
        <f>VLOOKUP(Table311[[#This Row],[Date]],'DB Details'!$A:$T,20)</f>
        <v/>
      </c>
      <c r="D828" s="49">
        <f>VLOOKUP(Table311[[#This Row],[Date]],'DB Details'!$A:$T,18)</f>
        <v/>
      </c>
      <c r="E828" s="49">
        <f>VLOOKUP(Table311[[#This Row],[Date]],'DB Details'!$A:$T,19)</f>
        <v/>
      </c>
    </row>
    <row r="829">
      <c r="A829" s="38" t="n">
        <v>42583</v>
      </c>
      <c r="B829" s="48">
        <f>VLOOKUP(Table311[[#This Row],[Date]],'DB Details'!$A:$L,12)</f>
        <v/>
      </c>
      <c r="C829" s="49">
        <f>VLOOKUP(Table311[[#This Row],[Date]],'DB Details'!$A:$T,20)</f>
        <v/>
      </c>
      <c r="D829" s="49">
        <f>VLOOKUP(Table311[[#This Row],[Date]],'DB Details'!$A:$T,18)</f>
        <v/>
      </c>
      <c r="E829" s="49">
        <f>VLOOKUP(Table311[[#This Row],[Date]],'DB Details'!$A:$T,19)</f>
        <v/>
      </c>
    </row>
    <row r="830">
      <c r="A830" s="38" t="n">
        <v>42614</v>
      </c>
      <c r="B830" s="48">
        <f>VLOOKUP(Table311[[#This Row],[Date]],'DB Details'!$A:$L,12)</f>
        <v/>
      </c>
      <c r="C830" s="49">
        <f>VLOOKUP(Table311[[#This Row],[Date]],'DB Details'!$A:$T,20)</f>
        <v/>
      </c>
      <c r="D830" s="49">
        <f>VLOOKUP(Table311[[#This Row],[Date]],'DB Details'!$A:$T,18)</f>
        <v/>
      </c>
      <c r="E830" s="49">
        <f>VLOOKUP(Table311[[#This Row],[Date]],'DB Details'!$A:$T,19)</f>
        <v/>
      </c>
    </row>
    <row r="831">
      <c r="A831" s="38" t="n">
        <v>42644</v>
      </c>
      <c r="B831" s="48">
        <f>VLOOKUP(Table311[[#This Row],[Date]],'DB Details'!$A:$L,12)</f>
        <v/>
      </c>
      <c r="C831" s="49">
        <f>VLOOKUP(Table311[[#This Row],[Date]],'DB Details'!$A:$T,20)</f>
        <v/>
      </c>
      <c r="D831" s="49">
        <f>VLOOKUP(Table311[[#This Row],[Date]],'DB Details'!$A:$T,18)</f>
        <v/>
      </c>
      <c r="E831" s="49">
        <f>VLOOKUP(Table311[[#This Row],[Date]],'DB Details'!$A:$T,19)</f>
        <v/>
      </c>
    </row>
    <row r="832">
      <c r="A832" s="38" t="n">
        <v>42675</v>
      </c>
      <c r="B832" s="48">
        <f>VLOOKUP(Table311[[#This Row],[Date]],'DB Details'!$A:$L,12)</f>
        <v/>
      </c>
      <c r="C832" s="49">
        <f>VLOOKUP(Table311[[#This Row],[Date]],'DB Details'!$A:$T,20)</f>
        <v/>
      </c>
      <c r="D832" s="49">
        <f>VLOOKUP(Table311[[#This Row],[Date]],'DB Details'!$A:$T,18)</f>
        <v/>
      </c>
      <c r="E832" s="49">
        <f>VLOOKUP(Table311[[#This Row],[Date]],'DB Details'!$A:$T,19)</f>
        <v/>
      </c>
    </row>
    <row r="833">
      <c r="A833" s="38" t="n">
        <v>42705</v>
      </c>
      <c r="B833" s="48">
        <f>VLOOKUP(Table311[[#This Row],[Date]],'DB Details'!$A:$L,12)</f>
        <v/>
      </c>
      <c r="C833" s="49">
        <f>VLOOKUP(Table311[[#This Row],[Date]],'DB Details'!$A:$T,20)</f>
        <v/>
      </c>
      <c r="D833" s="49">
        <f>VLOOKUP(Table311[[#This Row],[Date]],'DB Details'!$A:$T,18)</f>
        <v/>
      </c>
      <c r="E833" s="49">
        <f>VLOOKUP(Table311[[#This Row],[Date]],'DB Details'!$A:$T,19)</f>
        <v/>
      </c>
    </row>
    <row r="834">
      <c r="A834" s="38" t="n">
        <v>42736</v>
      </c>
      <c r="B834" s="48">
        <f>VLOOKUP(Table311[[#This Row],[Date]],'DB Details'!$A:$L,12)</f>
        <v/>
      </c>
      <c r="C834" s="49">
        <f>VLOOKUP(Table311[[#This Row],[Date]],'DB Details'!$A:$T,20)</f>
        <v/>
      </c>
      <c r="D834" s="49">
        <f>VLOOKUP(Table311[[#This Row],[Date]],'DB Details'!$A:$T,18)</f>
        <v/>
      </c>
      <c r="E834" s="49">
        <f>VLOOKUP(Table311[[#This Row],[Date]],'DB Details'!$A:$T,19)</f>
        <v/>
      </c>
    </row>
    <row r="835">
      <c r="A835" s="38" t="n">
        <v>42767</v>
      </c>
      <c r="B835" s="48">
        <f>VLOOKUP(Table311[[#This Row],[Date]],'DB Details'!$A:$L,12)</f>
        <v/>
      </c>
      <c r="C835" s="49">
        <f>VLOOKUP(Table311[[#This Row],[Date]],'DB Details'!$A:$T,20)</f>
        <v/>
      </c>
      <c r="D835" s="49">
        <f>VLOOKUP(Table311[[#This Row],[Date]],'DB Details'!$A:$T,18)</f>
        <v/>
      </c>
      <c r="E835" s="49">
        <f>VLOOKUP(Table311[[#This Row],[Date]],'DB Details'!$A:$T,19)</f>
        <v/>
      </c>
    </row>
    <row r="836">
      <c r="A836" s="38" t="n">
        <v>42795</v>
      </c>
      <c r="B836" s="48">
        <f>VLOOKUP(Table311[[#This Row],[Date]],'DB Details'!$A:$L,12)</f>
        <v/>
      </c>
      <c r="C836" s="49">
        <f>VLOOKUP(Table311[[#This Row],[Date]],'DB Details'!$A:$T,20)</f>
        <v/>
      </c>
      <c r="D836" s="49">
        <f>VLOOKUP(Table311[[#This Row],[Date]],'DB Details'!$A:$T,18)</f>
        <v/>
      </c>
      <c r="E836" s="49">
        <f>VLOOKUP(Table311[[#This Row],[Date]],'DB Details'!$A:$T,19)</f>
        <v/>
      </c>
    </row>
    <row r="837">
      <c r="A837" s="38" t="n">
        <v>42826</v>
      </c>
      <c r="B837" s="48">
        <f>VLOOKUP(Table311[[#This Row],[Date]],'DB Details'!$A:$L,12)</f>
        <v/>
      </c>
      <c r="C837" s="49">
        <f>VLOOKUP(Table311[[#This Row],[Date]],'DB Details'!$A:$T,20)</f>
        <v/>
      </c>
      <c r="D837" s="49">
        <f>VLOOKUP(Table311[[#This Row],[Date]],'DB Details'!$A:$T,18)</f>
        <v/>
      </c>
      <c r="E837" s="49">
        <f>VLOOKUP(Table311[[#This Row],[Date]],'DB Details'!$A:$T,19)</f>
        <v/>
      </c>
    </row>
    <row r="838">
      <c r="A838" s="38" t="n">
        <v>42856</v>
      </c>
      <c r="B838" s="48">
        <f>VLOOKUP(Table311[[#This Row],[Date]],'DB Details'!$A:$L,12)</f>
        <v/>
      </c>
      <c r="C838" s="49">
        <f>VLOOKUP(Table311[[#This Row],[Date]],'DB Details'!$A:$T,20)</f>
        <v/>
      </c>
      <c r="D838" s="49">
        <f>VLOOKUP(Table311[[#This Row],[Date]],'DB Details'!$A:$T,18)</f>
        <v/>
      </c>
      <c r="E838" s="49">
        <f>VLOOKUP(Table311[[#This Row],[Date]],'DB Details'!$A:$T,19)</f>
        <v/>
      </c>
    </row>
    <row r="839">
      <c r="A839" s="38" t="n">
        <v>42887</v>
      </c>
      <c r="B839" s="48">
        <f>VLOOKUP(Table311[[#This Row],[Date]],'DB Details'!$A:$L,12)</f>
        <v/>
      </c>
      <c r="C839" s="49">
        <f>VLOOKUP(Table311[[#This Row],[Date]],'DB Details'!$A:$T,20)</f>
        <v/>
      </c>
      <c r="D839" s="49">
        <f>VLOOKUP(Table311[[#This Row],[Date]],'DB Details'!$A:$T,18)</f>
        <v/>
      </c>
      <c r="E839" s="49">
        <f>VLOOKUP(Table311[[#This Row],[Date]],'DB Details'!$A:$T,19)</f>
        <v/>
      </c>
    </row>
    <row r="840">
      <c r="A840" s="38" t="n">
        <v>42917</v>
      </c>
      <c r="B840" s="48">
        <f>VLOOKUP(Table311[[#This Row],[Date]],'DB Details'!$A:$L,12)</f>
        <v/>
      </c>
      <c r="C840" s="49">
        <f>VLOOKUP(Table311[[#This Row],[Date]],'DB Details'!$A:$T,20)</f>
        <v/>
      </c>
      <c r="D840" s="49">
        <f>VLOOKUP(Table311[[#This Row],[Date]],'DB Details'!$A:$T,18)</f>
        <v/>
      </c>
      <c r="E840" s="49">
        <f>VLOOKUP(Table311[[#This Row],[Date]],'DB Details'!$A:$T,19)</f>
        <v/>
      </c>
    </row>
    <row r="841">
      <c r="A841" s="38" t="n">
        <v>42948</v>
      </c>
      <c r="B841" s="48">
        <f>VLOOKUP(Table311[[#This Row],[Date]],'DB Details'!$A:$L,12)</f>
        <v/>
      </c>
      <c r="C841" s="49">
        <f>VLOOKUP(Table311[[#This Row],[Date]],'DB Details'!$A:$T,20)</f>
        <v/>
      </c>
      <c r="D841" s="49">
        <f>VLOOKUP(Table311[[#This Row],[Date]],'DB Details'!$A:$T,18)</f>
        <v/>
      </c>
      <c r="E841" s="49">
        <f>VLOOKUP(Table311[[#This Row],[Date]],'DB Details'!$A:$T,19)</f>
        <v/>
      </c>
    </row>
    <row r="842">
      <c r="A842" s="38" t="n">
        <v>42979</v>
      </c>
      <c r="B842" s="48">
        <f>VLOOKUP(Table311[[#This Row],[Date]],'DB Details'!$A:$L,12)</f>
        <v/>
      </c>
      <c r="C842" s="49">
        <f>VLOOKUP(Table311[[#This Row],[Date]],'DB Details'!$A:$T,20)</f>
        <v/>
      </c>
      <c r="D842" s="49">
        <f>VLOOKUP(Table311[[#This Row],[Date]],'DB Details'!$A:$T,18)</f>
        <v/>
      </c>
      <c r="E842" s="49">
        <f>VLOOKUP(Table311[[#This Row],[Date]],'DB Details'!$A:$T,19)</f>
        <v/>
      </c>
    </row>
    <row r="843">
      <c r="A843" s="38" t="n">
        <v>43009</v>
      </c>
      <c r="B843" s="48">
        <f>VLOOKUP(Table311[[#This Row],[Date]],'DB Details'!$A:$L,12)</f>
        <v/>
      </c>
      <c r="C843" s="49">
        <f>VLOOKUP(Table311[[#This Row],[Date]],'DB Details'!$A:$T,20)</f>
        <v/>
      </c>
      <c r="D843" s="49">
        <f>VLOOKUP(Table311[[#This Row],[Date]],'DB Details'!$A:$T,18)</f>
        <v/>
      </c>
      <c r="E843" s="49">
        <f>VLOOKUP(Table311[[#This Row],[Date]],'DB Details'!$A:$T,19)</f>
        <v/>
      </c>
    </row>
    <row r="844">
      <c r="A844" s="38" t="n">
        <v>43040</v>
      </c>
      <c r="B844" s="48">
        <f>VLOOKUP(Table311[[#This Row],[Date]],'DB Details'!$A:$L,12)</f>
        <v/>
      </c>
      <c r="C844" s="49">
        <f>VLOOKUP(Table311[[#This Row],[Date]],'DB Details'!$A:$T,20)</f>
        <v/>
      </c>
      <c r="D844" s="49">
        <f>VLOOKUP(Table311[[#This Row],[Date]],'DB Details'!$A:$T,18)</f>
        <v/>
      </c>
      <c r="E844" s="49">
        <f>VLOOKUP(Table311[[#This Row],[Date]],'DB Details'!$A:$T,19)</f>
        <v/>
      </c>
    </row>
    <row r="845">
      <c r="A845" s="38" t="n">
        <v>43070</v>
      </c>
      <c r="B845" s="48">
        <f>VLOOKUP(Table311[[#This Row],[Date]],'DB Details'!$A:$L,12)</f>
        <v/>
      </c>
      <c r="C845" s="49">
        <f>VLOOKUP(Table311[[#This Row],[Date]],'DB Details'!$A:$T,20)</f>
        <v/>
      </c>
      <c r="D845" s="49">
        <f>VLOOKUP(Table311[[#This Row],[Date]],'DB Details'!$A:$T,18)</f>
        <v/>
      </c>
      <c r="E845" s="49">
        <f>VLOOKUP(Table311[[#This Row],[Date]],'DB Details'!$A:$T,19)</f>
        <v/>
      </c>
    </row>
    <row r="846">
      <c r="A846" s="38" t="n">
        <v>43101</v>
      </c>
      <c r="B846" s="48">
        <f>VLOOKUP(Table311[[#This Row],[Date]],'DB Details'!$A:$L,12)</f>
        <v/>
      </c>
      <c r="C846" s="49">
        <f>VLOOKUP(Table311[[#This Row],[Date]],'DB Details'!$A:$T,20)</f>
        <v/>
      </c>
      <c r="D846" s="49">
        <f>VLOOKUP(Table311[[#This Row],[Date]],'DB Details'!$A:$T,18)</f>
        <v/>
      </c>
      <c r="E846" s="49">
        <f>VLOOKUP(Table311[[#This Row],[Date]],'DB Details'!$A:$T,19)</f>
        <v/>
      </c>
    </row>
    <row r="847">
      <c r="A847" s="38" t="n">
        <v>43132</v>
      </c>
      <c r="B847" s="48">
        <f>VLOOKUP(Table311[[#This Row],[Date]],'DB Details'!$A:$L,12)</f>
        <v/>
      </c>
      <c r="C847" s="49">
        <f>VLOOKUP(Table311[[#This Row],[Date]],'DB Details'!$A:$T,20)</f>
        <v/>
      </c>
      <c r="D847" s="49">
        <f>VLOOKUP(Table311[[#This Row],[Date]],'DB Details'!$A:$T,18)</f>
        <v/>
      </c>
      <c r="E847" s="49">
        <f>VLOOKUP(Table311[[#This Row],[Date]],'DB Details'!$A:$T,19)</f>
        <v/>
      </c>
    </row>
    <row r="848">
      <c r="A848" s="38" t="n">
        <v>43160</v>
      </c>
      <c r="B848" s="48">
        <f>VLOOKUP(Table311[[#This Row],[Date]],'DB Details'!$A:$L,12)</f>
        <v/>
      </c>
      <c r="C848" s="49">
        <f>VLOOKUP(Table311[[#This Row],[Date]],'DB Details'!$A:$T,20)</f>
        <v/>
      </c>
      <c r="D848" s="49">
        <f>VLOOKUP(Table311[[#This Row],[Date]],'DB Details'!$A:$T,18)</f>
        <v/>
      </c>
      <c r="E848" s="49">
        <f>VLOOKUP(Table311[[#This Row],[Date]],'DB Details'!$A:$T,19)</f>
        <v/>
      </c>
    </row>
    <row r="849">
      <c r="A849" s="38" t="n">
        <v>43191</v>
      </c>
      <c r="B849" s="48">
        <f>VLOOKUP(Table311[[#This Row],[Date]],'DB Details'!$A:$L,12)</f>
        <v/>
      </c>
      <c r="C849" s="49">
        <f>VLOOKUP(Table311[[#This Row],[Date]],'DB Details'!$A:$T,20)</f>
        <v/>
      </c>
      <c r="D849" s="49">
        <f>VLOOKUP(Table311[[#This Row],[Date]],'DB Details'!$A:$T,18)</f>
        <v/>
      </c>
      <c r="E849" s="49">
        <f>VLOOKUP(Table311[[#This Row],[Date]],'DB Details'!$A:$T,19)</f>
        <v/>
      </c>
    </row>
    <row r="850">
      <c r="A850" s="38" t="n">
        <v>43221</v>
      </c>
      <c r="B850" s="48">
        <f>VLOOKUP(Table311[[#This Row],[Date]],'DB Details'!$A:$L,12)</f>
        <v/>
      </c>
      <c r="C850" s="49">
        <f>VLOOKUP(Table311[[#This Row],[Date]],'DB Details'!$A:$T,20)</f>
        <v/>
      </c>
      <c r="D850" s="49">
        <f>VLOOKUP(Table311[[#This Row],[Date]],'DB Details'!$A:$T,18)</f>
        <v/>
      </c>
      <c r="E850" s="49">
        <f>VLOOKUP(Table311[[#This Row],[Date]],'DB Details'!$A:$T,19)</f>
        <v/>
      </c>
    </row>
    <row r="851">
      <c r="A851" s="38" t="n">
        <v>43252</v>
      </c>
      <c r="B851" s="48">
        <f>VLOOKUP(Table311[[#This Row],[Date]],'DB Details'!$A:$L,12)</f>
        <v/>
      </c>
      <c r="C851" s="49">
        <f>VLOOKUP(Table311[[#This Row],[Date]],'DB Details'!$A:$T,20)</f>
        <v/>
      </c>
      <c r="D851" s="49">
        <f>VLOOKUP(Table311[[#This Row],[Date]],'DB Details'!$A:$T,18)</f>
        <v/>
      </c>
      <c r="E851" s="49">
        <f>VLOOKUP(Table311[[#This Row],[Date]],'DB Details'!$A:$T,19)</f>
        <v/>
      </c>
    </row>
    <row r="852">
      <c r="A852" s="38" t="n">
        <v>43282</v>
      </c>
      <c r="B852" s="48">
        <f>VLOOKUP(Table311[[#This Row],[Date]],'DB Details'!$A:$L,12)</f>
        <v/>
      </c>
      <c r="C852" s="49">
        <f>VLOOKUP(Table311[[#This Row],[Date]],'DB Details'!$A:$T,20)</f>
        <v/>
      </c>
      <c r="D852" s="49">
        <f>VLOOKUP(Table311[[#This Row],[Date]],'DB Details'!$A:$T,18)</f>
        <v/>
      </c>
      <c r="E852" s="49">
        <f>VLOOKUP(Table311[[#This Row],[Date]],'DB Details'!$A:$T,19)</f>
        <v/>
      </c>
    </row>
    <row r="853">
      <c r="A853" s="38" t="n">
        <v>43313</v>
      </c>
      <c r="B853" s="48">
        <f>VLOOKUP(Table311[[#This Row],[Date]],'DB Details'!$A:$L,12)</f>
        <v/>
      </c>
      <c r="C853" s="49">
        <f>VLOOKUP(Table311[[#This Row],[Date]],'DB Details'!$A:$T,20)</f>
        <v/>
      </c>
      <c r="D853" s="49">
        <f>VLOOKUP(Table311[[#This Row],[Date]],'DB Details'!$A:$T,18)</f>
        <v/>
      </c>
      <c r="E853" s="49">
        <f>VLOOKUP(Table311[[#This Row],[Date]],'DB Details'!$A:$T,19)</f>
        <v/>
      </c>
    </row>
    <row r="854">
      <c r="A854" s="38" t="n">
        <v>43344</v>
      </c>
      <c r="B854" s="48">
        <f>VLOOKUP(Table311[[#This Row],[Date]],'DB Details'!$A:$L,12)</f>
        <v/>
      </c>
      <c r="C854" s="49">
        <f>VLOOKUP(Table311[[#This Row],[Date]],'DB Details'!$A:$T,20)</f>
        <v/>
      </c>
      <c r="D854" s="49">
        <f>VLOOKUP(Table311[[#This Row],[Date]],'DB Details'!$A:$T,18)</f>
        <v/>
      </c>
      <c r="E854" s="49">
        <f>VLOOKUP(Table311[[#This Row],[Date]],'DB Details'!$A:$T,19)</f>
        <v/>
      </c>
    </row>
    <row r="855">
      <c r="A855" s="38" t="n">
        <v>43374</v>
      </c>
      <c r="B855" s="48">
        <f>VLOOKUP(Table311[[#This Row],[Date]],'DB Details'!$A:$L,12)</f>
        <v/>
      </c>
      <c r="C855" s="49">
        <f>VLOOKUP(Table311[[#This Row],[Date]],'DB Details'!$A:$T,20)</f>
        <v/>
      </c>
      <c r="D855" s="49">
        <f>VLOOKUP(Table311[[#This Row],[Date]],'DB Details'!$A:$T,18)</f>
        <v/>
      </c>
      <c r="E855" s="49">
        <f>VLOOKUP(Table311[[#This Row],[Date]],'DB Details'!$A:$T,19)</f>
        <v/>
      </c>
    </row>
    <row r="856">
      <c r="A856" s="38" t="n">
        <v>43405</v>
      </c>
      <c r="B856" s="48">
        <f>VLOOKUP(Table311[[#This Row],[Date]],'DB Details'!$A:$L,12)</f>
        <v/>
      </c>
      <c r="C856" s="49">
        <f>VLOOKUP(Table311[[#This Row],[Date]],'DB Details'!$A:$T,20)</f>
        <v/>
      </c>
      <c r="D856" s="49">
        <f>VLOOKUP(Table311[[#This Row],[Date]],'DB Details'!$A:$T,18)</f>
        <v/>
      </c>
      <c r="E856" s="49">
        <f>VLOOKUP(Table311[[#This Row],[Date]],'DB Details'!$A:$T,19)</f>
        <v/>
      </c>
    </row>
    <row r="857">
      <c r="A857" s="38" t="n">
        <v>43435</v>
      </c>
      <c r="B857" s="48">
        <f>VLOOKUP(Table311[[#This Row],[Date]],'DB Details'!$A:$L,12)</f>
        <v/>
      </c>
      <c r="C857" s="49">
        <f>VLOOKUP(Table311[[#This Row],[Date]],'DB Details'!$A:$T,20)</f>
        <v/>
      </c>
      <c r="D857" s="49">
        <f>VLOOKUP(Table311[[#This Row],[Date]],'DB Details'!$A:$T,18)</f>
        <v/>
      </c>
      <c r="E857" s="49">
        <f>VLOOKUP(Table311[[#This Row],[Date]],'DB Details'!$A:$T,19)</f>
        <v/>
      </c>
    </row>
    <row r="858">
      <c r="A858" s="38" t="n">
        <v>43466</v>
      </c>
      <c r="B858" s="48">
        <f>VLOOKUP(Table311[[#This Row],[Date]],'DB Details'!$A:$L,12)</f>
        <v/>
      </c>
      <c r="C858" s="49">
        <f>VLOOKUP(Table311[[#This Row],[Date]],'DB Details'!$A:$T,20)</f>
        <v/>
      </c>
      <c r="D858" s="49">
        <f>VLOOKUP(Table311[[#This Row],[Date]],'DB Details'!$A:$T,18)</f>
        <v/>
      </c>
      <c r="E858" s="49">
        <f>VLOOKUP(Table311[[#This Row],[Date]],'DB Details'!$A:$T,19)</f>
        <v/>
      </c>
    </row>
    <row r="859">
      <c r="A859" s="38" t="n">
        <v>43497</v>
      </c>
      <c r="B859" s="48">
        <f>VLOOKUP(Table311[[#This Row],[Date]],'DB Details'!$A:$L,12)</f>
        <v/>
      </c>
      <c r="C859" s="49">
        <f>VLOOKUP(Table311[[#This Row],[Date]],'DB Details'!$A:$T,20)</f>
        <v/>
      </c>
      <c r="D859" s="49">
        <f>VLOOKUP(Table311[[#This Row],[Date]],'DB Details'!$A:$T,18)</f>
        <v/>
      </c>
      <c r="E859" s="49">
        <f>VLOOKUP(Table311[[#This Row],[Date]],'DB Details'!$A:$T,19)</f>
        <v/>
      </c>
    </row>
    <row r="860">
      <c r="A860" s="38" t="n">
        <v>43525</v>
      </c>
      <c r="B860" s="48">
        <f>VLOOKUP(Table311[[#This Row],[Date]],'DB Details'!$A:$L,12)</f>
        <v/>
      </c>
      <c r="C860" s="49">
        <f>VLOOKUP(Table311[[#This Row],[Date]],'DB Details'!$A:$T,20)</f>
        <v/>
      </c>
      <c r="D860" s="49">
        <f>VLOOKUP(Table311[[#This Row],[Date]],'DB Details'!$A:$T,18)</f>
        <v/>
      </c>
      <c r="E860" s="49">
        <f>VLOOKUP(Table311[[#This Row],[Date]],'DB Details'!$A:$T,19)</f>
        <v/>
      </c>
    </row>
    <row r="861">
      <c r="A861" s="38" t="n">
        <v>43556</v>
      </c>
      <c r="B861" s="48">
        <f>VLOOKUP(Table311[[#This Row],[Date]],'DB Details'!$A:$L,12)</f>
        <v/>
      </c>
      <c r="C861" s="49">
        <f>VLOOKUP(Table311[[#This Row],[Date]],'DB Details'!$A:$T,20)</f>
        <v/>
      </c>
      <c r="D861" s="49">
        <f>VLOOKUP(Table311[[#This Row],[Date]],'DB Details'!$A:$T,18)</f>
        <v/>
      </c>
      <c r="E861" s="49">
        <f>VLOOKUP(Table311[[#This Row],[Date]],'DB Details'!$A:$T,19)</f>
        <v/>
      </c>
    </row>
    <row r="862">
      <c r="A862" s="38" t="n">
        <v>43586</v>
      </c>
      <c r="B862" s="48">
        <f>VLOOKUP(Table311[[#This Row],[Date]],'DB Details'!$A:$L,12)</f>
        <v/>
      </c>
      <c r="C862" s="49">
        <f>VLOOKUP(Table311[[#This Row],[Date]],'DB Details'!$A:$T,20)</f>
        <v/>
      </c>
      <c r="D862" s="49">
        <f>VLOOKUP(Table311[[#This Row],[Date]],'DB Details'!$A:$T,18)</f>
        <v/>
      </c>
      <c r="E862" s="49">
        <f>VLOOKUP(Table311[[#This Row],[Date]],'DB Details'!$A:$T,19)</f>
        <v/>
      </c>
    </row>
    <row r="863">
      <c r="A863" s="38" t="n">
        <v>43617</v>
      </c>
      <c r="B863" s="48">
        <f>VLOOKUP(Table311[[#This Row],[Date]],'DB Details'!$A:$L,12)</f>
        <v/>
      </c>
      <c r="C863" s="49">
        <f>VLOOKUP(Table311[[#This Row],[Date]],'DB Details'!$A:$T,20)</f>
        <v/>
      </c>
      <c r="D863" s="49">
        <f>VLOOKUP(Table311[[#This Row],[Date]],'DB Details'!$A:$T,18)</f>
        <v/>
      </c>
      <c r="E863" s="49">
        <f>VLOOKUP(Table311[[#This Row],[Date]],'DB Details'!$A:$T,19)</f>
        <v/>
      </c>
    </row>
    <row r="864">
      <c r="A864" s="38" t="n">
        <v>43647</v>
      </c>
      <c r="B864" s="48">
        <f>VLOOKUP(Table311[[#This Row],[Date]],'DB Details'!$A:$L,12)</f>
        <v/>
      </c>
      <c r="C864" s="49">
        <f>VLOOKUP(Table311[[#This Row],[Date]],'DB Details'!$A:$T,20)</f>
        <v/>
      </c>
      <c r="D864" s="49">
        <f>VLOOKUP(Table311[[#This Row],[Date]],'DB Details'!$A:$T,18)</f>
        <v/>
      </c>
      <c r="E864" s="49">
        <f>VLOOKUP(Table311[[#This Row],[Date]],'DB Details'!$A:$T,19)</f>
        <v/>
      </c>
    </row>
    <row r="865">
      <c r="A865" s="38" t="n">
        <v>43678</v>
      </c>
      <c r="B865" s="48">
        <f>VLOOKUP(Table311[[#This Row],[Date]],'DB Details'!$A:$L,12)</f>
        <v/>
      </c>
      <c r="C865" s="49">
        <f>VLOOKUP(Table311[[#This Row],[Date]],'DB Details'!$A:$T,20)</f>
        <v/>
      </c>
      <c r="D865" s="49">
        <f>VLOOKUP(Table311[[#This Row],[Date]],'DB Details'!$A:$T,18)</f>
        <v/>
      </c>
      <c r="E865" s="49">
        <f>VLOOKUP(Table311[[#This Row],[Date]],'DB Details'!$A:$T,19)</f>
        <v/>
      </c>
    </row>
    <row r="866">
      <c r="A866" s="38" t="n">
        <v>43709</v>
      </c>
      <c r="B866" s="48">
        <f>VLOOKUP(Table311[[#This Row],[Date]],'DB Details'!$A:$L,12)</f>
        <v/>
      </c>
      <c r="C866" s="49">
        <f>VLOOKUP(Table311[[#This Row],[Date]],'DB Details'!$A:$T,20)</f>
        <v/>
      </c>
      <c r="D866" s="49">
        <f>VLOOKUP(Table311[[#This Row],[Date]],'DB Details'!$A:$T,18)</f>
        <v/>
      </c>
      <c r="E866" s="49">
        <f>VLOOKUP(Table311[[#This Row],[Date]],'DB Details'!$A:$T,19)</f>
        <v/>
      </c>
    </row>
    <row r="867">
      <c r="A867" s="38" t="n">
        <v>43739</v>
      </c>
      <c r="B867" s="48">
        <f>VLOOKUP(Table311[[#This Row],[Date]],'DB Details'!$A:$L,12)</f>
        <v/>
      </c>
      <c r="C867" s="49">
        <f>VLOOKUP(Table311[[#This Row],[Date]],'DB Details'!$A:$T,20)</f>
        <v/>
      </c>
      <c r="D867" s="49">
        <f>VLOOKUP(Table311[[#This Row],[Date]],'DB Details'!$A:$T,18)</f>
        <v/>
      </c>
      <c r="E867" s="49">
        <f>VLOOKUP(Table311[[#This Row],[Date]],'DB Details'!$A:$T,19)</f>
        <v/>
      </c>
    </row>
    <row r="868">
      <c r="A868" s="38" t="n">
        <v>43770</v>
      </c>
      <c r="B868" s="48">
        <f>VLOOKUP(Table311[[#This Row],[Date]],'DB Details'!$A:$L,12)</f>
        <v/>
      </c>
      <c r="C868" s="49">
        <f>VLOOKUP(Table311[[#This Row],[Date]],'DB Details'!$A:$T,20)</f>
        <v/>
      </c>
      <c r="D868" s="49">
        <f>VLOOKUP(Table311[[#This Row],[Date]],'DB Details'!$A:$T,18)</f>
        <v/>
      </c>
      <c r="E868" s="49">
        <f>VLOOKUP(Table311[[#This Row],[Date]],'DB Details'!$A:$T,19)</f>
        <v/>
      </c>
    </row>
    <row r="869">
      <c r="A869" s="38" t="n">
        <v>43800</v>
      </c>
      <c r="B869" s="48">
        <f>VLOOKUP(Table311[[#This Row],[Date]],'DB Details'!$A:$L,12)</f>
        <v/>
      </c>
      <c r="C869" s="49">
        <f>VLOOKUP(Table311[[#This Row],[Date]],'DB Details'!$A:$T,20)</f>
        <v/>
      </c>
      <c r="D869" s="49">
        <f>VLOOKUP(Table311[[#This Row],[Date]],'DB Details'!$A:$T,18)</f>
        <v/>
      </c>
      <c r="E869" s="49">
        <f>VLOOKUP(Table311[[#This Row],[Date]],'DB Details'!$A:$T,19)</f>
        <v/>
      </c>
    </row>
    <row r="870">
      <c r="A870" s="38" t="n">
        <v>43831</v>
      </c>
      <c r="B870" s="48">
        <f>VLOOKUP(Table311[[#This Row],[Date]],'DB Details'!$A:$L,12)</f>
        <v/>
      </c>
      <c r="C870" s="49">
        <f>VLOOKUP(Table311[[#This Row],[Date]],'DB Details'!$A:$T,20)</f>
        <v/>
      </c>
      <c r="D870" s="49">
        <f>VLOOKUP(Table311[[#This Row],[Date]],'DB Details'!$A:$T,18)</f>
        <v/>
      </c>
      <c r="E870" s="49">
        <f>VLOOKUP(Table311[[#This Row],[Date]],'DB Details'!$A:$T,19)</f>
        <v/>
      </c>
    </row>
    <row r="871">
      <c r="A871" s="38" t="n">
        <v>43862</v>
      </c>
      <c r="B871" s="48">
        <f>VLOOKUP(Table311[[#This Row],[Date]],'DB Details'!$A:$L,12)</f>
        <v/>
      </c>
      <c r="C871" s="49">
        <f>VLOOKUP(Table311[[#This Row],[Date]],'DB Details'!$A:$T,20)</f>
        <v/>
      </c>
      <c r="D871" s="49">
        <f>VLOOKUP(Table311[[#This Row],[Date]],'DB Details'!$A:$T,18)</f>
        <v/>
      </c>
      <c r="E871" s="49">
        <f>VLOOKUP(Table311[[#This Row],[Date]],'DB Details'!$A:$T,19)</f>
        <v/>
      </c>
    </row>
    <row r="872">
      <c r="A872" s="38" t="n">
        <v>43891</v>
      </c>
      <c r="B872" s="48">
        <f>VLOOKUP(Table311[[#This Row],[Date]],'DB Details'!$A:$L,12)</f>
        <v/>
      </c>
      <c r="C872" s="49">
        <f>VLOOKUP(Table311[[#This Row],[Date]],'DB Details'!$A:$T,20)</f>
        <v/>
      </c>
      <c r="D872" s="49">
        <f>VLOOKUP(Table311[[#This Row],[Date]],'DB Details'!$A:$T,18)</f>
        <v/>
      </c>
      <c r="E872" s="49">
        <f>VLOOKUP(Table311[[#This Row],[Date]],'DB Details'!$A:$T,19)</f>
        <v/>
      </c>
    </row>
    <row r="873">
      <c r="A873" s="38" t="n">
        <v>43922</v>
      </c>
      <c r="B873" s="48">
        <f>VLOOKUP(Table311[[#This Row],[Date]],'DB Details'!$A:$L,12)</f>
        <v/>
      </c>
      <c r="C873" s="49">
        <f>VLOOKUP(Table311[[#This Row],[Date]],'DB Details'!$A:$T,20)</f>
        <v/>
      </c>
      <c r="D873" s="49">
        <f>VLOOKUP(Table311[[#This Row],[Date]],'DB Details'!$A:$T,18)</f>
        <v/>
      </c>
      <c r="E873" s="49">
        <f>VLOOKUP(Table311[[#This Row],[Date]],'DB Details'!$A:$T,19)</f>
        <v/>
      </c>
    </row>
    <row r="874">
      <c r="A874" s="38" t="n">
        <v>43952</v>
      </c>
      <c r="B874" s="48">
        <f>VLOOKUP(Table311[[#This Row],[Date]],'DB Details'!$A:$L,12)</f>
        <v/>
      </c>
      <c r="C874" s="49">
        <f>VLOOKUP(Table311[[#This Row],[Date]],'DB Details'!$A:$T,20)</f>
        <v/>
      </c>
      <c r="D874" s="49">
        <f>VLOOKUP(Table311[[#This Row],[Date]],'DB Details'!$A:$T,18)</f>
        <v/>
      </c>
      <c r="E874" s="49">
        <f>VLOOKUP(Table311[[#This Row],[Date]],'DB Details'!$A:$T,19)</f>
        <v/>
      </c>
    </row>
    <row r="875">
      <c r="A875" s="38" t="n">
        <v>43983</v>
      </c>
      <c r="B875" s="48">
        <f>VLOOKUP(Table311[[#This Row],[Date]],'DB Details'!$A:$L,12)</f>
        <v/>
      </c>
      <c r="C875" s="49">
        <f>VLOOKUP(Table311[[#This Row],[Date]],'DB Details'!$A:$T,20)</f>
        <v/>
      </c>
      <c r="D875" s="49">
        <f>VLOOKUP(Table311[[#This Row],[Date]],'DB Details'!$A:$T,18)</f>
        <v/>
      </c>
      <c r="E875" s="49">
        <f>VLOOKUP(Table311[[#This Row],[Date]],'DB Details'!$A:$T,19)</f>
        <v/>
      </c>
    </row>
    <row r="876">
      <c r="A876" s="38" t="n">
        <v>44013</v>
      </c>
      <c r="B876" s="48">
        <f>VLOOKUP(Table311[[#This Row],[Date]],'DB Details'!$A:$L,12)</f>
        <v/>
      </c>
      <c r="C876" s="49">
        <f>VLOOKUP(Table311[[#This Row],[Date]],'DB Details'!$A:$T,20)</f>
        <v/>
      </c>
      <c r="D876" s="49">
        <f>VLOOKUP(Table311[[#This Row],[Date]],'DB Details'!$A:$T,18)</f>
        <v/>
      </c>
      <c r="E876" s="49">
        <f>VLOOKUP(Table311[[#This Row],[Date]],'DB Details'!$A:$T,19)</f>
        <v/>
      </c>
    </row>
    <row r="877">
      <c r="A877" s="38" t="n">
        <v>44044</v>
      </c>
      <c r="B877" s="48">
        <f>VLOOKUP(Table311[[#This Row],[Date]],'DB Details'!$A:$L,12)</f>
        <v/>
      </c>
      <c r="C877" s="49">
        <f>VLOOKUP(Table311[[#This Row],[Date]],'DB Details'!$A:$T,20)</f>
        <v/>
      </c>
      <c r="D877" s="49">
        <f>VLOOKUP(Table311[[#This Row],[Date]],'DB Details'!$A:$T,18)</f>
        <v/>
      </c>
      <c r="E877" s="49">
        <f>VLOOKUP(Table311[[#This Row],[Date]],'DB Details'!$A:$T,19)</f>
        <v/>
      </c>
    </row>
    <row r="878">
      <c r="A878" s="38" t="n">
        <v>44075</v>
      </c>
      <c r="B878" s="48">
        <f>VLOOKUP(Table311[[#This Row],[Date]],'DB Details'!$A:$L,12)</f>
        <v/>
      </c>
      <c r="C878" s="49">
        <f>VLOOKUP(Table311[[#This Row],[Date]],'DB Details'!$A:$T,20)</f>
        <v/>
      </c>
      <c r="D878" s="49">
        <f>VLOOKUP(Table311[[#This Row],[Date]],'DB Details'!$A:$T,18)</f>
        <v/>
      </c>
      <c r="E878" s="49">
        <f>VLOOKUP(Table311[[#This Row],[Date]],'DB Details'!$A:$T,19)</f>
        <v/>
      </c>
    </row>
    <row r="879">
      <c r="A879" s="38" t="n">
        <v>44105</v>
      </c>
      <c r="B879" s="48">
        <f>VLOOKUP(Table311[[#This Row],[Date]],'DB Details'!$A:$L,12)</f>
        <v/>
      </c>
      <c r="C879" s="49">
        <f>VLOOKUP(Table311[[#This Row],[Date]],'DB Details'!$A:$T,20)</f>
        <v/>
      </c>
      <c r="D879" s="49">
        <f>VLOOKUP(Table311[[#This Row],[Date]],'DB Details'!$A:$T,18)</f>
        <v/>
      </c>
      <c r="E879" s="49">
        <f>VLOOKUP(Table311[[#This Row],[Date]],'DB Details'!$A:$T,19)</f>
        <v/>
      </c>
    </row>
    <row r="880">
      <c r="A880" s="38" t="n">
        <v>44136</v>
      </c>
      <c r="B880" s="48">
        <f>VLOOKUP(Table311[[#This Row],[Date]],'DB Details'!$A:$L,12)</f>
        <v/>
      </c>
      <c r="C880" s="49">
        <f>VLOOKUP(Table311[[#This Row],[Date]],'DB Details'!$A:$T,20)</f>
        <v/>
      </c>
      <c r="D880" s="49">
        <f>VLOOKUP(Table311[[#This Row],[Date]],'DB Details'!$A:$T,18)</f>
        <v/>
      </c>
      <c r="E880" s="49">
        <f>VLOOKUP(Table311[[#This Row],[Date]],'DB Details'!$A:$T,19)</f>
        <v/>
      </c>
    </row>
    <row r="881">
      <c r="A881" s="38" t="n">
        <v>44166</v>
      </c>
      <c r="B881" s="48">
        <f>VLOOKUP(Table311[[#This Row],[Date]],'DB Details'!$A:$L,12)</f>
        <v/>
      </c>
      <c r="C881" s="49">
        <f>VLOOKUP(Table311[[#This Row],[Date]],'DB Details'!$A:$T,20)</f>
        <v/>
      </c>
      <c r="D881" s="49">
        <f>VLOOKUP(Table311[[#This Row],[Date]],'DB Details'!$A:$T,18)</f>
        <v/>
      </c>
      <c r="E881" s="49">
        <f>VLOOKUP(Table311[[#This Row],[Date]],'DB Details'!$A:$T,19)</f>
        <v/>
      </c>
    </row>
    <row r="882">
      <c r="A882" s="38" t="n">
        <v>44197</v>
      </c>
      <c r="B882" s="48">
        <f>VLOOKUP(Table311[[#This Row],[Date]],'DB Details'!$A:$L,12)</f>
        <v/>
      </c>
      <c r="C882" s="49">
        <f>VLOOKUP(Table311[[#This Row],[Date]],'DB Details'!$A:$T,20)</f>
        <v/>
      </c>
      <c r="D882" s="49">
        <f>VLOOKUP(Table311[[#This Row],[Date]],'DB Details'!$A:$T,18)</f>
        <v/>
      </c>
      <c r="E882" s="49">
        <f>VLOOKUP(Table311[[#This Row],[Date]],'DB Details'!$A:$T,19)</f>
        <v/>
      </c>
    </row>
    <row r="883">
      <c r="A883" s="38" t="n">
        <v>44228</v>
      </c>
      <c r="B883" s="48">
        <f>VLOOKUP(Table311[[#This Row],[Date]],'DB Details'!$A:$L,12)</f>
        <v/>
      </c>
      <c r="C883" s="49">
        <f>VLOOKUP(Table311[[#This Row],[Date]],'DB Details'!$A:$T,20)</f>
        <v/>
      </c>
      <c r="D883" s="49">
        <f>VLOOKUP(Table311[[#This Row],[Date]],'DB Details'!$A:$T,18)</f>
        <v/>
      </c>
      <c r="E883" s="49">
        <f>VLOOKUP(Table311[[#This Row],[Date]],'DB Details'!$A:$T,19)</f>
        <v/>
      </c>
    </row>
    <row r="884">
      <c r="A884" s="38" t="n">
        <v>44256</v>
      </c>
      <c r="B884" s="48">
        <f>VLOOKUP(Table311[[#This Row],[Date]],'DB Details'!$A:$L,12)</f>
        <v/>
      </c>
      <c r="C884" s="49">
        <f>VLOOKUP(Table311[[#This Row],[Date]],'DB Details'!$A:$T,20)</f>
        <v/>
      </c>
      <c r="D884" s="49">
        <f>VLOOKUP(Table311[[#This Row],[Date]],'DB Details'!$A:$T,18)</f>
        <v/>
      </c>
      <c r="E884" s="49">
        <f>VLOOKUP(Table311[[#This Row],[Date]],'DB Details'!$A:$T,19)</f>
        <v/>
      </c>
    </row>
    <row r="885">
      <c r="A885" s="38" t="n">
        <v>44287</v>
      </c>
      <c r="B885" s="48">
        <f>VLOOKUP(Table311[[#This Row],[Date]],'DB Details'!$A:$L,12)</f>
        <v/>
      </c>
      <c r="C885" s="49">
        <f>VLOOKUP(Table311[[#This Row],[Date]],'DB Details'!$A:$T,20)</f>
        <v/>
      </c>
      <c r="D885" s="49">
        <f>VLOOKUP(Table311[[#This Row],[Date]],'DB Details'!$A:$T,18)</f>
        <v/>
      </c>
      <c r="E885" s="49">
        <f>VLOOKUP(Table311[[#This Row],[Date]],'DB Details'!$A:$T,19)</f>
        <v/>
      </c>
    </row>
    <row r="886">
      <c r="A886" s="38" t="n">
        <v>44317</v>
      </c>
      <c r="B886" s="48">
        <f>VLOOKUP(Table311[[#This Row],[Date]],'DB Details'!$A:$L,12)</f>
        <v/>
      </c>
      <c r="C886" s="49">
        <f>VLOOKUP(Table311[[#This Row],[Date]],'DB Details'!$A:$T,20)</f>
        <v/>
      </c>
      <c r="D886" s="49">
        <f>VLOOKUP(Table311[[#This Row],[Date]],'DB Details'!$A:$T,18)</f>
        <v/>
      </c>
      <c r="E886" s="49">
        <f>VLOOKUP(Table311[[#This Row],[Date]],'DB Details'!$A:$T,19)</f>
        <v/>
      </c>
    </row>
    <row r="887">
      <c r="A887" s="38" t="n">
        <v>44348</v>
      </c>
      <c r="B887" s="48">
        <f>VLOOKUP(Table311[[#This Row],[Date]],'DB Details'!$A:$L,12)</f>
        <v/>
      </c>
      <c r="C887" s="49">
        <f>VLOOKUP(Table311[[#This Row],[Date]],'DB Details'!$A:$T,20)</f>
        <v/>
      </c>
      <c r="D887" s="49">
        <f>VLOOKUP(Table311[[#This Row],[Date]],'DB Details'!$A:$T,18)</f>
        <v/>
      </c>
      <c r="E887" s="49">
        <f>VLOOKUP(Table311[[#This Row],[Date]],'DB Details'!$A:$T,19)</f>
        <v/>
      </c>
    </row>
    <row r="888">
      <c r="A888" s="38" t="n">
        <v>44378</v>
      </c>
      <c r="B888" s="48">
        <f>VLOOKUP(Table311[[#This Row],[Date]],'DB Details'!$A:$L,12)</f>
        <v/>
      </c>
      <c r="C888" s="49">
        <f>VLOOKUP(Table311[[#This Row],[Date]],'DB Details'!$A:$T,20)</f>
        <v/>
      </c>
      <c r="D888" s="49">
        <f>VLOOKUP(Table311[[#This Row],[Date]],'DB Details'!$A:$T,18)</f>
        <v/>
      </c>
      <c r="E888" s="49">
        <f>VLOOKUP(Table311[[#This Row],[Date]],'DB Details'!$A:$T,19)</f>
        <v/>
      </c>
    </row>
    <row r="889">
      <c r="A889" s="38" t="n">
        <v>44409</v>
      </c>
      <c r="B889" s="48">
        <f>VLOOKUP(Table311[[#This Row],[Date]],'DB Details'!$A:$L,12)</f>
        <v/>
      </c>
      <c r="C889" s="49">
        <f>VLOOKUP(Table311[[#This Row],[Date]],'DB Details'!$A:$T,20)</f>
        <v/>
      </c>
      <c r="D889" s="49">
        <f>VLOOKUP(Table311[[#This Row],[Date]],'DB Details'!$A:$T,18)</f>
        <v/>
      </c>
      <c r="E889" s="49">
        <f>VLOOKUP(Table311[[#This Row],[Date]],'DB Details'!$A:$T,19)</f>
        <v/>
      </c>
    </row>
    <row r="890">
      <c r="A890" s="38" t="n">
        <v>44440</v>
      </c>
      <c r="B890" s="48">
        <f>VLOOKUP(Table311[[#This Row],[Date]],'DB Details'!$A:$L,12)</f>
        <v/>
      </c>
      <c r="C890" s="49">
        <f>VLOOKUP(Table311[[#This Row],[Date]],'DB Details'!$A:$T,20)</f>
        <v/>
      </c>
      <c r="D890" s="49">
        <f>VLOOKUP(Table311[[#This Row],[Date]],'DB Details'!$A:$T,18)</f>
        <v/>
      </c>
      <c r="E890" s="49">
        <f>VLOOKUP(Table311[[#This Row],[Date]],'DB Details'!$A:$T,19)</f>
        <v/>
      </c>
    </row>
    <row r="891">
      <c r="A891" s="38" t="n">
        <v>44470</v>
      </c>
      <c r="B891" s="48">
        <f>VLOOKUP(Table311[[#This Row],[Date]],'DB Details'!$A:$L,12)</f>
        <v/>
      </c>
      <c r="C891" s="49">
        <f>VLOOKUP(Table311[[#This Row],[Date]],'DB Details'!$A:$T,20)</f>
        <v/>
      </c>
      <c r="D891" s="49">
        <f>VLOOKUP(Table311[[#This Row],[Date]],'DB Details'!$A:$T,18)</f>
        <v/>
      </c>
      <c r="E891" s="49">
        <f>VLOOKUP(Table311[[#This Row],[Date]],'DB Details'!$A:$T,19)</f>
        <v/>
      </c>
    </row>
    <row r="892">
      <c r="A892" s="38" t="n">
        <v>44501</v>
      </c>
      <c r="B892" s="48">
        <f>VLOOKUP(Table311[[#This Row],[Date]],'DB Details'!$A:$L,12)</f>
        <v/>
      </c>
      <c r="C892" s="49">
        <f>VLOOKUP(Table311[[#This Row],[Date]],'DB Details'!$A:$T,20)</f>
        <v/>
      </c>
      <c r="D892" s="49">
        <f>VLOOKUP(Table311[[#This Row],[Date]],'DB Details'!$A:$T,18)</f>
        <v/>
      </c>
      <c r="E892" s="49">
        <f>VLOOKUP(Table311[[#This Row],[Date]],'DB Details'!$A:$T,19)</f>
        <v/>
      </c>
    </row>
    <row r="893">
      <c r="A893" s="38" t="n">
        <v>44531</v>
      </c>
      <c r="B893" s="48">
        <f>VLOOKUP(Table311[[#This Row],[Date]],'DB Details'!$A:$L,12)</f>
        <v/>
      </c>
      <c r="C893" s="49">
        <f>VLOOKUP(Table311[[#This Row],[Date]],'DB Details'!$A:$T,20)</f>
        <v/>
      </c>
      <c r="D893" s="49">
        <f>VLOOKUP(Table311[[#This Row],[Date]],'DB Details'!$A:$T,18)</f>
        <v/>
      </c>
      <c r="E893" s="49">
        <f>VLOOKUP(Table311[[#This Row],[Date]],'DB Details'!$A:$T,19)</f>
        <v/>
      </c>
    </row>
    <row r="894">
      <c r="A894" s="38" t="n">
        <v>44562</v>
      </c>
      <c r="B894" s="48">
        <f>VLOOKUP(Table311[[#This Row],[Date]],'DB Details'!$A:$L,12)</f>
        <v/>
      </c>
      <c r="C894" s="49">
        <f>VLOOKUP(Table311[[#This Row],[Date]],'DB Details'!$A:$T,20)</f>
        <v/>
      </c>
      <c r="D894" s="49">
        <f>VLOOKUP(Table311[[#This Row],[Date]],'DB Details'!$A:$T,18)</f>
        <v/>
      </c>
      <c r="E894" s="49">
        <f>VLOOKUP(Table311[[#This Row],[Date]],'DB Details'!$A:$T,19)</f>
        <v/>
      </c>
    </row>
    <row r="895">
      <c r="A895" s="38" t="n">
        <v>44593</v>
      </c>
      <c r="B895" s="48">
        <f>VLOOKUP(Table311[[#This Row],[Date]],'DB Details'!$A:$L,12)</f>
        <v/>
      </c>
      <c r="C895" s="49">
        <f>VLOOKUP(Table311[[#This Row],[Date]],'DB Details'!$A:$T,20)</f>
        <v/>
      </c>
      <c r="D895" s="49">
        <f>VLOOKUP(Table311[[#This Row],[Date]],'DB Details'!$A:$T,18)</f>
        <v/>
      </c>
      <c r="E895" s="49">
        <f>VLOOKUP(Table311[[#This Row],[Date]],'DB Details'!$A:$T,19)</f>
        <v/>
      </c>
    </row>
    <row r="896">
      <c r="A896" s="38" t="n">
        <v>44621</v>
      </c>
      <c r="B896" s="48">
        <f>VLOOKUP(Table311[[#This Row],[Date]],'DB Details'!$A:$L,12)</f>
        <v/>
      </c>
      <c r="C896" s="49">
        <f>VLOOKUP(Table311[[#This Row],[Date]],'DB Details'!$A:$T,20)</f>
        <v/>
      </c>
      <c r="D896" s="49">
        <f>VLOOKUP(Table311[[#This Row],[Date]],'DB Details'!$A:$T,18)</f>
        <v/>
      </c>
      <c r="E896" s="49">
        <f>VLOOKUP(Table311[[#This Row],[Date]],'DB Details'!$A:$T,19)</f>
        <v/>
      </c>
    </row>
    <row r="897">
      <c r="A897" s="38" t="n">
        <v>44652</v>
      </c>
      <c r="B897" s="48">
        <f>VLOOKUP(Table311[[#This Row],[Date]],'DB Details'!$A:$L,12)</f>
        <v/>
      </c>
      <c r="C897" s="49">
        <f>VLOOKUP(Table311[[#This Row],[Date]],'DB Details'!$A:$T,20)</f>
        <v/>
      </c>
      <c r="D897" s="49">
        <f>VLOOKUP(Table311[[#This Row],[Date]],'DB Details'!$A:$T,18)</f>
        <v/>
      </c>
      <c r="E897" s="49">
        <f>VLOOKUP(Table311[[#This Row],[Date]],'DB Details'!$A:$T,19)</f>
        <v/>
      </c>
    </row>
    <row r="898">
      <c r="A898" s="38" t="n">
        <v>44682</v>
      </c>
      <c r="B898" s="48">
        <f>VLOOKUP(Table311[[#This Row],[Date]],'DB Details'!$A:$L,12)</f>
        <v/>
      </c>
      <c r="C898" s="49">
        <f>VLOOKUP(Table311[[#This Row],[Date]],'DB Details'!$A:$T,20)</f>
        <v/>
      </c>
      <c r="D898" s="49">
        <f>VLOOKUP(Table311[[#This Row],[Date]],'DB Details'!$A:$T,18)</f>
        <v/>
      </c>
      <c r="E898" s="49">
        <f>VLOOKUP(Table311[[#This Row],[Date]],'DB Details'!$A:$T,19)</f>
        <v/>
      </c>
    </row>
    <row r="899">
      <c r="A899" s="38" t="n">
        <v>44713</v>
      </c>
      <c r="B899" s="48">
        <f>VLOOKUP(Table311[[#This Row],[Date]],'DB Details'!$A:$L,12)</f>
        <v/>
      </c>
      <c r="C899" s="49">
        <f>VLOOKUP(Table311[[#This Row],[Date]],'DB Details'!$A:$T,20)</f>
        <v/>
      </c>
      <c r="D899" s="49">
        <f>VLOOKUP(Table311[[#This Row],[Date]],'DB Details'!$A:$T,18)</f>
        <v/>
      </c>
      <c r="E899" s="49">
        <f>VLOOKUP(Table311[[#This Row],[Date]],'DB Details'!$A:$T,19)</f>
        <v/>
      </c>
    </row>
    <row r="900">
      <c r="A900" s="38" t="n">
        <v>44743</v>
      </c>
      <c r="B900" s="48">
        <f>VLOOKUP(Table311[[#This Row],[Date]],'DB Details'!$A:$L,12)</f>
        <v/>
      </c>
      <c r="C900" s="49">
        <f>VLOOKUP(Table311[[#This Row],[Date]],'DB Details'!$A:$T,20)</f>
        <v/>
      </c>
      <c r="D900" s="49">
        <f>VLOOKUP(Table311[[#This Row],[Date]],'DB Details'!$A:$T,18)</f>
        <v/>
      </c>
      <c r="E900" s="49">
        <f>VLOOKUP(Table311[[#This Row],[Date]],'DB Details'!$A:$T,19)</f>
        <v/>
      </c>
    </row>
    <row r="901">
      <c r="A901" s="38" t="n">
        <v>44774</v>
      </c>
      <c r="B901" s="48">
        <f>VLOOKUP(Table311[[#This Row],[Date]],'DB Details'!$A:$L,12)</f>
        <v/>
      </c>
      <c r="C901" s="49">
        <f>VLOOKUP(Table311[[#This Row],[Date]],'DB Details'!$A:$T,20)</f>
        <v/>
      </c>
      <c r="D901" s="49">
        <f>VLOOKUP(Table311[[#This Row],[Date]],'DB Details'!$A:$T,18)</f>
        <v/>
      </c>
      <c r="E901" s="49">
        <f>VLOOKUP(Table311[[#This Row],[Date]],'DB Details'!$A:$T,19)</f>
        <v/>
      </c>
    </row>
    <row r="902">
      <c r="A902" s="38" t="n">
        <v>44805</v>
      </c>
      <c r="B902" s="48">
        <f>VLOOKUP(Table311[[#This Row],[Date]],'DB Details'!$A:$L,12)</f>
        <v/>
      </c>
      <c r="C902" s="49">
        <f>VLOOKUP(Table311[[#This Row],[Date]],'DB Details'!$A:$T,20)</f>
        <v/>
      </c>
      <c r="D902" s="49">
        <f>VLOOKUP(Table311[[#This Row],[Date]],'DB Details'!$A:$T,18)</f>
        <v/>
      </c>
      <c r="E902" s="49">
        <f>VLOOKUP(Table311[[#This Row],[Date]],'DB Details'!$A:$T,19)</f>
        <v/>
      </c>
    </row>
    <row r="903">
      <c r="A903" s="38" t="n">
        <v>44835</v>
      </c>
      <c r="B903" s="48">
        <f>VLOOKUP(Table311[[#This Row],[Date]],'DB Details'!$A:$L,12)</f>
        <v/>
      </c>
      <c r="C903" s="49">
        <f>VLOOKUP(Table311[[#This Row],[Date]],'DB Details'!$A:$T,20)</f>
        <v/>
      </c>
      <c r="D903" s="49">
        <f>VLOOKUP(Table311[[#This Row],[Date]],'DB Details'!$A:$T,18)</f>
        <v/>
      </c>
      <c r="E903" s="49">
        <f>VLOOKUP(Table311[[#This Row],[Date]],'DB Details'!$A:$T,19)</f>
        <v/>
      </c>
    </row>
    <row r="904">
      <c r="A904" s="38" t="n">
        <v>44866</v>
      </c>
      <c r="B904" s="48">
        <f>VLOOKUP(Table311[[#This Row],[Date]],'DB Details'!$A:$L,12)</f>
        <v/>
      </c>
      <c r="C904" s="49">
        <f>VLOOKUP(Table311[[#This Row],[Date]],'DB Details'!$A:$T,20)</f>
        <v/>
      </c>
      <c r="D904" s="49">
        <f>VLOOKUP(Table311[[#This Row],[Date]],'DB Details'!$A:$T,18)</f>
        <v/>
      </c>
      <c r="E904" s="49">
        <f>VLOOKUP(Table311[[#This Row],[Date]],'DB Details'!$A:$T,19)</f>
        <v/>
      </c>
    </row>
    <row r="905">
      <c r="A905" s="38" t="n">
        <v>44896</v>
      </c>
      <c r="B905" s="48">
        <f>VLOOKUP(Table311[[#This Row],[Date]],'DB Details'!$A:$L,12)</f>
        <v/>
      </c>
      <c r="C905" s="49">
        <f>VLOOKUP(Table311[[#This Row],[Date]],'DB Details'!$A:$T,20)</f>
        <v/>
      </c>
      <c r="D905" s="49">
        <f>VLOOKUP(Table311[[#This Row],[Date]],'DB Details'!$A:$T,18)</f>
        <v/>
      </c>
      <c r="E905" s="49">
        <f>VLOOKUP(Table311[[#This Row],[Date]],'DB Details'!$A:$T,19)</f>
        <v/>
      </c>
    </row>
    <row r="906">
      <c r="A906" s="38" t="n">
        <v>44927</v>
      </c>
      <c r="B906" s="48">
        <f>VLOOKUP(Table311[[#This Row],[Date]],'DB Details'!$A:$L,12)</f>
        <v/>
      </c>
      <c r="C906" s="49">
        <f>VLOOKUP(Table311[[#This Row],[Date]],'DB Details'!$A:$T,20)</f>
        <v/>
      </c>
      <c r="D906" s="49">
        <f>VLOOKUP(Table311[[#This Row],[Date]],'DB Details'!$A:$T,18)</f>
        <v/>
      </c>
      <c r="E906" s="49">
        <f>VLOOKUP(Table311[[#This Row],[Date]],'DB Details'!$A:$T,19)</f>
        <v/>
      </c>
    </row>
  </sheetData>
  <conditionalFormatting sqref="B750:B906">
    <cfRule type="colorScale" priority="2">
      <colorScale>
        <cfvo type="min"/>
        <cfvo type="percentile" val="50"/>
        <cfvo type="max"/>
        <color rgb="FFF8696B"/>
        <color rgb="FFFFEB84"/>
        <color rgb="FF63BE7B"/>
      </colorScale>
    </cfRule>
  </conditionalFormatting>
  <conditionalFormatting sqref="E750:E9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906"/>
  <sheetViews>
    <sheetView zoomScale="110" zoomScaleNormal="110" workbookViewId="0">
      <pane ySplit="5" topLeftCell="A867" activePane="bottomLeft" state="frozen"/>
      <selection pane="bottomLeft" activeCell="A896" sqref="A896:D906"/>
    </sheetView>
  </sheetViews>
  <sheetFormatPr baseColWidth="8" defaultColWidth="9.1796875" defaultRowHeight="14.5"/>
  <cols>
    <col width="12.1796875" customWidth="1" style="97" min="1" max="1"/>
    <col width="11" customWidth="1" style="97" min="2" max="2"/>
    <col width="11" customWidth="1" style="10" min="3" max="3"/>
    <col width="10.36328125" customWidth="1" style="8" min="4" max="4"/>
    <col width="6.1796875" customWidth="1" style="97" min="5" max="5"/>
    <col width="2.6328125" customWidth="1" style="97" min="6" max="8"/>
    <col width="2.6328125" customWidth="1" style="2" min="9" max="10"/>
    <col width="2.6328125" customWidth="1" style="97" min="11" max="11"/>
    <col width="3.1796875" customWidth="1" style="97" min="12" max="13"/>
    <col width="9.1796875" customWidth="1" style="97" min="14" max="54"/>
    <col width="9.1796875" customWidth="1" style="97" min="55" max="16384"/>
  </cols>
  <sheetData>
    <row r="4" ht="16" customHeight="1" thickBot="1"/>
    <row r="5" customFormat="1" s="109">
      <c r="A5" s="35" t="inlineStr">
        <is>
          <t>Date</t>
        </is>
      </c>
      <c r="B5" s="36" t="inlineStr">
        <is>
          <t>PMI</t>
        </is>
      </c>
      <c r="C5" s="36" t="inlineStr">
        <is>
          <t>S&amp;P</t>
        </is>
      </c>
      <c r="D5" s="37" t="inlineStr">
        <is>
          <t>S&amp;P yoy %</t>
        </is>
      </c>
      <c r="I5" s="9" t="n"/>
      <c r="J5" s="9" t="n"/>
    </row>
    <row r="6">
      <c r="A6" s="39" t="n">
        <v>17533</v>
      </c>
      <c r="B6" s="40">
        <f>VLOOKUP(Table7[[#This Row],[Date]],'DB Details'!$A:$L,12)</f>
        <v/>
      </c>
      <c r="C6" s="41" t="n">
        <v>14.68</v>
      </c>
      <c r="D6" s="46" t="n"/>
      <c r="F6" s="3" t="n"/>
      <c r="K6" s="2" t="n"/>
    </row>
    <row r="7">
      <c r="A7" s="39" t="n">
        <v>17564</v>
      </c>
      <c r="B7" s="40">
        <f>VLOOKUP(Table7[[#This Row],[Date]],'DB Details'!$A:$L,12)</f>
        <v/>
      </c>
      <c r="C7" s="41" t="n">
        <v>13.93</v>
      </c>
      <c r="D7" s="46" t="n"/>
      <c r="F7" s="3" t="n"/>
      <c r="K7" s="2" t="n"/>
    </row>
    <row r="8">
      <c r="A8" s="39" t="n">
        <v>17593</v>
      </c>
      <c r="B8" s="40">
        <f>VLOOKUP(Table7[[#This Row],[Date]],'DB Details'!$A:$L,12)</f>
        <v/>
      </c>
      <c r="C8" s="41" t="n">
        <v>15.08</v>
      </c>
      <c r="D8" s="46" t="n"/>
      <c r="F8" s="3" t="n"/>
      <c r="K8" s="2" t="n"/>
    </row>
    <row r="9">
      <c r="A9" s="39" t="n">
        <v>17624</v>
      </c>
      <c r="B9" s="40">
        <f>VLOOKUP(Table7[[#This Row],[Date]],'DB Details'!$A:$L,12)</f>
        <v/>
      </c>
      <c r="C9" s="41" t="n">
        <v>15.48</v>
      </c>
      <c r="D9" s="46" t="n"/>
      <c r="F9" s="3" t="n"/>
      <c r="K9" s="2" t="n"/>
    </row>
    <row r="10">
      <c r="A10" s="39" t="n">
        <v>17654</v>
      </c>
      <c r="B10" s="40">
        <f>VLOOKUP(Table7[[#This Row],[Date]],'DB Details'!$A:$L,12)</f>
        <v/>
      </c>
      <c r="C10" s="41" t="n">
        <v>16.69</v>
      </c>
      <c r="D10" s="46" t="n"/>
      <c r="F10" s="3" t="n"/>
      <c r="K10" s="2" t="n"/>
    </row>
    <row r="11">
      <c r="A11" s="39" t="n">
        <v>17685</v>
      </c>
      <c r="B11" s="40">
        <f>VLOOKUP(Table7[[#This Row],[Date]],'DB Details'!$A:$L,12)</f>
        <v/>
      </c>
      <c r="C11" s="41" t="n">
        <v>16.74</v>
      </c>
      <c r="D11" s="46" t="n"/>
      <c r="F11" s="3" t="n"/>
      <c r="K11" s="2" t="n"/>
    </row>
    <row r="12">
      <c r="A12" s="39" t="n">
        <v>17715</v>
      </c>
      <c r="B12" s="40">
        <f>VLOOKUP(Table7[[#This Row],[Date]],'DB Details'!$A:$L,12)</f>
        <v/>
      </c>
      <c r="C12" s="41" t="n">
        <v>15.85</v>
      </c>
      <c r="D12" s="46" t="n"/>
      <c r="F12" s="3" t="n"/>
      <c r="K12" s="2" t="n"/>
    </row>
    <row r="13">
      <c r="A13" s="39" t="n">
        <v>17746</v>
      </c>
      <c r="B13" s="40">
        <f>VLOOKUP(Table7[[#This Row],[Date]],'DB Details'!$A:$L,12)</f>
        <v/>
      </c>
      <c r="C13" s="41" t="n">
        <v>15.97</v>
      </c>
      <c r="D13" s="46" t="n"/>
      <c r="F13" s="3" t="n"/>
      <c r="K13" s="2" t="n"/>
    </row>
    <row r="14">
      <c r="A14" s="39" t="n">
        <v>17777</v>
      </c>
      <c r="B14" s="40">
        <f>VLOOKUP(Table7[[#This Row],[Date]],'DB Details'!$A:$L,12)</f>
        <v/>
      </c>
      <c r="C14" s="41" t="n">
        <v>15.49</v>
      </c>
      <c r="D14" s="46" t="n"/>
      <c r="F14" s="3" t="n"/>
      <c r="K14" s="2" t="n"/>
    </row>
    <row r="15">
      <c r="A15" s="39" t="n">
        <v>17807</v>
      </c>
      <c r="B15" s="40">
        <f>VLOOKUP(Table7[[#This Row],[Date]],'DB Details'!$A:$L,12)</f>
        <v/>
      </c>
      <c r="C15" s="41" t="n">
        <v>16.5</v>
      </c>
      <c r="D15" s="46" t="n"/>
      <c r="F15" s="3" t="n"/>
      <c r="K15" s="2" t="n"/>
    </row>
    <row r="16">
      <c r="A16" s="39" t="n">
        <v>17838</v>
      </c>
      <c r="B16" s="40">
        <f>VLOOKUP(Table7[[#This Row],[Date]],'DB Details'!$A:$L,12)</f>
        <v/>
      </c>
      <c r="C16" s="41" t="n">
        <v>14.75</v>
      </c>
      <c r="D16" s="46" t="n"/>
      <c r="F16" s="3" t="n"/>
      <c r="K16" s="2" t="n"/>
    </row>
    <row r="17">
      <c r="A17" s="39" t="n">
        <v>17868</v>
      </c>
      <c r="B17" s="40">
        <f>VLOOKUP(Table7[[#This Row],[Date]],'DB Details'!$A:$L,12)</f>
        <v/>
      </c>
      <c r="C17" s="41" t="n">
        <v>15.2</v>
      </c>
      <c r="D17" s="46" t="n"/>
      <c r="F17" s="3" t="n"/>
      <c r="K17" s="2" t="n"/>
    </row>
    <row r="18">
      <c r="A18" s="39" t="n">
        <v>17899</v>
      </c>
      <c r="B18" s="40">
        <f>VLOOKUP(Table7[[#This Row],[Date]],'DB Details'!$A:$L,12)</f>
        <v/>
      </c>
      <c r="C18" s="41" t="n">
        <v>15.22</v>
      </c>
      <c r="D18" s="46">
        <f>(Table7[[#This Row],[S&amp;P]]-C6)/C6</f>
        <v/>
      </c>
      <c r="F18" s="3" t="n"/>
      <c r="K18" s="2" t="n"/>
    </row>
    <row r="19">
      <c r="A19" s="39" t="n">
        <v>17930</v>
      </c>
      <c r="B19" s="40">
        <f>VLOOKUP(Table7[[#This Row],[Date]],'DB Details'!$A:$L,12)</f>
        <v/>
      </c>
      <c r="C19" s="41" t="n">
        <v>14.62</v>
      </c>
      <c r="D19" s="46">
        <f>(Table7[[#This Row],[S&amp;P]]-C7)/C7</f>
        <v/>
      </c>
      <c r="F19" s="3" t="n"/>
      <c r="K19" s="2" t="n"/>
    </row>
    <row r="20">
      <c r="A20" s="39" t="n">
        <v>17958</v>
      </c>
      <c r="B20" s="40">
        <f>VLOOKUP(Table7[[#This Row],[Date]],'DB Details'!$A:$L,12)</f>
        <v/>
      </c>
      <c r="C20" s="41" t="n">
        <v>15.06</v>
      </c>
      <c r="D20" s="46">
        <f>(Table7[[#This Row],[S&amp;P]]-C8)/C8</f>
        <v/>
      </c>
      <c r="F20" s="3" t="n"/>
      <c r="K20" s="2" t="n"/>
    </row>
    <row r="21">
      <c r="A21" s="39" t="n">
        <v>17989</v>
      </c>
      <c r="B21" s="40">
        <f>VLOOKUP(Table7[[#This Row],[Date]],'DB Details'!$A:$L,12)</f>
        <v/>
      </c>
      <c r="C21" s="41" t="n">
        <v>14.71</v>
      </c>
      <c r="D21" s="46">
        <f>(Table7[[#This Row],[S&amp;P]]-C9)/C9</f>
        <v/>
      </c>
      <c r="F21" s="3" t="n"/>
      <c r="K21" s="2" t="n"/>
    </row>
    <row r="22">
      <c r="A22" s="39" t="n">
        <v>18019</v>
      </c>
      <c r="B22" s="40">
        <f>VLOOKUP(Table7[[#This Row],[Date]],'DB Details'!$A:$L,12)</f>
        <v/>
      </c>
      <c r="C22" s="41" t="n">
        <v>14.19</v>
      </c>
      <c r="D22" s="46">
        <f>(Table7[[#This Row],[S&amp;P]]-C10)/C10</f>
        <v/>
      </c>
      <c r="F22" s="3" t="n"/>
      <c r="K22" s="2" t="n"/>
    </row>
    <row r="23">
      <c r="A23" s="39" t="n">
        <v>18050</v>
      </c>
      <c r="B23" s="40">
        <f>VLOOKUP(Table7[[#This Row],[Date]],'DB Details'!$A:$L,12)</f>
        <v/>
      </c>
      <c r="C23" s="41" t="n">
        <v>14.16</v>
      </c>
      <c r="D23" s="46">
        <f>(Table7[[#This Row],[S&amp;P]]-C11)/C11</f>
        <v/>
      </c>
      <c r="F23" s="3" t="n"/>
      <c r="K23" s="2" t="n"/>
    </row>
    <row r="24">
      <c r="A24" s="39" t="n">
        <v>18080</v>
      </c>
      <c r="B24" s="40">
        <f>VLOOKUP(Table7[[#This Row],[Date]],'DB Details'!$A:$L,12)</f>
        <v/>
      </c>
      <c r="C24" s="41" t="n">
        <v>15.04</v>
      </c>
      <c r="D24" s="46">
        <f>(Table7[[#This Row],[S&amp;P]]-C12)/C12</f>
        <v/>
      </c>
      <c r="F24" s="3" t="n"/>
      <c r="K24" s="2" t="n"/>
    </row>
    <row r="25">
      <c r="A25" s="39" t="n">
        <v>18111</v>
      </c>
      <c r="B25" s="40">
        <f>VLOOKUP(Table7[[#This Row],[Date]],'DB Details'!$A:$L,12)</f>
        <v/>
      </c>
      <c r="C25" s="41" t="n">
        <v>15.22</v>
      </c>
      <c r="D25" s="46">
        <f>(Table7[[#This Row],[S&amp;P]]-C13)/C13</f>
        <v/>
      </c>
      <c r="F25" s="3" t="n"/>
      <c r="K25" s="2" t="n"/>
    </row>
    <row r="26">
      <c r="A26" s="39" t="n">
        <v>18142</v>
      </c>
      <c r="B26" s="40">
        <f>VLOOKUP(Table7[[#This Row],[Date]],'DB Details'!$A:$L,12)</f>
        <v/>
      </c>
      <c r="C26" s="41" t="n">
        <v>15.58</v>
      </c>
      <c r="D26" s="46">
        <f>(Table7[[#This Row],[S&amp;P]]-C14)/C14</f>
        <v/>
      </c>
      <c r="F26" s="3" t="n"/>
      <c r="K26" s="2" t="n"/>
    </row>
    <row r="27">
      <c r="A27" s="39" t="n">
        <v>18172</v>
      </c>
      <c r="B27" s="40">
        <f>VLOOKUP(Table7[[#This Row],[Date]],'DB Details'!$A:$L,12)</f>
        <v/>
      </c>
      <c r="C27" s="41" t="n">
        <v>16.04</v>
      </c>
      <c r="D27" s="46">
        <f>(Table7[[#This Row],[S&amp;P]]-C15)/C15</f>
        <v/>
      </c>
      <c r="F27" s="3" t="n"/>
      <c r="K27" s="2" t="n"/>
    </row>
    <row r="28">
      <c r="A28" s="39" t="n">
        <v>18203</v>
      </c>
      <c r="B28" s="40">
        <f>VLOOKUP(Table7[[#This Row],[Date]],'DB Details'!$A:$L,12)</f>
        <v/>
      </c>
      <c r="C28" s="41" t="n">
        <v>16.06</v>
      </c>
      <c r="D28" s="46">
        <f>(Table7[[#This Row],[S&amp;P]]-C16)/C16</f>
        <v/>
      </c>
      <c r="F28" s="3" t="n"/>
      <c r="K28" s="2" t="n"/>
    </row>
    <row r="29">
      <c r="A29" s="39" t="n">
        <v>18233</v>
      </c>
      <c r="B29" s="40">
        <f>VLOOKUP(Table7[[#This Row],[Date]],'DB Details'!$A:$L,12)</f>
        <v/>
      </c>
      <c r="C29" s="41" t="n">
        <v>16.79</v>
      </c>
      <c r="D29" s="46">
        <f>(Table7[[#This Row],[S&amp;P]]-C17)/C17</f>
        <v/>
      </c>
      <c r="F29" s="3" t="n"/>
      <c r="K29" s="2" t="n"/>
    </row>
    <row r="30">
      <c r="A30" s="39" t="n">
        <v>18264</v>
      </c>
      <c r="B30" s="40">
        <f>VLOOKUP(Table7[[#This Row],[Date]],'DB Details'!$A:$L,12)</f>
        <v/>
      </c>
      <c r="C30" s="41" t="n">
        <v>17.049999</v>
      </c>
      <c r="D30" s="46">
        <f>(Table7[[#This Row],[S&amp;P]]-C18)/C18</f>
        <v/>
      </c>
      <c r="F30" s="3" t="n"/>
      <c r="K30" s="2" t="n"/>
    </row>
    <row r="31">
      <c r="A31" s="39" t="n">
        <v>18295</v>
      </c>
      <c r="B31" s="40">
        <f>VLOOKUP(Table7[[#This Row],[Date]],'DB Details'!$A:$L,12)</f>
        <v/>
      </c>
      <c r="C31" s="41" t="n">
        <v>17.219999</v>
      </c>
      <c r="D31" s="46">
        <f>(Table7[[#This Row],[S&amp;P]]-C19)/C19</f>
        <v/>
      </c>
      <c r="F31" s="3" t="n"/>
      <c r="K31" s="2" t="n"/>
    </row>
    <row r="32">
      <c r="A32" s="39" t="n">
        <v>18323</v>
      </c>
      <c r="B32" s="40">
        <f>VLOOKUP(Table7[[#This Row],[Date]],'DB Details'!$A:$L,12)</f>
        <v/>
      </c>
      <c r="C32" s="41" t="n">
        <v>17.290001</v>
      </c>
      <c r="D32" s="46">
        <f>(Table7[[#This Row],[S&amp;P]]-C20)/C20</f>
        <v/>
      </c>
      <c r="F32" s="3" t="n"/>
      <c r="K32" s="2" t="n"/>
    </row>
    <row r="33">
      <c r="A33" s="39" t="n">
        <v>18354</v>
      </c>
      <c r="B33" s="40">
        <f>VLOOKUP(Table7[[#This Row],[Date]],'DB Details'!$A:$L,12)</f>
        <v/>
      </c>
      <c r="C33" s="41" t="n">
        <v>18.07</v>
      </c>
      <c r="D33" s="46">
        <f>(Table7[[#This Row],[S&amp;P]]-C21)/C21</f>
        <v/>
      </c>
      <c r="F33" s="3" t="n"/>
      <c r="K33" s="2" t="n"/>
    </row>
    <row r="34">
      <c r="A34" s="39" t="n">
        <v>18384</v>
      </c>
      <c r="B34" s="40">
        <f>VLOOKUP(Table7[[#This Row],[Date]],'DB Details'!$A:$L,12)</f>
        <v/>
      </c>
      <c r="C34" s="41" t="n">
        <v>18.780001</v>
      </c>
      <c r="D34" s="46">
        <f>(Table7[[#This Row],[S&amp;P]]-C22)/C22</f>
        <v/>
      </c>
      <c r="F34" s="3" t="n"/>
      <c r="K34" s="2" t="n"/>
    </row>
    <row r="35">
      <c r="A35" s="39" t="n">
        <v>18415</v>
      </c>
      <c r="B35" s="40">
        <f>VLOOKUP(Table7[[#This Row],[Date]],'DB Details'!$A:$L,12)</f>
        <v/>
      </c>
      <c r="C35" s="41" t="n">
        <v>17.690001</v>
      </c>
      <c r="D35" s="46">
        <f>(Table7[[#This Row],[S&amp;P]]-C23)/C23</f>
        <v/>
      </c>
      <c r="F35" s="3" t="n"/>
      <c r="K35" s="2" t="n"/>
    </row>
    <row r="36">
      <c r="A36" s="39" t="n">
        <v>18445</v>
      </c>
      <c r="B36" s="40">
        <f>VLOOKUP(Table7[[#This Row],[Date]],'DB Details'!$A:$L,12)</f>
        <v/>
      </c>
      <c r="C36" s="41" t="n">
        <v>17.84</v>
      </c>
      <c r="D36" s="46">
        <f>(Table7[[#This Row],[S&amp;P]]-C24)/C24</f>
        <v/>
      </c>
      <c r="F36" s="3" t="n"/>
      <c r="K36" s="2" t="n"/>
    </row>
    <row r="37">
      <c r="A37" s="39" t="n">
        <v>18476</v>
      </c>
      <c r="B37" s="40">
        <f>VLOOKUP(Table7[[#This Row],[Date]],'DB Details'!$A:$L,12)</f>
        <v/>
      </c>
      <c r="C37" s="41" t="n">
        <v>18.42</v>
      </c>
      <c r="D37" s="46">
        <f>(Table7[[#This Row],[S&amp;P]]-C25)/C25</f>
        <v/>
      </c>
      <c r="F37" s="3" t="n"/>
      <c r="K37" s="2" t="n"/>
    </row>
    <row r="38">
      <c r="A38" s="39" t="n">
        <v>18507</v>
      </c>
      <c r="B38" s="40">
        <f>VLOOKUP(Table7[[#This Row],[Date]],'DB Details'!$A:$L,12)</f>
        <v/>
      </c>
      <c r="C38" s="41" t="n">
        <v>19.450001</v>
      </c>
      <c r="D38" s="46">
        <f>(Table7[[#This Row],[S&amp;P]]-C26)/C26</f>
        <v/>
      </c>
      <c r="F38" s="3" t="n"/>
      <c r="K38" s="2" t="n"/>
    </row>
    <row r="39">
      <c r="A39" s="39" t="n">
        <v>18537</v>
      </c>
      <c r="B39" s="40">
        <f>VLOOKUP(Table7[[#This Row],[Date]],'DB Details'!$A:$L,12)</f>
        <v/>
      </c>
      <c r="C39" s="41" t="n">
        <v>19.530001</v>
      </c>
      <c r="D39" s="46">
        <f>(Table7[[#This Row],[S&amp;P]]-C27)/C27</f>
        <v/>
      </c>
      <c r="F39" s="3" t="n"/>
      <c r="K39" s="2" t="n"/>
    </row>
    <row r="40">
      <c r="A40" s="39" t="n">
        <v>18568</v>
      </c>
      <c r="B40" s="40">
        <f>VLOOKUP(Table7[[#This Row],[Date]],'DB Details'!$A:$L,12)</f>
        <v/>
      </c>
      <c r="C40" s="41" t="n">
        <v>19.51</v>
      </c>
      <c r="D40" s="46">
        <f>(Table7[[#This Row],[S&amp;P]]-C28)/C28</f>
        <v/>
      </c>
      <c r="F40" s="3" t="n"/>
      <c r="K40" s="2" t="n"/>
    </row>
    <row r="41">
      <c r="A41" s="39" t="n">
        <v>18598</v>
      </c>
      <c r="B41" s="40">
        <f>VLOOKUP(Table7[[#This Row],[Date]],'DB Details'!$A:$L,12)</f>
        <v/>
      </c>
      <c r="C41" s="41" t="n">
        <v>20.41</v>
      </c>
      <c r="D41" s="46">
        <f>(Table7[[#This Row],[S&amp;P]]-C29)/C29</f>
        <v/>
      </c>
      <c r="F41" s="3" t="n"/>
      <c r="K41" s="2" t="n"/>
    </row>
    <row r="42">
      <c r="A42" s="39" t="n">
        <v>18629</v>
      </c>
      <c r="B42" s="40">
        <f>VLOOKUP(Table7[[#This Row],[Date]],'DB Details'!$A:$L,12)</f>
        <v/>
      </c>
      <c r="C42" s="41" t="n">
        <v>21.66</v>
      </c>
      <c r="D42" s="46">
        <f>(Table7[[#This Row],[S&amp;P]]-C30)/C30</f>
        <v/>
      </c>
      <c r="F42" s="3" t="n"/>
      <c r="K42" s="2" t="n"/>
    </row>
    <row r="43">
      <c r="A43" s="39" t="n">
        <v>18660</v>
      </c>
      <c r="B43" s="40">
        <f>VLOOKUP(Table7[[#This Row],[Date]],'DB Details'!$A:$L,12)</f>
        <v/>
      </c>
      <c r="C43" s="41" t="n">
        <v>21.799999</v>
      </c>
      <c r="D43" s="46">
        <f>(Table7[[#This Row],[S&amp;P]]-C31)/C31</f>
        <v/>
      </c>
      <c r="F43" s="3" t="n"/>
      <c r="K43" s="2" t="n"/>
    </row>
    <row r="44">
      <c r="A44" s="39" t="n">
        <v>18688</v>
      </c>
      <c r="B44" s="40">
        <f>VLOOKUP(Table7[[#This Row],[Date]],'DB Details'!$A:$L,12)</f>
        <v/>
      </c>
      <c r="C44" s="41" t="n">
        <v>21.4</v>
      </c>
      <c r="D44" s="46">
        <f>(Table7[[#This Row],[S&amp;P]]-C32)/C32</f>
        <v/>
      </c>
      <c r="F44" s="3" t="n"/>
      <c r="K44" s="2" t="n"/>
    </row>
    <row r="45">
      <c r="A45" s="39" t="n">
        <v>18719</v>
      </c>
      <c r="B45" s="40">
        <f>VLOOKUP(Table7[[#This Row],[Date]],'DB Details'!$A:$L,12)</f>
        <v/>
      </c>
      <c r="C45" s="41" t="n">
        <v>22.43</v>
      </c>
      <c r="D45" s="46">
        <f>(Table7[[#This Row],[S&amp;P]]-C33)/C33</f>
        <v/>
      </c>
      <c r="F45" s="3" t="n"/>
      <c r="K45" s="2" t="n"/>
    </row>
    <row r="46">
      <c r="A46" s="39" t="n">
        <v>18749</v>
      </c>
      <c r="B46" s="40">
        <f>VLOOKUP(Table7[[#This Row],[Date]],'DB Details'!$A:$L,12)</f>
        <v/>
      </c>
      <c r="C46" s="41" t="n">
        <v>21.52</v>
      </c>
      <c r="D46" s="46">
        <f>(Table7[[#This Row],[S&amp;P]]-C34)/C34</f>
        <v/>
      </c>
      <c r="F46" s="3" t="n"/>
      <c r="K46" s="2" t="n"/>
    </row>
    <row r="47">
      <c r="A47" s="39" t="n">
        <v>18780</v>
      </c>
      <c r="B47" s="40">
        <f>VLOOKUP(Table7[[#This Row],[Date]],'DB Details'!$A:$L,12)</f>
        <v/>
      </c>
      <c r="C47" s="41" t="n">
        <v>20.959999</v>
      </c>
      <c r="D47" s="46">
        <f>(Table7[[#This Row],[S&amp;P]]-C35)/C35</f>
        <v/>
      </c>
      <c r="F47" s="3" t="n"/>
      <c r="K47" s="2" t="n"/>
    </row>
    <row r="48">
      <c r="A48" s="39" t="n">
        <v>18810</v>
      </c>
      <c r="B48" s="40">
        <f>VLOOKUP(Table7[[#This Row],[Date]],'DB Details'!$A:$L,12)</f>
        <v/>
      </c>
      <c r="C48" s="41" t="n">
        <v>22.4</v>
      </c>
      <c r="D48" s="46">
        <f>(Table7[[#This Row],[S&amp;P]]-C36)/C36</f>
        <v/>
      </c>
      <c r="F48" s="3" t="n"/>
      <c r="K48" s="2" t="n"/>
    </row>
    <row r="49">
      <c r="A49" s="39" t="n">
        <v>18841</v>
      </c>
      <c r="B49" s="40">
        <f>VLOOKUP(Table7[[#This Row],[Date]],'DB Details'!$A:$L,12)</f>
        <v/>
      </c>
      <c r="C49" s="41" t="n">
        <v>23.280001</v>
      </c>
      <c r="D49" s="46">
        <f>(Table7[[#This Row],[S&amp;P]]-C37)/C37</f>
        <v/>
      </c>
      <c r="F49" s="3" t="n"/>
      <c r="K49" s="2" t="n"/>
    </row>
    <row r="50">
      <c r="A50" s="39" t="n">
        <v>18872</v>
      </c>
      <c r="B50" s="40">
        <f>VLOOKUP(Table7[[#This Row],[Date]],'DB Details'!$A:$L,12)</f>
        <v/>
      </c>
      <c r="C50" s="41" t="n">
        <v>23.26</v>
      </c>
      <c r="D50" s="46">
        <f>(Table7[[#This Row],[S&amp;P]]-C38)/C38</f>
        <v/>
      </c>
      <c r="F50" s="3" t="n"/>
      <c r="K50" s="2" t="n"/>
    </row>
    <row r="51">
      <c r="A51" s="39" t="n">
        <v>18902</v>
      </c>
      <c r="B51" s="40">
        <f>VLOOKUP(Table7[[#This Row],[Date]],'DB Details'!$A:$L,12)</f>
        <v/>
      </c>
      <c r="C51" s="41" t="n">
        <v>22.940001</v>
      </c>
      <c r="D51" s="46">
        <f>(Table7[[#This Row],[S&amp;P]]-C39)/C39</f>
        <v/>
      </c>
      <c r="F51" s="3" t="n"/>
      <c r="K51" s="2" t="n"/>
    </row>
    <row r="52">
      <c r="A52" s="39" t="n">
        <v>18933</v>
      </c>
      <c r="B52" s="40">
        <f>VLOOKUP(Table7[[#This Row],[Date]],'DB Details'!$A:$L,12)</f>
        <v/>
      </c>
      <c r="C52" s="41" t="n">
        <v>22.879999</v>
      </c>
      <c r="D52" s="46">
        <f>(Table7[[#This Row],[S&amp;P]]-C40)/C40</f>
        <v/>
      </c>
      <c r="F52" s="3" t="n"/>
      <c r="K52" s="2" t="n"/>
    </row>
    <row r="53">
      <c r="A53" s="39" t="n">
        <v>18963</v>
      </c>
      <c r="B53" s="40">
        <f>VLOOKUP(Table7[[#This Row],[Date]],'DB Details'!$A:$L,12)</f>
        <v/>
      </c>
      <c r="C53" s="41" t="n">
        <v>23.77</v>
      </c>
      <c r="D53" s="46">
        <f>(Table7[[#This Row],[S&amp;P]]-C41)/C41</f>
        <v/>
      </c>
      <c r="F53" s="3" t="n"/>
      <c r="K53" s="2" t="n"/>
    </row>
    <row r="54">
      <c r="A54" s="39" t="n">
        <v>18994</v>
      </c>
      <c r="B54" s="40">
        <f>VLOOKUP(Table7[[#This Row],[Date]],'DB Details'!$A:$L,12)</f>
        <v/>
      </c>
      <c r="C54" s="41" t="n">
        <v>24.139999</v>
      </c>
      <c r="D54" s="46">
        <f>(Table7[[#This Row],[S&amp;P]]-C42)/C42</f>
        <v/>
      </c>
      <c r="F54" s="3" t="n"/>
      <c r="K54" s="2" t="n"/>
    </row>
    <row r="55">
      <c r="A55" s="39" t="n">
        <v>19025</v>
      </c>
      <c r="B55" s="40">
        <f>VLOOKUP(Table7[[#This Row],[Date]],'DB Details'!$A:$L,12)</f>
        <v/>
      </c>
      <c r="C55" s="41" t="n">
        <v>23.26</v>
      </c>
      <c r="D55" s="46">
        <f>(Table7[[#This Row],[S&amp;P]]-C43)/C43</f>
        <v/>
      </c>
      <c r="F55" s="3" t="n"/>
      <c r="K55" s="2" t="n"/>
    </row>
    <row r="56">
      <c r="A56" s="39" t="n">
        <v>19054</v>
      </c>
      <c r="B56" s="40">
        <f>VLOOKUP(Table7[[#This Row],[Date]],'DB Details'!$A:$L,12)</f>
        <v/>
      </c>
      <c r="C56" s="41" t="n">
        <v>24.370001</v>
      </c>
      <c r="D56" s="46">
        <f>(Table7[[#This Row],[S&amp;P]]-C44)/C44</f>
        <v/>
      </c>
      <c r="F56" s="3" t="n"/>
      <c r="K56" s="2" t="n"/>
    </row>
    <row r="57">
      <c r="A57" s="39" t="n">
        <v>19085</v>
      </c>
      <c r="B57" s="40">
        <f>VLOOKUP(Table7[[#This Row],[Date]],'DB Details'!$A:$L,12)</f>
        <v/>
      </c>
      <c r="C57" s="41" t="n">
        <v>23.32</v>
      </c>
      <c r="D57" s="46">
        <f>(Table7[[#This Row],[S&amp;P]]-C45)/C45</f>
        <v/>
      </c>
      <c r="F57" s="3" t="n"/>
      <c r="K57" s="2" t="n"/>
    </row>
    <row r="58">
      <c r="A58" s="39" t="n">
        <v>19115</v>
      </c>
      <c r="B58" s="40">
        <f>VLOOKUP(Table7[[#This Row],[Date]],'DB Details'!$A:$L,12)</f>
        <v/>
      </c>
      <c r="C58" s="41" t="n">
        <v>23.860001</v>
      </c>
      <c r="D58" s="46">
        <f>(Table7[[#This Row],[S&amp;P]]-C46)/C46</f>
        <v/>
      </c>
      <c r="F58" s="3" t="n"/>
      <c r="K58" s="2" t="n"/>
    </row>
    <row r="59">
      <c r="A59" s="39" t="n">
        <v>19146</v>
      </c>
      <c r="B59" s="40">
        <f>VLOOKUP(Table7[[#This Row],[Date]],'DB Details'!$A:$L,12)</f>
        <v/>
      </c>
      <c r="C59" s="41" t="n">
        <v>24.959999</v>
      </c>
      <c r="D59" s="46">
        <f>(Table7[[#This Row],[S&amp;P]]-C47)/C47</f>
        <v/>
      </c>
      <c r="F59" s="3" t="n"/>
      <c r="K59" s="2" t="n"/>
    </row>
    <row r="60">
      <c r="A60" s="39" t="n">
        <v>19176</v>
      </c>
      <c r="B60" s="40">
        <f>VLOOKUP(Table7[[#This Row],[Date]],'DB Details'!$A:$L,12)</f>
        <v/>
      </c>
      <c r="C60" s="41" t="n">
        <v>25.4</v>
      </c>
      <c r="D60" s="46">
        <f>(Table7[[#This Row],[S&amp;P]]-C48)/C48</f>
        <v/>
      </c>
      <c r="F60" s="3" t="n"/>
      <c r="K60" s="2" t="n"/>
    </row>
    <row r="61">
      <c r="A61" s="39" t="n">
        <v>19207</v>
      </c>
      <c r="B61" s="40">
        <f>VLOOKUP(Table7[[#This Row],[Date]],'DB Details'!$A:$L,12)</f>
        <v/>
      </c>
      <c r="C61" s="41" t="n">
        <v>25.030001</v>
      </c>
      <c r="D61" s="46">
        <f>(Table7[[#This Row],[S&amp;P]]-C49)/C49</f>
        <v/>
      </c>
      <c r="F61" s="3" t="n"/>
      <c r="K61" s="2" t="n"/>
    </row>
    <row r="62">
      <c r="A62" s="39" t="n">
        <v>19238</v>
      </c>
      <c r="B62" s="40">
        <f>VLOOKUP(Table7[[#This Row],[Date]],'DB Details'!$A:$L,12)</f>
        <v/>
      </c>
      <c r="C62" s="41" t="n">
        <v>24.540001</v>
      </c>
      <c r="D62" s="46">
        <f>(Table7[[#This Row],[S&amp;P]]-C50)/C50</f>
        <v/>
      </c>
      <c r="F62" s="3" t="n"/>
      <c r="K62" s="2" t="n"/>
    </row>
    <row r="63">
      <c r="A63" s="39" t="n">
        <v>19268</v>
      </c>
      <c r="B63" s="40">
        <f>VLOOKUP(Table7[[#This Row],[Date]],'DB Details'!$A:$L,12)</f>
        <v/>
      </c>
      <c r="C63" s="41" t="n">
        <v>24.52</v>
      </c>
      <c r="D63" s="46">
        <f>(Table7[[#This Row],[S&amp;P]]-C51)/C51</f>
        <v/>
      </c>
      <c r="F63" s="3" t="n"/>
      <c r="K63" s="2" t="n"/>
    </row>
    <row r="64">
      <c r="A64" s="39" t="n">
        <v>19299</v>
      </c>
      <c r="B64" s="40">
        <f>VLOOKUP(Table7[[#This Row],[Date]],'DB Details'!$A:$L,12)</f>
        <v/>
      </c>
      <c r="C64" s="41" t="n">
        <v>25.66</v>
      </c>
      <c r="D64" s="46">
        <f>(Table7[[#This Row],[S&amp;P]]-C52)/C52</f>
        <v/>
      </c>
      <c r="F64" s="3" t="n"/>
      <c r="K64" s="2" t="n"/>
    </row>
    <row r="65">
      <c r="A65" s="39" t="n">
        <v>19329</v>
      </c>
      <c r="B65" s="40">
        <f>VLOOKUP(Table7[[#This Row],[Date]],'DB Details'!$A:$L,12)</f>
        <v/>
      </c>
      <c r="C65" s="41" t="n">
        <v>26.57</v>
      </c>
      <c r="D65" s="46">
        <f>(Table7[[#This Row],[S&amp;P]]-C53)/C53</f>
        <v/>
      </c>
      <c r="F65" s="3" t="n"/>
      <c r="K65" s="2" t="n"/>
    </row>
    <row r="66">
      <c r="A66" s="39" t="n">
        <v>19360</v>
      </c>
      <c r="B66" s="40">
        <f>VLOOKUP(Table7[[#This Row],[Date]],'DB Details'!$A:$L,12)</f>
        <v/>
      </c>
      <c r="C66" s="41" t="n">
        <v>26.379999</v>
      </c>
      <c r="D66" s="46">
        <f>(Table7[[#This Row],[S&amp;P]]-C54)/C54</f>
        <v/>
      </c>
      <c r="F66" s="3" t="n"/>
      <c r="K66" s="2" t="n"/>
    </row>
    <row r="67">
      <c r="A67" s="39" t="n">
        <v>19391</v>
      </c>
      <c r="B67" s="40">
        <f>VLOOKUP(Table7[[#This Row],[Date]],'DB Details'!$A:$L,12)</f>
        <v/>
      </c>
      <c r="C67" s="41" t="n">
        <v>25.9</v>
      </c>
      <c r="D67" s="46">
        <f>(Table7[[#This Row],[S&amp;P]]-C55)/C55</f>
        <v/>
      </c>
      <c r="F67" s="3" t="n"/>
      <c r="K67" s="2" t="n"/>
    </row>
    <row r="68">
      <c r="A68" s="39" t="n">
        <v>19419</v>
      </c>
      <c r="B68" s="40">
        <f>VLOOKUP(Table7[[#This Row],[Date]],'DB Details'!$A:$L,12)</f>
        <v/>
      </c>
      <c r="C68" s="41" t="n">
        <v>25.290001</v>
      </c>
      <c r="D68" s="46">
        <f>(Table7[[#This Row],[S&amp;P]]-C56)/C56</f>
        <v/>
      </c>
      <c r="F68" s="3" t="n"/>
      <c r="K68" s="2" t="n"/>
    </row>
    <row r="69">
      <c r="A69" s="39" t="n">
        <v>19450</v>
      </c>
      <c r="B69" s="40">
        <f>VLOOKUP(Table7[[#This Row],[Date]],'DB Details'!$A:$L,12)</f>
        <v/>
      </c>
      <c r="C69" s="41" t="n">
        <v>24.620001</v>
      </c>
      <c r="D69" s="46">
        <f>(Table7[[#This Row],[S&amp;P]]-C57)/C57</f>
        <v/>
      </c>
      <c r="F69" s="3" t="n"/>
      <c r="K69" s="2" t="n"/>
    </row>
    <row r="70">
      <c r="A70" s="39" t="n">
        <v>19480</v>
      </c>
      <c r="B70" s="40">
        <f>VLOOKUP(Table7[[#This Row],[Date]],'DB Details'!$A:$L,12)</f>
        <v/>
      </c>
      <c r="C70" s="41" t="n">
        <v>24.540001</v>
      </c>
      <c r="D70" s="46">
        <f>(Table7[[#This Row],[S&amp;P]]-C58)/C58</f>
        <v/>
      </c>
      <c r="F70" s="3" t="n"/>
      <c r="K70" s="2" t="n"/>
    </row>
    <row r="71">
      <c r="A71" s="39" t="n">
        <v>19511</v>
      </c>
      <c r="B71" s="40">
        <f>VLOOKUP(Table7[[#This Row],[Date]],'DB Details'!$A:$L,12)</f>
        <v/>
      </c>
      <c r="C71" s="41" t="n">
        <v>24.139999</v>
      </c>
      <c r="D71" s="46">
        <f>(Table7[[#This Row],[S&amp;P]]-C59)/C59</f>
        <v/>
      </c>
      <c r="F71" s="3" t="n"/>
      <c r="K71" s="2" t="n"/>
    </row>
    <row r="72">
      <c r="A72" s="39" t="n">
        <v>19541</v>
      </c>
      <c r="B72" s="40">
        <f>VLOOKUP(Table7[[#This Row],[Date]],'DB Details'!$A:$L,12)</f>
        <v/>
      </c>
      <c r="C72" s="41" t="n">
        <v>24.75</v>
      </c>
      <c r="D72" s="46">
        <f>(Table7[[#This Row],[S&amp;P]]-C60)/C60</f>
        <v/>
      </c>
      <c r="F72" s="3" t="n"/>
      <c r="K72" s="2" t="n"/>
    </row>
    <row r="73">
      <c r="A73" s="39" t="n">
        <v>19572</v>
      </c>
      <c r="B73" s="40">
        <f>VLOOKUP(Table7[[#This Row],[Date]],'DB Details'!$A:$L,12)</f>
        <v/>
      </c>
      <c r="C73" s="41" t="n">
        <v>23.32</v>
      </c>
      <c r="D73" s="46">
        <f>(Table7[[#This Row],[S&amp;P]]-C61)/C61</f>
        <v/>
      </c>
      <c r="F73" s="3" t="n"/>
      <c r="K73" s="2" t="n"/>
    </row>
    <row r="74">
      <c r="A74" s="39" t="n">
        <v>19603</v>
      </c>
      <c r="B74" s="40">
        <f>VLOOKUP(Table7[[#This Row],[Date]],'DB Details'!$A:$L,12)</f>
        <v/>
      </c>
      <c r="C74" s="41" t="n">
        <v>23.35</v>
      </c>
      <c r="D74" s="46">
        <f>(Table7[[#This Row],[S&amp;P]]-C62)/C62</f>
        <v/>
      </c>
      <c r="F74" s="3" t="n"/>
      <c r="K74" s="2" t="n"/>
    </row>
    <row r="75">
      <c r="A75" s="39" t="n">
        <v>19633</v>
      </c>
      <c r="B75" s="40">
        <f>VLOOKUP(Table7[[#This Row],[Date]],'DB Details'!$A:$L,12)</f>
        <v/>
      </c>
      <c r="C75" s="41" t="n">
        <v>24.540001</v>
      </c>
      <c r="D75" s="46">
        <f>(Table7[[#This Row],[S&amp;P]]-C63)/C63</f>
        <v/>
      </c>
      <c r="F75" s="3" t="n"/>
      <c r="K75" s="2" t="n"/>
    </row>
    <row r="76">
      <c r="A76" s="39" t="n">
        <v>19664</v>
      </c>
      <c r="B76" s="40">
        <f>VLOOKUP(Table7[[#This Row],[Date]],'DB Details'!$A:$L,12)</f>
        <v/>
      </c>
      <c r="C76" s="41" t="n">
        <v>24.76</v>
      </c>
      <c r="D76" s="46">
        <f>(Table7[[#This Row],[S&amp;P]]-C64)/C64</f>
        <v/>
      </c>
      <c r="F76" s="3" t="n"/>
      <c r="K76" s="2" t="n"/>
    </row>
    <row r="77">
      <c r="A77" s="39" t="n">
        <v>19694</v>
      </c>
      <c r="B77" s="40">
        <f>VLOOKUP(Table7[[#This Row],[Date]],'DB Details'!$A:$L,12)</f>
        <v/>
      </c>
      <c r="C77" s="41" t="n">
        <v>24.809999</v>
      </c>
      <c r="D77" s="46">
        <f>(Table7[[#This Row],[S&amp;P]]-C65)/C65</f>
        <v/>
      </c>
      <c r="F77" s="3" t="n"/>
      <c r="K77" s="2" t="n"/>
    </row>
    <row r="78">
      <c r="A78" s="39" t="n">
        <v>19725</v>
      </c>
      <c r="B78" s="40">
        <f>VLOOKUP(Table7[[#This Row],[Date]],'DB Details'!$A:$L,12)</f>
        <v/>
      </c>
      <c r="C78" s="41" t="n">
        <v>26.08</v>
      </c>
      <c r="D78" s="46">
        <f>(Table7[[#This Row],[S&amp;P]]-C66)/C66</f>
        <v/>
      </c>
      <c r="F78" s="3" t="n"/>
      <c r="K78" s="2" t="n"/>
    </row>
    <row r="79">
      <c r="A79" s="39" t="n">
        <v>19756</v>
      </c>
      <c r="B79" s="40">
        <f>VLOOKUP(Table7[[#This Row],[Date]],'DB Details'!$A:$L,12)</f>
        <v/>
      </c>
      <c r="C79" s="41" t="n">
        <v>26.15</v>
      </c>
      <c r="D79" s="46">
        <f>(Table7[[#This Row],[S&amp;P]]-C67)/C67</f>
        <v/>
      </c>
      <c r="F79" s="3" t="n"/>
      <c r="K79" s="2" t="n"/>
    </row>
    <row r="80">
      <c r="A80" s="39" t="n">
        <v>19784</v>
      </c>
      <c r="B80" s="40">
        <f>VLOOKUP(Table7[[#This Row],[Date]],'DB Details'!$A:$L,12)</f>
        <v/>
      </c>
      <c r="C80" s="41" t="n">
        <v>26.940001</v>
      </c>
      <c r="D80" s="46">
        <f>(Table7[[#This Row],[S&amp;P]]-C68)/C68</f>
        <v/>
      </c>
      <c r="F80" s="3" t="n"/>
      <c r="K80" s="2" t="n"/>
    </row>
    <row r="81">
      <c r="A81" s="39" t="n">
        <v>19815</v>
      </c>
      <c r="B81" s="40">
        <f>VLOOKUP(Table7[[#This Row],[Date]],'DB Details'!$A:$L,12)</f>
        <v/>
      </c>
      <c r="C81" s="41" t="n">
        <v>28.26</v>
      </c>
      <c r="D81" s="46">
        <f>(Table7[[#This Row],[S&amp;P]]-C69)/C69</f>
        <v/>
      </c>
      <c r="F81" s="3" t="n"/>
      <c r="K81" s="2" t="n"/>
    </row>
    <row r="82">
      <c r="A82" s="39" t="n">
        <v>19845</v>
      </c>
      <c r="B82" s="40">
        <f>VLOOKUP(Table7[[#This Row],[Date]],'DB Details'!$A:$L,12)</f>
        <v/>
      </c>
      <c r="C82" s="41" t="n">
        <v>29.190001</v>
      </c>
      <c r="D82" s="46">
        <f>(Table7[[#This Row],[S&amp;P]]-C70)/C70</f>
        <v/>
      </c>
      <c r="F82" s="3" t="n"/>
      <c r="K82" s="2" t="n"/>
    </row>
    <row r="83">
      <c r="A83" s="39" t="n">
        <v>19876</v>
      </c>
      <c r="B83" s="40">
        <f>VLOOKUP(Table7[[#This Row],[Date]],'DB Details'!$A:$L,12)</f>
        <v/>
      </c>
      <c r="C83" s="41" t="n">
        <v>29.209999</v>
      </c>
      <c r="D83" s="46">
        <f>(Table7[[#This Row],[S&amp;P]]-C71)/C71</f>
        <v/>
      </c>
      <c r="F83" s="3" t="n"/>
      <c r="K83" s="2" t="n"/>
    </row>
    <row r="84">
      <c r="A84" s="39" t="n">
        <v>19906</v>
      </c>
      <c r="B84" s="40">
        <f>VLOOKUP(Table7[[#This Row],[Date]],'DB Details'!$A:$L,12)</f>
        <v/>
      </c>
      <c r="C84" s="41" t="n">
        <v>30.879999</v>
      </c>
      <c r="D84" s="46">
        <f>(Table7[[#This Row],[S&amp;P]]-C72)/C72</f>
        <v/>
      </c>
      <c r="F84" s="3" t="n"/>
      <c r="K84" s="2" t="n"/>
    </row>
    <row r="85">
      <c r="A85" s="39" t="n">
        <v>19937</v>
      </c>
      <c r="B85" s="40">
        <f>VLOOKUP(Table7[[#This Row],[Date]],'DB Details'!$A:$L,12)</f>
        <v/>
      </c>
      <c r="C85" s="41" t="n">
        <v>29.83</v>
      </c>
      <c r="D85" s="46">
        <f>(Table7[[#This Row],[S&amp;P]]-C73)/C73</f>
        <v/>
      </c>
      <c r="F85" s="3" t="n"/>
      <c r="K85" s="2" t="n"/>
    </row>
    <row r="86">
      <c r="A86" s="39" t="n">
        <v>19968</v>
      </c>
      <c r="B86" s="40">
        <f>VLOOKUP(Table7[[#This Row],[Date]],'DB Details'!$A:$L,12)</f>
        <v/>
      </c>
      <c r="C86" s="41" t="n">
        <v>32.310001</v>
      </c>
      <c r="D86" s="46">
        <f>(Table7[[#This Row],[S&amp;P]]-C74)/C74</f>
        <v/>
      </c>
      <c r="F86" s="3" t="n"/>
      <c r="K86" s="2" t="n"/>
    </row>
    <row r="87">
      <c r="A87" s="39" t="n">
        <v>19998</v>
      </c>
      <c r="B87" s="40">
        <f>VLOOKUP(Table7[[#This Row],[Date]],'DB Details'!$A:$L,12)</f>
        <v/>
      </c>
      <c r="C87" s="41" t="n">
        <v>31.68</v>
      </c>
      <c r="D87" s="46">
        <f>(Table7[[#This Row],[S&amp;P]]-C75)/C75</f>
        <v/>
      </c>
      <c r="F87" s="3" t="n"/>
      <c r="K87" s="2" t="n"/>
    </row>
    <row r="88">
      <c r="A88" s="39" t="n">
        <v>20029</v>
      </c>
      <c r="B88" s="40">
        <f>VLOOKUP(Table7[[#This Row],[Date]],'DB Details'!$A:$L,12)</f>
        <v/>
      </c>
      <c r="C88" s="41" t="n">
        <v>34.240002</v>
      </c>
      <c r="D88" s="46">
        <f>(Table7[[#This Row],[S&amp;P]]-C76)/C76</f>
        <v/>
      </c>
      <c r="F88" s="3" t="n"/>
      <c r="K88" s="2" t="n"/>
    </row>
    <row r="89">
      <c r="A89" s="39" t="n">
        <v>20059</v>
      </c>
      <c r="B89" s="40">
        <f>VLOOKUP(Table7[[#This Row],[Date]],'DB Details'!$A:$L,12)</f>
        <v/>
      </c>
      <c r="C89" s="41" t="n">
        <v>35.98</v>
      </c>
      <c r="D89" s="46">
        <f>(Table7[[#This Row],[S&amp;P]]-C77)/C77</f>
        <v/>
      </c>
      <c r="F89" s="3" t="n"/>
      <c r="K89" s="2" t="n"/>
    </row>
    <row r="90">
      <c r="A90" s="39" t="n">
        <v>20090</v>
      </c>
      <c r="B90" s="40">
        <f>VLOOKUP(Table7[[#This Row],[Date]],'DB Details'!$A:$L,12)</f>
        <v/>
      </c>
      <c r="C90" s="41" t="n">
        <v>36.630001</v>
      </c>
      <c r="D90" s="46">
        <f>(Table7[[#This Row],[S&amp;P]]-C78)/C78</f>
        <v/>
      </c>
      <c r="F90" s="3" t="n"/>
      <c r="K90" s="2" t="n"/>
    </row>
    <row r="91">
      <c r="A91" s="39" t="n">
        <v>20121</v>
      </c>
      <c r="B91" s="40">
        <f>VLOOKUP(Table7[[#This Row],[Date]],'DB Details'!$A:$L,12)</f>
        <v/>
      </c>
      <c r="C91" s="41" t="n">
        <v>36.759998</v>
      </c>
      <c r="D91" s="46">
        <f>(Table7[[#This Row],[S&amp;P]]-C79)/C79</f>
        <v/>
      </c>
      <c r="F91" s="3" t="n"/>
      <c r="K91" s="2" t="n"/>
    </row>
    <row r="92">
      <c r="A92" s="39" t="n">
        <v>20149</v>
      </c>
      <c r="B92" s="40">
        <f>VLOOKUP(Table7[[#This Row],[Date]],'DB Details'!$A:$L,12)</f>
        <v/>
      </c>
      <c r="C92" s="41" t="n">
        <v>36.580002</v>
      </c>
      <c r="D92" s="46">
        <f>(Table7[[#This Row],[S&amp;P]]-C80)/C80</f>
        <v/>
      </c>
      <c r="F92" s="3" t="n"/>
      <c r="K92" s="2" t="n"/>
    </row>
    <row r="93">
      <c r="A93" s="39" t="n">
        <v>20180</v>
      </c>
      <c r="B93" s="40">
        <f>VLOOKUP(Table7[[#This Row],[Date]],'DB Details'!$A:$L,12)</f>
        <v/>
      </c>
      <c r="C93" s="41" t="n">
        <v>37.959999</v>
      </c>
      <c r="D93" s="46">
        <f>(Table7[[#This Row],[S&amp;P]]-C81)/C81</f>
        <v/>
      </c>
      <c r="F93" s="3" t="n"/>
      <c r="K93" s="2" t="n"/>
    </row>
    <row r="94">
      <c r="A94" s="39" t="n">
        <v>20210</v>
      </c>
      <c r="B94" s="40">
        <f>VLOOKUP(Table7[[#This Row],[Date]],'DB Details'!$A:$L,12)</f>
        <v/>
      </c>
      <c r="C94" s="41" t="n">
        <v>37.91</v>
      </c>
      <c r="D94" s="46">
        <f>(Table7[[#This Row],[S&amp;P]]-C82)/C82</f>
        <v/>
      </c>
      <c r="F94" s="3" t="n"/>
      <c r="K94" s="2" t="n"/>
    </row>
    <row r="95">
      <c r="A95" s="39" t="n">
        <v>20241</v>
      </c>
      <c r="B95" s="40">
        <f>VLOOKUP(Table7[[#This Row],[Date]],'DB Details'!$A:$L,12)</f>
        <v/>
      </c>
      <c r="C95" s="41" t="n">
        <v>41.029999</v>
      </c>
      <c r="D95" s="46">
        <f>(Table7[[#This Row],[S&amp;P]]-C83)/C83</f>
        <v/>
      </c>
      <c r="F95" s="3" t="n"/>
      <c r="K95" s="2" t="n"/>
    </row>
    <row r="96">
      <c r="A96" s="39" t="n">
        <v>20271</v>
      </c>
      <c r="B96" s="40">
        <f>VLOOKUP(Table7[[#This Row],[Date]],'DB Details'!$A:$L,12)</f>
        <v/>
      </c>
      <c r="C96" s="41" t="n">
        <v>43.52</v>
      </c>
      <c r="D96" s="46">
        <f>(Table7[[#This Row],[S&amp;P]]-C84)/C84</f>
        <v/>
      </c>
      <c r="F96" s="3" t="n"/>
      <c r="K96" s="2" t="n"/>
    </row>
    <row r="97">
      <c r="A97" s="39" t="n">
        <v>20302</v>
      </c>
      <c r="B97" s="40">
        <f>VLOOKUP(Table7[[#This Row],[Date]],'DB Details'!$A:$L,12)</f>
        <v/>
      </c>
      <c r="C97" s="41" t="n">
        <v>43.18</v>
      </c>
      <c r="D97" s="46">
        <f>(Table7[[#This Row],[S&amp;P]]-C85)/C85</f>
        <v/>
      </c>
      <c r="F97" s="3" t="n"/>
      <c r="K97" s="2" t="n"/>
    </row>
    <row r="98">
      <c r="A98" s="39" t="n">
        <v>20333</v>
      </c>
      <c r="B98" s="40">
        <f>VLOOKUP(Table7[[#This Row],[Date]],'DB Details'!$A:$L,12)</f>
        <v/>
      </c>
      <c r="C98" s="41" t="n">
        <v>43.669998</v>
      </c>
      <c r="D98" s="46">
        <f>(Table7[[#This Row],[S&amp;P]]-C86)/C86</f>
        <v/>
      </c>
      <c r="F98" s="3" t="n"/>
      <c r="K98" s="2" t="n"/>
    </row>
    <row r="99">
      <c r="A99" s="39" t="n">
        <v>20363</v>
      </c>
      <c r="B99" s="40">
        <f>VLOOKUP(Table7[[#This Row],[Date]],'DB Details'!$A:$L,12)</f>
        <v/>
      </c>
      <c r="C99" s="41" t="n">
        <v>42.34</v>
      </c>
      <c r="D99" s="46">
        <f>(Table7[[#This Row],[S&amp;P]]-C87)/C87</f>
        <v/>
      </c>
      <c r="F99" s="3" t="n"/>
      <c r="K99" s="2" t="n"/>
    </row>
    <row r="100">
      <c r="A100" s="39" t="n">
        <v>20394</v>
      </c>
      <c r="B100" s="40">
        <f>VLOOKUP(Table7[[#This Row],[Date]],'DB Details'!$A:$L,12)</f>
        <v/>
      </c>
      <c r="C100" s="41" t="n">
        <v>45.509998</v>
      </c>
      <c r="D100" s="46">
        <f>(Table7[[#This Row],[S&amp;P]]-C88)/C88</f>
        <v/>
      </c>
      <c r="F100" s="3" t="n"/>
      <c r="K100" s="2" t="n"/>
    </row>
    <row r="101">
      <c r="A101" s="39" t="n">
        <v>20424</v>
      </c>
      <c r="B101" s="40">
        <f>VLOOKUP(Table7[[#This Row],[Date]],'DB Details'!$A:$L,12)</f>
        <v/>
      </c>
      <c r="C101" s="41" t="n">
        <v>45.48</v>
      </c>
      <c r="D101" s="46">
        <f>(Table7[[#This Row],[S&amp;P]]-C89)/C89</f>
        <v/>
      </c>
      <c r="F101" s="3" t="n"/>
      <c r="K101" s="2" t="n"/>
    </row>
    <row r="102">
      <c r="A102" s="39" t="n">
        <v>20455</v>
      </c>
      <c r="B102" s="40">
        <f>VLOOKUP(Table7[[#This Row],[Date]],'DB Details'!$A:$L,12)</f>
        <v/>
      </c>
      <c r="C102" s="41" t="n">
        <v>43.82</v>
      </c>
      <c r="D102" s="46">
        <f>(Table7[[#This Row],[S&amp;P]]-C90)/C90</f>
        <v/>
      </c>
      <c r="F102" s="3" t="n"/>
      <c r="K102" s="2" t="n"/>
    </row>
    <row r="103">
      <c r="A103" s="39" t="n">
        <v>20486</v>
      </c>
      <c r="B103" s="40">
        <f>VLOOKUP(Table7[[#This Row],[Date]],'DB Details'!$A:$L,12)</f>
        <v/>
      </c>
      <c r="C103" s="41" t="n">
        <v>45.34</v>
      </c>
      <c r="D103" s="46">
        <f>(Table7[[#This Row],[S&amp;P]]-C91)/C91</f>
        <v/>
      </c>
      <c r="F103" s="3" t="n"/>
      <c r="K103" s="2" t="n"/>
    </row>
    <row r="104">
      <c r="A104" s="39" t="n">
        <v>20515</v>
      </c>
      <c r="B104" s="40">
        <f>VLOOKUP(Table7[[#This Row],[Date]],'DB Details'!$A:$L,12)</f>
        <v/>
      </c>
      <c r="C104" s="41" t="n">
        <v>48.48</v>
      </c>
      <c r="D104" s="46">
        <f>(Table7[[#This Row],[S&amp;P]]-C92)/C92</f>
        <v/>
      </c>
      <c r="F104" s="3" t="n"/>
      <c r="K104" s="2" t="n"/>
    </row>
    <row r="105">
      <c r="A105" s="39" t="n">
        <v>20546</v>
      </c>
      <c r="B105" s="40">
        <f>VLOOKUP(Table7[[#This Row],[Date]],'DB Details'!$A:$L,12)</f>
        <v/>
      </c>
      <c r="C105" s="41" t="n">
        <v>48.380001</v>
      </c>
      <c r="D105" s="46">
        <f>(Table7[[#This Row],[S&amp;P]]-C93)/C93</f>
        <v/>
      </c>
      <c r="F105" s="3" t="n"/>
      <c r="K105" s="2" t="n"/>
    </row>
    <row r="106">
      <c r="A106" s="39" t="n">
        <v>20576</v>
      </c>
      <c r="B106" s="40">
        <f>VLOOKUP(Table7[[#This Row],[Date]],'DB Details'!$A:$L,12)</f>
        <v/>
      </c>
      <c r="C106" s="41" t="n">
        <v>45.200001</v>
      </c>
      <c r="D106" s="46">
        <f>(Table7[[#This Row],[S&amp;P]]-C94)/C94</f>
        <v/>
      </c>
      <c r="F106" s="3" t="n"/>
      <c r="K106" s="2" t="n"/>
    </row>
    <row r="107">
      <c r="A107" s="39" t="n">
        <v>20607</v>
      </c>
      <c r="B107" s="40">
        <f>VLOOKUP(Table7[[#This Row],[Date]],'DB Details'!$A:$L,12)</f>
        <v/>
      </c>
      <c r="C107" s="41" t="n">
        <v>46.970001</v>
      </c>
      <c r="D107" s="46">
        <f>(Table7[[#This Row],[S&amp;P]]-C95)/C95</f>
        <v/>
      </c>
      <c r="F107" s="3" t="n"/>
      <c r="K107" s="2" t="n"/>
    </row>
    <row r="108">
      <c r="A108" s="39" t="n">
        <v>20637</v>
      </c>
      <c r="B108" s="40">
        <f>VLOOKUP(Table7[[#This Row],[Date]],'DB Details'!$A:$L,12)</f>
        <v/>
      </c>
      <c r="C108" s="41" t="n">
        <v>49.389999</v>
      </c>
      <c r="D108" s="46">
        <f>(Table7[[#This Row],[S&amp;P]]-C96)/C96</f>
        <v/>
      </c>
      <c r="F108" s="3" t="n"/>
      <c r="K108" s="2" t="n"/>
    </row>
    <row r="109">
      <c r="A109" s="39" t="n">
        <v>20668</v>
      </c>
      <c r="B109" s="40">
        <f>VLOOKUP(Table7[[#This Row],[Date]],'DB Details'!$A:$L,12)</f>
        <v/>
      </c>
      <c r="C109" s="41" t="n">
        <v>47.509998</v>
      </c>
      <c r="D109" s="46">
        <f>(Table7[[#This Row],[S&amp;P]]-C97)/C97</f>
        <v/>
      </c>
      <c r="F109" s="3" t="n"/>
      <c r="K109" s="2" t="n"/>
    </row>
    <row r="110">
      <c r="A110" s="39" t="n">
        <v>20699</v>
      </c>
      <c r="B110" s="40">
        <f>VLOOKUP(Table7[[#This Row],[Date]],'DB Details'!$A:$L,12)</f>
        <v/>
      </c>
      <c r="C110" s="41" t="n">
        <v>45.349998</v>
      </c>
      <c r="D110" s="46">
        <f>(Table7[[#This Row],[S&amp;P]]-C98)/C98</f>
        <v/>
      </c>
      <c r="F110" s="3" t="n"/>
      <c r="K110" s="2" t="n"/>
    </row>
    <row r="111">
      <c r="A111" s="39" t="n">
        <v>20729</v>
      </c>
      <c r="B111" s="40">
        <f>VLOOKUP(Table7[[#This Row],[Date]],'DB Details'!$A:$L,12)</f>
        <v/>
      </c>
      <c r="C111" s="41" t="n">
        <v>45.580002</v>
      </c>
      <c r="D111" s="46">
        <f>(Table7[[#This Row],[S&amp;P]]-C99)/C99</f>
        <v/>
      </c>
      <c r="F111" s="3" t="n"/>
      <c r="K111" s="2" t="n"/>
    </row>
    <row r="112">
      <c r="A112" s="39" t="n">
        <v>20760</v>
      </c>
      <c r="B112" s="40">
        <f>VLOOKUP(Table7[[#This Row],[Date]],'DB Details'!$A:$L,12)</f>
        <v/>
      </c>
      <c r="C112" s="41" t="n">
        <v>45.080002</v>
      </c>
      <c r="D112" s="46">
        <f>(Table7[[#This Row],[S&amp;P]]-C100)/C100</f>
        <v/>
      </c>
      <c r="F112" s="3" t="n"/>
      <c r="K112" s="2" t="n"/>
    </row>
    <row r="113">
      <c r="A113" s="39" t="n">
        <v>20790</v>
      </c>
      <c r="B113" s="40">
        <f>VLOOKUP(Table7[[#This Row],[Date]],'DB Details'!$A:$L,12)</f>
        <v/>
      </c>
      <c r="C113" s="41" t="n">
        <v>46.669998</v>
      </c>
      <c r="D113" s="46">
        <f>(Table7[[#This Row],[S&amp;P]]-C101)/C101</f>
        <v/>
      </c>
      <c r="F113" s="3" t="n"/>
      <c r="K113" s="2" t="n"/>
    </row>
    <row r="114">
      <c r="A114" s="39" t="n">
        <v>20821</v>
      </c>
      <c r="B114" s="40">
        <f>VLOOKUP(Table7[[#This Row],[Date]],'DB Details'!$A:$L,12)</f>
        <v/>
      </c>
      <c r="C114" s="41" t="n">
        <v>44.720001</v>
      </c>
      <c r="D114" s="46">
        <f>(Table7[[#This Row],[S&amp;P]]-C102)/C102</f>
        <v/>
      </c>
      <c r="F114" s="3" t="n"/>
      <c r="K114" s="2" t="n"/>
    </row>
    <row r="115">
      <c r="A115" s="39" t="n">
        <v>20852</v>
      </c>
      <c r="B115" s="40">
        <f>VLOOKUP(Table7[[#This Row],[Date]],'DB Details'!$A:$L,12)</f>
        <v/>
      </c>
      <c r="C115" s="41" t="n">
        <v>43.259998</v>
      </c>
      <c r="D115" s="46">
        <f>(Table7[[#This Row],[S&amp;P]]-C103)/C103</f>
        <v/>
      </c>
      <c r="F115" s="3" t="n"/>
      <c r="K115" s="2" t="n"/>
    </row>
    <row r="116">
      <c r="A116" s="39" t="n">
        <v>20880</v>
      </c>
      <c r="B116" s="40">
        <f>VLOOKUP(Table7[[#This Row],[Date]],'DB Details'!$A:$L,12)</f>
        <v/>
      </c>
      <c r="C116" s="41" t="n">
        <v>44.110001</v>
      </c>
      <c r="D116" s="46">
        <f>(Table7[[#This Row],[S&amp;P]]-C104)/C104</f>
        <v/>
      </c>
      <c r="F116" s="3" t="n"/>
      <c r="K116" s="2" t="n"/>
    </row>
    <row r="117">
      <c r="A117" s="39" t="n">
        <v>20911</v>
      </c>
      <c r="B117" s="40">
        <f>VLOOKUP(Table7[[#This Row],[Date]],'DB Details'!$A:$L,12)</f>
        <v/>
      </c>
      <c r="C117" s="41" t="n">
        <v>45.740002</v>
      </c>
      <c r="D117" s="46">
        <f>(Table7[[#This Row],[S&amp;P]]-C105)/C105</f>
        <v/>
      </c>
      <c r="F117" s="3" t="n"/>
      <c r="K117" s="2" t="n"/>
    </row>
    <row r="118">
      <c r="A118" s="39" t="n">
        <v>20941</v>
      </c>
      <c r="B118" s="40">
        <f>VLOOKUP(Table7[[#This Row],[Date]],'DB Details'!$A:$L,12)</f>
        <v/>
      </c>
      <c r="C118" s="41" t="n">
        <v>47.43</v>
      </c>
      <c r="D118" s="46">
        <f>(Table7[[#This Row],[S&amp;P]]-C106)/C106</f>
        <v/>
      </c>
      <c r="F118" s="3" t="n"/>
      <c r="K118" s="2" t="n"/>
    </row>
    <row r="119">
      <c r="A119" s="39" t="n">
        <v>20972</v>
      </c>
      <c r="B119" s="40">
        <f>VLOOKUP(Table7[[#This Row],[Date]],'DB Details'!$A:$L,12)</f>
        <v/>
      </c>
      <c r="C119" s="41" t="n">
        <v>47.369999</v>
      </c>
      <c r="D119" s="46">
        <f>(Table7[[#This Row],[S&amp;P]]-C107)/C107</f>
        <v/>
      </c>
      <c r="F119" s="3" t="n"/>
      <c r="K119" s="2" t="n"/>
    </row>
    <row r="120">
      <c r="A120" s="39" t="n">
        <v>21002</v>
      </c>
      <c r="B120" s="40">
        <f>VLOOKUP(Table7[[#This Row],[Date]],'DB Details'!$A:$L,12)</f>
        <v/>
      </c>
      <c r="C120" s="41" t="n">
        <v>47.91</v>
      </c>
      <c r="D120" s="46">
        <f>(Table7[[#This Row],[S&amp;P]]-C108)/C108</f>
        <v/>
      </c>
      <c r="F120" s="3" t="n"/>
      <c r="K120" s="2" t="n"/>
    </row>
    <row r="121">
      <c r="A121" s="39" t="n">
        <v>21033</v>
      </c>
      <c r="B121" s="40">
        <f>VLOOKUP(Table7[[#This Row],[Date]],'DB Details'!$A:$L,12)</f>
        <v/>
      </c>
      <c r="C121" s="41" t="n">
        <v>45.220001</v>
      </c>
      <c r="D121" s="46">
        <f>(Table7[[#This Row],[S&amp;P]]-C109)/C109</f>
        <v/>
      </c>
      <c r="F121" s="3" t="n"/>
      <c r="K121" s="2" t="n"/>
    </row>
    <row r="122">
      <c r="A122" s="39" t="n">
        <v>21064</v>
      </c>
      <c r="B122" s="40">
        <f>VLOOKUP(Table7[[#This Row],[Date]],'DB Details'!$A:$L,12)</f>
        <v/>
      </c>
      <c r="C122" s="41" t="n">
        <v>42.419998</v>
      </c>
      <c r="D122" s="46">
        <f>(Table7[[#This Row],[S&amp;P]]-C110)/C110</f>
        <v/>
      </c>
      <c r="F122" s="3" t="n"/>
      <c r="K122" s="2" t="n"/>
    </row>
    <row r="123">
      <c r="A123" s="39" t="n">
        <v>21094</v>
      </c>
      <c r="B123" s="40">
        <f>VLOOKUP(Table7[[#This Row],[Date]],'DB Details'!$A:$L,12)</f>
        <v/>
      </c>
      <c r="C123" s="41" t="n">
        <v>41.060001</v>
      </c>
      <c r="D123" s="46">
        <f>(Table7[[#This Row],[S&amp;P]]-C111)/C111</f>
        <v/>
      </c>
      <c r="F123" s="3" t="n"/>
      <c r="K123" s="2" t="n"/>
    </row>
    <row r="124">
      <c r="A124" s="39" t="n">
        <v>21125</v>
      </c>
      <c r="B124" s="40">
        <f>VLOOKUP(Table7[[#This Row],[Date]],'DB Details'!$A:$L,12)</f>
        <v/>
      </c>
      <c r="C124" s="41" t="n">
        <v>41.720001</v>
      </c>
      <c r="D124" s="46">
        <f>(Table7[[#This Row],[S&amp;P]]-C112)/C112</f>
        <v/>
      </c>
      <c r="F124" s="3" t="n"/>
      <c r="K124" s="2" t="n"/>
    </row>
    <row r="125">
      <c r="A125" s="39" t="n">
        <v>21155</v>
      </c>
      <c r="B125" s="40">
        <f>VLOOKUP(Table7[[#This Row],[Date]],'DB Details'!$A:$L,12)</f>
        <v/>
      </c>
      <c r="C125" s="41" t="n">
        <v>39.990002</v>
      </c>
      <c r="D125" s="46">
        <f>(Table7[[#This Row],[S&amp;P]]-C113)/C113</f>
        <v/>
      </c>
      <c r="F125" s="3" t="n"/>
      <c r="K125" s="2" t="n"/>
    </row>
    <row r="126">
      <c r="A126" s="39" t="n">
        <v>21186</v>
      </c>
      <c r="B126" s="40">
        <f>VLOOKUP(Table7[[#This Row],[Date]],'DB Details'!$A:$L,12)</f>
        <v/>
      </c>
      <c r="C126" s="41" t="n">
        <v>41.700001</v>
      </c>
      <c r="D126" s="46">
        <f>(Table7[[#This Row],[S&amp;P]]-C114)/C114</f>
        <v/>
      </c>
      <c r="F126" s="3" t="n"/>
      <c r="K126" s="2" t="n"/>
    </row>
    <row r="127">
      <c r="A127" s="39" t="n">
        <v>21217</v>
      </c>
      <c r="B127" s="40">
        <f>VLOOKUP(Table7[[#This Row],[Date]],'DB Details'!$A:$L,12)</f>
        <v/>
      </c>
      <c r="C127" s="41" t="n">
        <v>40.84</v>
      </c>
      <c r="D127" s="46">
        <f>(Table7[[#This Row],[S&amp;P]]-C115)/C115</f>
        <v/>
      </c>
      <c r="F127" s="3" t="n"/>
      <c r="K127" s="2" t="n"/>
    </row>
    <row r="128">
      <c r="A128" s="39" t="n">
        <v>21245</v>
      </c>
      <c r="B128" s="40">
        <f>VLOOKUP(Table7[[#This Row],[Date]],'DB Details'!$A:$L,12)</f>
        <v/>
      </c>
      <c r="C128" s="41" t="n">
        <v>42.099998</v>
      </c>
      <c r="D128" s="46">
        <f>(Table7[[#This Row],[S&amp;P]]-C116)/C116</f>
        <v/>
      </c>
      <c r="F128" s="3" t="n"/>
      <c r="K128" s="2" t="n"/>
    </row>
    <row r="129">
      <c r="A129" s="39" t="n">
        <v>21276</v>
      </c>
      <c r="B129" s="40">
        <f>VLOOKUP(Table7[[#This Row],[Date]],'DB Details'!$A:$L,12)</f>
        <v/>
      </c>
      <c r="C129" s="41" t="n">
        <v>43.439999</v>
      </c>
      <c r="D129" s="46">
        <f>(Table7[[#This Row],[S&amp;P]]-C117)/C117</f>
        <v/>
      </c>
      <c r="F129" s="3" t="n"/>
      <c r="K129" s="2" t="n"/>
    </row>
    <row r="130">
      <c r="A130" s="39" t="n">
        <v>21306</v>
      </c>
      <c r="B130" s="40">
        <f>VLOOKUP(Table7[[#This Row],[Date]],'DB Details'!$A:$L,12)</f>
        <v/>
      </c>
      <c r="C130" s="41" t="n">
        <v>44.09</v>
      </c>
      <c r="D130" s="46">
        <f>(Table7[[#This Row],[S&amp;P]]-C118)/C118</f>
        <v/>
      </c>
      <c r="F130" s="3" t="n"/>
      <c r="K130" s="2" t="n"/>
    </row>
    <row r="131">
      <c r="A131" s="39" t="n">
        <v>21337</v>
      </c>
      <c r="B131" s="40">
        <f>VLOOKUP(Table7[[#This Row],[Date]],'DB Details'!$A:$L,12)</f>
        <v/>
      </c>
      <c r="C131" s="41" t="n">
        <v>45.240002</v>
      </c>
      <c r="D131" s="46">
        <f>(Table7[[#This Row],[S&amp;P]]-C119)/C119</f>
        <v/>
      </c>
      <c r="F131" s="3" t="n"/>
      <c r="K131" s="2" t="n"/>
    </row>
    <row r="132">
      <c r="A132" s="39" t="n">
        <v>21367</v>
      </c>
      <c r="B132" s="40">
        <f>VLOOKUP(Table7[[#This Row],[Date]],'DB Details'!$A:$L,12)</f>
        <v/>
      </c>
      <c r="C132" s="41" t="n">
        <v>47.189999</v>
      </c>
      <c r="D132" s="46">
        <f>(Table7[[#This Row],[S&amp;P]]-C120)/C120</f>
        <v/>
      </c>
      <c r="F132" s="3" t="n"/>
      <c r="K132" s="2" t="n"/>
    </row>
    <row r="133">
      <c r="A133" s="39" t="n">
        <v>21398</v>
      </c>
      <c r="B133" s="40">
        <f>VLOOKUP(Table7[[#This Row],[Date]],'DB Details'!$A:$L,12)</f>
        <v/>
      </c>
      <c r="C133" s="41" t="n">
        <v>47.75</v>
      </c>
      <c r="D133" s="46">
        <f>(Table7[[#This Row],[S&amp;P]]-C121)/C121</f>
        <v/>
      </c>
      <c r="F133" s="3" t="n"/>
      <c r="K133" s="2" t="n"/>
    </row>
    <row r="134">
      <c r="A134" s="39" t="n">
        <v>21429</v>
      </c>
      <c r="B134" s="40">
        <f>VLOOKUP(Table7[[#This Row],[Date]],'DB Details'!$A:$L,12)</f>
        <v/>
      </c>
      <c r="C134" s="41" t="n">
        <v>50.060001</v>
      </c>
      <c r="D134" s="46">
        <f>(Table7[[#This Row],[S&amp;P]]-C122)/C122</f>
        <v/>
      </c>
      <c r="F134" s="3" t="n"/>
      <c r="K134" s="2" t="n"/>
    </row>
    <row r="135">
      <c r="A135" s="39" t="n">
        <v>21459</v>
      </c>
      <c r="B135" s="40">
        <f>VLOOKUP(Table7[[#This Row],[Date]],'DB Details'!$A:$L,12)</f>
        <v/>
      </c>
      <c r="C135" s="41" t="n">
        <v>51.330002</v>
      </c>
      <c r="D135" s="46">
        <f>(Table7[[#This Row],[S&amp;P]]-C123)/C123</f>
        <v/>
      </c>
      <c r="F135" s="3" t="n"/>
      <c r="K135" s="2" t="n"/>
    </row>
    <row r="136">
      <c r="A136" s="39" t="n">
        <v>21490</v>
      </c>
      <c r="B136" s="40">
        <f>VLOOKUP(Table7[[#This Row],[Date]],'DB Details'!$A:$L,12)</f>
        <v/>
      </c>
      <c r="C136" s="41" t="n">
        <v>52.48</v>
      </c>
      <c r="D136" s="46">
        <f>(Table7[[#This Row],[S&amp;P]]-C124)/C124</f>
        <v/>
      </c>
      <c r="F136" s="3" t="n"/>
      <c r="K136" s="2" t="n"/>
    </row>
    <row r="137">
      <c r="A137" s="39" t="n">
        <v>21520</v>
      </c>
      <c r="B137" s="40">
        <f>VLOOKUP(Table7[[#This Row],[Date]],'DB Details'!$A:$L,12)</f>
        <v/>
      </c>
      <c r="C137" s="41" t="n">
        <v>55.209999</v>
      </c>
      <c r="D137" s="46">
        <f>(Table7[[#This Row],[S&amp;P]]-C125)/C125</f>
        <v/>
      </c>
      <c r="F137" s="3" t="n"/>
      <c r="K137" s="2" t="n"/>
    </row>
    <row r="138">
      <c r="A138" s="39" t="n">
        <v>21551</v>
      </c>
      <c r="B138" s="40">
        <f>VLOOKUP(Table7[[#This Row],[Date]],'DB Details'!$A:$L,12)</f>
        <v/>
      </c>
      <c r="C138" s="41" t="n">
        <v>55.450001</v>
      </c>
      <c r="D138" s="46">
        <f>(Table7[[#This Row],[S&amp;P]]-C126)/C126</f>
        <v/>
      </c>
      <c r="F138" s="3" t="n"/>
      <c r="K138" s="2" t="n"/>
    </row>
    <row r="139">
      <c r="A139" s="39" t="n">
        <v>21582</v>
      </c>
      <c r="B139" s="40">
        <f>VLOOKUP(Table7[[#This Row],[Date]],'DB Details'!$A:$L,12)</f>
        <v/>
      </c>
      <c r="C139" s="41" t="n">
        <v>55.41</v>
      </c>
      <c r="D139" s="46">
        <f>(Table7[[#This Row],[S&amp;P]]-C127)/C127</f>
        <v/>
      </c>
      <c r="F139" s="3" t="n"/>
      <c r="K139" s="2" t="n"/>
    </row>
    <row r="140">
      <c r="A140" s="39" t="n">
        <v>21610</v>
      </c>
      <c r="B140" s="40">
        <f>VLOOKUP(Table7[[#This Row],[Date]],'DB Details'!$A:$L,12)</f>
        <v/>
      </c>
      <c r="C140" s="41" t="n">
        <v>55.439999</v>
      </c>
      <c r="D140" s="46">
        <f>(Table7[[#This Row],[S&amp;P]]-C128)/C128</f>
        <v/>
      </c>
      <c r="F140" s="3" t="n"/>
      <c r="K140" s="2" t="n"/>
    </row>
    <row r="141">
      <c r="A141" s="39" t="n">
        <v>21641</v>
      </c>
      <c r="B141" s="40">
        <f>VLOOKUP(Table7[[#This Row],[Date]],'DB Details'!$A:$L,12)</f>
        <v/>
      </c>
      <c r="C141" s="41" t="n">
        <v>57.59</v>
      </c>
      <c r="D141" s="46">
        <f>(Table7[[#This Row],[S&amp;P]]-C129)/C129</f>
        <v/>
      </c>
      <c r="F141" s="3" t="n"/>
      <c r="K141" s="2" t="n"/>
    </row>
    <row r="142">
      <c r="A142" s="39" t="n">
        <v>21671</v>
      </c>
      <c r="B142" s="40">
        <f>VLOOKUP(Table7[[#This Row],[Date]],'DB Details'!$A:$L,12)</f>
        <v/>
      </c>
      <c r="C142" s="41" t="n">
        <v>58.68</v>
      </c>
      <c r="D142" s="46">
        <f>(Table7[[#This Row],[S&amp;P]]-C130)/C130</f>
        <v/>
      </c>
      <c r="F142" s="3" t="n"/>
      <c r="K142" s="2" t="n"/>
    </row>
    <row r="143">
      <c r="A143" s="39" t="n">
        <v>21702</v>
      </c>
      <c r="B143" s="40">
        <f>VLOOKUP(Table7[[#This Row],[Date]],'DB Details'!$A:$L,12)</f>
        <v/>
      </c>
      <c r="C143" s="41" t="n">
        <v>58.470001</v>
      </c>
      <c r="D143" s="46">
        <f>(Table7[[#This Row],[S&amp;P]]-C131)/C131</f>
        <v/>
      </c>
      <c r="F143" s="3" t="n"/>
      <c r="K143" s="2" t="n"/>
    </row>
    <row r="144">
      <c r="A144" s="39" t="n">
        <v>21732</v>
      </c>
      <c r="B144" s="40">
        <f>VLOOKUP(Table7[[#This Row],[Date]],'DB Details'!$A:$L,12)</f>
        <v/>
      </c>
      <c r="C144" s="41" t="n">
        <v>60.509998</v>
      </c>
      <c r="D144" s="46">
        <f>(Table7[[#This Row],[S&amp;P]]-C132)/C132</f>
        <v/>
      </c>
      <c r="F144" s="3" t="n"/>
      <c r="K144" s="2" t="n"/>
    </row>
    <row r="145">
      <c r="A145" s="39" t="n">
        <v>21763</v>
      </c>
      <c r="B145" s="40">
        <f>VLOOKUP(Table7[[#This Row],[Date]],'DB Details'!$A:$L,12)</f>
        <v/>
      </c>
      <c r="C145" s="41" t="n">
        <v>59.599998</v>
      </c>
      <c r="D145" s="46">
        <f>(Table7[[#This Row],[S&amp;P]]-C133)/C133</f>
        <v/>
      </c>
      <c r="F145" s="3" t="n"/>
      <c r="K145" s="2" t="n"/>
    </row>
    <row r="146">
      <c r="A146" s="39" t="n">
        <v>21794</v>
      </c>
      <c r="B146" s="40">
        <f>VLOOKUP(Table7[[#This Row],[Date]],'DB Details'!$A:$L,12)</f>
        <v/>
      </c>
      <c r="C146" s="41" t="n">
        <v>56.880001</v>
      </c>
      <c r="D146" s="46">
        <f>(Table7[[#This Row],[S&amp;P]]-C134)/C134</f>
        <v/>
      </c>
      <c r="F146" s="3" t="n"/>
      <c r="K146" s="2" t="n"/>
    </row>
    <row r="147">
      <c r="A147" s="39" t="n">
        <v>21824</v>
      </c>
      <c r="B147" s="40">
        <f>VLOOKUP(Table7[[#This Row],[Date]],'DB Details'!$A:$L,12)</f>
        <v/>
      </c>
      <c r="C147" s="41" t="n">
        <v>57.52</v>
      </c>
      <c r="D147" s="46">
        <f>(Table7[[#This Row],[S&amp;P]]-C135)/C135</f>
        <v/>
      </c>
      <c r="F147" s="3" t="n"/>
      <c r="K147" s="2" t="n"/>
    </row>
    <row r="148">
      <c r="A148" s="39" t="n">
        <v>21855</v>
      </c>
      <c r="B148" s="40">
        <f>VLOOKUP(Table7[[#This Row],[Date]],'DB Details'!$A:$L,12)</f>
        <v/>
      </c>
      <c r="C148" s="41" t="n">
        <v>58.279999</v>
      </c>
      <c r="D148" s="46">
        <f>(Table7[[#This Row],[S&amp;P]]-C136)/C136</f>
        <v/>
      </c>
      <c r="F148" s="3" t="n"/>
      <c r="K148" s="2" t="n"/>
    </row>
    <row r="149">
      <c r="A149" s="39" t="n">
        <v>21885</v>
      </c>
      <c r="B149" s="40">
        <f>VLOOKUP(Table7[[#This Row],[Date]],'DB Details'!$A:$L,12)</f>
        <v/>
      </c>
      <c r="C149" s="41" t="n">
        <v>59.889999</v>
      </c>
      <c r="D149" s="46">
        <f>(Table7[[#This Row],[S&amp;P]]-C137)/C137</f>
        <v/>
      </c>
      <c r="F149" s="3" t="n"/>
      <c r="K149" s="2" t="n"/>
    </row>
    <row r="150">
      <c r="A150" s="39" t="n">
        <v>21916</v>
      </c>
      <c r="B150" s="40">
        <f>VLOOKUP(Table7[[#This Row],[Date]],'DB Details'!$A:$L,12)</f>
        <v/>
      </c>
      <c r="C150" s="41" t="n">
        <v>55.610001</v>
      </c>
      <c r="D150" s="46">
        <f>(Table7[[#This Row],[S&amp;P]]-C138)/C138</f>
        <v/>
      </c>
      <c r="F150" s="3" t="n"/>
      <c r="K150" s="2" t="n"/>
    </row>
    <row r="151">
      <c r="A151" s="39" t="n">
        <v>21947</v>
      </c>
      <c r="B151" s="40">
        <f>VLOOKUP(Table7[[#This Row],[Date]],'DB Details'!$A:$L,12)</f>
        <v/>
      </c>
      <c r="C151" s="41" t="n">
        <v>56.119999</v>
      </c>
      <c r="D151" s="46">
        <f>(Table7[[#This Row],[S&amp;P]]-C139)/C139</f>
        <v/>
      </c>
      <c r="F151" s="3" t="n"/>
      <c r="K151" s="2" t="n"/>
    </row>
    <row r="152">
      <c r="A152" s="39" t="n">
        <v>21976</v>
      </c>
      <c r="B152" s="40">
        <f>VLOOKUP(Table7[[#This Row],[Date]],'DB Details'!$A:$L,12)</f>
        <v/>
      </c>
      <c r="C152" s="41" t="n">
        <v>55.34</v>
      </c>
      <c r="D152" s="46">
        <f>(Table7[[#This Row],[S&amp;P]]-C140)/C140</f>
        <v/>
      </c>
      <c r="F152" s="3" t="n"/>
      <c r="K152" s="2" t="n"/>
    </row>
    <row r="153">
      <c r="A153" s="39" t="n">
        <v>22007</v>
      </c>
      <c r="B153" s="40">
        <f>VLOOKUP(Table7[[#This Row],[Date]],'DB Details'!$A:$L,12)</f>
        <v/>
      </c>
      <c r="C153" s="41" t="n">
        <v>54.369999</v>
      </c>
      <c r="D153" s="46">
        <f>(Table7[[#This Row],[S&amp;P]]-C141)/C141</f>
        <v/>
      </c>
      <c r="F153" s="3" t="n"/>
      <c r="K153" s="2" t="n"/>
    </row>
    <row r="154">
      <c r="A154" s="39" t="n">
        <v>22037</v>
      </c>
      <c r="B154" s="40">
        <f>VLOOKUP(Table7[[#This Row],[Date]],'DB Details'!$A:$L,12)</f>
        <v/>
      </c>
      <c r="C154" s="41" t="n">
        <v>55.830002</v>
      </c>
      <c r="D154" s="46">
        <f>(Table7[[#This Row],[S&amp;P]]-C142)/C142</f>
        <v/>
      </c>
      <c r="F154" s="3" t="n"/>
      <c r="K154" s="2" t="n"/>
    </row>
    <row r="155">
      <c r="A155" s="39" t="n">
        <v>22068</v>
      </c>
      <c r="B155" s="40">
        <f>VLOOKUP(Table7[[#This Row],[Date]],'DB Details'!$A:$L,12)</f>
        <v/>
      </c>
      <c r="C155" s="41" t="n">
        <v>56.919998</v>
      </c>
      <c r="D155" s="46">
        <f>(Table7[[#This Row],[S&amp;P]]-C143)/C143</f>
        <v/>
      </c>
      <c r="F155" s="3" t="n"/>
      <c r="K155" s="2" t="n"/>
    </row>
    <row r="156">
      <c r="A156" s="39" t="n">
        <v>22098</v>
      </c>
      <c r="B156" s="40">
        <f>VLOOKUP(Table7[[#This Row],[Date]],'DB Details'!$A:$L,12)</f>
        <v/>
      </c>
      <c r="C156" s="41" t="n">
        <v>55.509998</v>
      </c>
      <c r="D156" s="46">
        <f>(Table7[[#This Row],[S&amp;P]]-C144)/C144</f>
        <v/>
      </c>
      <c r="F156" s="3" t="n"/>
      <c r="K156" s="2" t="n"/>
    </row>
    <row r="157">
      <c r="A157" s="39" t="n">
        <v>22129</v>
      </c>
      <c r="B157" s="40">
        <f>VLOOKUP(Table7[[#This Row],[Date]],'DB Details'!$A:$L,12)</f>
        <v/>
      </c>
      <c r="C157" s="41" t="n">
        <v>56.959999</v>
      </c>
      <c r="D157" s="46">
        <f>(Table7[[#This Row],[S&amp;P]]-C145)/C145</f>
        <v/>
      </c>
      <c r="F157" s="3" t="n"/>
      <c r="K157" s="2" t="n"/>
    </row>
    <row r="158">
      <c r="A158" s="39" t="n">
        <v>22160</v>
      </c>
      <c r="B158" s="40">
        <f>VLOOKUP(Table7[[#This Row],[Date]],'DB Details'!$A:$L,12)</f>
        <v/>
      </c>
      <c r="C158" s="41" t="n">
        <v>53.52</v>
      </c>
      <c r="D158" s="46">
        <f>(Table7[[#This Row],[S&amp;P]]-C146)/C146</f>
        <v/>
      </c>
      <c r="F158" s="3" t="n"/>
      <c r="K158" s="2" t="n"/>
    </row>
    <row r="159">
      <c r="A159" s="39" t="n">
        <v>22190</v>
      </c>
      <c r="B159" s="40">
        <f>VLOOKUP(Table7[[#This Row],[Date]],'DB Details'!$A:$L,12)</f>
        <v/>
      </c>
      <c r="C159" s="41" t="n">
        <v>53.389999</v>
      </c>
      <c r="D159" s="46">
        <f>(Table7[[#This Row],[S&amp;P]]-C147)/C147</f>
        <v/>
      </c>
      <c r="F159" s="3" t="n"/>
      <c r="K159" s="2" t="n"/>
    </row>
    <row r="160">
      <c r="A160" s="39" t="n">
        <v>22221</v>
      </c>
      <c r="B160" s="40">
        <f>VLOOKUP(Table7[[#This Row],[Date]],'DB Details'!$A:$L,12)</f>
        <v/>
      </c>
      <c r="C160" s="41" t="n">
        <v>55.540001</v>
      </c>
      <c r="D160" s="46">
        <f>(Table7[[#This Row],[S&amp;P]]-C148)/C148</f>
        <v/>
      </c>
      <c r="F160" s="3" t="n"/>
      <c r="K160" s="2" t="n"/>
    </row>
    <row r="161">
      <c r="A161" s="39" t="n">
        <v>22251</v>
      </c>
      <c r="B161" s="40">
        <f>VLOOKUP(Table7[[#This Row],[Date]],'DB Details'!$A:$L,12)</f>
        <v/>
      </c>
      <c r="C161" s="41" t="n">
        <v>58.110001</v>
      </c>
      <c r="D161" s="46">
        <f>(Table7[[#This Row],[S&amp;P]]-C149)/C149</f>
        <v/>
      </c>
      <c r="F161" s="3" t="n"/>
      <c r="K161" s="2" t="n"/>
    </row>
    <row r="162">
      <c r="A162" s="39" t="n">
        <v>22282</v>
      </c>
      <c r="B162" s="40">
        <f>VLOOKUP(Table7[[#This Row],[Date]],'DB Details'!$A:$L,12)</f>
        <v/>
      </c>
      <c r="C162" s="41" t="n">
        <v>61.779999</v>
      </c>
      <c r="D162" s="46">
        <f>(Table7[[#This Row],[S&amp;P]]-C150)/C150</f>
        <v/>
      </c>
      <c r="F162" s="3" t="n"/>
      <c r="K162" s="2" t="n"/>
    </row>
    <row r="163">
      <c r="A163" s="39" t="n">
        <v>22313</v>
      </c>
      <c r="B163" s="40">
        <f>VLOOKUP(Table7[[#This Row],[Date]],'DB Details'!$A:$L,12)</f>
        <v/>
      </c>
      <c r="C163" s="41" t="n">
        <v>63.439999</v>
      </c>
      <c r="D163" s="46">
        <f>(Table7[[#This Row],[S&amp;P]]-C151)/C151</f>
        <v/>
      </c>
      <c r="F163" s="3" t="n"/>
      <c r="K163" s="2" t="n"/>
    </row>
    <row r="164">
      <c r="A164" s="39" t="n">
        <v>22341</v>
      </c>
      <c r="B164" s="40">
        <f>VLOOKUP(Table7[[#This Row],[Date]],'DB Details'!$A:$L,12)</f>
        <v/>
      </c>
      <c r="C164" s="41" t="n">
        <v>65.05999799999999</v>
      </c>
      <c r="D164" s="46">
        <f>(Table7[[#This Row],[S&amp;P]]-C152)/C152</f>
        <v/>
      </c>
      <c r="F164" s="3" t="n"/>
      <c r="K164" s="2" t="n"/>
    </row>
    <row r="165">
      <c r="A165" s="39" t="n">
        <v>22372</v>
      </c>
      <c r="B165" s="40">
        <f>VLOOKUP(Table7[[#This Row],[Date]],'DB Details'!$A:$L,12)</f>
        <v/>
      </c>
      <c r="C165" s="41" t="n">
        <v>65.30999799999999</v>
      </c>
      <c r="D165" s="46">
        <f>(Table7[[#This Row],[S&amp;P]]-C153)/C153</f>
        <v/>
      </c>
      <c r="F165" s="3" t="n"/>
      <c r="K165" s="2" t="n"/>
    </row>
    <row r="166">
      <c r="A166" s="39" t="n">
        <v>22402</v>
      </c>
      <c r="B166" s="40">
        <f>VLOOKUP(Table7[[#This Row],[Date]],'DB Details'!$A:$L,12)</f>
        <v/>
      </c>
      <c r="C166" s="41" t="n">
        <v>66.55999799999999</v>
      </c>
      <c r="D166" s="46">
        <f>(Table7[[#This Row],[S&amp;P]]-C154)/C154</f>
        <v/>
      </c>
      <c r="F166" s="3" t="n"/>
      <c r="K166" s="2" t="n"/>
    </row>
    <row r="167">
      <c r="A167" s="39" t="n">
        <v>22433</v>
      </c>
      <c r="B167" s="40">
        <f>VLOOKUP(Table7[[#This Row],[Date]],'DB Details'!$A:$L,12)</f>
        <v/>
      </c>
      <c r="C167" s="41" t="n">
        <v>64.639999</v>
      </c>
      <c r="D167" s="46">
        <f>(Table7[[#This Row],[S&amp;P]]-C155)/C155</f>
        <v/>
      </c>
      <c r="F167" s="3" t="n"/>
      <c r="K167" s="2" t="n"/>
    </row>
    <row r="168">
      <c r="A168" s="39" t="n">
        <v>22463</v>
      </c>
      <c r="B168" s="40">
        <f>VLOOKUP(Table7[[#This Row],[Date]],'DB Details'!$A:$L,12)</f>
        <v/>
      </c>
      <c r="C168" s="41" t="n">
        <v>66.760002</v>
      </c>
      <c r="D168" s="46">
        <f>(Table7[[#This Row],[S&amp;P]]-C156)/C156</f>
        <v/>
      </c>
      <c r="F168" s="3" t="n"/>
      <c r="K168" s="2" t="n"/>
    </row>
    <row r="169">
      <c r="A169" s="39" t="n">
        <v>22494</v>
      </c>
      <c r="B169" s="40">
        <f>VLOOKUP(Table7[[#This Row],[Date]],'DB Details'!$A:$L,12)</f>
        <v/>
      </c>
      <c r="C169" s="41" t="n">
        <v>68.06999999999999</v>
      </c>
      <c r="D169" s="46">
        <f>(Table7[[#This Row],[S&amp;P]]-C157)/C157</f>
        <v/>
      </c>
      <c r="F169" s="3" t="n"/>
      <c r="K169" s="2" t="n"/>
    </row>
    <row r="170">
      <c r="A170" s="39" t="n">
        <v>22525</v>
      </c>
      <c r="B170" s="40">
        <f>VLOOKUP(Table7[[#This Row],[Date]],'DB Details'!$A:$L,12)</f>
        <v/>
      </c>
      <c r="C170" s="41" t="n">
        <v>66.730003</v>
      </c>
      <c r="D170" s="46">
        <f>(Table7[[#This Row],[S&amp;P]]-C158)/C158</f>
        <v/>
      </c>
      <c r="F170" s="3" t="n"/>
      <c r="K170" s="2" t="n"/>
    </row>
    <row r="171">
      <c r="A171" s="39" t="n">
        <v>22555</v>
      </c>
      <c r="B171" s="40">
        <f>VLOOKUP(Table7[[#This Row],[Date]],'DB Details'!$A:$L,12)</f>
        <v/>
      </c>
      <c r="C171" s="41" t="n">
        <v>68.620003</v>
      </c>
      <c r="D171" s="46">
        <f>(Table7[[#This Row],[S&amp;P]]-C159)/C159</f>
        <v/>
      </c>
      <c r="F171" s="3" t="n"/>
      <c r="K171" s="2" t="n"/>
    </row>
    <row r="172">
      <c r="A172" s="39" t="n">
        <v>22586</v>
      </c>
      <c r="B172" s="40">
        <f>VLOOKUP(Table7[[#This Row],[Date]],'DB Details'!$A:$L,12)</f>
        <v/>
      </c>
      <c r="C172" s="41" t="n">
        <v>71.31999999999999</v>
      </c>
      <c r="D172" s="46">
        <f>(Table7[[#This Row],[S&amp;P]]-C160)/C160</f>
        <v/>
      </c>
      <c r="F172" s="3" t="n"/>
      <c r="K172" s="2" t="n"/>
    </row>
    <row r="173">
      <c r="A173" s="39" t="n">
        <v>22616</v>
      </c>
      <c r="B173" s="40">
        <f>VLOOKUP(Table7[[#This Row],[Date]],'DB Details'!$A:$L,12)</f>
        <v/>
      </c>
      <c r="C173" s="41" t="n">
        <v>71.550003</v>
      </c>
      <c r="D173" s="46">
        <f>(Table7[[#This Row],[S&amp;P]]-C161)/C161</f>
        <v/>
      </c>
      <c r="F173" s="3" t="n"/>
      <c r="K173" s="2" t="n"/>
    </row>
    <row r="174">
      <c r="A174" s="39" t="n">
        <v>22647</v>
      </c>
      <c r="B174" s="40">
        <f>VLOOKUP(Table7[[#This Row],[Date]],'DB Details'!$A:$L,12)</f>
        <v/>
      </c>
      <c r="C174" s="41" t="n">
        <v>68.839996</v>
      </c>
      <c r="D174" s="46">
        <f>(Table7[[#This Row],[S&amp;P]]-C162)/C162</f>
        <v/>
      </c>
      <c r="F174" s="3" t="n"/>
      <c r="K174" s="2" t="n"/>
    </row>
    <row r="175">
      <c r="A175" s="39" t="n">
        <v>22678</v>
      </c>
      <c r="B175" s="40">
        <f>VLOOKUP(Table7[[#This Row],[Date]],'DB Details'!$A:$L,12)</f>
        <v/>
      </c>
      <c r="C175" s="41" t="n">
        <v>69.959999</v>
      </c>
      <c r="D175" s="46">
        <f>(Table7[[#This Row],[S&amp;P]]-C163)/C163</f>
        <v/>
      </c>
      <c r="F175" s="3" t="n"/>
      <c r="K175" s="2" t="n"/>
    </row>
    <row r="176">
      <c r="A176" s="39" t="n">
        <v>22706</v>
      </c>
      <c r="B176" s="40">
        <f>VLOOKUP(Table7[[#This Row],[Date]],'DB Details'!$A:$L,12)</f>
        <v/>
      </c>
      <c r="C176" s="41" t="n">
        <v>69.550003</v>
      </c>
      <c r="D176" s="46">
        <f>(Table7[[#This Row],[S&amp;P]]-C164)/C164</f>
        <v/>
      </c>
      <c r="F176" s="3" t="n"/>
      <c r="K176" s="2" t="n"/>
    </row>
    <row r="177">
      <c r="A177" s="39" t="n">
        <v>22737</v>
      </c>
      <c r="B177" s="40">
        <f>VLOOKUP(Table7[[#This Row],[Date]],'DB Details'!$A:$L,12)</f>
        <v/>
      </c>
      <c r="C177" s="41" t="n">
        <v>65.239998</v>
      </c>
      <c r="D177" s="46">
        <f>(Table7[[#This Row],[S&amp;P]]-C165)/C165</f>
        <v/>
      </c>
      <c r="F177" s="3" t="n"/>
      <c r="K177" s="2" t="n"/>
    </row>
    <row r="178">
      <c r="A178" s="39" t="n">
        <v>22767</v>
      </c>
      <c r="B178" s="40">
        <f>VLOOKUP(Table7[[#This Row],[Date]],'DB Details'!$A:$L,12)</f>
        <v/>
      </c>
      <c r="C178" s="41" t="n">
        <v>59.630001</v>
      </c>
      <c r="D178" s="46">
        <f>(Table7[[#This Row],[S&amp;P]]-C166)/C166</f>
        <v/>
      </c>
      <c r="F178" s="3" t="n"/>
      <c r="K178" s="2" t="n"/>
    </row>
    <row r="179">
      <c r="A179" s="39" t="n">
        <v>22798</v>
      </c>
      <c r="B179" s="40">
        <f>VLOOKUP(Table7[[#This Row],[Date]],'DB Details'!$A:$L,12)</f>
        <v/>
      </c>
      <c r="C179" s="41" t="n">
        <v>54.75</v>
      </c>
      <c r="D179" s="46">
        <f>(Table7[[#This Row],[S&amp;P]]-C167)/C167</f>
        <v/>
      </c>
      <c r="F179" s="3" t="n"/>
      <c r="K179" s="2" t="n"/>
    </row>
    <row r="180">
      <c r="A180" s="39" t="n">
        <v>22828</v>
      </c>
      <c r="B180" s="40">
        <f>VLOOKUP(Table7[[#This Row],[Date]],'DB Details'!$A:$L,12)</f>
        <v/>
      </c>
      <c r="C180" s="41" t="n">
        <v>58.23</v>
      </c>
      <c r="D180" s="46">
        <f>(Table7[[#This Row],[S&amp;P]]-C168)/C168</f>
        <v/>
      </c>
      <c r="F180" s="3" t="n"/>
      <c r="K180" s="2" t="n"/>
    </row>
    <row r="181">
      <c r="A181" s="39" t="n">
        <v>22859</v>
      </c>
      <c r="B181" s="40">
        <f>VLOOKUP(Table7[[#This Row],[Date]],'DB Details'!$A:$L,12)</f>
        <v/>
      </c>
      <c r="C181" s="41" t="n">
        <v>59.119999</v>
      </c>
      <c r="D181" s="46">
        <f>(Table7[[#This Row],[S&amp;P]]-C169)/C169</f>
        <v/>
      </c>
      <c r="F181" s="3" t="n"/>
      <c r="K181" s="2" t="n"/>
    </row>
    <row r="182">
      <c r="A182" s="39" t="n">
        <v>22890</v>
      </c>
      <c r="B182" s="40">
        <f>VLOOKUP(Table7[[#This Row],[Date]],'DB Details'!$A:$L,12)</f>
        <v/>
      </c>
      <c r="C182" s="41" t="n">
        <v>56.27</v>
      </c>
      <c r="D182" s="46">
        <f>(Table7[[#This Row],[S&amp;P]]-C170)/C170</f>
        <v/>
      </c>
      <c r="F182" s="3" t="n"/>
      <c r="K182" s="2" t="n"/>
    </row>
    <row r="183">
      <c r="A183" s="39" t="n">
        <v>22920</v>
      </c>
      <c r="B183" s="40">
        <f>VLOOKUP(Table7[[#This Row],[Date]],'DB Details'!$A:$L,12)</f>
        <v/>
      </c>
      <c r="C183" s="41" t="n">
        <v>56.52</v>
      </c>
      <c r="D183" s="46">
        <f>(Table7[[#This Row],[S&amp;P]]-C171)/C171</f>
        <v/>
      </c>
      <c r="F183" s="3" t="n"/>
      <c r="K183" s="2" t="n"/>
    </row>
    <row r="184">
      <c r="A184" s="39" t="n">
        <v>22951</v>
      </c>
      <c r="B184" s="40">
        <f>VLOOKUP(Table7[[#This Row],[Date]],'DB Details'!$A:$L,12)</f>
        <v/>
      </c>
      <c r="C184" s="41" t="n">
        <v>62.259998</v>
      </c>
      <c r="D184" s="46">
        <f>(Table7[[#This Row],[S&amp;P]]-C172)/C172</f>
        <v/>
      </c>
      <c r="F184" s="3" t="n"/>
      <c r="K184" s="2" t="n"/>
    </row>
    <row r="185">
      <c r="A185" s="39" t="n">
        <v>22981</v>
      </c>
      <c r="B185" s="40">
        <f>VLOOKUP(Table7[[#This Row],[Date]],'DB Details'!$A:$L,12)</f>
        <v/>
      </c>
      <c r="C185" s="41" t="n">
        <v>63.099998</v>
      </c>
      <c r="D185" s="46">
        <f>(Table7[[#This Row],[S&amp;P]]-C173)/C173</f>
        <v/>
      </c>
      <c r="F185" s="3" t="n"/>
      <c r="K185" s="2" t="n"/>
    </row>
    <row r="186">
      <c r="A186" s="39" t="n">
        <v>23012</v>
      </c>
      <c r="B186" s="40">
        <f>VLOOKUP(Table7[[#This Row],[Date]],'DB Details'!$A:$L,12)</f>
        <v/>
      </c>
      <c r="C186" s="41" t="n">
        <v>66.199997</v>
      </c>
      <c r="D186" s="46">
        <f>(Table7[[#This Row],[S&amp;P]]-C174)/C174</f>
        <v/>
      </c>
      <c r="F186" s="3" t="n"/>
      <c r="K186" s="2" t="n"/>
    </row>
    <row r="187">
      <c r="A187" s="39" t="n">
        <v>23043</v>
      </c>
      <c r="B187" s="40">
        <f>VLOOKUP(Table7[[#This Row],[Date]],'DB Details'!$A:$L,12)</f>
        <v/>
      </c>
      <c r="C187" s="41" t="n">
        <v>64.290001</v>
      </c>
      <c r="D187" s="46">
        <f>(Table7[[#This Row],[S&amp;P]]-C175)/C175</f>
        <v/>
      </c>
      <c r="F187" s="3" t="n"/>
      <c r="K187" s="2" t="n"/>
    </row>
    <row r="188">
      <c r="A188" s="39" t="n">
        <v>23071</v>
      </c>
      <c r="B188" s="40">
        <f>VLOOKUP(Table7[[#This Row],[Date]],'DB Details'!$A:$L,12)</f>
        <v/>
      </c>
      <c r="C188" s="41" t="n">
        <v>66.56999999999999</v>
      </c>
      <c r="D188" s="46">
        <f>(Table7[[#This Row],[S&amp;P]]-C176)/C176</f>
        <v/>
      </c>
      <c r="F188" s="3" t="n"/>
      <c r="K188" s="2" t="n"/>
    </row>
    <row r="189">
      <c r="A189" s="39" t="n">
        <v>23102</v>
      </c>
      <c r="B189" s="40">
        <f>VLOOKUP(Table7[[#This Row],[Date]],'DB Details'!$A:$L,12)</f>
        <v/>
      </c>
      <c r="C189" s="41" t="n">
        <v>69.800003</v>
      </c>
      <c r="D189" s="46">
        <f>(Table7[[#This Row],[S&amp;P]]-C177)/C177</f>
        <v/>
      </c>
      <c r="F189" s="3" t="n"/>
      <c r="K189" s="2" t="n"/>
    </row>
    <row r="190">
      <c r="A190" s="39" t="n">
        <v>23132</v>
      </c>
      <c r="B190" s="40">
        <f>VLOOKUP(Table7[[#This Row],[Date]],'DB Details'!$A:$L,12)</f>
        <v/>
      </c>
      <c r="C190" s="41" t="n">
        <v>70.800003</v>
      </c>
      <c r="D190" s="46">
        <f>(Table7[[#This Row],[S&amp;P]]-C178)/C178</f>
        <v/>
      </c>
      <c r="F190" s="3" t="n"/>
      <c r="K190" s="2" t="n"/>
    </row>
    <row r="191">
      <c r="A191" s="39" t="n">
        <v>23163</v>
      </c>
      <c r="B191" s="40">
        <f>VLOOKUP(Table7[[#This Row],[Date]],'DB Details'!$A:$L,12)</f>
        <v/>
      </c>
      <c r="C191" s="41" t="n">
        <v>69.370003</v>
      </c>
      <c r="D191" s="46">
        <f>(Table7[[#This Row],[S&amp;P]]-C179)/C179</f>
        <v/>
      </c>
      <c r="F191" s="3" t="n"/>
      <c r="K191" s="2" t="n"/>
    </row>
    <row r="192">
      <c r="A192" s="39" t="n">
        <v>23193</v>
      </c>
      <c r="B192" s="40">
        <f>VLOOKUP(Table7[[#This Row],[Date]],'DB Details'!$A:$L,12)</f>
        <v/>
      </c>
      <c r="C192" s="41" t="n">
        <v>69.129997</v>
      </c>
      <c r="D192" s="46">
        <f>(Table7[[#This Row],[S&amp;P]]-C180)/C180</f>
        <v/>
      </c>
      <c r="F192" s="3" t="n"/>
      <c r="K192" s="2" t="n"/>
    </row>
    <row r="193">
      <c r="A193" s="39" t="n">
        <v>23224</v>
      </c>
      <c r="B193" s="40">
        <f>VLOOKUP(Table7[[#This Row],[Date]],'DB Details'!$A:$L,12)</f>
        <v/>
      </c>
      <c r="C193" s="41" t="n">
        <v>72.5</v>
      </c>
      <c r="D193" s="46">
        <f>(Table7[[#This Row],[S&amp;P]]-C181)/C181</f>
        <v/>
      </c>
      <c r="F193" s="3" t="n"/>
      <c r="K193" s="2" t="n"/>
    </row>
    <row r="194">
      <c r="A194" s="39" t="n">
        <v>23255</v>
      </c>
      <c r="B194" s="40">
        <f>VLOOKUP(Table7[[#This Row],[Date]],'DB Details'!$A:$L,12)</f>
        <v/>
      </c>
      <c r="C194" s="41" t="n">
        <v>71.699997</v>
      </c>
      <c r="D194" s="46">
        <f>(Table7[[#This Row],[S&amp;P]]-C182)/C182</f>
        <v/>
      </c>
      <c r="F194" s="3" t="n"/>
      <c r="K194" s="2" t="n"/>
    </row>
    <row r="195">
      <c r="A195" s="39" t="n">
        <v>23285</v>
      </c>
      <c r="B195" s="40">
        <f>VLOOKUP(Table7[[#This Row],[Date]],'DB Details'!$A:$L,12)</f>
        <v/>
      </c>
      <c r="C195" s="41" t="n">
        <v>74.010002</v>
      </c>
      <c r="D195" s="46">
        <f>(Table7[[#This Row],[S&amp;P]]-C183)/C183</f>
        <v/>
      </c>
      <c r="F195" s="3" t="n"/>
      <c r="K195" s="2" t="n"/>
    </row>
    <row r="196">
      <c r="A196" s="39" t="n">
        <v>23316</v>
      </c>
      <c r="B196" s="40">
        <f>VLOOKUP(Table7[[#This Row],[Date]],'DB Details'!$A:$L,12)</f>
        <v/>
      </c>
      <c r="C196" s="41" t="n">
        <v>73.230003</v>
      </c>
      <c r="D196" s="46">
        <f>(Table7[[#This Row],[S&amp;P]]-C184)/C184</f>
        <v/>
      </c>
      <c r="F196" s="3" t="n"/>
      <c r="K196" s="2" t="n"/>
    </row>
    <row r="197">
      <c r="A197" s="39" t="n">
        <v>23346</v>
      </c>
      <c r="B197" s="40">
        <f>VLOOKUP(Table7[[#This Row],[Date]],'DB Details'!$A:$L,12)</f>
        <v/>
      </c>
      <c r="C197" s="41" t="n">
        <v>75.019997</v>
      </c>
      <c r="D197" s="46">
        <f>(Table7[[#This Row],[S&amp;P]]-C185)/C185</f>
        <v/>
      </c>
      <c r="F197" s="3" t="n"/>
      <c r="K197" s="2" t="n"/>
    </row>
    <row r="198">
      <c r="A198" s="39" t="n">
        <v>23377</v>
      </c>
      <c r="B198" s="40">
        <f>VLOOKUP(Table7[[#This Row],[Date]],'DB Details'!$A:$L,12)</f>
        <v/>
      </c>
      <c r="C198" s="41" t="n">
        <v>77.040001</v>
      </c>
      <c r="D198" s="46">
        <f>(Table7[[#This Row],[S&amp;P]]-C186)/C186</f>
        <v/>
      </c>
      <c r="F198" s="3" t="n"/>
      <c r="K198" s="2" t="n"/>
    </row>
    <row r="199">
      <c r="A199" s="39" t="n">
        <v>23408</v>
      </c>
      <c r="B199" s="40">
        <f>VLOOKUP(Table7[[#This Row],[Date]],'DB Details'!$A:$L,12)</f>
        <v/>
      </c>
      <c r="C199" s="41" t="n">
        <v>77.800003</v>
      </c>
      <c r="D199" s="46">
        <f>(Table7[[#This Row],[S&amp;P]]-C187)/C187</f>
        <v/>
      </c>
      <c r="F199" s="3" t="n"/>
      <c r="K199" s="2" t="n"/>
    </row>
    <row r="200">
      <c r="A200" s="39" t="n">
        <v>23437</v>
      </c>
      <c r="B200" s="40">
        <f>VLOOKUP(Table7[[#This Row],[Date]],'DB Details'!$A:$L,12)</f>
        <v/>
      </c>
      <c r="C200" s="41" t="n">
        <v>78.980003</v>
      </c>
      <c r="D200" s="46">
        <f>(Table7[[#This Row],[S&amp;P]]-C188)/C188</f>
        <v/>
      </c>
      <c r="F200" s="3" t="n"/>
      <c r="K200" s="2" t="n"/>
    </row>
    <row r="201">
      <c r="A201" s="39" t="n">
        <v>23468</v>
      </c>
      <c r="B201" s="40">
        <f>VLOOKUP(Table7[[#This Row],[Date]],'DB Details'!$A:$L,12)</f>
        <v/>
      </c>
      <c r="C201" s="41" t="n">
        <v>79.459999</v>
      </c>
      <c r="D201" s="46">
        <f>(Table7[[#This Row],[S&amp;P]]-C189)/C189</f>
        <v/>
      </c>
      <c r="F201" s="3" t="n"/>
      <c r="K201" s="2" t="n"/>
    </row>
    <row r="202">
      <c r="A202" s="39" t="n">
        <v>23498</v>
      </c>
      <c r="B202" s="40">
        <f>VLOOKUP(Table7[[#This Row],[Date]],'DB Details'!$A:$L,12)</f>
        <v/>
      </c>
      <c r="C202" s="41" t="n">
        <v>80.370003</v>
      </c>
      <c r="D202" s="46">
        <f>(Table7[[#This Row],[S&amp;P]]-C190)/C190</f>
        <v/>
      </c>
      <c r="F202" s="3" t="n"/>
      <c r="K202" s="2" t="n"/>
    </row>
    <row r="203">
      <c r="A203" s="39" t="n">
        <v>23529</v>
      </c>
      <c r="B203" s="40">
        <f>VLOOKUP(Table7[[#This Row],[Date]],'DB Details'!$A:$L,12)</f>
        <v/>
      </c>
      <c r="C203" s="41" t="n">
        <v>81.69000200000001</v>
      </c>
      <c r="D203" s="46">
        <f>(Table7[[#This Row],[S&amp;P]]-C191)/C191</f>
        <v/>
      </c>
      <c r="F203" s="3" t="n"/>
      <c r="K203" s="2" t="n"/>
    </row>
    <row r="204">
      <c r="A204" s="39" t="n">
        <v>23559</v>
      </c>
      <c r="B204" s="40">
        <f>VLOOKUP(Table7[[#This Row],[Date]],'DB Details'!$A:$L,12)</f>
        <v/>
      </c>
      <c r="C204" s="41" t="n">
        <v>83.18000000000001</v>
      </c>
      <c r="D204" s="46">
        <f>(Table7[[#This Row],[S&amp;P]]-C192)/C192</f>
        <v/>
      </c>
      <c r="F204" s="3" t="n"/>
      <c r="K204" s="2" t="n"/>
    </row>
    <row r="205">
      <c r="A205" s="39" t="n">
        <v>23590</v>
      </c>
      <c r="B205" s="40">
        <f>VLOOKUP(Table7[[#This Row],[Date]],'DB Details'!$A:$L,12)</f>
        <v/>
      </c>
      <c r="C205" s="41" t="n">
        <v>81.83000199999999</v>
      </c>
      <c r="D205" s="46">
        <f>(Table7[[#This Row],[S&amp;P]]-C193)/C193</f>
        <v/>
      </c>
      <c r="F205" s="3" t="n"/>
      <c r="K205" s="2" t="n"/>
    </row>
    <row r="206">
      <c r="A206" s="39" t="n">
        <v>23621</v>
      </c>
      <c r="B206" s="40">
        <f>VLOOKUP(Table7[[#This Row],[Date]],'DB Details'!$A:$L,12)</f>
        <v/>
      </c>
      <c r="C206" s="41" t="n">
        <v>84.18000000000001</v>
      </c>
      <c r="D206" s="46">
        <f>(Table7[[#This Row],[S&amp;P]]-C194)/C194</f>
        <v/>
      </c>
      <c r="F206" s="3" t="n"/>
      <c r="K206" s="2" t="n"/>
    </row>
    <row r="207">
      <c r="A207" s="39" t="n">
        <v>23651</v>
      </c>
      <c r="B207" s="40">
        <f>VLOOKUP(Table7[[#This Row],[Date]],'DB Details'!$A:$L,12)</f>
        <v/>
      </c>
      <c r="C207" s="41" t="n">
        <v>84.860001</v>
      </c>
      <c r="D207" s="46">
        <f>(Table7[[#This Row],[S&amp;P]]-C195)/C195</f>
        <v/>
      </c>
      <c r="F207" s="3" t="n"/>
      <c r="K207" s="2" t="n"/>
    </row>
    <row r="208">
      <c r="A208" s="39" t="n">
        <v>23682</v>
      </c>
      <c r="B208" s="40">
        <f>VLOOKUP(Table7[[#This Row],[Date]],'DB Details'!$A:$L,12)</f>
        <v/>
      </c>
      <c r="C208" s="41" t="n">
        <v>84.41999800000001</v>
      </c>
      <c r="D208" s="46">
        <f>(Table7[[#This Row],[S&amp;P]]-C196)/C196</f>
        <v/>
      </c>
      <c r="F208" s="3" t="n"/>
      <c r="K208" s="2" t="n"/>
    </row>
    <row r="209">
      <c r="A209" s="39" t="n">
        <v>23712</v>
      </c>
      <c r="B209" s="40">
        <f>VLOOKUP(Table7[[#This Row],[Date]],'DB Details'!$A:$L,12)</f>
        <v/>
      </c>
      <c r="C209" s="41" t="n">
        <v>84.75</v>
      </c>
      <c r="D209" s="46">
        <f>(Table7[[#This Row],[S&amp;P]]-C197)/C197</f>
        <v/>
      </c>
      <c r="F209" s="3" t="n"/>
      <c r="K209" s="2" t="n"/>
    </row>
    <row r="210">
      <c r="A210" s="39" t="n">
        <v>23743</v>
      </c>
      <c r="B210" s="40">
        <f>VLOOKUP(Table7[[#This Row],[Date]],'DB Details'!$A:$L,12)</f>
        <v/>
      </c>
      <c r="C210" s="41" t="n">
        <v>87.55999799999999</v>
      </c>
      <c r="D210" s="46">
        <f>(Table7[[#This Row],[S&amp;P]]-C198)/C198</f>
        <v/>
      </c>
      <c r="F210" s="3" t="n"/>
      <c r="K210" s="2" t="n"/>
    </row>
    <row r="211">
      <c r="A211" s="39" t="n">
        <v>23774</v>
      </c>
      <c r="B211" s="40">
        <f>VLOOKUP(Table7[[#This Row],[Date]],'DB Details'!$A:$L,12)</f>
        <v/>
      </c>
      <c r="C211" s="41" t="n">
        <v>87.43000000000001</v>
      </c>
      <c r="D211" s="46">
        <f>(Table7[[#This Row],[S&amp;P]]-C199)/C199</f>
        <v/>
      </c>
      <c r="F211" s="3" t="n"/>
      <c r="K211" s="2" t="n"/>
    </row>
    <row r="212">
      <c r="A212" s="39" t="n">
        <v>23802</v>
      </c>
      <c r="B212" s="40">
        <f>VLOOKUP(Table7[[#This Row],[Date]],'DB Details'!$A:$L,12)</f>
        <v/>
      </c>
      <c r="C212" s="41" t="n">
        <v>86.160004</v>
      </c>
      <c r="D212" s="46">
        <f>(Table7[[#This Row],[S&amp;P]]-C200)/C200</f>
        <v/>
      </c>
      <c r="F212" s="3" t="n"/>
      <c r="K212" s="2" t="n"/>
    </row>
    <row r="213">
      <c r="A213" s="39" t="n">
        <v>23833</v>
      </c>
      <c r="B213" s="40">
        <f>VLOOKUP(Table7[[#This Row],[Date]],'DB Details'!$A:$L,12)</f>
        <v/>
      </c>
      <c r="C213" s="41" t="n">
        <v>89.110001</v>
      </c>
      <c r="D213" s="46">
        <f>(Table7[[#This Row],[S&amp;P]]-C201)/C201</f>
        <v/>
      </c>
      <c r="F213" s="3" t="n"/>
      <c r="K213" s="2" t="n"/>
    </row>
    <row r="214">
      <c r="A214" s="39" t="n">
        <v>23863</v>
      </c>
      <c r="B214" s="40">
        <f>VLOOKUP(Table7[[#This Row],[Date]],'DB Details'!$A:$L,12)</f>
        <v/>
      </c>
      <c r="C214" s="41" t="n">
        <v>88.41999800000001</v>
      </c>
      <c r="D214" s="46">
        <f>(Table7[[#This Row],[S&amp;P]]-C202)/C202</f>
        <v/>
      </c>
      <c r="F214" s="3" t="n"/>
      <c r="K214" s="2" t="n"/>
    </row>
    <row r="215">
      <c r="A215" s="39" t="n">
        <v>23894</v>
      </c>
      <c r="B215" s="40">
        <f>VLOOKUP(Table7[[#This Row],[Date]],'DB Details'!$A:$L,12)</f>
        <v/>
      </c>
      <c r="C215" s="41" t="n">
        <v>84.120003</v>
      </c>
      <c r="D215" s="46">
        <f>(Table7[[#This Row],[S&amp;P]]-C203)/C203</f>
        <v/>
      </c>
      <c r="F215" s="3" t="n"/>
      <c r="K215" s="2" t="n"/>
    </row>
    <row r="216">
      <c r="A216" s="39" t="n">
        <v>23924</v>
      </c>
      <c r="B216" s="40">
        <f>VLOOKUP(Table7[[#This Row],[Date]],'DB Details'!$A:$L,12)</f>
        <v/>
      </c>
      <c r="C216" s="41" t="n">
        <v>85.25</v>
      </c>
      <c r="D216" s="46">
        <f>(Table7[[#This Row],[S&amp;P]]-C204)/C204</f>
        <v/>
      </c>
      <c r="F216" s="3" t="n"/>
      <c r="K216" s="2" t="n"/>
    </row>
    <row r="217">
      <c r="A217" s="39" t="n">
        <v>23955</v>
      </c>
      <c r="B217" s="40">
        <f>VLOOKUP(Table7[[#This Row],[Date]],'DB Details'!$A:$L,12)</f>
        <v/>
      </c>
      <c r="C217" s="41" t="n">
        <v>87.16999800000001</v>
      </c>
      <c r="D217" s="46">
        <f>(Table7[[#This Row],[S&amp;P]]-C205)/C205</f>
        <v/>
      </c>
      <c r="F217" s="3" t="n"/>
      <c r="K217" s="2" t="n"/>
    </row>
    <row r="218">
      <c r="A218" s="39" t="n">
        <v>23986</v>
      </c>
      <c r="B218" s="40">
        <f>VLOOKUP(Table7[[#This Row],[Date]],'DB Details'!$A:$L,12)</f>
        <v/>
      </c>
      <c r="C218" s="41" t="n">
        <v>89.959999</v>
      </c>
      <c r="D218" s="46">
        <f>(Table7[[#This Row],[S&amp;P]]-C206)/C206</f>
        <v/>
      </c>
      <c r="F218" s="3" t="n"/>
      <c r="K218" s="2" t="n"/>
    </row>
    <row r="219">
      <c r="A219" s="39" t="n">
        <v>24016</v>
      </c>
      <c r="B219" s="40">
        <f>VLOOKUP(Table7[[#This Row],[Date]],'DB Details'!$A:$L,12)</f>
        <v/>
      </c>
      <c r="C219" s="41" t="n">
        <v>92.41999800000001</v>
      </c>
      <c r="D219" s="46">
        <f>(Table7[[#This Row],[S&amp;P]]-C207)/C207</f>
        <v/>
      </c>
      <c r="F219" s="3" t="n"/>
      <c r="K219" s="2" t="n"/>
    </row>
    <row r="220">
      <c r="A220" s="39" t="n">
        <v>24047</v>
      </c>
      <c r="B220" s="40">
        <f>VLOOKUP(Table7[[#This Row],[Date]],'DB Details'!$A:$L,12)</f>
        <v/>
      </c>
      <c r="C220" s="41" t="n">
        <v>91.610001</v>
      </c>
      <c r="D220" s="46">
        <f>(Table7[[#This Row],[S&amp;P]]-C208)/C208</f>
        <v/>
      </c>
      <c r="F220" s="3" t="n"/>
      <c r="K220" s="2" t="n"/>
    </row>
    <row r="221">
      <c r="A221" s="39" t="n">
        <v>24077</v>
      </c>
      <c r="B221" s="40">
        <f>VLOOKUP(Table7[[#This Row],[Date]],'DB Details'!$A:$L,12)</f>
        <v/>
      </c>
      <c r="C221" s="41" t="n">
        <v>92.43000000000001</v>
      </c>
      <c r="D221" s="46">
        <f>(Table7[[#This Row],[S&amp;P]]-C209)/C209</f>
        <v/>
      </c>
      <c r="F221" s="3" t="n"/>
      <c r="K221" s="2" t="n"/>
    </row>
    <row r="222">
      <c r="A222" s="39" t="n">
        <v>24108</v>
      </c>
      <c r="B222" s="40">
        <f>VLOOKUP(Table7[[#This Row],[Date]],'DB Details'!$A:$L,12)</f>
        <v/>
      </c>
      <c r="C222" s="41" t="n">
        <v>92.879997</v>
      </c>
      <c r="D222" s="46">
        <f>(Table7[[#This Row],[S&amp;P]]-C210)/C210</f>
        <v/>
      </c>
      <c r="F222" s="3" t="n"/>
      <c r="K222" s="2" t="n"/>
    </row>
    <row r="223">
      <c r="A223" s="39" t="n">
        <v>24139</v>
      </c>
      <c r="B223" s="40">
        <f>VLOOKUP(Table7[[#This Row],[Date]],'DB Details'!$A:$L,12)</f>
        <v/>
      </c>
      <c r="C223" s="41" t="n">
        <v>91.220001</v>
      </c>
      <c r="D223" s="46">
        <f>(Table7[[#This Row],[S&amp;P]]-C211)/C211</f>
        <v/>
      </c>
      <c r="F223" s="3" t="n"/>
      <c r="K223" s="2" t="n"/>
    </row>
    <row r="224">
      <c r="A224" s="39" t="n">
        <v>24167</v>
      </c>
      <c r="B224" s="40">
        <f>VLOOKUP(Table7[[#This Row],[Date]],'DB Details'!$A:$L,12)</f>
        <v/>
      </c>
      <c r="C224" s="41" t="n">
        <v>89.230003</v>
      </c>
      <c r="D224" s="46">
        <f>(Table7[[#This Row],[S&amp;P]]-C212)/C212</f>
        <v/>
      </c>
      <c r="F224" s="3" t="n"/>
      <c r="K224" s="2" t="n"/>
    </row>
    <row r="225">
      <c r="A225" s="39" t="n">
        <v>24198</v>
      </c>
      <c r="B225" s="40">
        <f>VLOOKUP(Table7[[#This Row],[Date]],'DB Details'!$A:$L,12)</f>
        <v/>
      </c>
      <c r="C225" s="41" t="n">
        <v>91.05999799999999</v>
      </c>
      <c r="D225" s="46">
        <f>(Table7[[#This Row],[S&amp;P]]-C213)/C213</f>
        <v/>
      </c>
      <c r="F225" s="3" t="n"/>
      <c r="K225" s="2" t="n"/>
    </row>
    <row r="226">
      <c r="A226" s="39" t="n">
        <v>24228</v>
      </c>
      <c r="B226" s="40">
        <f>VLOOKUP(Table7[[#This Row],[Date]],'DB Details'!$A:$L,12)</f>
        <v/>
      </c>
      <c r="C226" s="41" t="n">
        <v>86.129997</v>
      </c>
      <c r="D226" s="46">
        <f>(Table7[[#This Row],[S&amp;P]]-C214)/C214</f>
        <v/>
      </c>
      <c r="F226" s="3" t="n"/>
      <c r="K226" s="2" t="n"/>
    </row>
    <row r="227">
      <c r="A227" s="39" t="n">
        <v>24259</v>
      </c>
      <c r="B227" s="40">
        <f>VLOOKUP(Table7[[#This Row],[Date]],'DB Details'!$A:$L,12)</f>
        <v/>
      </c>
      <c r="C227" s="41" t="n">
        <v>84.739998</v>
      </c>
      <c r="D227" s="46">
        <f>(Table7[[#This Row],[S&amp;P]]-C215)/C215</f>
        <v/>
      </c>
      <c r="F227" s="3" t="n"/>
      <c r="K227" s="2" t="n"/>
    </row>
    <row r="228">
      <c r="A228" s="39" t="n">
        <v>24289</v>
      </c>
      <c r="B228" s="40">
        <f>VLOOKUP(Table7[[#This Row],[Date]],'DB Details'!$A:$L,12)</f>
        <v/>
      </c>
      <c r="C228" s="41" t="n">
        <v>83.599998</v>
      </c>
      <c r="D228" s="46">
        <f>(Table7[[#This Row],[S&amp;P]]-C216)/C216</f>
        <v/>
      </c>
      <c r="F228" s="3" t="n"/>
      <c r="K228" s="2" t="n"/>
    </row>
    <row r="229">
      <c r="A229" s="39" t="n">
        <v>24320</v>
      </c>
      <c r="B229" s="40">
        <f>VLOOKUP(Table7[[#This Row],[Date]],'DB Details'!$A:$L,12)</f>
        <v/>
      </c>
      <c r="C229" s="41" t="n">
        <v>77.099998</v>
      </c>
      <c r="D229" s="46">
        <f>(Table7[[#This Row],[S&amp;P]]-C217)/C217</f>
        <v/>
      </c>
      <c r="F229" s="3" t="n"/>
      <c r="K229" s="2" t="n"/>
    </row>
    <row r="230">
      <c r="A230" s="39" t="n">
        <v>24351</v>
      </c>
      <c r="B230" s="40">
        <f>VLOOKUP(Table7[[#This Row],[Date]],'DB Details'!$A:$L,12)</f>
        <v/>
      </c>
      <c r="C230" s="41" t="n">
        <v>76.55999799999999</v>
      </c>
      <c r="D230" s="46">
        <f>(Table7[[#This Row],[S&amp;P]]-C218)/C218</f>
        <v/>
      </c>
      <c r="F230" s="3" t="n"/>
      <c r="K230" s="2" t="n"/>
    </row>
    <row r="231">
      <c r="A231" s="39" t="n">
        <v>24381</v>
      </c>
      <c r="B231" s="40">
        <f>VLOOKUP(Table7[[#This Row],[Date]],'DB Details'!$A:$L,12)</f>
        <v/>
      </c>
      <c r="C231" s="41" t="n">
        <v>80.199997</v>
      </c>
      <c r="D231" s="46">
        <f>(Table7[[#This Row],[S&amp;P]]-C219)/C219</f>
        <v/>
      </c>
      <c r="F231" s="3" t="n"/>
      <c r="K231" s="2" t="n"/>
    </row>
    <row r="232">
      <c r="A232" s="39" t="n">
        <v>24412</v>
      </c>
      <c r="B232" s="40">
        <f>VLOOKUP(Table7[[#This Row],[Date]],'DB Details'!$A:$L,12)</f>
        <v/>
      </c>
      <c r="C232" s="41" t="n">
        <v>80.449997</v>
      </c>
      <c r="D232" s="46">
        <f>(Table7[[#This Row],[S&amp;P]]-C220)/C220</f>
        <v/>
      </c>
      <c r="F232" s="3" t="n"/>
      <c r="K232" s="2" t="n"/>
    </row>
    <row r="233">
      <c r="A233" s="39" t="n">
        <v>24442</v>
      </c>
      <c r="B233" s="40">
        <f>VLOOKUP(Table7[[#This Row],[Date]],'DB Details'!$A:$L,12)</f>
        <v/>
      </c>
      <c r="C233" s="41" t="n">
        <v>80.33000199999999</v>
      </c>
      <c r="D233" s="46">
        <f>(Table7[[#This Row],[S&amp;P]]-C221)/C221</f>
        <v/>
      </c>
      <c r="F233" s="3" t="n"/>
      <c r="K233" s="2" t="n"/>
    </row>
    <row r="234">
      <c r="A234" s="39" t="n">
        <v>24473</v>
      </c>
      <c r="B234" s="40">
        <f>VLOOKUP(Table7[[#This Row],[Date]],'DB Details'!$A:$L,12)</f>
        <v/>
      </c>
      <c r="C234" s="41" t="n">
        <v>86.610001</v>
      </c>
      <c r="D234" s="46">
        <f>(Table7[[#This Row],[S&amp;P]]-C222)/C222</f>
        <v/>
      </c>
      <c r="F234" s="3" t="n"/>
      <c r="K234" s="2" t="n"/>
    </row>
    <row r="235">
      <c r="A235" s="39" t="n">
        <v>24504</v>
      </c>
      <c r="B235" s="40">
        <f>VLOOKUP(Table7[[#This Row],[Date]],'DB Details'!$A:$L,12)</f>
        <v/>
      </c>
      <c r="C235" s="41" t="n">
        <v>86.779999</v>
      </c>
      <c r="D235" s="46">
        <f>(Table7[[#This Row],[S&amp;P]]-C223)/C223</f>
        <v/>
      </c>
      <c r="F235" s="3" t="n"/>
      <c r="K235" s="2" t="n"/>
    </row>
    <row r="236">
      <c r="A236" s="39" t="n">
        <v>24532</v>
      </c>
      <c r="B236" s="40">
        <f>VLOOKUP(Table7[[#This Row],[Date]],'DB Details'!$A:$L,12)</f>
        <v/>
      </c>
      <c r="C236" s="41" t="n">
        <v>90.199997</v>
      </c>
      <c r="D236" s="46">
        <f>(Table7[[#This Row],[S&amp;P]]-C224)/C224</f>
        <v/>
      </c>
      <c r="F236" s="3" t="n"/>
      <c r="K236" s="2" t="n"/>
    </row>
    <row r="237">
      <c r="A237" s="39" t="n">
        <v>24563</v>
      </c>
      <c r="B237" s="40">
        <f>VLOOKUP(Table7[[#This Row],[Date]],'DB Details'!$A:$L,12)</f>
        <v/>
      </c>
      <c r="C237" s="41" t="n">
        <v>94.010002</v>
      </c>
      <c r="D237" s="46">
        <f>(Table7[[#This Row],[S&amp;P]]-C225)/C225</f>
        <v/>
      </c>
      <c r="F237" s="3" t="n"/>
      <c r="K237" s="2" t="n"/>
    </row>
    <row r="238">
      <c r="A238" s="39" t="n">
        <v>24593</v>
      </c>
      <c r="B238" s="40">
        <f>VLOOKUP(Table7[[#This Row],[Date]],'DB Details'!$A:$L,12)</f>
        <v/>
      </c>
      <c r="C238" s="41" t="n">
        <v>89.08000199999999</v>
      </c>
      <c r="D238" s="46">
        <f>(Table7[[#This Row],[S&amp;P]]-C226)/C226</f>
        <v/>
      </c>
      <c r="F238" s="3" t="n"/>
      <c r="K238" s="2" t="n"/>
    </row>
    <row r="239">
      <c r="A239" s="39" t="n">
        <v>24624</v>
      </c>
      <c r="B239" s="40">
        <f>VLOOKUP(Table7[[#This Row],[Date]],'DB Details'!$A:$L,12)</f>
        <v/>
      </c>
      <c r="C239" s="41" t="n">
        <v>90.639999</v>
      </c>
      <c r="D239" s="46">
        <f>(Table7[[#This Row],[S&amp;P]]-C227)/C227</f>
        <v/>
      </c>
      <c r="F239" s="3" t="n"/>
      <c r="K239" s="2" t="n"/>
    </row>
    <row r="240">
      <c r="A240" s="39" t="n">
        <v>24654</v>
      </c>
      <c r="B240" s="40">
        <f>VLOOKUP(Table7[[#This Row],[Date]],'DB Details'!$A:$L,12)</f>
        <v/>
      </c>
      <c r="C240" s="41" t="n">
        <v>94.75</v>
      </c>
      <c r="D240" s="46">
        <f>(Table7[[#This Row],[S&amp;P]]-C228)/C228</f>
        <v/>
      </c>
      <c r="F240" s="3" t="n"/>
      <c r="K240" s="2" t="n"/>
    </row>
    <row r="241">
      <c r="A241" s="39" t="n">
        <v>24685</v>
      </c>
      <c r="B241" s="40">
        <f>VLOOKUP(Table7[[#This Row],[Date]],'DB Details'!$A:$L,12)</f>
        <v/>
      </c>
      <c r="C241" s="41" t="n">
        <v>93.639999</v>
      </c>
      <c r="D241" s="46">
        <f>(Table7[[#This Row],[S&amp;P]]-C229)/C229</f>
        <v/>
      </c>
      <c r="F241" s="3" t="n"/>
      <c r="K241" s="2" t="n"/>
    </row>
    <row r="242">
      <c r="A242" s="39" t="n">
        <v>24716</v>
      </c>
      <c r="B242" s="40">
        <f>VLOOKUP(Table7[[#This Row],[Date]],'DB Details'!$A:$L,12)</f>
        <v/>
      </c>
      <c r="C242" s="41" t="n">
        <v>96.709999</v>
      </c>
      <c r="D242" s="46">
        <f>(Table7[[#This Row],[S&amp;P]]-C230)/C230</f>
        <v/>
      </c>
      <c r="F242" s="3" t="n"/>
      <c r="K242" s="2" t="n"/>
    </row>
    <row r="243">
      <c r="A243" s="39" t="n">
        <v>24746</v>
      </c>
      <c r="B243" s="40">
        <f>VLOOKUP(Table7[[#This Row],[Date]],'DB Details'!$A:$L,12)</f>
        <v/>
      </c>
      <c r="C243" s="41" t="n">
        <v>93.300003</v>
      </c>
      <c r="D243" s="46">
        <f>(Table7[[#This Row],[S&amp;P]]-C231)/C231</f>
        <v/>
      </c>
      <c r="F243" s="3" t="n"/>
      <c r="K243" s="2" t="n"/>
    </row>
    <row r="244">
      <c r="A244" s="39" t="n">
        <v>24777</v>
      </c>
      <c r="B244" s="40">
        <f>VLOOKUP(Table7[[#This Row],[Date]],'DB Details'!$A:$L,12)</f>
        <v/>
      </c>
      <c r="C244" s="41" t="n">
        <v>94</v>
      </c>
      <c r="D244" s="46">
        <f>(Table7[[#This Row],[S&amp;P]]-C232)/C232</f>
        <v/>
      </c>
      <c r="F244" s="3" t="n"/>
      <c r="K244" s="2" t="n"/>
    </row>
    <row r="245">
      <c r="A245" s="39" t="n">
        <v>24807</v>
      </c>
      <c r="B245" s="40">
        <f>VLOOKUP(Table7[[#This Row],[Date]],'DB Details'!$A:$L,12)</f>
        <v/>
      </c>
      <c r="C245" s="41" t="n">
        <v>96.470001</v>
      </c>
      <c r="D245" s="46">
        <f>(Table7[[#This Row],[S&amp;P]]-C233)/C233</f>
        <v/>
      </c>
      <c r="F245" s="3" t="n"/>
      <c r="K245" s="2" t="n"/>
    </row>
    <row r="246">
      <c r="A246" s="39" t="n">
        <v>24838</v>
      </c>
      <c r="B246" s="40">
        <f>VLOOKUP(Table7[[#This Row],[Date]],'DB Details'!$A:$L,12)</f>
        <v/>
      </c>
      <c r="C246" s="41" t="n">
        <v>92.239998</v>
      </c>
      <c r="D246" s="46">
        <f>(Table7[[#This Row],[S&amp;P]]-C234)/C234</f>
        <v/>
      </c>
      <c r="F246" s="3" t="n"/>
      <c r="K246" s="2" t="n"/>
    </row>
    <row r="247">
      <c r="A247" s="39" t="n">
        <v>24869</v>
      </c>
      <c r="B247" s="40">
        <f>VLOOKUP(Table7[[#This Row],[Date]],'DB Details'!$A:$L,12)</f>
        <v/>
      </c>
      <c r="C247" s="41" t="n">
        <v>89.360001</v>
      </c>
      <c r="D247" s="46">
        <f>(Table7[[#This Row],[S&amp;P]]-C235)/C235</f>
        <v/>
      </c>
      <c r="F247" s="3" t="n"/>
      <c r="K247" s="2" t="n"/>
    </row>
    <row r="248">
      <c r="A248" s="39" t="n">
        <v>24898</v>
      </c>
      <c r="B248" s="40">
        <f>VLOOKUP(Table7[[#This Row],[Date]],'DB Details'!$A:$L,12)</f>
        <v/>
      </c>
      <c r="C248" s="41" t="n">
        <v>90.199997</v>
      </c>
      <c r="D248" s="46">
        <f>(Table7[[#This Row],[S&amp;P]]-C236)/C236</f>
        <v/>
      </c>
      <c r="F248" s="3" t="n"/>
      <c r="K248" s="2" t="n"/>
    </row>
    <row r="249">
      <c r="A249" s="39" t="n">
        <v>24929</v>
      </c>
      <c r="B249" s="40">
        <f>VLOOKUP(Table7[[#This Row],[Date]],'DB Details'!$A:$L,12)</f>
        <v/>
      </c>
      <c r="C249" s="41" t="n">
        <v>97.459999</v>
      </c>
      <c r="D249" s="46">
        <f>(Table7[[#This Row],[S&amp;P]]-C237)/C237</f>
        <v/>
      </c>
      <c r="F249" s="3" t="n"/>
      <c r="K249" s="2" t="n"/>
    </row>
    <row r="250">
      <c r="A250" s="39" t="n">
        <v>24959</v>
      </c>
      <c r="B250" s="40">
        <f>VLOOKUP(Table7[[#This Row],[Date]],'DB Details'!$A:$L,12)</f>
        <v/>
      </c>
      <c r="C250" s="41" t="n">
        <v>98.68000000000001</v>
      </c>
      <c r="D250" s="46">
        <f>(Table7[[#This Row],[S&amp;P]]-C238)/C238</f>
        <v/>
      </c>
      <c r="F250" s="3" t="n"/>
      <c r="K250" s="2" t="n"/>
    </row>
    <row r="251">
      <c r="A251" s="39" t="n">
        <v>24990</v>
      </c>
      <c r="B251" s="40">
        <f>VLOOKUP(Table7[[#This Row],[Date]],'DB Details'!$A:$L,12)</f>
        <v/>
      </c>
      <c r="C251" s="41" t="n">
        <v>99.58000199999999</v>
      </c>
      <c r="D251" s="46">
        <f>(Table7[[#This Row],[S&amp;P]]-C239)/C239</f>
        <v/>
      </c>
      <c r="F251" s="3" t="n"/>
      <c r="K251" s="2" t="n"/>
    </row>
    <row r="252">
      <c r="A252" s="39" t="n">
        <v>25020</v>
      </c>
      <c r="B252" s="40">
        <f>VLOOKUP(Table7[[#This Row],[Date]],'DB Details'!$A:$L,12)</f>
        <v/>
      </c>
      <c r="C252" s="41" t="n">
        <v>97.739998</v>
      </c>
      <c r="D252" s="46">
        <f>(Table7[[#This Row],[S&amp;P]]-C240)/C240</f>
        <v/>
      </c>
      <c r="F252" s="3" t="n"/>
      <c r="K252" s="2" t="n"/>
    </row>
    <row r="253">
      <c r="A253" s="39" t="n">
        <v>25051</v>
      </c>
      <c r="B253" s="40">
        <f>VLOOKUP(Table7[[#This Row],[Date]],'DB Details'!$A:$L,12)</f>
        <v/>
      </c>
      <c r="C253" s="41" t="n">
        <v>98.860001</v>
      </c>
      <c r="D253" s="46">
        <f>(Table7[[#This Row],[S&amp;P]]-C241)/C241</f>
        <v/>
      </c>
      <c r="F253" s="3" t="n"/>
      <c r="K253" s="2" t="n"/>
    </row>
    <row r="254">
      <c r="A254" s="39" t="n">
        <v>25082</v>
      </c>
      <c r="B254" s="40">
        <f>VLOOKUP(Table7[[#This Row],[Date]],'DB Details'!$A:$L,12)</f>
        <v/>
      </c>
      <c r="C254" s="41" t="n">
        <v>102.669998</v>
      </c>
      <c r="D254" s="46">
        <f>(Table7[[#This Row],[S&amp;P]]-C242)/C242</f>
        <v/>
      </c>
      <c r="F254" s="3" t="n"/>
      <c r="K254" s="2" t="n"/>
    </row>
    <row r="255">
      <c r="A255" s="39" t="n">
        <v>25112</v>
      </c>
      <c r="B255" s="40">
        <f>VLOOKUP(Table7[[#This Row],[Date]],'DB Details'!$A:$L,12)</f>
        <v/>
      </c>
      <c r="C255" s="41" t="n">
        <v>103.410004</v>
      </c>
      <c r="D255" s="46">
        <f>(Table7[[#This Row],[S&amp;P]]-C243)/C243</f>
        <v/>
      </c>
      <c r="F255" s="3" t="n"/>
      <c r="K255" s="2" t="n"/>
    </row>
    <row r="256">
      <c r="A256" s="39" t="n">
        <v>25143</v>
      </c>
      <c r="B256" s="40">
        <f>VLOOKUP(Table7[[#This Row],[Date]],'DB Details'!$A:$L,12)</f>
        <v/>
      </c>
      <c r="C256" s="41" t="n">
        <v>108.370003</v>
      </c>
      <c r="D256" s="46">
        <f>(Table7[[#This Row],[S&amp;P]]-C244)/C244</f>
        <v/>
      </c>
      <c r="F256" s="3" t="n"/>
      <c r="K256" s="2" t="n"/>
    </row>
    <row r="257">
      <c r="A257" s="39" t="n">
        <v>25173</v>
      </c>
      <c r="B257" s="40">
        <f>VLOOKUP(Table7[[#This Row],[Date]],'DB Details'!$A:$L,12)</f>
        <v/>
      </c>
      <c r="C257" s="41" t="n">
        <v>103.860001</v>
      </c>
      <c r="D257" s="46">
        <f>(Table7[[#This Row],[S&amp;P]]-C245)/C245</f>
        <v/>
      </c>
      <c r="F257" s="3" t="n"/>
      <c r="K257" s="2" t="n"/>
    </row>
    <row r="258">
      <c r="A258" s="39" t="n">
        <v>25204</v>
      </c>
      <c r="B258" s="40">
        <f>VLOOKUP(Table7[[#This Row],[Date]],'DB Details'!$A:$L,12)</f>
        <v/>
      </c>
      <c r="C258" s="41" t="n">
        <v>103.010002</v>
      </c>
      <c r="D258" s="46">
        <f>(Table7[[#This Row],[S&amp;P]]-C246)/C246</f>
        <v/>
      </c>
      <c r="F258" s="3" t="n"/>
      <c r="K258" s="2" t="n"/>
    </row>
    <row r="259">
      <c r="A259" s="39" t="n">
        <v>25235</v>
      </c>
      <c r="B259" s="40">
        <f>VLOOKUP(Table7[[#This Row],[Date]],'DB Details'!$A:$L,12)</f>
        <v/>
      </c>
      <c r="C259" s="41" t="n">
        <v>98.129997</v>
      </c>
      <c r="D259" s="46">
        <f>(Table7[[#This Row],[S&amp;P]]-C247)/C247</f>
        <v/>
      </c>
      <c r="F259" s="3" t="n"/>
      <c r="K259" s="2" t="n"/>
    </row>
    <row r="260">
      <c r="A260" s="39" t="n">
        <v>25263</v>
      </c>
      <c r="B260" s="40">
        <f>VLOOKUP(Table7[[#This Row],[Date]],'DB Details'!$A:$L,12)</f>
        <v/>
      </c>
      <c r="C260" s="41" t="n">
        <v>101.510002</v>
      </c>
      <c r="D260" s="46">
        <f>(Table7[[#This Row],[S&amp;P]]-C248)/C248</f>
        <v/>
      </c>
      <c r="F260" s="3" t="n"/>
      <c r="K260" s="2" t="n"/>
    </row>
    <row r="261">
      <c r="A261" s="39" t="n">
        <v>25294</v>
      </c>
      <c r="B261" s="40">
        <f>VLOOKUP(Table7[[#This Row],[Date]],'DB Details'!$A:$L,12)</f>
        <v/>
      </c>
      <c r="C261" s="41" t="n">
        <v>103.690002</v>
      </c>
      <c r="D261" s="46">
        <f>(Table7[[#This Row],[S&amp;P]]-C249)/C249</f>
        <v/>
      </c>
      <c r="F261" s="3" t="n"/>
      <c r="K261" s="2" t="n"/>
    </row>
    <row r="262">
      <c r="A262" s="39" t="n">
        <v>25324</v>
      </c>
      <c r="B262" s="40">
        <f>VLOOKUP(Table7[[#This Row],[Date]],'DB Details'!$A:$L,12)</f>
        <v/>
      </c>
      <c r="C262" s="41" t="n">
        <v>103.459999</v>
      </c>
      <c r="D262" s="46">
        <f>(Table7[[#This Row],[S&amp;P]]-C250)/C250</f>
        <v/>
      </c>
      <c r="F262" s="3" t="n"/>
      <c r="K262" s="2" t="n"/>
    </row>
    <row r="263">
      <c r="A263" s="39" t="n">
        <v>25355</v>
      </c>
      <c r="B263" s="40">
        <f>VLOOKUP(Table7[[#This Row],[Date]],'DB Details'!$A:$L,12)</f>
        <v/>
      </c>
      <c r="C263" s="41" t="n">
        <v>97.709999</v>
      </c>
      <c r="D263" s="46">
        <f>(Table7[[#This Row],[S&amp;P]]-C251)/C251</f>
        <v/>
      </c>
      <c r="F263" s="3" t="n"/>
      <c r="K263" s="2" t="n"/>
    </row>
    <row r="264">
      <c r="A264" s="39" t="n">
        <v>25385</v>
      </c>
      <c r="B264" s="40">
        <f>VLOOKUP(Table7[[#This Row],[Date]],'DB Details'!$A:$L,12)</f>
        <v/>
      </c>
      <c r="C264" s="41" t="n">
        <v>91.83000199999999</v>
      </c>
      <c r="D264" s="46">
        <f>(Table7[[#This Row],[S&amp;P]]-C252)/C252</f>
        <v/>
      </c>
      <c r="F264" s="3" t="n"/>
      <c r="K264" s="2" t="n"/>
    </row>
    <row r="265">
      <c r="A265" s="39" t="n">
        <v>25416</v>
      </c>
      <c r="B265" s="40">
        <f>VLOOKUP(Table7[[#This Row],[Date]],'DB Details'!$A:$L,12)</f>
        <v/>
      </c>
      <c r="C265" s="41" t="n">
        <v>95.510002</v>
      </c>
      <c r="D265" s="46">
        <f>(Table7[[#This Row],[S&amp;P]]-C253)/C253</f>
        <v/>
      </c>
      <c r="F265" s="3" t="n"/>
      <c r="K265" s="2" t="n"/>
    </row>
    <row r="266">
      <c r="A266" s="39" t="n">
        <v>25447</v>
      </c>
      <c r="B266" s="40">
        <f>VLOOKUP(Table7[[#This Row],[Date]],'DB Details'!$A:$L,12)</f>
        <v/>
      </c>
      <c r="C266" s="41" t="n">
        <v>93.120003</v>
      </c>
      <c r="D266" s="46">
        <f>(Table7[[#This Row],[S&amp;P]]-C254)/C254</f>
        <v/>
      </c>
      <c r="F266" s="3" t="n"/>
      <c r="K266" s="2" t="n"/>
    </row>
    <row r="267">
      <c r="A267" s="39" t="n">
        <v>25477</v>
      </c>
      <c r="B267" s="40">
        <f>VLOOKUP(Table7[[#This Row],[Date]],'DB Details'!$A:$L,12)</f>
        <v/>
      </c>
      <c r="C267" s="41" t="n">
        <v>97.120003</v>
      </c>
      <c r="D267" s="46">
        <f>(Table7[[#This Row],[S&amp;P]]-C255)/C255</f>
        <v/>
      </c>
      <c r="F267" s="3" t="n"/>
      <c r="K267" s="2" t="n"/>
    </row>
    <row r="268">
      <c r="A268" s="39" t="n">
        <v>25508</v>
      </c>
      <c r="B268" s="40">
        <f>VLOOKUP(Table7[[#This Row],[Date]],'DB Details'!$A:$L,12)</f>
        <v/>
      </c>
      <c r="C268" s="41" t="n">
        <v>93.80999799999999</v>
      </c>
      <c r="D268" s="46">
        <f>(Table7[[#This Row],[S&amp;P]]-C256)/C256</f>
        <v/>
      </c>
      <c r="F268" s="3" t="n"/>
      <c r="K268" s="2" t="n"/>
    </row>
    <row r="269">
      <c r="A269" s="39" t="n">
        <v>25538</v>
      </c>
      <c r="B269" s="40">
        <f>VLOOKUP(Table7[[#This Row],[Date]],'DB Details'!$A:$L,12)</f>
        <v/>
      </c>
      <c r="C269" s="41" t="n">
        <v>92.05999799999999</v>
      </c>
      <c r="D269" s="46">
        <f>(Table7[[#This Row],[S&amp;P]]-C257)/C257</f>
        <v/>
      </c>
      <c r="F269" s="3" t="n"/>
      <c r="K269" s="2" t="n"/>
    </row>
    <row r="270">
      <c r="A270" s="39" t="n">
        <v>25569</v>
      </c>
      <c r="B270" s="40">
        <f>VLOOKUP(Table7[[#This Row],[Date]],'DB Details'!$A:$L,12)</f>
        <v/>
      </c>
      <c r="C270" s="41" t="n">
        <v>85.019997</v>
      </c>
      <c r="D270" s="46">
        <f>(Table7[[#This Row],[S&amp;P]]-C258)/C258</f>
        <v/>
      </c>
      <c r="F270" s="3" t="n"/>
      <c r="K270" s="2" t="n"/>
    </row>
    <row r="271">
      <c r="A271" s="39" t="n">
        <v>25600</v>
      </c>
      <c r="B271" s="40">
        <f>VLOOKUP(Table7[[#This Row],[Date]],'DB Details'!$A:$L,12)</f>
        <v/>
      </c>
      <c r="C271" s="41" t="n">
        <v>89.5</v>
      </c>
      <c r="D271" s="46">
        <f>(Table7[[#This Row],[S&amp;P]]-C259)/C259</f>
        <v/>
      </c>
      <c r="F271" s="3" t="n"/>
      <c r="K271" s="2" t="n"/>
    </row>
    <row r="272">
      <c r="A272" s="39" t="n">
        <v>25628</v>
      </c>
      <c r="B272" s="40">
        <f>VLOOKUP(Table7[[#This Row],[Date]],'DB Details'!$A:$L,12)</f>
        <v/>
      </c>
      <c r="C272" s="41" t="n">
        <v>89.629997</v>
      </c>
      <c r="D272" s="46">
        <f>(Table7[[#This Row],[S&amp;P]]-C260)/C260</f>
        <v/>
      </c>
      <c r="F272" s="3" t="n"/>
      <c r="K272" s="2" t="n"/>
    </row>
    <row r="273">
      <c r="A273" s="39" t="n">
        <v>25659</v>
      </c>
      <c r="B273" s="40">
        <f>VLOOKUP(Table7[[#This Row],[Date]],'DB Details'!$A:$L,12)</f>
        <v/>
      </c>
      <c r="C273" s="41" t="n">
        <v>81.519997</v>
      </c>
      <c r="D273" s="46">
        <f>(Table7[[#This Row],[S&amp;P]]-C261)/C261</f>
        <v/>
      </c>
      <c r="F273" s="3" t="n"/>
      <c r="K273" s="2" t="n"/>
    </row>
    <row r="274">
      <c r="A274" s="39" t="n">
        <v>25689</v>
      </c>
      <c r="B274" s="40">
        <f>VLOOKUP(Table7[[#This Row],[Date]],'DB Details'!$A:$L,12)</f>
        <v/>
      </c>
      <c r="C274" s="41" t="n">
        <v>76.550003</v>
      </c>
      <c r="D274" s="46">
        <f>(Table7[[#This Row],[S&amp;P]]-C262)/C262</f>
        <v/>
      </c>
      <c r="F274" s="3" t="n"/>
      <c r="K274" s="2" t="n"/>
    </row>
    <row r="275">
      <c r="A275" s="39" t="n">
        <v>25720</v>
      </c>
      <c r="B275" s="40">
        <f>VLOOKUP(Table7[[#This Row],[Date]],'DB Details'!$A:$L,12)</f>
        <v/>
      </c>
      <c r="C275" s="41" t="n">
        <v>72.720001</v>
      </c>
      <c r="D275" s="46">
        <f>(Table7[[#This Row],[S&amp;P]]-C263)/C263</f>
        <v/>
      </c>
      <c r="F275" s="3" t="n"/>
      <c r="K275" s="2" t="n"/>
    </row>
    <row r="276">
      <c r="A276" s="39" t="n">
        <v>25750</v>
      </c>
      <c r="B276" s="40">
        <f>VLOOKUP(Table7[[#This Row],[Date]],'DB Details'!$A:$L,12)</f>
        <v/>
      </c>
      <c r="C276" s="41" t="n">
        <v>78.050003</v>
      </c>
      <c r="D276" s="46">
        <f>(Table7[[#This Row],[S&amp;P]]-C264)/C264</f>
        <v/>
      </c>
      <c r="F276" s="3" t="n"/>
      <c r="K276" s="2" t="n"/>
    </row>
    <row r="277">
      <c r="A277" s="39" t="n">
        <v>25781</v>
      </c>
      <c r="B277" s="40">
        <f>VLOOKUP(Table7[[#This Row],[Date]],'DB Details'!$A:$L,12)</f>
        <v/>
      </c>
      <c r="C277" s="41" t="n">
        <v>81.519997</v>
      </c>
      <c r="D277" s="46">
        <f>(Table7[[#This Row],[S&amp;P]]-C265)/C265</f>
        <v/>
      </c>
      <c r="F277" s="3" t="n"/>
      <c r="K277" s="2" t="n"/>
    </row>
    <row r="278">
      <c r="A278" s="39" t="n">
        <v>25812</v>
      </c>
      <c r="B278" s="40">
        <f>VLOOKUP(Table7[[#This Row],[Date]],'DB Details'!$A:$L,12)</f>
        <v/>
      </c>
      <c r="C278" s="41" t="n">
        <v>84.300003</v>
      </c>
      <c r="D278" s="46">
        <f>(Table7[[#This Row],[S&amp;P]]-C266)/C266</f>
        <v/>
      </c>
      <c r="F278" s="3" t="n"/>
      <c r="K278" s="2" t="n"/>
    </row>
    <row r="279">
      <c r="A279" s="39" t="n">
        <v>25842</v>
      </c>
      <c r="B279" s="40">
        <f>VLOOKUP(Table7[[#This Row],[Date]],'DB Details'!$A:$L,12)</f>
        <v/>
      </c>
      <c r="C279" s="41" t="n">
        <v>83.25</v>
      </c>
      <c r="D279" s="46">
        <f>(Table7[[#This Row],[S&amp;P]]-C267)/C267</f>
        <v/>
      </c>
      <c r="F279" s="3" t="n"/>
      <c r="K279" s="2" t="n"/>
    </row>
    <row r="280">
      <c r="A280" s="39" t="n">
        <v>25873</v>
      </c>
      <c r="B280" s="40">
        <f>VLOOKUP(Table7[[#This Row],[Date]],'DB Details'!$A:$L,12)</f>
        <v/>
      </c>
      <c r="C280" s="41" t="n">
        <v>87.199997</v>
      </c>
      <c r="D280" s="46">
        <f>(Table7[[#This Row],[S&amp;P]]-C268)/C268</f>
        <v/>
      </c>
      <c r="F280" s="3" t="n"/>
      <c r="K280" s="2" t="n"/>
    </row>
    <row r="281">
      <c r="A281" s="39" t="n">
        <v>25903</v>
      </c>
      <c r="B281" s="40">
        <f>VLOOKUP(Table7[[#This Row],[Date]],'DB Details'!$A:$L,12)</f>
        <v/>
      </c>
      <c r="C281" s="41" t="n">
        <v>92.150002</v>
      </c>
      <c r="D281" s="46">
        <f>(Table7[[#This Row],[S&amp;P]]-C269)/C269</f>
        <v/>
      </c>
      <c r="F281" s="3" t="n"/>
      <c r="K281" s="2" t="n"/>
    </row>
    <row r="282">
      <c r="A282" s="39" t="n">
        <v>25934</v>
      </c>
      <c r="B282" s="40">
        <f>VLOOKUP(Table7[[#This Row],[Date]],'DB Details'!$A:$L,12)</f>
        <v/>
      </c>
      <c r="C282" s="41" t="n">
        <v>95.879997</v>
      </c>
      <c r="D282" s="46">
        <f>(Table7[[#This Row],[S&amp;P]]-C270)/C270</f>
        <v/>
      </c>
      <c r="F282" s="3" t="n"/>
      <c r="K282" s="2" t="n"/>
    </row>
    <row r="283">
      <c r="A283" s="39" t="n">
        <v>25965</v>
      </c>
      <c r="B283" s="40">
        <f>VLOOKUP(Table7[[#This Row],[Date]],'DB Details'!$A:$L,12)</f>
        <v/>
      </c>
      <c r="C283" s="41" t="n">
        <v>96.75</v>
      </c>
      <c r="D283" s="46">
        <f>(Table7[[#This Row],[S&amp;P]]-C271)/C271</f>
        <v/>
      </c>
      <c r="F283" s="3" t="n"/>
      <c r="K283" s="2" t="n"/>
    </row>
    <row r="284">
      <c r="A284" s="39" t="n">
        <v>25993</v>
      </c>
      <c r="B284" s="40">
        <f>VLOOKUP(Table7[[#This Row],[Date]],'DB Details'!$A:$L,12)</f>
        <v/>
      </c>
      <c r="C284" s="41" t="n">
        <v>100.309998</v>
      </c>
      <c r="D284" s="46">
        <f>(Table7[[#This Row],[S&amp;P]]-C272)/C272</f>
        <v/>
      </c>
      <c r="F284" s="3" t="n"/>
      <c r="K284" s="2" t="n"/>
    </row>
    <row r="285">
      <c r="A285" s="39" t="n">
        <v>26024</v>
      </c>
      <c r="B285" s="40">
        <f>VLOOKUP(Table7[[#This Row],[Date]],'DB Details'!$A:$L,12)</f>
        <v/>
      </c>
      <c r="C285" s="41" t="n">
        <v>103.949997</v>
      </c>
      <c r="D285" s="46">
        <f>(Table7[[#This Row],[S&amp;P]]-C273)/C273</f>
        <v/>
      </c>
      <c r="F285" s="3" t="n"/>
      <c r="K285" s="2" t="n"/>
    </row>
    <row r="286">
      <c r="A286" s="39" t="n">
        <v>26054</v>
      </c>
      <c r="B286" s="40">
        <f>VLOOKUP(Table7[[#This Row],[Date]],'DB Details'!$A:$L,12)</f>
        <v/>
      </c>
      <c r="C286" s="41" t="n">
        <v>99.629997</v>
      </c>
      <c r="D286" s="46">
        <f>(Table7[[#This Row],[S&amp;P]]-C274)/C274</f>
        <v/>
      </c>
      <c r="F286" s="3" t="n"/>
      <c r="K286" s="2" t="n"/>
    </row>
    <row r="287">
      <c r="A287" s="39" t="n">
        <v>26085</v>
      </c>
      <c r="B287" s="40">
        <f>VLOOKUP(Table7[[#This Row],[Date]],'DB Details'!$A:$L,12)</f>
        <v/>
      </c>
      <c r="C287" s="41" t="n">
        <v>98.699997</v>
      </c>
      <c r="D287" s="46">
        <f>(Table7[[#This Row],[S&amp;P]]-C275)/C275</f>
        <v/>
      </c>
      <c r="F287" s="3" t="n"/>
      <c r="K287" s="2" t="n"/>
    </row>
    <row r="288">
      <c r="A288" s="39" t="n">
        <v>26115</v>
      </c>
      <c r="B288" s="40">
        <f>VLOOKUP(Table7[[#This Row],[Date]],'DB Details'!$A:$L,12)</f>
        <v/>
      </c>
      <c r="C288" s="41" t="n">
        <v>95.58000199999999</v>
      </c>
      <c r="D288" s="46">
        <f>(Table7[[#This Row],[S&amp;P]]-C276)/C276</f>
        <v/>
      </c>
      <c r="F288" s="3" t="n"/>
      <c r="K288" s="2" t="n"/>
    </row>
    <row r="289">
      <c r="A289" s="39" t="n">
        <v>26146</v>
      </c>
      <c r="B289" s="40">
        <f>VLOOKUP(Table7[[#This Row],[Date]],'DB Details'!$A:$L,12)</f>
        <v/>
      </c>
      <c r="C289" s="41" t="n">
        <v>99.029999</v>
      </c>
      <c r="D289" s="46">
        <f>(Table7[[#This Row],[S&amp;P]]-C277)/C277</f>
        <v/>
      </c>
      <c r="F289" s="3" t="n"/>
      <c r="K289" s="2" t="n"/>
    </row>
    <row r="290">
      <c r="A290" s="39" t="n">
        <v>26177</v>
      </c>
      <c r="B290" s="40">
        <f>VLOOKUP(Table7[[#This Row],[Date]],'DB Details'!$A:$L,12)</f>
        <v/>
      </c>
      <c r="C290" s="41" t="n">
        <v>98.339996</v>
      </c>
      <c r="D290" s="46">
        <f>(Table7[[#This Row],[S&amp;P]]-C278)/C278</f>
        <v/>
      </c>
      <c r="F290" s="3" t="n"/>
      <c r="K290" s="2" t="n"/>
    </row>
    <row r="291">
      <c r="A291" s="39" t="n">
        <v>26207</v>
      </c>
      <c r="B291" s="40">
        <f>VLOOKUP(Table7[[#This Row],[Date]],'DB Details'!$A:$L,12)</f>
        <v/>
      </c>
      <c r="C291" s="41" t="n">
        <v>94.230003</v>
      </c>
      <c r="D291" s="46">
        <f>(Table7[[#This Row],[S&amp;P]]-C279)/C279</f>
        <v/>
      </c>
      <c r="F291" s="3" t="n"/>
      <c r="K291" s="2" t="n"/>
    </row>
    <row r="292">
      <c r="A292" s="39" t="n">
        <v>26238</v>
      </c>
      <c r="B292" s="40">
        <f>VLOOKUP(Table7[[#This Row],[Date]],'DB Details'!$A:$L,12)</f>
        <v/>
      </c>
      <c r="C292" s="41" t="n">
        <v>93.989998</v>
      </c>
      <c r="D292" s="46">
        <f>(Table7[[#This Row],[S&amp;P]]-C280)/C280</f>
        <v/>
      </c>
      <c r="F292" s="3" t="n"/>
      <c r="K292" s="2" t="n"/>
    </row>
    <row r="293">
      <c r="A293" s="39" t="n">
        <v>26268</v>
      </c>
      <c r="B293" s="40">
        <f>VLOOKUP(Table7[[#This Row],[Date]],'DB Details'!$A:$L,12)</f>
        <v/>
      </c>
      <c r="C293" s="41" t="n">
        <v>102.089996</v>
      </c>
      <c r="D293" s="46">
        <f>(Table7[[#This Row],[S&amp;P]]-C281)/C281</f>
        <v/>
      </c>
      <c r="F293" s="3" t="n"/>
      <c r="K293" s="2" t="n"/>
    </row>
    <row r="294">
      <c r="A294" s="39" t="n">
        <v>26299</v>
      </c>
      <c r="B294" s="40">
        <f>VLOOKUP(Table7[[#This Row],[Date]],'DB Details'!$A:$L,12)</f>
        <v/>
      </c>
      <c r="C294" s="41" t="n">
        <v>103.940002</v>
      </c>
      <c r="D294" s="46">
        <f>(Table7[[#This Row],[S&amp;P]]-C282)/C282</f>
        <v/>
      </c>
      <c r="F294" s="3" t="n"/>
      <c r="K294" s="2" t="n"/>
    </row>
    <row r="295">
      <c r="A295" s="39" t="n">
        <v>26330</v>
      </c>
      <c r="B295" s="40">
        <f>VLOOKUP(Table7[[#This Row],[Date]],'DB Details'!$A:$L,12)</f>
        <v/>
      </c>
      <c r="C295" s="41" t="n">
        <v>106.57</v>
      </c>
      <c r="D295" s="46">
        <f>(Table7[[#This Row],[S&amp;P]]-C283)/C283</f>
        <v/>
      </c>
      <c r="F295" s="3" t="n"/>
      <c r="K295" s="2" t="n"/>
    </row>
    <row r="296">
      <c r="A296" s="39" t="n">
        <v>26359</v>
      </c>
      <c r="B296" s="40">
        <f>VLOOKUP(Table7[[#This Row],[Date]],'DB Details'!$A:$L,12)</f>
        <v/>
      </c>
      <c r="C296" s="41" t="n">
        <v>107.199997</v>
      </c>
      <c r="D296" s="46">
        <f>(Table7[[#This Row],[S&amp;P]]-C284)/C284</f>
        <v/>
      </c>
      <c r="F296" s="3" t="n"/>
      <c r="K296" s="2" t="n"/>
    </row>
    <row r="297">
      <c r="A297" s="39" t="n">
        <v>26390</v>
      </c>
      <c r="B297" s="40">
        <f>VLOOKUP(Table7[[#This Row],[Date]],'DB Details'!$A:$L,12)</f>
        <v/>
      </c>
      <c r="C297" s="41" t="n">
        <v>107.669998</v>
      </c>
      <c r="D297" s="46">
        <f>(Table7[[#This Row],[S&amp;P]]-C285)/C285</f>
        <v/>
      </c>
      <c r="F297" s="3" t="n"/>
      <c r="K297" s="2" t="n"/>
    </row>
    <row r="298">
      <c r="A298" s="39" t="n">
        <v>26420</v>
      </c>
      <c r="B298" s="40">
        <f>VLOOKUP(Table7[[#This Row],[Date]],'DB Details'!$A:$L,12)</f>
        <v/>
      </c>
      <c r="C298" s="41" t="n">
        <v>109.529999</v>
      </c>
      <c r="D298" s="46">
        <f>(Table7[[#This Row],[S&amp;P]]-C286)/C286</f>
        <v/>
      </c>
      <c r="F298" s="3" t="n"/>
      <c r="K298" s="2" t="n"/>
    </row>
    <row r="299">
      <c r="A299" s="39" t="n">
        <v>26451</v>
      </c>
      <c r="B299" s="40">
        <f>VLOOKUP(Table7[[#This Row],[Date]],'DB Details'!$A:$L,12)</f>
        <v/>
      </c>
      <c r="C299" s="41" t="n">
        <v>107.139999</v>
      </c>
      <c r="D299" s="46">
        <f>(Table7[[#This Row],[S&amp;P]]-C287)/C287</f>
        <v/>
      </c>
      <c r="F299" s="3" t="n"/>
      <c r="K299" s="2" t="n"/>
    </row>
    <row r="300">
      <c r="A300" s="39" t="n">
        <v>26481</v>
      </c>
      <c r="B300" s="40">
        <f>VLOOKUP(Table7[[#This Row],[Date]],'DB Details'!$A:$L,12)</f>
        <v/>
      </c>
      <c r="C300" s="41" t="n">
        <v>107.389999</v>
      </c>
      <c r="D300" s="46">
        <f>(Table7[[#This Row],[S&amp;P]]-C288)/C288</f>
        <v/>
      </c>
      <c r="F300" s="3" t="n"/>
      <c r="K300" s="2" t="n"/>
    </row>
    <row r="301">
      <c r="A301" s="39" t="n">
        <v>26512</v>
      </c>
      <c r="B301" s="40">
        <f>VLOOKUP(Table7[[#This Row],[Date]],'DB Details'!$A:$L,12)</f>
        <v/>
      </c>
      <c r="C301" s="41" t="n">
        <v>111.089996</v>
      </c>
      <c r="D301" s="46">
        <f>(Table7[[#This Row],[S&amp;P]]-C289)/C289</f>
        <v/>
      </c>
      <c r="F301" s="3" t="n"/>
      <c r="K301" s="2" t="n"/>
    </row>
    <row r="302">
      <c r="A302" s="39" t="n">
        <v>26543</v>
      </c>
      <c r="B302" s="40">
        <f>VLOOKUP(Table7[[#This Row],[Date]],'DB Details'!$A:$L,12)</f>
        <v/>
      </c>
      <c r="C302" s="41" t="n">
        <v>110.550003</v>
      </c>
      <c r="D302" s="46">
        <f>(Table7[[#This Row],[S&amp;P]]-C290)/C290</f>
        <v/>
      </c>
      <c r="F302" s="3" t="n"/>
      <c r="K302" s="2" t="n"/>
    </row>
    <row r="303">
      <c r="A303" s="39" t="n">
        <v>26573</v>
      </c>
      <c r="B303" s="40">
        <f>VLOOKUP(Table7[[#This Row],[Date]],'DB Details'!$A:$L,12)</f>
        <v/>
      </c>
      <c r="C303" s="41" t="n">
        <v>111.580002</v>
      </c>
      <c r="D303" s="46">
        <f>(Table7[[#This Row],[S&amp;P]]-C291)/C291</f>
        <v/>
      </c>
      <c r="F303" s="3" t="n"/>
      <c r="K303" s="2" t="n"/>
    </row>
    <row r="304">
      <c r="A304" s="39" t="n">
        <v>26604</v>
      </c>
      <c r="B304" s="40">
        <f>VLOOKUP(Table7[[#This Row],[Date]],'DB Details'!$A:$L,12)</f>
        <v/>
      </c>
      <c r="C304" s="41" t="n">
        <v>116.669998</v>
      </c>
      <c r="D304" s="46">
        <f>(Table7[[#This Row],[S&amp;P]]-C292)/C292</f>
        <v/>
      </c>
      <c r="F304" s="3" t="n"/>
      <c r="K304" s="2" t="n"/>
    </row>
    <row r="305">
      <c r="A305" s="39" t="n">
        <v>26634</v>
      </c>
      <c r="B305" s="40">
        <f>VLOOKUP(Table7[[#This Row],[Date]],'DB Details'!$A:$L,12)</f>
        <v/>
      </c>
      <c r="C305" s="41" t="n">
        <v>118.050003</v>
      </c>
      <c r="D305" s="46">
        <f>(Table7[[#This Row],[S&amp;P]]-C293)/C293</f>
        <v/>
      </c>
      <c r="F305" s="3" t="n"/>
      <c r="K305" s="2" t="n"/>
    </row>
    <row r="306">
      <c r="A306" s="39" t="n">
        <v>26665</v>
      </c>
      <c r="B306" s="40">
        <f>VLOOKUP(Table7[[#This Row],[Date]],'DB Details'!$A:$L,12)</f>
        <v/>
      </c>
      <c r="C306" s="41" t="n">
        <v>116.029999</v>
      </c>
      <c r="D306" s="46">
        <f>(Table7[[#This Row],[S&amp;P]]-C294)/C294</f>
        <v/>
      </c>
      <c r="F306" s="3" t="n"/>
      <c r="K306" s="2" t="n"/>
    </row>
    <row r="307">
      <c r="A307" s="39" t="n">
        <v>26696</v>
      </c>
      <c r="B307" s="40">
        <f>VLOOKUP(Table7[[#This Row],[Date]],'DB Details'!$A:$L,12)</f>
        <v/>
      </c>
      <c r="C307" s="41" t="n">
        <v>111.68</v>
      </c>
      <c r="D307" s="46">
        <f>(Table7[[#This Row],[S&amp;P]]-C295)/C295</f>
        <v/>
      </c>
      <c r="F307" s="3" t="n"/>
      <c r="K307" s="2" t="n"/>
    </row>
    <row r="308">
      <c r="A308" s="39" t="n">
        <v>26724</v>
      </c>
      <c r="B308" s="40">
        <f>VLOOKUP(Table7[[#This Row],[Date]],'DB Details'!$A:$L,12)</f>
        <v/>
      </c>
      <c r="C308" s="41" t="n">
        <v>111.519997</v>
      </c>
      <c r="D308" s="46">
        <f>(Table7[[#This Row],[S&amp;P]]-C296)/C296</f>
        <v/>
      </c>
      <c r="F308" s="3" t="n"/>
      <c r="K308" s="2" t="n"/>
    </row>
    <row r="309">
      <c r="A309" s="39" t="n">
        <v>26755</v>
      </c>
      <c r="B309" s="40">
        <f>VLOOKUP(Table7[[#This Row],[Date]],'DB Details'!$A:$L,12)</f>
        <v/>
      </c>
      <c r="C309" s="41" t="n">
        <v>106.970001</v>
      </c>
      <c r="D309" s="46">
        <f>(Table7[[#This Row],[S&amp;P]]-C297)/C297</f>
        <v/>
      </c>
      <c r="F309" s="3" t="n"/>
      <c r="K309" s="2" t="n"/>
    </row>
    <row r="310">
      <c r="A310" s="39" t="n">
        <v>26785</v>
      </c>
      <c r="B310" s="40">
        <f>VLOOKUP(Table7[[#This Row],[Date]],'DB Details'!$A:$L,12)</f>
        <v/>
      </c>
      <c r="C310" s="41" t="n">
        <v>104.949997</v>
      </c>
      <c r="D310" s="46">
        <f>(Table7[[#This Row],[S&amp;P]]-C298)/C298</f>
        <v/>
      </c>
      <c r="F310" s="3" t="n"/>
      <c r="K310" s="2" t="n"/>
    </row>
    <row r="311">
      <c r="A311" s="39" t="n">
        <v>26816</v>
      </c>
      <c r="B311" s="40">
        <f>VLOOKUP(Table7[[#This Row],[Date]],'DB Details'!$A:$L,12)</f>
        <v/>
      </c>
      <c r="C311" s="41" t="n">
        <v>104.260002</v>
      </c>
      <c r="D311" s="46">
        <f>(Table7[[#This Row],[S&amp;P]]-C299)/C299</f>
        <v/>
      </c>
      <c r="F311" s="3" t="n"/>
      <c r="K311" s="2" t="n"/>
    </row>
    <row r="312">
      <c r="A312" s="39" t="n">
        <v>26846</v>
      </c>
      <c r="B312" s="40">
        <f>VLOOKUP(Table7[[#This Row],[Date]],'DB Details'!$A:$L,12)</f>
        <v/>
      </c>
      <c r="C312" s="41" t="n">
        <v>108.220001</v>
      </c>
      <c r="D312" s="46">
        <f>(Table7[[#This Row],[S&amp;P]]-C300)/C300</f>
        <v/>
      </c>
      <c r="F312" s="3" t="n"/>
      <c r="K312" s="2" t="n"/>
    </row>
    <row r="313">
      <c r="A313" s="39" t="n">
        <v>26877</v>
      </c>
      <c r="B313" s="40">
        <f>VLOOKUP(Table7[[#This Row],[Date]],'DB Details'!$A:$L,12)</f>
        <v/>
      </c>
      <c r="C313" s="41" t="n">
        <v>104.25</v>
      </c>
      <c r="D313" s="46">
        <f>(Table7[[#This Row],[S&amp;P]]-C301)/C301</f>
        <v/>
      </c>
      <c r="F313" s="3" t="n"/>
      <c r="K313" s="2" t="n"/>
    </row>
    <row r="314">
      <c r="A314" s="39" t="n">
        <v>26908</v>
      </c>
      <c r="B314" s="40">
        <f>VLOOKUP(Table7[[#This Row],[Date]],'DB Details'!$A:$L,12)</f>
        <v/>
      </c>
      <c r="C314" s="41" t="n">
        <v>108.43</v>
      </c>
      <c r="D314" s="46">
        <f>(Table7[[#This Row],[S&amp;P]]-C302)/C302</f>
        <v/>
      </c>
      <c r="F314" s="3" t="n"/>
      <c r="K314" s="2" t="n"/>
    </row>
    <row r="315">
      <c r="A315" s="39" t="n">
        <v>26938</v>
      </c>
      <c r="B315" s="40">
        <f>VLOOKUP(Table7[[#This Row],[Date]],'DB Details'!$A:$L,12)</f>
        <v/>
      </c>
      <c r="C315" s="41" t="n">
        <v>108.290001</v>
      </c>
      <c r="D315" s="46">
        <f>(Table7[[#This Row],[S&amp;P]]-C303)/C303</f>
        <v/>
      </c>
      <c r="F315" s="3" t="n"/>
      <c r="K315" s="2" t="n"/>
    </row>
    <row r="316">
      <c r="A316" s="39" t="n">
        <v>26969</v>
      </c>
      <c r="B316" s="40">
        <f>VLOOKUP(Table7[[#This Row],[Date]],'DB Details'!$A:$L,12)</f>
        <v/>
      </c>
      <c r="C316" s="41" t="n">
        <v>95.959999</v>
      </c>
      <c r="D316" s="46">
        <f>(Table7[[#This Row],[S&amp;P]]-C304)/C304</f>
        <v/>
      </c>
      <c r="F316" s="3" t="n"/>
      <c r="K316" s="2" t="n"/>
    </row>
    <row r="317">
      <c r="A317" s="39" t="n">
        <v>26999</v>
      </c>
      <c r="B317" s="40">
        <f>VLOOKUP(Table7[[#This Row],[Date]],'DB Details'!$A:$L,12)</f>
        <v/>
      </c>
      <c r="C317" s="41" t="n">
        <v>97.550003</v>
      </c>
      <c r="D317" s="46">
        <f>(Table7[[#This Row],[S&amp;P]]-C305)/C305</f>
        <v/>
      </c>
      <c r="F317" s="3" t="n"/>
      <c r="K317" s="2" t="n"/>
    </row>
    <row r="318">
      <c r="A318" s="39" t="n">
        <v>27030</v>
      </c>
      <c r="B318" s="40">
        <f>VLOOKUP(Table7[[#This Row],[Date]],'DB Details'!$A:$L,12)</f>
        <v/>
      </c>
      <c r="C318" s="41" t="n">
        <v>96.56999999999999</v>
      </c>
      <c r="D318" s="46">
        <f>(Table7[[#This Row],[S&amp;P]]-C306)/C306</f>
        <v/>
      </c>
      <c r="F318" s="3" t="n"/>
      <c r="K318" s="2" t="n"/>
    </row>
    <row r="319">
      <c r="A319" s="39" t="n">
        <v>27061</v>
      </c>
      <c r="B319" s="40">
        <f>VLOOKUP(Table7[[#This Row],[Date]],'DB Details'!$A:$L,12)</f>
        <v/>
      </c>
      <c r="C319" s="41" t="n">
        <v>96.220001</v>
      </c>
      <c r="D319" s="46">
        <f>(Table7[[#This Row],[S&amp;P]]-C307)/C307</f>
        <v/>
      </c>
      <c r="F319" s="3" t="n"/>
      <c r="K319" s="2" t="n"/>
    </row>
    <row r="320">
      <c r="A320" s="39" t="n">
        <v>27089</v>
      </c>
      <c r="B320" s="40">
        <f>VLOOKUP(Table7[[#This Row],[Date]],'DB Details'!$A:$L,12)</f>
        <v/>
      </c>
      <c r="C320" s="41" t="n">
        <v>93.980003</v>
      </c>
      <c r="D320" s="46">
        <f>(Table7[[#This Row],[S&amp;P]]-C308)/C308</f>
        <v/>
      </c>
      <c r="F320" s="3" t="n"/>
      <c r="K320" s="2" t="n"/>
    </row>
    <row r="321">
      <c r="A321" s="39" t="n">
        <v>27120</v>
      </c>
      <c r="B321" s="40">
        <f>VLOOKUP(Table7[[#This Row],[Date]],'DB Details'!$A:$L,12)</f>
        <v/>
      </c>
      <c r="C321" s="41" t="n">
        <v>90.30999799999999</v>
      </c>
      <c r="D321" s="46">
        <f>(Table7[[#This Row],[S&amp;P]]-C309)/C309</f>
        <v/>
      </c>
      <c r="F321" s="3" t="n"/>
      <c r="K321" s="2" t="n"/>
    </row>
    <row r="322">
      <c r="A322" s="39" t="n">
        <v>27150</v>
      </c>
      <c r="B322" s="40">
        <f>VLOOKUP(Table7[[#This Row],[Date]],'DB Details'!$A:$L,12)</f>
        <v/>
      </c>
      <c r="C322" s="41" t="n">
        <v>87.279999</v>
      </c>
      <c r="D322" s="46">
        <f>(Table7[[#This Row],[S&amp;P]]-C310)/C310</f>
        <v/>
      </c>
      <c r="F322" s="3" t="n"/>
      <c r="K322" s="2" t="n"/>
    </row>
    <row r="323">
      <c r="A323" s="39" t="n">
        <v>27181</v>
      </c>
      <c r="B323" s="40">
        <f>VLOOKUP(Table7[[#This Row],[Date]],'DB Details'!$A:$L,12)</f>
        <v/>
      </c>
      <c r="C323" s="41" t="n">
        <v>86</v>
      </c>
      <c r="D323" s="46">
        <f>(Table7[[#This Row],[S&amp;P]]-C311)/C311</f>
        <v/>
      </c>
      <c r="F323" s="3" t="n"/>
      <c r="K323" s="2" t="n"/>
    </row>
    <row r="324">
      <c r="A324" s="39" t="n">
        <v>27211</v>
      </c>
      <c r="B324" s="40">
        <f>VLOOKUP(Table7[[#This Row],[Date]],'DB Details'!$A:$L,12)</f>
        <v/>
      </c>
      <c r="C324" s="41" t="n">
        <v>79.30999799999999</v>
      </c>
      <c r="D324" s="46">
        <f>(Table7[[#This Row],[S&amp;P]]-C312)/C312</f>
        <v/>
      </c>
      <c r="F324" s="3" t="n"/>
      <c r="K324" s="2" t="n"/>
    </row>
    <row r="325">
      <c r="A325" s="39" t="n">
        <v>27242</v>
      </c>
      <c r="B325" s="40">
        <f>VLOOKUP(Table7[[#This Row],[Date]],'DB Details'!$A:$L,12)</f>
        <v/>
      </c>
      <c r="C325" s="41" t="n">
        <v>72.150002</v>
      </c>
      <c r="D325" s="46">
        <f>(Table7[[#This Row],[S&amp;P]]-C313)/C313</f>
        <v/>
      </c>
      <c r="F325" s="3" t="n"/>
      <c r="K325" s="2" t="n"/>
    </row>
    <row r="326">
      <c r="A326" s="39" t="n">
        <v>27273</v>
      </c>
      <c r="B326" s="40">
        <f>VLOOKUP(Table7[[#This Row],[Date]],'DB Details'!$A:$L,12)</f>
        <v/>
      </c>
      <c r="C326" s="41" t="n">
        <v>63.540001</v>
      </c>
      <c r="D326" s="46">
        <f>(Table7[[#This Row],[S&amp;P]]-C314)/C314</f>
        <v/>
      </c>
      <c r="F326" s="3" t="n"/>
      <c r="K326" s="2" t="n"/>
    </row>
    <row r="327">
      <c r="A327" s="39" t="n">
        <v>27303</v>
      </c>
      <c r="B327" s="40">
        <f>VLOOKUP(Table7[[#This Row],[Date]],'DB Details'!$A:$L,12)</f>
        <v/>
      </c>
      <c r="C327" s="41" t="n">
        <v>73.900002</v>
      </c>
      <c r="D327" s="46">
        <f>(Table7[[#This Row],[S&amp;P]]-C315)/C315</f>
        <v/>
      </c>
      <c r="F327" s="3" t="n"/>
      <c r="K327" s="2" t="n"/>
    </row>
    <row r="328">
      <c r="A328" s="39" t="n">
        <v>27334</v>
      </c>
      <c r="B328" s="40">
        <f>VLOOKUP(Table7[[#This Row],[Date]],'DB Details'!$A:$L,12)</f>
        <v/>
      </c>
      <c r="C328" s="41" t="n">
        <v>69.970001</v>
      </c>
      <c r="D328" s="46">
        <f>(Table7[[#This Row],[S&amp;P]]-C316)/C316</f>
        <v/>
      </c>
      <c r="F328" s="3" t="n"/>
      <c r="K328" s="2" t="n"/>
    </row>
    <row r="329">
      <c r="A329" s="39" t="n">
        <v>27364</v>
      </c>
      <c r="B329" s="40">
        <f>VLOOKUP(Table7[[#This Row],[Date]],'DB Details'!$A:$L,12)</f>
        <v/>
      </c>
      <c r="C329" s="41" t="n">
        <v>68.55999799999999</v>
      </c>
      <c r="D329" s="46">
        <f>(Table7[[#This Row],[S&amp;P]]-C317)/C317</f>
        <v/>
      </c>
      <c r="F329" s="3" t="n"/>
      <c r="K329" s="2" t="n"/>
    </row>
    <row r="330">
      <c r="A330" s="39" t="n">
        <v>27395</v>
      </c>
      <c r="B330" s="40">
        <f>VLOOKUP(Table7[[#This Row],[Date]],'DB Details'!$A:$L,12)</f>
        <v/>
      </c>
      <c r="C330" s="41" t="n">
        <v>76.980003</v>
      </c>
      <c r="D330" s="46">
        <f>(Table7[[#This Row],[S&amp;P]]-C318)/C318</f>
        <v/>
      </c>
      <c r="F330" s="3" t="n"/>
      <c r="K330" s="2" t="n"/>
    </row>
    <row r="331">
      <c r="A331" s="39" t="n">
        <v>27426</v>
      </c>
      <c r="B331" s="40">
        <f>VLOOKUP(Table7[[#This Row],[Date]],'DB Details'!$A:$L,12)</f>
        <v/>
      </c>
      <c r="C331" s="41" t="n">
        <v>81.589996</v>
      </c>
      <c r="D331" s="46">
        <f>(Table7[[#This Row],[S&amp;P]]-C319)/C319</f>
        <v/>
      </c>
      <c r="F331" s="3" t="n"/>
      <c r="K331" s="2" t="n"/>
    </row>
    <row r="332">
      <c r="A332" s="39" t="n">
        <v>27454</v>
      </c>
      <c r="B332" s="40">
        <f>VLOOKUP(Table7[[#This Row],[Date]],'DB Details'!$A:$L,12)</f>
        <v/>
      </c>
      <c r="C332" s="41" t="n">
        <v>83.360001</v>
      </c>
      <c r="D332" s="46">
        <f>(Table7[[#This Row],[S&amp;P]]-C320)/C320</f>
        <v/>
      </c>
      <c r="F332" s="3" t="n"/>
      <c r="K332" s="2" t="n"/>
    </row>
    <row r="333">
      <c r="A333" s="39" t="n">
        <v>27485</v>
      </c>
      <c r="B333" s="40">
        <f>VLOOKUP(Table7[[#This Row],[Date]],'DB Details'!$A:$L,12)</f>
        <v/>
      </c>
      <c r="C333" s="41" t="n">
        <v>87.300003</v>
      </c>
      <c r="D333" s="46">
        <f>(Table7[[#This Row],[S&amp;P]]-C321)/C321</f>
        <v/>
      </c>
      <c r="F333" s="3" t="n"/>
      <c r="K333" s="2" t="n"/>
    </row>
    <row r="334">
      <c r="A334" s="39" t="n">
        <v>27515</v>
      </c>
      <c r="B334" s="40">
        <f>VLOOKUP(Table7[[#This Row],[Date]],'DB Details'!$A:$L,12)</f>
        <v/>
      </c>
      <c r="C334" s="41" t="n">
        <v>91.150002</v>
      </c>
      <c r="D334" s="46">
        <f>(Table7[[#This Row],[S&amp;P]]-C322)/C322</f>
        <v/>
      </c>
      <c r="F334" s="3" t="n"/>
      <c r="K334" s="2" t="n"/>
    </row>
    <row r="335">
      <c r="A335" s="39" t="n">
        <v>27546</v>
      </c>
      <c r="B335" s="40">
        <f>VLOOKUP(Table7[[#This Row],[Date]],'DB Details'!$A:$L,12)</f>
        <v/>
      </c>
      <c r="C335" s="41" t="n">
        <v>95.19000200000001</v>
      </c>
      <c r="D335" s="46">
        <f>(Table7[[#This Row],[S&amp;P]]-C323)/C323</f>
        <v/>
      </c>
      <c r="F335" s="3" t="n"/>
      <c r="K335" s="2" t="n"/>
    </row>
    <row r="336">
      <c r="A336" s="39" t="n">
        <v>27576</v>
      </c>
      <c r="B336" s="40">
        <f>VLOOKUP(Table7[[#This Row],[Date]],'DB Details'!$A:$L,12)</f>
        <v/>
      </c>
      <c r="C336" s="41" t="n">
        <v>88.75</v>
      </c>
      <c r="D336" s="46">
        <f>(Table7[[#This Row],[S&amp;P]]-C324)/C324</f>
        <v/>
      </c>
      <c r="F336" s="3" t="n"/>
      <c r="K336" s="2" t="n"/>
    </row>
    <row r="337">
      <c r="A337" s="39" t="n">
        <v>27607</v>
      </c>
      <c r="B337" s="40">
        <f>VLOOKUP(Table7[[#This Row],[Date]],'DB Details'!$A:$L,12)</f>
        <v/>
      </c>
      <c r="C337" s="41" t="n">
        <v>86.879997</v>
      </c>
      <c r="D337" s="46">
        <f>(Table7[[#This Row],[S&amp;P]]-C325)/C325</f>
        <v/>
      </c>
      <c r="F337" s="3" t="n"/>
      <c r="K337" s="2" t="n"/>
    </row>
    <row r="338">
      <c r="A338" s="39" t="n">
        <v>27638</v>
      </c>
      <c r="B338" s="40">
        <f>VLOOKUP(Table7[[#This Row],[Date]],'DB Details'!$A:$L,12)</f>
        <v/>
      </c>
      <c r="C338" s="41" t="n">
        <v>83.870003</v>
      </c>
      <c r="D338" s="46">
        <f>(Table7[[#This Row],[S&amp;P]]-C326)/C326</f>
        <v/>
      </c>
      <c r="F338" s="3" t="n"/>
      <c r="K338" s="2" t="n"/>
    </row>
    <row r="339">
      <c r="A339" s="39" t="n">
        <v>27668</v>
      </c>
      <c r="B339" s="40">
        <f>VLOOKUP(Table7[[#This Row],[Date]],'DB Details'!$A:$L,12)</f>
        <v/>
      </c>
      <c r="C339" s="41" t="n">
        <v>89.040001</v>
      </c>
      <c r="D339" s="46">
        <f>(Table7[[#This Row],[S&amp;P]]-C327)/C327</f>
        <v/>
      </c>
      <c r="F339" s="3" t="n"/>
      <c r="K339" s="2" t="n"/>
    </row>
    <row r="340">
      <c r="A340" s="39" t="n">
        <v>27699</v>
      </c>
      <c r="B340" s="40">
        <f>VLOOKUP(Table7[[#This Row],[Date]],'DB Details'!$A:$L,12)</f>
        <v/>
      </c>
      <c r="C340" s="41" t="n">
        <v>91.239998</v>
      </c>
      <c r="D340" s="46">
        <f>(Table7[[#This Row],[S&amp;P]]-C328)/C328</f>
        <v/>
      </c>
      <c r="F340" s="3" t="n"/>
      <c r="K340" s="2" t="n"/>
    </row>
    <row r="341">
      <c r="A341" s="39" t="n">
        <v>27729</v>
      </c>
      <c r="B341" s="40">
        <f>VLOOKUP(Table7[[#This Row],[Date]],'DB Details'!$A:$L,12)</f>
        <v/>
      </c>
      <c r="C341" s="41" t="n">
        <v>90.19000200000001</v>
      </c>
      <c r="D341" s="46">
        <f>(Table7[[#This Row],[S&amp;P]]-C329)/C329</f>
        <v/>
      </c>
      <c r="F341" s="3" t="n"/>
      <c r="K341" s="2" t="n"/>
    </row>
    <row r="342">
      <c r="A342" s="39" t="n">
        <v>27760</v>
      </c>
      <c r="B342" s="40">
        <f>VLOOKUP(Table7[[#This Row],[Date]],'DB Details'!$A:$L,12)</f>
        <v/>
      </c>
      <c r="C342" s="41" t="n">
        <v>100.860001</v>
      </c>
      <c r="D342" s="46">
        <f>(Table7[[#This Row],[S&amp;P]]-C330)/C330</f>
        <v/>
      </c>
      <c r="F342" s="3" t="n"/>
      <c r="K342" s="2" t="n"/>
    </row>
    <row r="343">
      <c r="A343" s="39" t="n">
        <v>27791</v>
      </c>
      <c r="B343" s="40">
        <f>VLOOKUP(Table7[[#This Row],[Date]],'DB Details'!$A:$L,12)</f>
        <v/>
      </c>
      <c r="C343" s="41" t="n">
        <v>99.709999</v>
      </c>
      <c r="D343" s="46">
        <f>(Table7[[#This Row],[S&amp;P]]-C331)/C331</f>
        <v/>
      </c>
      <c r="F343" s="3" t="n"/>
      <c r="K343" s="2" t="n"/>
    </row>
    <row r="344">
      <c r="A344" s="39" t="n">
        <v>27820</v>
      </c>
      <c r="B344" s="40">
        <f>VLOOKUP(Table7[[#This Row],[Date]],'DB Details'!$A:$L,12)</f>
        <v/>
      </c>
      <c r="C344" s="41" t="n">
        <v>102.769997</v>
      </c>
      <c r="D344" s="46">
        <f>(Table7[[#This Row],[S&amp;P]]-C332)/C332</f>
        <v/>
      </c>
      <c r="F344" s="3" t="n"/>
      <c r="K344" s="2" t="n"/>
    </row>
    <row r="345">
      <c r="A345" s="39" t="n">
        <v>27851</v>
      </c>
      <c r="B345" s="40">
        <f>VLOOKUP(Table7[[#This Row],[Date]],'DB Details'!$A:$L,12)</f>
        <v/>
      </c>
      <c r="C345" s="41" t="n">
        <v>101.639999</v>
      </c>
      <c r="D345" s="46">
        <f>(Table7[[#This Row],[S&amp;P]]-C333)/C333</f>
        <v/>
      </c>
      <c r="F345" s="3" t="n"/>
      <c r="K345" s="2" t="n"/>
    </row>
    <row r="346">
      <c r="A346" s="39" t="n">
        <v>27881</v>
      </c>
      <c r="B346" s="40">
        <f>VLOOKUP(Table7[[#This Row],[Date]],'DB Details'!$A:$L,12)</f>
        <v/>
      </c>
      <c r="C346" s="41" t="n">
        <v>100.18</v>
      </c>
      <c r="D346" s="46">
        <f>(Table7[[#This Row],[S&amp;P]]-C334)/C334</f>
        <v/>
      </c>
      <c r="F346" s="3" t="n"/>
      <c r="K346" s="2" t="n"/>
    </row>
    <row r="347">
      <c r="A347" s="39" t="n">
        <v>27912</v>
      </c>
      <c r="B347" s="40">
        <f>VLOOKUP(Table7[[#This Row],[Date]],'DB Details'!$A:$L,12)</f>
        <v/>
      </c>
      <c r="C347" s="41" t="n">
        <v>104.279999</v>
      </c>
      <c r="D347" s="46">
        <f>(Table7[[#This Row],[S&amp;P]]-C335)/C335</f>
        <v/>
      </c>
      <c r="F347" s="3" t="n"/>
      <c r="K347" s="2" t="n"/>
    </row>
    <row r="348">
      <c r="A348" s="39" t="n">
        <v>27942</v>
      </c>
      <c r="B348" s="40">
        <f>VLOOKUP(Table7[[#This Row],[Date]],'DB Details'!$A:$L,12)</f>
        <v/>
      </c>
      <c r="C348" s="41" t="n">
        <v>103.440002</v>
      </c>
      <c r="D348" s="46">
        <f>(Table7[[#This Row],[S&amp;P]]-C336)/C336</f>
        <v/>
      </c>
      <c r="F348" s="3" t="n"/>
      <c r="K348" s="2" t="n"/>
    </row>
    <row r="349">
      <c r="A349" s="39" t="n">
        <v>27973</v>
      </c>
      <c r="B349" s="40">
        <f>VLOOKUP(Table7[[#This Row],[Date]],'DB Details'!$A:$L,12)</f>
        <v/>
      </c>
      <c r="C349" s="41" t="n">
        <v>102.910004</v>
      </c>
      <c r="D349" s="46">
        <f>(Table7[[#This Row],[S&amp;P]]-C337)/C337</f>
        <v/>
      </c>
      <c r="F349" s="3" t="n"/>
      <c r="K349" s="2" t="n"/>
    </row>
    <row r="350">
      <c r="A350" s="39" t="n">
        <v>28004</v>
      </c>
      <c r="B350" s="40">
        <f>VLOOKUP(Table7[[#This Row],[Date]],'DB Details'!$A:$L,12)</f>
        <v/>
      </c>
      <c r="C350" s="41" t="n">
        <v>105.239998</v>
      </c>
      <c r="D350" s="46">
        <f>(Table7[[#This Row],[S&amp;P]]-C338)/C338</f>
        <v/>
      </c>
      <c r="F350" s="3" t="n"/>
      <c r="K350" s="2" t="n"/>
    </row>
    <row r="351">
      <c r="A351" s="39" t="n">
        <v>28034</v>
      </c>
      <c r="B351" s="40">
        <f>VLOOKUP(Table7[[#This Row],[Date]],'DB Details'!$A:$L,12)</f>
        <v/>
      </c>
      <c r="C351" s="41" t="n">
        <v>102.900002</v>
      </c>
      <c r="D351" s="46">
        <f>(Table7[[#This Row],[S&amp;P]]-C339)/C339</f>
        <v/>
      </c>
      <c r="F351" s="3" t="n"/>
      <c r="K351" s="2" t="n"/>
    </row>
    <row r="352">
      <c r="A352" s="39" t="n">
        <v>28065</v>
      </c>
      <c r="B352" s="40">
        <f>VLOOKUP(Table7[[#This Row],[Date]],'DB Details'!$A:$L,12)</f>
        <v/>
      </c>
      <c r="C352" s="41" t="n">
        <v>102.099998</v>
      </c>
      <c r="D352" s="46">
        <f>(Table7[[#This Row],[S&amp;P]]-C340)/C340</f>
        <v/>
      </c>
      <c r="F352" s="3" t="n"/>
      <c r="K352" s="2" t="n"/>
    </row>
    <row r="353">
      <c r="A353" s="39" t="n">
        <v>28095</v>
      </c>
      <c r="B353" s="40">
        <f>VLOOKUP(Table7[[#This Row],[Date]],'DB Details'!$A:$L,12)</f>
        <v/>
      </c>
      <c r="C353" s="41" t="n">
        <v>107.459999</v>
      </c>
      <c r="D353" s="46">
        <f>(Table7[[#This Row],[S&amp;P]]-C341)/C341</f>
        <v/>
      </c>
      <c r="F353" s="3" t="n"/>
      <c r="K353" s="2" t="n"/>
    </row>
    <row r="354">
      <c r="A354" s="39" t="n">
        <v>28126</v>
      </c>
      <c r="B354" s="40">
        <f>VLOOKUP(Table7[[#This Row],[Date]],'DB Details'!$A:$L,12)</f>
        <v/>
      </c>
      <c r="C354" s="41" t="n">
        <v>102.029999</v>
      </c>
      <c r="D354" s="46">
        <f>(Table7[[#This Row],[S&amp;P]]-C342)/C342</f>
        <v/>
      </c>
      <c r="F354" s="3" t="n"/>
      <c r="K354" s="2" t="n"/>
    </row>
    <row r="355">
      <c r="A355" s="39" t="n">
        <v>28157</v>
      </c>
      <c r="B355" s="40">
        <f>VLOOKUP(Table7[[#This Row],[Date]],'DB Details'!$A:$L,12)</f>
        <v/>
      </c>
      <c r="C355" s="41" t="n">
        <v>99.81999999999999</v>
      </c>
      <c r="D355" s="46">
        <f>(Table7[[#This Row],[S&amp;P]]-C343)/C343</f>
        <v/>
      </c>
      <c r="F355" s="3" t="n"/>
      <c r="K355" s="2" t="n"/>
    </row>
    <row r="356">
      <c r="A356" s="39" t="n">
        <v>28185</v>
      </c>
      <c r="B356" s="40">
        <f>VLOOKUP(Table7[[#This Row],[Date]],'DB Details'!$A:$L,12)</f>
        <v/>
      </c>
      <c r="C356" s="41" t="n">
        <v>98.41999800000001</v>
      </c>
      <c r="D356" s="46">
        <f>(Table7[[#This Row],[S&amp;P]]-C344)/C344</f>
        <v/>
      </c>
      <c r="F356" s="3" t="n"/>
      <c r="K356" s="2" t="n"/>
    </row>
    <row r="357">
      <c r="A357" s="39" t="n">
        <v>28216</v>
      </c>
      <c r="B357" s="40">
        <f>VLOOKUP(Table7[[#This Row],[Date]],'DB Details'!$A:$L,12)</f>
        <v/>
      </c>
      <c r="C357" s="41" t="n">
        <v>98.44000200000001</v>
      </c>
      <c r="D357" s="46">
        <f>(Table7[[#This Row],[S&amp;P]]-C345)/C345</f>
        <v/>
      </c>
      <c r="F357" s="3" t="n"/>
      <c r="K357" s="2" t="n"/>
    </row>
    <row r="358">
      <c r="A358" s="39" t="n">
        <v>28246</v>
      </c>
      <c r="B358" s="40">
        <f>VLOOKUP(Table7[[#This Row],[Date]],'DB Details'!$A:$L,12)</f>
        <v/>
      </c>
      <c r="C358" s="41" t="n">
        <v>96.120003</v>
      </c>
      <c r="D358" s="46">
        <f>(Table7[[#This Row],[S&amp;P]]-C346)/C346</f>
        <v/>
      </c>
      <c r="F358" s="3" t="n"/>
      <c r="K358" s="2" t="n"/>
    </row>
    <row r="359">
      <c r="A359" s="39" t="n">
        <v>28277</v>
      </c>
      <c r="B359" s="40">
        <f>VLOOKUP(Table7[[#This Row],[Date]],'DB Details'!$A:$L,12)</f>
        <v/>
      </c>
      <c r="C359" s="41" t="n">
        <v>100.480003</v>
      </c>
      <c r="D359" s="46">
        <f>(Table7[[#This Row],[S&amp;P]]-C347)/C347</f>
        <v/>
      </c>
      <c r="F359" s="3" t="n"/>
      <c r="K359" s="2" t="n"/>
    </row>
    <row r="360">
      <c r="A360" s="39" t="n">
        <v>28307</v>
      </c>
      <c r="B360" s="40">
        <f>VLOOKUP(Table7[[#This Row],[Date]],'DB Details'!$A:$L,12)</f>
        <v/>
      </c>
      <c r="C360" s="41" t="n">
        <v>98.849998</v>
      </c>
      <c r="D360" s="46">
        <f>(Table7[[#This Row],[S&amp;P]]-C348)/C348</f>
        <v/>
      </c>
      <c r="F360" s="3" t="n"/>
      <c r="K360" s="2" t="n"/>
    </row>
    <row r="361">
      <c r="A361" s="39" t="n">
        <v>28338</v>
      </c>
      <c r="B361" s="40">
        <f>VLOOKUP(Table7[[#This Row],[Date]],'DB Details'!$A:$L,12)</f>
        <v/>
      </c>
      <c r="C361" s="41" t="n">
        <v>96.769997</v>
      </c>
      <c r="D361" s="46">
        <f>(Table7[[#This Row],[S&amp;P]]-C349)/C349</f>
        <v/>
      </c>
      <c r="F361" s="3" t="n"/>
      <c r="K361" s="2" t="n"/>
    </row>
    <row r="362">
      <c r="A362" s="39" t="n">
        <v>28369</v>
      </c>
      <c r="B362" s="40">
        <f>VLOOKUP(Table7[[#This Row],[Date]],'DB Details'!$A:$L,12)</f>
        <v/>
      </c>
      <c r="C362" s="41" t="n">
        <v>96.529999</v>
      </c>
      <c r="D362" s="46">
        <f>(Table7[[#This Row],[S&amp;P]]-C350)/C350</f>
        <v/>
      </c>
      <c r="F362" s="3" t="n"/>
      <c r="K362" s="2" t="n"/>
    </row>
    <row r="363">
      <c r="A363" s="39" t="n">
        <v>28399</v>
      </c>
      <c r="B363" s="40">
        <f>VLOOKUP(Table7[[#This Row],[Date]],'DB Details'!$A:$L,12)</f>
        <v/>
      </c>
      <c r="C363" s="41" t="n">
        <v>92.339996</v>
      </c>
      <c r="D363" s="46">
        <f>(Table7[[#This Row],[S&amp;P]]-C351)/C351</f>
        <v/>
      </c>
      <c r="F363" s="3" t="n"/>
      <c r="K363" s="2" t="n"/>
    </row>
    <row r="364">
      <c r="A364" s="39" t="n">
        <v>28430</v>
      </c>
      <c r="B364" s="40">
        <f>VLOOKUP(Table7[[#This Row],[Date]],'DB Details'!$A:$L,12)</f>
        <v/>
      </c>
      <c r="C364" s="41" t="n">
        <v>94.83000199999999</v>
      </c>
      <c r="D364" s="46">
        <f>(Table7[[#This Row],[S&amp;P]]-C352)/C352</f>
        <v/>
      </c>
      <c r="F364" s="3" t="n"/>
      <c r="K364" s="2" t="n"/>
    </row>
    <row r="365">
      <c r="A365" s="39" t="n">
        <v>28460</v>
      </c>
      <c r="B365" s="40">
        <f>VLOOKUP(Table7[[#This Row],[Date]],'DB Details'!$A:$L,12)</f>
        <v/>
      </c>
      <c r="C365" s="41" t="n">
        <v>95.099998</v>
      </c>
      <c r="D365" s="46">
        <f>(Table7[[#This Row],[S&amp;P]]-C353)/C353</f>
        <v/>
      </c>
      <c r="F365" s="3" t="n"/>
      <c r="K365" s="2" t="n"/>
    </row>
    <row r="366">
      <c r="A366" s="39" t="n">
        <v>28491</v>
      </c>
      <c r="B366" s="40">
        <f>VLOOKUP(Table7[[#This Row],[Date]],'DB Details'!$A:$L,12)</f>
        <v/>
      </c>
      <c r="C366" s="41" t="n">
        <v>89.25</v>
      </c>
      <c r="D366" s="46">
        <f>(Table7[[#This Row],[S&amp;P]]-C354)/C354</f>
        <v/>
      </c>
      <c r="F366" s="3" t="n"/>
      <c r="K366" s="2" t="n"/>
    </row>
    <row r="367">
      <c r="A367" s="39" t="n">
        <v>28522</v>
      </c>
      <c r="B367" s="40">
        <f>VLOOKUP(Table7[[#This Row],[Date]],'DB Details'!$A:$L,12)</f>
        <v/>
      </c>
      <c r="C367" s="41" t="n">
        <v>87.040001</v>
      </c>
      <c r="D367" s="46">
        <f>(Table7[[#This Row],[S&amp;P]]-C355)/C355</f>
        <v/>
      </c>
      <c r="F367" s="3" t="n"/>
      <c r="K367" s="2" t="n"/>
    </row>
    <row r="368">
      <c r="A368" s="39" t="n">
        <v>28550</v>
      </c>
      <c r="B368" s="40">
        <f>VLOOKUP(Table7[[#This Row],[Date]],'DB Details'!$A:$L,12)</f>
        <v/>
      </c>
      <c r="C368" s="41" t="n">
        <v>89.209999</v>
      </c>
      <c r="D368" s="46">
        <f>(Table7[[#This Row],[S&amp;P]]-C356)/C356</f>
        <v/>
      </c>
      <c r="F368" s="3" t="n"/>
      <c r="K368" s="2" t="n"/>
    </row>
    <row r="369">
      <c r="A369" s="39" t="n">
        <v>28581</v>
      </c>
      <c r="B369" s="40">
        <f>VLOOKUP(Table7[[#This Row],[Date]],'DB Details'!$A:$L,12)</f>
        <v/>
      </c>
      <c r="C369" s="41" t="n">
        <v>96.83000199999999</v>
      </c>
      <c r="D369" s="46">
        <f>(Table7[[#This Row],[S&amp;P]]-C357)/C357</f>
        <v/>
      </c>
      <c r="F369" s="3" t="n"/>
      <c r="K369" s="2" t="n"/>
    </row>
    <row r="370">
      <c r="A370" s="39" t="n">
        <v>28611</v>
      </c>
      <c r="B370" s="40">
        <f>VLOOKUP(Table7[[#This Row],[Date]],'DB Details'!$A:$L,12)</f>
        <v/>
      </c>
      <c r="C370" s="41" t="n">
        <v>97.239998</v>
      </c>
      <c r="D370" s="46">
        <f>(Table7[[#This Row],[S&amp;P]]-C358)/C358</f>
        <v/>
      </c>
      <c r="F370" s="3" t="n"/>
      <c r="K370" s="2" t="n"/>
    </row>
    <row r="371">
      <c r="A371" s="39" t="n">
        <v>28642</v>
      </c>
      <c r="B371" s="40">
        <f>VLOOKUP(Table7[[#This Row],[Date]],'DB Details'!$A:$L,12)</f>
        <v/>
      </c>
      <c r="C371" s="41" t="n">
        <v>95.529999</v>
      </c>
      <c r="D371" s="46">
        <f>(Table7[[#This Row],[S&amp;P]]-C359)/C359</f>
        <v/>
      </c>
      <c r="F371" s="3" t="n"/>
      <c r="K371" s="2" t="n"/>
    </row>
    <row r="372">
      <c r="A372" s="39" t="n">
        <v>28672</v>
      </c>
      <c r="B372" s="40">
        <f>VLOOKUP(Table7[[#This Row],[Date]],'DB Details'!$A:$L,12)</f>
        <v/>
      </c>
      <c r="C372" s="41" t="n">
        <v>100.68</v>
      </c>
      <c r="D372" s="46">
        <f>(Table7[[#This Row],[S&amp;P]]-C360)/C360</f>
        <v/>
      </c>
      <c r="F372" s="3" t="n"/>
      <c r="K372" s="2" t="n"/>
    </row>
    <row r="373">
      <c r="A373" s="39" t="n">
        <v>28703</v>
      </c>
      <c r="B373" s="40">
        <f>VLOOKUP(Table7[[#This Row],[Date]],'DB Details'!$A:$L,12)</f>
        <v/>
      </c>
      <c r="C373" s="41" t="n">
        <v>103.290001</v>
      </c>
      <c r="D373" s="46">
        <f>(Table7[[#This Row],[S&amp;P]]-C361)/C361</f>
        <v/>
      </c>
      <c r="F373" s="3" t="n"/>
      <c r="K373" s="2" t="n"/>
    </row>
    <row r="374">
      <c r="A374" s="39" t="n">
        <v>28734</v>
      </c>
      <c r="B374" s="40">
        <f>VLOOKUP(Table7[[#This Row],[Date]],'DB Details'!$A:$L,12)</f>
        <v/>
      </c>
      <c r="C374" s="41" t="n">
        <v>102.540001</v>
      </c>
      <c r="D374" s="46">
        <f>(Table7[[#This Row],[S&amp;P]]-C362)/C362</f>
        <v/>
      </c>
      <c r="F374" s="3" t="n"/>
      <c r="K374" s="2" t="n"/>
    </row>
    <row r="375">
      <c r="A375" s="39" t="n">
        <v>28764</v>
      </c>
      <c r="B375" s="40">
        <f>VLOOKUP(Table7[[#This Row],[Date]],'DB Details'!$A:$L,12)</f>
        <v/>
      </c>
      <c r="C375" s="41" t="n">
        <v>93.150002</v>
      </c>
      <c r="D375" s="46">
        <f>(Table7[[#This Row],[S&amp;P]]-C363)/C363</f>
        <v/>
      </c>
      <c r="F375" s="3" t="n"/>
      <c r="K375" s="2" t="n"/>
    </row>
    <row r="376">
      <c r="A376" s="39" t="n">
        <v>28795</v>
      </c>
      <c r="B376" s="40">
        <f>VLOOKUP(Table7[[#This Row],[Date]],'DB Details'!$A:$L,12)</f>
        <v/>
      </c>
      <c r="C376" s="41" t="n">
        <v>94.699997</v>
      </c>
      <c r="D376" s="46">
        <f>(Table7[[#This Row],[S&amp;P]]-C364)/C364</f>
        <v/>
      </c>
      <c r="F376" s="3" t="n"/>
      <c r="K376" s="2" t="n"/>
    </row>
    <row r="377">
      <c r="A377" s="39" t="n">
        <v>28825</v>
      </c>
      <c r="B377" s="40">
        <f>VLOOKUP(Table7[[#This Row],[Date]],'DB Details'!$A:$L,12)</f>
        <v/>
      </c>
      <c r="C377" s="41" t="n">
        <v>96.110001</v>
      </c>
      <c r="D377" s="46">
        <f>(Table7[[#This Row],[S&amp;P]]-C365)/C365</f>
        <v/>
      </c>
      <c r="F377" s="3" t="n"/>
      <c r="K377" s="2" t="n"/>
    </row>
    <row r="378">
      <c r="A378" s="39" t="n">
        <v>28856</v>
      </c>
      <c r="B378" s="40">
        <f>VLOOKUP(Table7[[#This Row],[Date]],'DB Details'!$A:$L,12)</f>
        <v/>
      </c>
      <c r="C378" s="41" t="n">
        <v>99.93000000000001</v>
      </c>
      <c r="D378" s="46">
        <f>(Table7[[#This Row],[S&amp;P]]-C366)/C366</f>
        <v/>
      </c>
      <c r="F378" s="3" t="n"/>
      <c r="K378" s="2" t="n"/>
    </row>
    <row r="379">
      <c r="A379" s="39" t="n">
        <v>28887</v>
      </c>
      <c r="B379" s="40">
        <f>VLOOKUP(Table7[[#This Row],[Date]],'DB Details'!$A:$L,12)</f>
        <v/>
      </c>
      <c r="C379" s="41" t="n">
        <v>96.279999</v>
      </c>
      <c r="D379" s="46">
        <f>(Table7[[#This Row],[S&amp;P]]-C367)/C367</f>
        <v/>
      </c>
      <c r="F379" s="3" t="n"/>
      <c r="K379" s="2" t="n"/>
    </row>
    <row r="380">
      <c r="A380" s="39" t="n">
        <v>28915</v>
      </c>
      <c r="B380" s="40">
        <f>VLOOKUP(Table7[[#This Row],[Date]],'DB Details'!$A:$L,12)</f>
        <v/>
      </c>
      <c r="C380" s="41" t="n">
        <v>101.589996</v>
      </c>
      <c r="D380" s="46">
        <f>(Table7[[#This Row],[S&amp;P]]-C368)/C368</f>
        <v/>
      </c>
      <c r="F380" s="3" t="n"/>
      <c r="K380" s="2" t="n"/>
    </row>
    <row r="381">
      <c r="A381" s="39" t="n">
        <v>28946</v>
      </c>
      <c r="B381" s="40">
        <f>VLOOKUP(Table7[[#This Row],[Date]],'DB Details'!$A:$L,12)</f>
        <v/>
      </c>
      <c r="C381" s="41" t="n">
        <v>101.760002</v>
      </c>
      <c r="D381" s="46">
        <f>(Table7[[#This Row],[S&amp;P]]-C369)/C369</f>
        <v/>
      </c>
      <c r="F381" s="3" t="n"/>
      <c r="K381" s="2" t="n"/>
    </row>
    <row r="382">
      <c r="A382" s="39" t="n">
        <v>28976</v>
      </c>
      <c r="B382" s="40">
        <f>VLOOKUP(Table7[[#This Row],[Date]],'DB Details'!$A:$L,12)</f>
        <v/>
      </c>
      <c r="C382" s="41" t="n">
        <v>99.08000199999999</v>
      </c>
      <c r="D382" s="46">
        <f>(Table7[[#This Row],[S&amp;P]]-C370)/C370</f>
        <v/>
      </c>
      <c r="F382" s="3" t="n"/>
      <c r="K382" s="2" t="n"/>
    </row>
    <row r="383">
      <c r="A383" s="39" t="n">
        <v>29007</v>
      </c>
      <c r="B383" s="40">
        <f>VLOOKUP(Table7[[#This Row],[Date]],'DB Details'!$A:$L,12)</f>
        <v/>
      </c>
      <c r="C383" s="41" t="n">
        <v>102.910004</v>
      </c>
      <c r="D383" s="46">
        <f>(Table7[[#This Row],[S&amp;P]]-C371)/C371</f>
        <v/>
      </c>
      <c r="F383" s="3" t="n"/>
      <c r="K383" s="2" t="n"/>
    </row>
    <row r="384">
      <c r="A384" s="39" t="n">
        <v>29037</v>
      </c>
      <c r="B384" s="40">
        <f>VLOOKUP(Table7[[#This Row],[Date]],'DB Details'!$A:$L,12)</f>
        <v/>
      </c>
      <c r="C384" s="41" t="n">
        <v>103.809998</v>
      </c>
      <c r="D384" s="46">
        <f>(Table7[[#This Row],[S&amp;P]]-C372)/C372</f>
        <v/>
      </c>
      <c r="F384" s="3" t="n"/>
      <c r="K384" s="2" t="n"/>
    </row>
    <row r="385">
      <c r="A385" s="39" t="n">
        <v>29068</v>
      </c>
      <c r="B385" s="40">
        <f>VLOOKUP(Table7[[#This Row],[Date]],'DB Details'!$A:$L,12)</f>
        <v/>
      </c>
      <c r="C385" s="41" t="n">
        <v>109.32</v>
      </c>
      <c r="D385" s="46">
        <f>(Table7[[#This Row],[S&amp;P]]-C373)/C373</f>
        <v/>
      </c>
      <c r="F385" s="3" t="n"/>
      <c r="K385" s="2" t="n"/>
    </row>
    <row r="386">
      <c r="A386" s="39" t="n">
        <v>29099</v>
      </c>
      <c r="B386" s="40">
        <f>VLOOKUP(Table7[[#This Row],[Date]],'DB Details'!$A:$L,12)</f>
        <v/>
      </c>
      <c r="C386" s="41" t="n">
        <v>109.32</v>
      </c>
      <c r="D386" s="46">
        <f>(Table7[[#This Row],[S&amp;P]]-C374)/C374</f>
        <v/>
      </c>
      <c r="F386" s="3" t="n"/>
      <c r="K386" s="2" t="n"/>
    </row>
    <row r="387">
      <c r="A387" s="39" t="n">
        <v>29129</v>
      </c>
      <c r="B387" s="40">
        <f>VLOOKUP(Table7[[#This Row],[Date]],'DB Details'!$A:$L,12)</f>
        <v/>
      </c>
      <c r="C387" s="41" t="n">
        <v>101.82</v>
      </c>
      <c r="D387" s="46">
        <f>(Table7[[#This Row],[S&amp;P]]-C375)/C375</f>
        <v/>
      </c>
      <c r="F387" s="3" t="n"/>
      <c r="K387" s="2" t="n"/>
    </row>
    <row r="388">
      <c r="A388" s="39" t="n">
        <v>29160</v>
      </c>
      <c r="B388" s="40">
        <f>VLOOKUP(Table7[[#This Row],[Date]],'DB Details'!$A:$L,12)</f>
        <v/>
      </c>
      <c r="C388" s="41" t="n">
        <v>106.160004</v>
      </c>
      <c r="D388" s="46">
        <f>(Table7[[#This Row],[S&amp;P]]-C376)/C376</f>
        <v/>
      </c>
      <c r="F388" s="3" t="n"/>
      <c r="K388" s="2" t="n"/>
    </row>
    <row r="389">
      <c r="A389" s="39" t="n">
        <v>29190</v>
      </c>
      <c r="B389" s="40">
        <f>VLOOKUP(Table7[[#This Row],[Date]],'DB Details'!$A:$L,12)</f>
        <v/>
      </c>
      <c r="C389" s="41" t="n">
        <v>107.940002</v>
      </c>
      <c r="D389" s="46">
        <f>(Table7[[#This Row],[S&amp;P]]-C377)/C377</f>
        <v/>
      </c>
      <c r="F389" s="3" t="n"/>
      <c r="K389" s="2" t="n"/>
    </row>
    <row r="390">
      <c r="A390" s="39" t="n">
        <v>29221</v>
      </c>
      <c r="B390" s="40">
        <f>VLOOKUP(Table7[[#This Row],[Date]],'DB Details'!$A:$L,12)</f>
        <v/>
      </c>
      <c r="C390" s="41" t="n">
        <v>114.160004</v>
      </c>
      <c r="D390" s="46">
        <f>(Table7[[#This Row],[S&amp;P]]-C378)/C378</f>
        <v/>
      </c>
      <c r="F390" s="3" t="n"/>
      <c r="K390" s="2" t="n"/>
    </row>
    <row r="391">
      <c r="A391" s="39" t="n">
        <v>29252</v>
      </c>
      <c r="B391" s="40">
        <f>VLOOKUP(Table7[[#This Row],[Date]],'DB Details'!$A:$L,12)</f>
        <v/>
      </c>
      <c r="C391" s="41" t="n">
        <v>113.660004</v>
      </c>
      <c r="D391" s="46">
        <f>(Table7[[#This Row],[S&amp;P]]-C379)/C379</f>
        <v/>
      </c>
      <c r="F391" s="3" t="n"/>
      <c r="K391" s="2" t="n"/>
    </row>
    <row r="392">
      <c r="A392" s="39" t="n">
        <v>29281</v>
      </c>
      <c r="B392" s="40">
        <f>VLOOKUP(Table7[[#This Row],[Date]],'DB Details'!$A:$L,12)</f>
        <v/>
      </c>
      <c r="C392" s="41" t="n">
        <v>102.089996</v>
      </c>
      <c r="D392" s="46">
        <f>(Table7[[#This Row],[S&amp;P]]-C380)/C380</f>
        <v/>
      </c>
      <c r="F392" s="3" t="n"/>
      <c r="K392" s="2" t="n"/>
    </row>
    <row r="393">
      <c r="A393" s="39" t="n">
        <v>29312</v>
      </c>
      <c r="B393" s="40">
        <f>VLOOKUP(Table7[[#This Row],[Date]],'DB Details'!$A:$L,12)</f>
        <v/>
      </c>
      <c r="C393" s="41" t="n">
        <v>106.290001</v>
      </c>
      <c r="D393" s="46">
        <f>(Table7[[#This Row],[S&amp;P]]-C381)/C381</f>
        <v/>
      </c>
      <c r="F393" s="3" t="n"/>
      <c r="K393" s="2" t="n"/>
    </row>
    <row r="394">
      <c r="A394" s="39" t="n">
        <v>29342</v>
      </c>
      <c r="B394" s="40">
        <f>VLOOKUP(Table7[[#This Row],[Date]],'DB Details'!$A:$L,12)</f>
        <v/>
      </c>
      <c r="C394" s="41" t="n">
        <v>111.239998</v>
      </c>
      <c r="D394" s="46">
        <f>(Table7[[#This Row],[S&amp;P]]-C382)/C382</f>
        <v/>
      </c>
      <c r="F394" s="3" t="n"/>
      <c r="K394" s="2" t="n"/>
    </row>
    <row r="395">
      <c r="A395" s="39" t="n">
        <v>29373</v>
      </c>
      <c r="B395" s="40">
        <f>VLOOKUP(Table7[[#This Row],[Date]],'DB Details'!$A:$L,12)</f>
        <v/>
      </c>
      <c r="C395" s="41" t="n">
        <v>114.239998</v>
      </c>
      <c r="D395" s="46">
        <f>(Table7[[#This Row],[S&amp;P]]-C383)/C383</f>
        <v/>
      </c>
      <c r="F395" s="3" t="n"/>
      <c r="K395" s="2" t="n"/>
    </row>
    <row r="396">
      <c r="A396" s="39" t="n">
        <v>29403</v>
      </c>
      <c r="B396" s="40">
        <f>VLOOKUP(Table7[[#This Row],[Date]],'DB Details'!$A:$L,12)</f>
        <v/>
      </c>
      <c r="C396" s="41" t="n">
        <v>121.669998</v>
      </c>
      <c r="D396" s="46">
        <f>(Table7[[#This Row],[S&amp;P]]-C384)/C384</f>
        <v/>
      </c>
      <c r="F396" s="3" t="n"/>
      <c r="K396" s="2" t="n"/>
    </row>
    <row r="397">
      <c r="A397" s="39" t="n">
        <v>29434</v>
      </c>
      <c r="B397" s="40">
        <f>VLOOKUP(Table7[[#This Row],[Date]],'DB Details'!$A:$L,12)</f>
        <v/>
      </c>
      <c r="C397" s="41" t="n">
        <v>122.379997</v>
      </c>
      <c r="D397" s="46">
        <f>(Table7[[#This Row],[S&amp;P]]-C385)/C385</f>
        <v/>
      </c>
      <c r="F397" s="3" t="n"/>
      <c r="K397" s="2" t="n"/>
    </row>
    <row r="398">
      <c r="A398" s="39" t="n">
        <v>29465</v>
      </c>
      <c r="B398" s="40">
        <f>VLOOKUP(Table7[[#This Row],[Date]],'DB Details'!$A:$L,12)</f>
        <v/>
      </c>
      <c r="C398" s="41" t="n">
        <v>125.459999</v>
      </c>
      <c r="D398" s="46">
        <f>(Table7[[#This Row],[S&amp;P]]-C386)/C386</f>
        <v/>
      </c>
      <c r="F398" s="3" t="n"/>
      <c r="K398" s="2" t="n"/>
    </row>
    <row r="399">
      <c r="A399" s="39" t="n">
        <v>29495</v>
      </c>
      <c r="B399" s="40">
        <f>VLOOKUP(Table7[[#This Row],[Date]],'DB Details'!$A:$L,12)</f>
        <v/>
      </c>
      <c r="C399" s="41" t="n">
        <v>127.470001</v>
      </c>
      <c r="D399" s="46">
        <f>(Table7[[#This Row],[S&amp;P]]-C387)/C387</f>
        <v/>
      </c>
      <c r="F399" s="3" t="n"/>
      <c r="K399" s="2" t="n"/>
    </row>
    <row r="400">
      <c r="A400" s="39" t="n">
        <v>29526</v>
      </c>
      <c r="B400" s="40">
        <f>VLOOKUP(Table7[[#This Row],[Date]],'DB Details'!$A:$L,12)</f>
        <v/>
      </c>
      <c r="C400" s="41" t="n">
        <v>140.520004</v>
      </c>
      <c r="D400" s="46">
        <f>(Table7[[#This Row],[S&amp;P]]-C388)/C388</f>
        <v/>
      </c>
      <c r="F400" s="3" t="n"/>
      <c r="K400" s="2" t="n"/>
    </row>
    <row r="401">
      <c r="A401" s="39" t="n">
        <v>29556</v>
      </c>
      <c r="B401" s="40">
        <f>VLOOKUP(Table7[[#This Row],[Date]],'DB Details'!$A:$L,12)</f>
        <v/>
      </c>
      <c r="C401" s="41" t="n">
        <v>135.759995</v>
      </c>
      <c r="D401" s="46">
        <f>(Table7[[#This Row],[S&amp;P]]-C389)/C389</f>
        <v/>
      </c>
      <c r="F401" s="3" t="n"/>
      <c r="K401" s="2" t="n"/>
    </row>
    <row r="402">
      <c r="A402" s="39" t="n">
        <v>29587</v>
      </c>
      <c r="B402" s="40">
        <f>VLOOKUP(Table7[[#This Row],[Date]],'DB Details'!$A:$L,12)</f>
        <v/>
      </c>
      <c r="C402" s="41" t="n">
        <v>129.550003</v>
      </c>
      <c r="D402" s="46">
        <f>(Table7[[#This Row],[S&amp;P]]-C390)/C390</f>
        <v/>
      </c>
      <c r="F402" s="3" t="n"/>
      <c r="K402" s="2" t="n"/>
    </row>
    <row r="403">
      <c r="A403" s="39" t="n">
        <v>29618</v>
      </c>
      <c r="B403" s="40">
        <f>VLOOKUP(Table7[[#This Row],[Date]],'DB Details'!$A:$L,12)</f>
        <v/>
      </c>
      <c r="C403" s="41" t="n">
        <v>131.270004</v>
      </c>
      <c r="D403" s="46">
        <f>(Table7[[#This Row],[S&amp;P]]-C391)/C391</f>
        <v/>
      </c>
      <c r="F403" s="3" t="n"/>
      <c r="K403" s="2" t="n"/>
    </row>
    <row r="404">
      <c r="A404" s="39" t="n">
        <v>29646</v>
      </c>
      <c r="B404" s="40">
        <f>VLOOKUP(Table7[[#This Row],[Date]],'DB Details'!$A:$L,12)</f>
        <v/>
      </c>
      <c r="C404" s="41" t="n">
        <v>136</v>
      </c>
      <c r="D404" s="46">
        <f>(Table7[[#This Row],[S&amp;P]]-C392)/C392</f>
        <v/>
      </c>
      <c r="F404" s="3" t="n"/>
      <c r="K404" s="2" t="n"/>
    </row>
    <row r="405">
      <c r="A405" s="39" t="n">
        <v>29677</v>
      </c>
      <c r="B405" s="40">
        <f>VLOOKUP(Table7[[#This Row],[Date]],'DB Details'!$A:$L,12)</f>
        <v/>
      </c>
      <c r="C405" s="41" t="n">
        <v>132.809998</v>
      </c>
      <c r="D405" s="46">
        <f>(Table7[[#This Row],[S&amp;P]]-C393)/C393</f>
        <v/>
      </c>
      <c r="F405" s="3" t="n"/>
      <c r="K405" s="2" t="n"/>
    </row>
    <row r="406">
      <c r="A406" s="39" t="n">
        <v>29707</v>
      </c>
      <c r="B406" s="40">
        <f>VLOOKUP(Table7[[#This Row],[Date]],'DB Details'!$A:$L,12)</f>
        <v/>
      </c>
      <c r="C406" s="41" t="n">
        <v>132.589996</v>
      </c>
      <c r="D406" s="46">
        <f>(Table7[[#This Row],[S&amp;P]]-C394)/C394</f>
        <v/>
      </c>
      <c r="F406" s="3" t="n"/>
      <c r="K406" s="2" t="n"/>
    </row>
    <row r="407">
      <c r="A407" s="39" t="n">
        <v>29738</v>
      </c>
      <c r="B407" s="40">
        <f>VLOOKUP(Table7[[#This Row],[Date]],'DB Details'!$A:$L,12)</f>
        <v/>
      </c>
      <c r="C407" s="41" t="n">
        <v>131.210007</v>
      </c>
      <c r="D407" s="46">
        <f>(Table7[[#This Row],[S&amp;P]]-C395)/C395</f>
        <v/>
      </c>
      <c r="F407" s="3" t="n"/>
      <c r="K407" s="2" t="n"/>
    </row>
    <row r="408">
      <c r="A408" s="39" t="n">
        <v>29768</v>
      </c>
      <c r="B408" s="40">
        <f>VLOOKUP(Table7[[#This Row],[Date]],'DB Details'!$A:$L,12)</f>
        <v/>
      </c>
      <c r="C408" s="41" t="n">
        <v>130.919998</v>
      </c>
      <c r="D408" s="46">
        <f>(Table7[[#This Row],[S&amp;P]]-C396)/C396</f>
        <v/>
      </c>
      <c r="F408" s="3" t="n"/>
      <c r="K408" s="2" t="n"/>
    </row>
    <row r="409">
      <c r="A409" s="39" t="n">
        <v>29799</v>
      </c>
      <c r="B409" s="40">
        <f>VLOOKUP(Table7[[#This Row],[Date]],'DB Details'!$A:$L,12)</f>
        <v/>
      </c>
      <c r="C409" s="41" t="n">
        <v>122.790001</v>
      </c>
      <c r="D409" s="46">
        <f>(Table7[[#This Row],[S&amp;P]]-C397)/C397</f>
        <v/>
      </c>
      <c r="F409" s="3" t="n"/>
      <c r="K409" s="2" t="n"/>
    </row>
    <row r="410">
      <c r="A410" s="39" t="n">
        <v>29830</v>
      </c>
      <c r="B410" s="40">
        <f>VLOOKUP(Table7[[#This Row],[Date]],'DB Details'!$A:$L,12)</f>
        <v/>
      </c>
      <c r="C410" s="41" t="n">
        <v>116.18</v>
      </c>
      <c r="D410" s="46">
        <f>(Table7[[#This Row],[S&amp;P]]-C398)/C398</f>
        <v/>
      </c>
      <c r="F410" s="3" t="n"/>
      <c r="K410" s="2" t="n"/>
    </row>
    <row r="411">
      <c r="A411" s="39" t="n">
        <v>29860</v>
      </c>
      <c r="B411" s="40">
        <f>VLOOKUP(Table7[[#This Row],[Date]],'DB Details'!$A:$L,12)</f>
        <v/>
      </c>
      <c r="C411" s="41" t="n">
        <v>121.889999</v>
      </c>
      <c r="D411" s="46">
        <f>(Table7[[#This Row],[S&amp;P]]-C399)/C399</f>
        <v/>
      </c>
      <c r="F411" s="3" t="n"/>
      <c r="K411" s="2" t="n"/>
    </row>
    <row r="412">
      <c r="A412" s="39" t="n">
        <v>29891</v>
      </c>
      <c r="B412" s="40">
        <f>VLOOKUP(Table7[[#This Row],[Date]],'DB Details'!$A:$L,12)</f>
        <v/>
      </c>
      <c r="C412" s="41" t="n">
        <v>126.349998</v>
      </c>
      <c r="D412" s="46">
        <f>(Table7[[#This Row],[S&amp;P]]-C400)/C400</f>
        <v/>
      </c>
      <c r="F412" s="3" t="n"/>
      <c r="K412" s="2" t="n"/>
    </row>
    <row r="413">
      <c r="A413" s="39" t="n">
        <v>29921</v>
      </c>
      <c r="B413" s="40">
        <f>VLOOKUP(Table7[[#This Row],[Date]],'DB Details'!$A:$L,12)</f>
        <v/>
      </c>
      <c r="C413" s="41" t="n">
        <v>122.550003</v>
      </c>
      <c r="D413" s="46">
        <f>(Table7[[#This Row],[S&amp;P]]-C401)/C401</f>
        <v/>
      </c>
      <c r="F413" s="3" t="n"/>
      <c r="K413" s="2" t="n"/>
    </row>
    <row r="414">
      <c r="A414" s="39" t="n">
        <v>29952</v>
      </c>
      <c r="B414" s="40">
        <f>VLOOKUP(Table7[[#This Row],[Date]],'DB Details'!$A:$L,12)</f>
        <v/>
      </c>
      <c r="C414" s="41" t="n">
        <v>120.400002</v>
      </c>
      <c r="D414" s="46">
        <f>(Table7[[#This Row],[S&amp;P]]-C402)/C402</f>
        <v/>
      </c>
      <c r="F414" s="3" t="n"/>
      <c r="K414" s="2" t="n"/>
    </row>
    <row r="415">
      <c r="A415" s="39" t="n">
        <v>29983</v>
      </c>
      <c r="B415" s="40">
        <f>VLOOKUP(Table7[[#This Row],[Date]],'DB Details'!$A:$L,12)</f>
        <v/>
      </c>
      <c r="C415" s="41" t="n">
        <v>113.110001</v>
      </c>
      <c r="D415" s="46">
        <f>(Table7[[#This Row],[S&amp;P]]-C403)/C403</f>
        <v/>
      </c>
      <c r="F415" s="3" t="n"/>
      <c r="K415" s="2" t="n"/>
    </row>
    <row r="416">
      <c r="A416" s="39" t="n">
        <v>30011</v>
      </c>
      <c r="B416" s="40">
        <f>VLOOKUP(Table7[[#This Row],[Date]],'DB Details'!$A:$L,12)</f>
        <v/>
      </c>
      <c r="C416" s="41" t="n">
        <v>111.959999</v>
      </c>
      <c r="D416" s="46">
        <f>(Table7[[#This Row],[S&amp;P]]-C404)/C404</f>
        <v/>
      </c>
      <c r="F416" s="3" t="n"/>
      <c r="K416" s="2" t="n"/>
    </row>
    <row r="417">
      <c r="A417" s="39" t="n">
        <v>30042</v>
      </c>
      <c r="B417" s="40">
        <f>VLOOKUP(Table7[[#This Row],[Date]],'DB Details'!$A:$L,12)</f>
        <v/>
      </c>
      <c r="C417" s="41" t="n">
        <v>116.440002</v>
      </c>
      <c r="D417" s="46">
        <f>(Table7[[#This Row],[S&amp;P]]-C405)/C405</f>
        <v/>
      </c>
      <c r="F417" s="3" t="n"/>
      <c r="K417" s="2" t="n"/>
    </row>
    <row r="418">
      <c r="A418" s="39" t="n">
        <v>30072</v>
      </c>
      <c r="B418" s="40">
        <f>VLOOKUP(Table7[[#This Row],[Date]],'DB Details'!$A:$L,12)</f>
        <v/>
      </c>
      <c r="C418" s="41" t="n">
        <v>111.879997</v>
      </c>
      <c r="D418" s="46">
        <f>(Table7[[#This Row],[S&amp;P]]-C406)/C406</f>
        <v/>
      </c>
      <c r="F418" s="3" t="n"/>
      <c r="K418" s="2" t="n"/>
    </row>
    <row r="419">
      <c r="A419" s="39" t="n">
        <v>30103</v>
      </c>
      <c r="B419" s="40">
        <f>VLOOKUP(Table7[[#This Row],[Date]],'DB Details'!$A:$L,12)</f>
        <v/>
      </c>
      <c r="C419" s="41" t="n">
        <v>109.610001</v>
      </c>
      <c r="D419" s="46">
        <f>(Table7[[#This Row],[S&amp;P]]-C407)/C407</f>
        <v/>
      </c>
      <c r="F419" s="3" t="n"/>
      <c r="K419" s="2" t="n"/>
    </row>
    <row r="420">
      <c r="A420" s="39" t="n">
        <v>30133</v>
      </c>
      <c r="B420" s="40">
        <f>VLOOKUP(Table7[[#This Row],[Date]],'DB Details'!$A:$L,12)</f>
        <v/>
      </c>
      <c r="C420" s="41" t="n">
        <v>107.089996</v>
      </c>
      <c r="D420" s="46">
        <f>(Table7[[#This Row],[S&amp;P]]-C408)/C408</f>
        <v/>
      </c>
      <c r="F420" s="3" t="n"/>
      <c r="K420" s="2" t="n"/>
    </row>
    <row r="421">
      <c r="A421" s="39" t="n">
        <v>30164</v>
      </c>
      <c r="B421" s="40">
        <f>VLOOKUP(Table7[[#This Row],[Date]],'DB Details'!$A:$L,12)</f>
        <v/>
      </c>
      <c r="C421" s="41" t="n">
        <v>119.510002</v>
      </c>
      <c r="D421" s="46">
        <f>(Table7[[#This Row],[S&amp;P]]-C409)/C409</f>
        <v/>
      </c>
      <c r="F421" s="3" t="n"/>
      <c r="K421" s="2" t="n"/>
    </row>
    <row r="422">
      <c r="A422" s="39" t="n">
        <v>30195</v>
      </c>
      <c r="B422" s="40">
        <f>VLOOKUP(Table7[[#This Row],[Date]],'DB Details'!$A:$L,12)</f>
        <v/>
      </c>
      <c r="C422" s="41" t="n">
        <v>120.419998</v>
      </c>
      <c r="D422" s="46">
        <f>(Table7[[#This Row],[S&amp;P]]-C410)/C410</f>
        <v/>
      </c>
      <c r="F422" s="3" t="n"/>
      <c r="K422" s="2" t="n"/>
    </row>
    <row r="423">
      <c r="A423" s="39" t="n">
        <v>30225</v>
      </c>
      <c r="B423" s="40">
        <f>VLOOKUP(Table7[[#This Row],[Date]],'DB Details'!$A:$L,12)</f>
        <v/>
      </c>
      <c r="C423" s="41" t="n">
        <v>133.720001</v>
      </c>
      <c r="D423" s="46">
        <f>(Table7[[#This Row],[S&amp;P]]-C411)/C411</f>
        <v/>
      </c>
      <c r="F423" s="3" t="n"/>
      <c r="K423" s="2" t="n"/>
    </row>
    <row r="424">
      <c r="A424" s="39" t="n">
        <v>30256</v>
      </c>
      <c r="B424" s="40">
        <f>VLOOKUP(Table7[[#This Row],[Date]],'DB Details'!$A:$L,12)</f>
        <v/>
      </c>
      <c r="C424" s="41" t="n">
        <v>138.529999</v>
      </c>
      <c r="D424" s="46">
        <f>(Table7[[#This Row],[S&amp;P]]-C412)/C412</f>
        <v/>
      </c>
      <c r="F424" s="3" t="n"/>
      <c r="K424" s="2" t="n"/>
    </row>
    <row r="425">
      <c r="A425" s="39" t="n">
        <v>30286</v>
      </c>
      <c r="B425" s="40">
        <f>VLOOKUP(Table7[[#This Row],[Date]],'DB Details'!$A:$L,12)</f>
        <v/>
      </c>
      <c r="C425" s="41" t="n">
        <v>140.639999</v>
      </c>
      <c r="D425" s="46">
        <f>(Table7[[#This Row],[S&amp;P]]-C413)/C413</f>
        <v/>
      </c>
      <c r="F425" s="3" t="n"/>
      <c r="K425" s="2" t="n"/>
    </row>
    <row r="426">
      <c r="A426" s="39" t="n">
        <v>30317</v>
      </c>
      <c r="B426" s="40">
        <f>VLOOKUP(Table7[[#This Row],[Date]],'DB Details'!$A:$L,12)</f>
        <v/>
      </c>
      <c r="C426" s="41" t="n">
        <v>145.300003</v>
      </c>
      <c r="D426" s="46">
        <f>(Table7[[#This Row],[S&amp;P]]-C414)/C414</f>
        <v/>
      </c>
      <c r="F426" s="3" t="n"/>
      <c r="K426" s="2" t="n"/>
    </row>
    <row r="427">
      <c r="A427" s="39" t="n">
        <v>30348</v>
      </c>
      <c r="B427" s="40">
        <f>VLOOKUP(Table7[[#This Row],[Date]],'DB Details'!$A:$L,12)</f>
        <v/>
      </c>
      <c r="C427" s="41" t="n">
        <v>148.059998</v>
      </c>
      <c r="D427" s="46">
        <f>(Table7[[#This Row],[S&amp;P]]-C415)/C415</f>
        <v/>
      </c>
      <c r="F427" s="3" t="n"/>
      <c r="K427" s="2" t="n"/>
    </row>
    <row r="428">
      <c r="A428" s="39" t="n">
        <v>30376</v>
      </c>
      <c r="B428" s="40">
        <f>VLOOKUP(Table7[[#This Row],[Date]],'DB Details'!$A:$L,12)</f>
        <v/>
      </c>
      <c r="C428" s="41" t="n">
        <v>152.960007</v>
      </c>
      <c r="D428" s="46">
        <f>(Table7[[#This Row],[S&amp;P]]-C416)/C416</f>
        <v/>
      </c>
      <c r="F428" s="3" t="n"/>
      <c r="K428" s="2" t="n"/>
    </row>
    <row r="429">
      <c r="A429" s="39" t="n">
        <v>30407</v>
      </c>
      <c r="B429" s="40">
        <f>VLOOKUP(Table7[[#This Row],[Date]],'DB Details'!$A:$L,12)</f>
        <v/>
      </c>
      <c r="C429" s="41" t="n">
        <v>164.429993</v>
      </c>
      <c r="D429" s="46">
        <f>(Table7[[#This Row],[S&amp;P]]-C417)/C417</f>
        <v/>
      </c>
      <c r="F429" s="3" t="n"/>
      <c r="K429" s="2" t="n"/>
    </row>
    <row r="430">
      <c r="A430" s="39" t="n">
        <v>30437</v>
      </c>
      <c r="B430" s="40">
        <f>VLOOKUP(Table7[[#This Row],[Date]],'DB Details'!$A:$L,12)</f>
        <v/>
      </c>
      <c r="C430" s="41" t="n">
        <v>162.389999</v>
      </c>
      <c r="D430" s="46">
        <f>(Table7[[#This Row],[S&amp;P]]-C418)/C418</f>
        <v/>
      </c>
      <c r="F430" s="3" t="n"/>
      <c r="K430" s="2" t="n"/>
    </row>
    <row r="431">
      <c r="A431" s="39" t="n">
        <v>30468</v>
      </c>
      <c r="B431" s="40">
        <f>VLOOKUP(Table7[[#This Row],[Date]],'DB Details'!$A:$L,12)</f>
        <v/>
      </c>
      <c r="C431" s="41" t="n">
        <v>167.639999</v>
      </c>
      <c r="D431" s="46">
        <f>(Table7[[#This Row],[S&amp;P]]-C419)/C419</f>
        <v/>
      </c>
      <c r="F431" s="3" t="n"/>
      <c r="K431" s="2" t="n"/>
    </row>
    <row r="432">
      <c r="A432" s="39" t="n">
        <v>30498</v>
      </c>
      <c r="B432" s="40">
        <f>VLOOKUP(Table7[[#This Row],[Date]],'DB Details'!$A:$L,12)</f>
        <v/>
      </c>
      <c r="C432" s="41" t="n">
        <v>162.559998</v>
      </c>
      <c r="D432" s="46">
        <f>(Table7[[#This Row],[S&amp;P]]-C420)/C420</f>
        <v/>
      </c>
      <c r="F432" s="3" t="n"/>
      <c r="K432" s="2" t="n"/>
    </row>
    <row r="433">
      <c r="A433" s="39" t="n">
        <v>30529</v>
      </c>
      <c r="B433" s="40">
        <f>VLOOKUP(Table7[[#This Row],[Date]],'DB Details'!$A:$L,12)</f>
        <v/>
      </c>
      <c r="C433" s="41" t="n">
        <v>164.399994</v>
      </c>
      <c r="D433" s="46">
        <f>(Table7[[#This Row],[S&amp;P]]-C421)/C421</f>
        <v/>
      </c>
      <c r="F433" s="3" t="n"/>
      <c r="K433" s="2" t="n"/>
    </row>
    <row r="434">
      <c r="A434" s="39" t="n">
        <v>30560</v>
      </c>
      <c r="B434" s="40">
        <f>VLOOKUP(Table7[[#This Row],[Date]],'DB Details'!$A:$L,12)</f>
        <v/>
      </c>
      <c r="C434" s="41" t="n">
        <v>166.070007</v>
      </c>
      <c r="D434" s="46">
        <f>(Table7[[#This Row],[S&amp;P]]-C422)/C422</f>
        <v/>
      </c>
      <c r="F434" s="3" t="n"/>
      <c r="K434" s="2" t="n"/>
    </row>
    <row r="435">
      <c r="A435" s="39" t="n">
        <v>30590</v>
      </c>
      <c r="B435" s="40">
        <f>VLOOKUP(Table7[[#This Row],[Date]],'DB Details'!$A:$L,12)</f>
        <v/>
      </c>
      <c r="C435" s="41" t="n">
        <v>163.550003</v>
      </c>
      <c r="D435" s="46">
        <f>(Table7[[#This Row],[S&amp;P]]-C423)/C423</f>
        <v/>
      </c>
      <c r="F435" s="3" t="n"/>
      <c r="K435" s="2" t="n"/>
    </row>
    <row r="436">
      <c r="A436" s="39" t="n">
        <v>30621</v>
      </c>
      <c r="B436" s="40">
        <f>VLOOKUP(Table7[[#This Row],[Date]],'DB Details'!$A:$L,12)</f>
        <v/>
      </c>
      <c r="C436" s="41" t="n">
        <v>166.399994</v>
      </c>
      <c r="D436" s="46">
        <f>(Table7[[#This Row],[S&amp;P]]-C424)/C424</f>
        <v/>
      </c>
      <c r="F436" s="3" t="n"/>
      <c r="K436" s="2" t="n"/>
    </row>
    <row r="437">
      <c r="A437" s="39" t="n">
        <v>30651</v>
      </c>
      <c r="B437" s="40">
        <f>VLOOKUP(Table7[[#This Row],[Date]],'DB Details'!$A:$L,12)</f>
        <v/>
      </c>
      <c r="C437" s="41" t="n">
        <v>164.929993</v>
      </c>
      <c r="D437" s="46">
        <f>(Table7[[#This Row],[S&amp;P]]-C425)/C425</f>
        <v/>
      </c>
      <c r="F437" s="3" t="n"/>
      <c r="K437" s="2" t="n"/>
    </row>
    <row r="438">
      <c r="A438" s="39" t="n">
        <v>30682</v>
      </c>
      <c r="B438" s="40">
        <f>VLOOKUP(Table7[[#This Row],[Date]],'DB Details'!$A:$L,12)</f>
        <v/>
      </c>
      <c r="C438" s="41" t="n">
        <v>163.410004</v>
      </c>
      <c r="D438" s="46">
        <f>(Table7[[#This Row],[S&amp;P]]-C426)/C426</f>
        <v/>
      </c>
      <c r="F438" s="3" t="n"/>
      <c r="K438" s="2" t="n"/>
    </row>
    <row r="439">
      <c r="A439" s="39" t="n">
        <v>30713</v>
      </c>
      <c r="B439" s="40">
        <f>VLOOKUP(Table7[[#This Row],[Date]],'DB Details'!$A:$L,12)</f>
        <v/>
      </c>
      <c r="C439" s="41" t="n">
        <v>157.059998</v>
      </c>
      <c r="D439" s="46">
        <f>(Table7[[#This Row],[S&amp;P]]-C427)/C427</f>
        <v/>
      </c>
      <c r="F439" s="3" t="n"/>
      <c r="K439" s="2" t="n"/>
    </row>
    <row r="440">
      <c r="A440" s="39" t="n">
        <v>30742</v>
      </c>
      <c r="B440" s="40">
        <f>VLOOKUP(Table7[[#This Row],[Date]],'DB Details'!$A:$L,12)</f>
        <v/>
      </c>
      <c r="C440" s="41" t="n">
        <v>159.179993</v>
      </c>
      <c r="D440" s="46">
        <f>(Table7[[#This Row],[S&amp;P]]-C428)/C428</f>
        <v/>
      </c>
      <c r="F440" s="3" t="n"/>
      <c r="K440" s="2" t="n"/>
    </row>
    <row r="441">
      <c r="A441" s="39" t="n">
        <v>30773</v>
      </c>
      <c r="B441" s="40">
        <f>VLOOKUP(Table7[[#This Row],[Date]],'DB Details'!$A:$L,12)</f>
        <v/>
      </c>
      <c r="C441" s="41" t="n">
        <v>160.050003</v>
      </c>
      <c r="D441" s="46">
        <f>(Table7[[#This Row],[S&amp;P]]-C429)/C429</f>
        <v/>
      </c>
      <c r="F441" s="3" t="n"/>
      <c r="K441" s="2" t="n"/>
    </row>
    <row r="442">
      <c r="A442" s="39" t="n">
        <v>30803</v>
      </c>
      <c r="B442" s="40">
        <f>VLOOKUP(Table7[[#This Row],[Date]],'DB Details'!$A:$L,12)</f>
        <v/>
      </c>
      <c r="C442" s="41" t="n">
        <v>150.550003</v>
      </c>
      <c r="D442" s="46">
        <f>(Table7[[#This Row],[S&amp;P]]-C430)/C430</f>
        <v/>
      </c>
      <c r="F442" s="3" t="n"/>
      <c r="K442" s="2" t="n"/>
    </row>
    <row r="443">
      <c r="A443" s="39" t="n">
        <v>30834</v>
      </c>
      <c r="B443" s="40">
        <f>VLOOKUP(Table7[[#This Row],[Date]],'DB Details'!$A:$L,12)</f>
        <v/>
      </c>
      <c r="C443" s="41" t="n">
        <v>153.179993</v>
      </c>
      <c r="D443" s="46">
        <f>(Table7[[#This Row],[S&amp;P]]-C431)/C431</f>
        <v/>
      </c>
      <c r="F443" s="3" t="n"/>
      <c r="K443" s="2" t="n"/>
    </row>
    <row r="444">
      <c r="A444" s="39" t="n">
        <v>30864</v>
      </c>
      <c r="B444" s="40">
        <f>VLOOKUP(Table7[[#This Row],[Date]],'DB Details'!$A:$L,12)</f>
        <v/>
      </c>
      <c r="C444" s="41" t="n">
        <v>150.660004</v>
      </c>
      <c r="D444" s="46">
        <f>(Table7[[#This Row],[S&amp;P]]-C432)/C432</f>
        <v/>
      </c>
      <c r="F444" s="3" t="n"/>
      <c r="K444" s="2" t="n"/>
    </row>
    <row r="445">
      <c r="A445" s="39" t="n">
        <v>30895</v>
      </c>
      <c r="B445" s="40">
        <f>VLOOKUP(Table7[[#This Row],[Date]],'DB Details'!$A:$L,12)</f>
        <v/>
      </c>
      <c r="C445" s="41" t="n">
        <v>166.679993</v>
      </c>
      <c r="D445" s="46">
        <f>(Table7[[#This Row],[S&amp;P]]-C433)/C433</f>
        <v/>
      </c>
      <c r="F445" s="3" t="n"/>
      <c r="K445" s="2" t="n"/>
    </row>
    <row r="446">
      <c r="A446" s="39" t="n">
        <v>30926</v>
      </c>
      <c r="B446" s="40">
        <f>VLOOKUP(Table7[[#This Row],[Date]],'DB Details'!$A:$L,12)</f>
        <v/>
      </c>
      <c r="C446" s="41" t="n">
        <v>166.100006</v>
      </c>
      <c r="D446" s="46">
        <f>(Table7[[#This Row],[S&amp;P]]-C434)/C434</f>
        <v/>
      </c>
      <c r="F446" s="3" t="n"/>
      <c r="K446" s="2" t="n"/>
    </row>
    <row r="447">
      <c r="A447" s="39" t="n">
        <v>30956</v>
      </c>
      <c r="B447" s="40">
        <f>VLOOKUP(Table7[[#This Row],[Date]],'DB Details'!$A:$L,12)</f>
        <v/>
      </c>
      <c r="C447" s="41" t="n">
        <v>166.089996</v>
      </c>
      <c r="D447" s="46">
        <f>(Table7[[#This Row],[S&amp;P]]-C435)/C435</f>
        <v/>
      </c>
      <c r="F447" s="3" t="n"/>
      <c r="K447" s="2" t="n"/>
    </row>
    <row r="448">
      <c r="A448" s="39" t="n">
        <v>30987</v>
      </c>
      <c r="B448" s="40">
        <f>VLOOKUP(Table7[[#This Row],[Date]],'DB Details'!$A:$L,12)</f>
        <v/>
      </c>
      <c r="C448" s="41" t="n">
        <v>163.580002</v>
      </c>
      <c r="D448" s="46">
        <f>(Table7[[#This Row],[S&amp;P]]-C436)/C436</f>
        <v/>
      </c>
      <c r="F448" s="3" t="n"/>
      <c r="K448" s="2" t="n"/>
    </row>
    <row r="449">
      <c r="A449" s="39" t="n">
        <v>31017</v>
      </c>
      <c r="B449" s="40">
        <f>VLOOKUP(Table7[[#This Row],[Date]],'DB Details'!$A:$L,12)</f>
        <v/>
      </c>
      <c r="C449" s="41" t="n">
        <v>167.240005</v>
      </c>
      <c r="D449" s="46">
        <f>(Table7[[#This Row],[S&amp;P]]-C437)/C437</f>
        <v/>
      </c>
      <c r="F449" s="3" t="n"/>
      <c r="K449" s="2" t="n"/>
    </row>
    <row r="450">
      <c r="A450" s="39" t="n">
        <v>31048</v>
      </c>
      <c r="B450" s="40">
        <f>VLOOKUP(Table7[[#This Row],[Date]],'DB Details'!$A:$L,12)</f>
        <v/>
      </c>
      <c r="C450" s="41">
        <f>VLOOKUP(Table7[[#This Row],[Date]],'DB Details'!$A:$Q,13)</f>
        <v/>
      </c>
      <c r="D450" s="46">
        <f>(Table7[[#This Row],[S&amp;P]]-C438)/C438</f>
        <v/>
      </c>
      <c r="F450" s="3" t="n"/>
      <c r="K450" s="2" t="n"/>
    </row>
    <row r="451">
      <c r="A451" s="39" t="n">
        <v>31079</v>
      </c>
      <c r="B451" s="40">
        <f>VLOOKUP(Table7[[#This Row],[Date]],'DB Details'!$A:$L,12)</f>
        <v/>
      </c>
      <c r="C451" s="41">
        <f>VLOOKUP(Table7[[#This Row],[Date]],'DB Details'!$A:$Q,13)</f>
        <v/>
      </c>
      <c r="D451" s="46">
        <f>(Table7[[#This Row],[S&amp;P]]-C439)/C439</f>
        <v/>
      </c>
      <c r="F451" s="3" t="n"/>
      <c r="K451" s="2" t="n"/>
    </row>
    <row r="452">
      <c r="A452" s="39" t="n">
        <v>31107</v>
      </c>
      <c r="B452" s="40">
        <f>VLOOKUP(Table7[[#This Row],[Date]],'DB Details'!$A:$L,12)</f>
        <v/>
      </c>
      <c r="C452" s="41">
        <f>VLOOKUP(Table7[[#This Row],[Date]],'DB Details'!$A:$Q,13)</f>
        <v/>
      </c>
      <c r="D452" s="46">
        <f>(Table7[[#This Row],[S&amp;P]]-C440)/C440</f>
        <v/>
      </c>
      <c r="F452" s="3" t="n"/>
      <c r="K452" s="2" t="n"/>
    </row>
    <row r="453">
      <c r="A453" s="39" t="n">
        <v>31138</v>
      </c>
      <c r="B453" s="40">
        <f>VLOOKUP(Table7[[#This Row],[Date]],'DB Details'!$A:$L,12)</f>
        <v/>
      </c>
      <c r="C453" s="41">
        <f>VLOOKUP(Table7[[#This Row],[Date]],'DB Details'!$A:$Q,13)</f>
        <v/>
      </c>
      <c r="D453" s="46">
        <f>(Table7[[#This Row],[S&amp;P]]-C441)/C441</f>
        <v/>
      </c>
      <c r="F453" s="3" t="n"/>
      <c r="K453" s="2" t="n"/>
    </row>
    <row r="454">
      <c r="A454" s="39" t="n">
        <v>31168</v>
      </c>
      <c r="B454" s="40">
        <f>VLOOKUP(Table7[[#This Row],[Date]],'DB Details'!$A:$L,12)</f>
        <v/>
      </c>
      <c r="C454" s="41">
        <f>VLOOKUP(Table7[[#This Row],[Date]],'DB Details'!$A:$Q,13)</f>
        <v/>
      </c>
      <c r="D454" s="46">
        <f>(Table7[[#This Row],[S&amp;P]]-C442)/C442</f>
        <v/>
      </c>
      <c r="F454" s="3" t="n"/>
      <c r="K454" s="2" t="n"/>
    </row>
    <row r="455">
      <c r="A455" s="39" t="n">
        <v>31199</v>
      </c>
      <c r="B455" s="40">
        <f>VLOOKUP(Table7[[#This Row],[Date]],'DB Details'!$A:$L,12)</f>
        <v/>
      </c>
      <c r="C455" s="41">
        <f>VLOOKUP(Table7[[#This Row],[Date]],'DB Details'!$A:$Q,13)</f>
        <v/>
      </c>
      <c r="D455" s="46">
        <f>(Table7[[#This Row],[S&amp;P]]-C443)/C443</f>
        <v/>
      </c>
      <c r="F455" s="3" t="n"/>
      <c r="K455" s="2" t="n"/>
    </row>
    <row r="456">
      <c r="A456" s="39" t="n">
        <v>31229</v>
      </c>
      <c r="B456" s="40">
        <f>VLOOKUP(Table7[[#This Row],[Date]],'DB Details'!$A:$L,12)</f>
        <v/>
      </c>
      <c r="C456" s="41">
        <f>VLOOKUP(Table7[[#This Row],[Date]],'DB Details'!$A:$Q,13)</f>
        <v/>
      </c>
      <c r="D456" s="46">
        <f>(Table7[[#This Row],[S&amp;P]]-C444)/C444</f>
        <v/>
      </c>
      <c r="F456" s="3" t="n"/>
      <c r="K456" s="2" t="n"/>
    </row>
    <row r="457">
      <c r="A457" s="39" t="n">
        <v>31260</v>
      </c>
      <c r="B457" s="40">
        <f>VLOOKUP(Table7[[#This Row],[Date]],'DB Details'!$A:$L,12)</f>
        <v/>
      </c>
      <c r="C457" s="41">
        <f>VLOOKUP(Table7[[#This Row],[Date]],'DB Details'!$A:$Q,13)</f>
        <v/>
      </c>
      <c r="D457" s="46">
        <f>(Table7[[#This Row],[S&amp;P]]-C445)/C445</f>
        <v/>
      </c>
      <c r="F457" s="3" t="n"/>
      <c r="K457" s="2" t="n"/>
    </row>
    <row r="458">
      <c r="A458" s="39" t="n">
        <v>31291</v>
      </c>
      <c r="B458" s="40">
        <f>VLOOKUP(Table7[[#This Row],[Date]],'DB Details'!$A:$L,12)</f>
        <v/>
      </c>
      <c r="C458" s="41">
        <f>VLOOKUP(Table7[[#This Row],[Date]],'DB Details'!$A:$Q,13)</f>
        <v/>
      </c>
      <c r="D458" s="46">
        <f>(Table7[[#This Row],[S&amp;P]]-C446)/C446</f>
        <v/>
      </c>
      <c r="F458" s="3" t="n"/>
      <c r="K458" s="2" t="n"/>
    </row>
    <row r="459">
      <c r="A459" s="39" t="n">
        <v>31321</v>
      </c>
      <c r="B459" s="40">
        <f>VLOOKUP(Table7[[#This Row],[Date]],'DB Details'!$A:$L,12)</f>
        <v/>
      </c>
      <c r="C459" s="41">
        <f>VLOOKUP(Table7[[#This Row],[Date]],'DB Details'!$A:$Q,13)</f>
        <v/>
      </c>
      <c r="D459" s="46">
        <f>(Table7[[#This Row],[S&amp;P]]-C447)/C447</f>
        <v/>
      </c>
      <c r="F459" s="3" t="n"/>
      <c r="K459" s="2" t="n"/>
    </row>
    <row r="460">
      <c r="A460" s="39" t="n">
        <v>31352</v>
      </c>
      <c r="B460" s="40">
        <f>VLOOKUP(Table7[[#This Row],[Date]],'DB Details'!$A:$L,12)</f>
        <v/>
      </c>
      <c r="C460" s="41">
        <f>VLOOKUP(Table7[[#This Row],[Date]],'DB Details'!$A:$Q,13)</f>
        <v/>
      </c>
      <c r="D460" s="46">
        <f>(Table7[[#This Row],[S&amp;P]]-C448)/C448</f>
        <v/>
      </c>
      <c r="F460" s="3" t="n"/>
      <c r="K460" s="2" t="n"/>
    </row>
    <row r="461">
      <c r="A461" s="39" t="n">
        <v>31382</v>
      </c>
      <c r="B461" s="40">
        <f>VLOOKUP(Table7[[#This Row],[Date]],'DB Details'!$A:$L,12)</f>
        <v/>
      </c>
      <c r="C461" s="41">
        <f>VLOOKUP(Table7[[#This Row],[Date]],'DB Details'!$A:$Q,13)</f>
        <v/>
      </c>
      <c r="D461" s="46">
        <f>(Table7[[#This Row],[S&amp;P]]-C449)/C449</f>
        <v/>
      </c>
      <c r="F461" s="3" t="n"/>
      <c r="K461" s="2" t="n"/>
    </row>
    <row r="462">
      <c r="A462" s="39" t="n">
        <v>31413</v>
      </c>
      <c r="B462" s="40">
        <f>VLOOKUP(Table7[[#This Row],[Date]],'DB Details'!$A:$L,12)</f>
        <v/>
      </c>
      <c r="C462" s="41">
        <f>VLOOKUP(Table7[[#This Row],[Date]],'DB Details'!$A:$Q,13)</f>
        <v/>
      </c>
      <c r="D462" s="46">
        <f>(Table7[[#This Row],[S&amp;P]]-C450)/C450</f>
        <v/>
      </c>
      <c r="F462" s="3" t="n"/>
      <c r="K462" s="2" t="n"/>
    </row>
    <row r="463">
      <c r="A463" s="39" t="n">
        <v>31444</v>
      </c>
      <c r="B463" s="40">
        <f>VLOOKUP(Table7[[#This Row],[Date]],'DB Details'!$A:$L,12)</f>
        <v/>
      </c>
      <c r="C463" s="41">
        <f>VLOOKUP(Table7[[#This Row],[Date]],'DB Details'!$A:$Q,13)</f>
        <v/>
      </c>
      <c r="D463" s="46">
        <f>(Table7[[#This Row],[S&amp;P]]-C451)/C451</f>
        <v/>
      </c>
      <c r="F463" s="3" t="n"/>
      <c r="K463" s="2" t="n"/>
    </row>
    <row r="464">
      <c r="A464" s="39" t="n">
        <v>31472</v>
      </c>
      <c r="B464" s="40">
        <f>VLOOKUP(Table7[[#This Row],[Date]],'DB Details'!$A:$L,12)</f>
        <v/>
      </c>
      <c r="C464" s="41">
        <f>VLOOKUP(Table7[[#This Row],[Date]],'DB Details'!$A:$Q,13)</f>
        <v/>
      </c>
      <c r="D464" s="46">
        <f>(Table7[[#This Row],[S&amp;P]]-C452)/C452</f>
        <v/>
      </c>
      <c r="F464" s="3" t="n"/>
      <c r="K464" s="2" t="n"/>
    </row>
    <row r="465">
      <c r="A465" s="39" t="n">
        <v>31503</v>
      </c>
      <c r="B465" s="40">
        <f>VLOOKUP(Table7[[#This Row],[Date]],'DB Details'!$A:$L,12)</f>
        <v/>
      </c>
      <c r="C465" s="41">
        <f>VLOOKUP(Table7[[#This Row],[Date]],'DB Details'!$A:$Q,13)</f>
        <v/>
      </c>
      <c r="D465" s="46">
        <f>(Table7[[#This Row],[S&amp;P]]-C453)/C453</f>
        <v/>
      </c>
      <c r="F465" s="3" t="n"/>
      <c r="K465" s="2" t="n"/>
    </row>
    <row r="466">
      <c r="A466" s="39" t="n">
        <v>31533</v>
      </c>
      <c r="B466" s="40">
        <f>VLOOKUP(Table7[[#This Row],[Date]],'DB Details'!$A:$L,12)</f>
        <v/>
      </c>
      <c r="C466" s="41">
        <f>VLOOKUP(Table7[[#This Row],[Date]],'DB Details'!$A:$Q,13)</f>
        <v/>
      </c>
      <c r="D466" s="46">
        <f>(Table7[[#This Row],[S&amp;P]]-C454)/C454</f>
        <v/>
      </c>
      <c r="F466" s="3" t="n"/>
      <c r="K466" s="2" t="n"/>
    </row>
    <row r="467">
      <c r="A467" s="39" t="n">
        <v>31564</v>
      </c>
      <c r="B467" s="40">
        <f>VLOOKUP(Table7[[#This Row],[Date]],'DB Details'!$A:$L,12)</f>
        <v/>
      </c>
      <c r="C467" s="41">
        <f>VLOOKUP(Table7[[#This Row],[Date]],'DB Details'!$A:$Q,13)</f>
        <v/>
      </c>
      <c r="D467" s="46">
        <f>(Table7[[#This Row],[S&amp;P]]-C455)/C455</f>
        <v/>
      </c>
      <c r="F467" s="3" t="n"/>
      <c r="K467" s="2" t="n"/>
    </row>
    <row r="468">
      <c r="A468" s="39" t="n">
        <v>31594</v>
      </c>
      <c r="B468" s="40">
        <f>VLOOKUP(Table7[[#This Row],[Date]],'DB Details'!$A:$L,12)</f>
        <v/>
      </c>
      <c r="C468" s="41">
        <f>VLOOKUP(Table7[[#This Row],[Date]],'DB Details'!$A:$Q,13)</f>
        <v/>
      </c>
      <c r="D468" s="46">
        <f>(Table7[[#This Row],[S&amp;P]]-C456)/C456</f>
        <v/>
      </c>
      <c r="F468" s="3" t="n"/>
      <c r="K468" s="2" t="n"/>
    </row>
    <row r="469">
      <c r="A469" s="39" t="n">
        <v>31625</v>
      </c>
      <c r="B469" s="40">
        <f>VLOOKUP(Table7[[#This Row],[Date]],'DB Details'!$A:$L,12)</f>
        <v/>
      </c>
      <c r="C469" s="41">
        <f>VLOOKUP(Table7[[#This Row],[Date]],'DB Details'!$A:$Q,13)</f>
        <v/>
      </c>
      <c r="D469" s="46">
        <f>(Table7[[#This Row],[S&amp;P]]-C457)/C457</f>
        <v/>
      </c>
      <c r="F469" s="3" t="n"/>
      <c r="K469" s="2" t="n"/>
    </row>
    <row r="470">
      <c r="A470" s="39" t="n">
        <v>31656</v>
      </c>
      <c r="B470" s="40">
        <f>VLOOKUP(Table7[[#This Row],[Date]],'DB Details'!$A:$L,12)</f>
        <v/>
      </c>
      <c r="C470" s="41">
        <f>VLOOKUP(Table7[[#This Row],[Date]],'DB Details'!$A:$Q,13)</f>
        <v/>
      </c>
      <c r="D470" s="46">
        <f>(Table7[[#This Row],[S&amp;P]]-C458)/C458</f>
        <v/>
      </c>
      <c r="F470" s="3" t="n"/>
      <c r="K470" s="2" t="n"/>
    </row>
    <row r="471">
      <c r="A471" s="39" t="n">
        <v>31686</v>
      </c>
      <c r="B471" s="40">
        <f>VLOOKUP(Table7[[#This Row],[Date]],'DB Details'!$A:$L,12)</f>
        <v/>
      </c>
      <c r="C471" s="41">
        <f>VLOOKUP(Table7[[#This Row],[Date]],'DB Details'!$A:$Q,13)</f>
        <v/>
      </c>
      <c r="D471" s="46">
        <f>(Table7[[#This Row],[S&amp;P]]-C459)/C459</f>
        <v/>
      </c>
      <c r="F471" s="3" t="n"/>
      <c r="K471" s="2" t="n"/>
    </row>
    <row r="472">
      <c r="A472" s="39" t="n">
        <v>31717</v>
      </c>
      <c r="B472" s="40">
        <f>VLOOKUP(Table7[[#This Row],[Date]],'DB Details'!$A:$L,12)</f>
        <v/>
      </c>
      <c r="C472" s="41">
        <f>VLOOKUP(Table7[[#This Row],[Date]],'DB Details'!$A:$Q,13)</f>
        <v/>
      </c>
      <c r="D472" s="46">
        <f>(Table7[[#This Row],[S&amp;P]]-C460)/C460</f>
        <v/>
      </c>
      <c r="F472" s="3" t="n"/>
      <c r="K472" s="2" t="n"/>
    </row>
    <row r="473">
      <c r="A473" s="39" t="n">
        <v>31747</v>
      </c>
      <c r="B473" s="40">
        <f>VLOOKUP(Table7[[#This Row],[Date]],'DB Details'!$A:$L,12)</f>
        <v/>
      </c>
      <c r="C473" s="41">
        <f>VLOOKUP(Table7[[#This Row],[Date]],'DB Details'!$A:$Q,13)</f>
        <v/>
      </c>
      <c r="D473" s="46">
        <f>(Table7[[#This Row],[S&amp;P]]-C461)/C461</f>
        <v/>
      </c>
      <c r="F473" s="3" t="n"/>
      <c r="K473" s="2" t="n"/>
    </row>
    <row r="474">
      <c r="A474" s="39" t="n">
        <v>31778</v>
      </c>
      <c r="B474" s="40">
        <f>VLOOKUP(Table7[[#This Row],[Date]],'DB Details'!$A:$L,12)</f>
        <v/>
      </c>
      <c r="C474" s="41">
        <f>VLOOKUP(Table7[[#This Row],[Date]],'DB Details'!$A:$Q,13)</f>
        <v/>
      </c>
      <c r="D474" s="46">
        <f>(Table7[[#This Row],[S&amp;P]]-C462)/C462</f>
        <v/>
      </c>
      <c r="F474" s="3" t="n"/>
      <c r="K474" s="2" t="n"/>
    </row>
    <row r="475">
      <c r="A475" s="39" t="n">
        <v>31809</v>
      </c>
      <c r="B475" s="40">
        <f>VLOOKUP(Table7[[#This Row],[Date]],'DB Details'!$A:$L,12)</f>
        <v/>
      </c>
      <c r="C475" s="41">
        <f>VLOOKUP(Table7[[#This Row],[Date]],'DB Details'!$A:$Q,13)</f>
        <v/>
      </c>
      <c r="D475" s="46">
        <f>(Table7[[#This Row],[S&amp;P]]-C463)/C463</f>
        <v/>
      </c>
      <c r="F475" s="3" t="n"/>
      <c r="K475" s="2" t="n"/>
    </row>
    <row r="476">
      <c r="A476" s="39" t="n">
        <v>31837</v>
      </c>
      <c r="B476" s="40">
        <f>VLOOKUP(Table7[[#This Row],[Date]],'DB Details'!$A:$L,12)</f>
        <v/>
      </c>
      <c r="C476" s="41">
        <f>VLOOKUP(Table7[[#This Row],[Date]],'DB Details'!$A:$Q,13)</f>
        <v/>
      </c>
      <c r="D476" s="46">
        <f>(Table7[[#This Row],[S&amp;P]]-C464)/C464</f>
        <v/>
      </c>
      <c r="F476" s="3" t="n"/>
      <c r="K476" s="2" t="n"/>
    </row>
    <row r="477">
      <c r="A477" s="39" t="n">
        <v>31868</v>
      </c>
      <c r="B477" s="40">
        <f>VLOOKUP(Table7[[#This Row],[Date]],'DB Details'!$A:$L,12)</f>
        <v/>
      </c>
      <c r="C477" s="41">
        <f>VLOOKUP(Table7[[#This Row],[Date]],'DB Details'!$A:$Q,13)</f>
        <v/>
      </c>
      <c r="D477" s="46">
        <f>(Table7[[#This Row],[S&amp;P]]-C465)/C465</f>
        <v/>
      </c>
      <c r="F477" s="3" t="n"/>
      <c r="K477" s="2" t="n"/>
    </row>
    <row r="478">
      <c r="A478" s="39" t="n">
        <v>31898</v>
      </c>
      <c r="B478" s="40">
        <f>VLOOKUP(Table7[[#This Row],[Date]],'DB Details'!$A:$L,12)</f>
        <v/>
      </c>
      <c r="C478" s="41">
        <f>VLOOKUP(Table7[[#This Row],[Date]],'DB Details'!$A:$Q,13)</f>
        <v/>
      </c>
      <c r="D478" s="46">
        <f>(Table7[[#This Row],[S&amp;P]]-C466)/C466</f>
        <v/>
      </c>
      <c r="F478" s="3" t="n"/>
      <c r="K478" s="2" t="n"/>
    </row>
    <row r="479">
      <c r="A479" s="39" t="n">
        <v>31929</v>
      </c>
      <c r="B479" s="40">
        <f>VLOOKUP(Table7[[#This Row],[Date]],'DB Details'!$A:$L,12)</f>
        <v/>
      </c>
      <c r="C479" s="41">
        <f>VLOOKUP(Table7[[#This Row],[Date]],'DB Details'!$A:$Q,13)</f>
        <v/>
      </c>
      <c r="D479" s="46">
        <f>(Table7[[#This Row],[S&amp;P]]-C467)/C467</f>
        <v/>
      </c>
      <c r="F479" s="3" t="n"/>
      <c r="K479" s="2" t="n"/>
    </row>
    <row r="480">
      <c r="A480" s="39" t="n">
        <v>31959</v>
      </c>
      <c r="B480" s="40">
        <f>VLOOKUP(Table7[[#This Row],[Date]],'DB Details'!$A:$L,12)</f>
        <v/>
      </c>
      <c r="C480" s="41">
        <f>VLOOKUP(Table7[[#This Row],[Date]],'DB Details'!$A:$Q,13)</f>
        <v/>
      </c>
      <c r="D480" s="46">
        <f>(Table7[[#This Row],[S&amp;P]]-C468)/C468</f>
        <v/>
      </c>
      <c r="F480" s="3" t="n"/>
      <c r="K480" s="2" t="n"/>
    </row>
    <row r="481">
      <c r="A481" s="39" t="n">
        <v>31990</v>
      </c>
      <c r="B481" s="40">
        <f>VLOOKUP(Table7[[#This Row],[Date]],'DB Details'!$A:$L,12)</f>
        <v/>
      </c>
      <c r="C481" s="41">
        <f>VLOOKUP(Table7[[#This Row],[Date]],'DB Details'!$A:$Q,13)</f>
        <v/>
      </c>
      <c r="D481" s="46">
        <f>(Table7[[#This Row],[S&amp;P]]-C469)/C469</f>
        <v/>
      </c>
      <c r="F481" s="3" t="n"/>
      <c r="K481" s="2" t="n"/>
    </row>
    <row r="482">
      <c r="A482" s="39" t="n">
        <v>32021</v>
      </c>
      <c r="B482" s="40">
        <f>VLOOKUP(Table7[[#This Row],[Date]],'DB Details'!$A:$L,12)</f>
        <v/>
      </c>
      <c r="C482" s="41">
        <f>VLOOKUP(Table7[[#This Row],[Date]],'DB Details'!$A:$Q,13)</f>
        <v/>
      </c>
      <c r="D482" s="46">
        <f>(Table7[[#This Row],[S&amp;P]]-C470)/C470</f>
        <v/>
      </c>
      <c r="F482" s="3" t="n"/>
      <c r="K482" s="2" t="n"/>
    </row>
    <row r="483">
      <c r="A483" s="39" t="n">
        <v>32051</v>
      </c>
      <c r="B483" s="40">
        <f>VLOOKUP(Table7[[#This Row],[Date]],'DB Details'!$A:$L,12)</f>
        <v/>
      </c>
      <c r="C483" s="41">
        <f>VLOOKUP(Table7[[#This Row],[Date]],'DB Details'!$A:$Q,13)</f>
        <v/>
      </c>
      <c r="D483" s="46">
        <f>(Table7[[#This Row],[S&amp;P]]-C471)/C471</f>
        <v/>
      </c>
      <c r="F483" s="3" t="n"/>
      <c r="K483" s="2" t="n"/>
    </row>
    <row r="484">
      <c r="A484" s="39" t="n">
        <v>32082</v>
      </c>
      <c r="B484" s="40">
        <f>VLOOKUP(Table7[[#This Row],[Date]],'DB Details'!$A:$L,12)</f>
        <v/>
      </c>
      <c r="C484" s="41">
        <f>VLOOKUP(Table7[[#This Row],[Date]],'DB Details'!$A:$Q,13)</f>
        <v/>
      </c>
      <c r="D484" s="46">
        <f>(Table7[[#This Row],[S&amp;P]]-C472)/C472</f>
        <v/>
      </c>
      <c r="F484" s="3" t="n"/>
      <c r="K484" s="2" t="n"/>
    </row>
    <row r="485">
      <c r="A485" s="39" t="n">
        <v>32112</v>
      </c>
      <c r="B485" s="40">
        <f>VLOOKUP(Table7[[#This Row],[Date]],'DB Details'!$A:$L,12)</f>
        <v/>
      </c>
      <c r="C485" s="41">
        <f>VLOOKUP(Table7[[#This Row],[Date]],'DB Details'!$A:$Q,13)</f>
        <v/>
      </c>
      <c r="D485" s="46">
        <f>(Table7[[#This Row],[S&amp;P]]-C473)/C473</f>
        <v/>
      </c>
      <c r="F485" s="3" t="n"/>
      <c r="K485" s="2" t="n"/>
    </row>
    <row r="486">
      <c r="A486" s="39" t="n">
        <v>32143</v>
      </c>
      <c r="B486" s="40">
        <f>VLOOKUP(Table7[[#This Row],[Date]],'DB Details'!$A:$L,12)</f>
        <v/>
      </c>
      <c r="C486" s="41">
        <f>VLOOKUP(Table7[[#This Row],[Date]],'DB Details'!$A:$Q,13)</f>
        <v/>
      </c>
      <c r="D486" s="46">
        <f>(Table7[[#This Row],[S&amp;P]]-C474)/C474</f>
        <v/>
      </c>
      <c r="F486" s="3" t="n"/>
      <c r="K486" s="2" t="n"/>
    </row>
    <row r="487">
      <c r="A487" s="39" t="n">
        <v>32174</v>
      </c>
      <c r="B487" s="40">
        <f>VLOOKUP(Table7[[#This Row],[Date]],'DB Details'!$A:$L,12)</f>
        <v/>
      </c>
      <c r="C487" s="41">
        <f>VLOOKUP(Table7[[#This Row],[Date]],'DB Details'!$A:$Q,13)</f>
        <v/>
      </c>
      <c r="D487" s="46">
        <f>(Table7[[#This Row],[S&amp;P]]-C475)/C475</f>
        <v/>
      </c>
      <c r="F487" s="3" t="n"/>
      <c r="K487" s="2" t="n"/>
    </row>
    <row r="488">
      <c r="A488" s="39" t="n">
        <v>32203</v>
      </c>
      <c r="B488" s="40">
        <f>VLOOKUP(Table7[[#This Row],[Date]],'DB Details'!$A:$L,12)</f>
        <v/>
      </c>
      <c r="C488" s="41">
        <f>VLOOKUP(Table7[[#This Row],[Date]],'DB Details'!$A:$Q,13)</f>
        <v/>
      </c>
      <c r="D488" s="46">
        <f>(Table7[[#This Row],[S&amp;P]]-C476)/C476</f>
        <v/>
      </c>
      <c r="F488" s="3" t="n"/>
      <c r="K488" s="2" t="n"/>
    </row>
    <row r="489">
      <c r="A489" s="39" t="n">
        <v>32234</v>
      </c>
      <c r="B489" s="40">
        <f>VLOOKUP(Table7[[#This Row],[Date]],'DB Details'!$A:$L,12)</f>
        <v/>
      </c>
      <c r="C489" s="41">
        <f>VLOOKUP(Table7[[#This Row],[Date]],'DB Details'!$A:$Q,13)</f>
        <v/>
      </c>
      <c r="D489" s="46">
        <f>(Table7[[#This Row],[S&amp;P]]-C477)/C477</f>
        <v/>
      </c>
      <c r="F489" s="3" t="n"/>
      <c r="K489" s="2" t="n"/>
    </row>
    <row r="490">
      <c r="A490" s="39" t="n">
        <v>32264</v>
      </c>
      <c r="B490" s="40">
        <f>VLOOKUP(Table7[[#This Row],[Date]],'DB Details'!$A:$L,12)</f>
        <v/>
      </c>
      <c r="C490" s="41">
        <f>VLOOKUP(Table7[[#This Row],[Date]],'DB Details'!$A:$Q,13)</f>
        <v/>
      </c>
      <c r="D490" s="46">
        <f>(Table7[[#This Row],[S&amp;P]]-C478)/C478</f>
        <v/>
      </c>
      <c r="F490" s="3" t="n"/>
      <c r="K490" s="2" t="n"/>
    </row>
    <row r="491">
      <c r="A491" s="39" t="n">
        <v>32295</v>
      </c>
      <c r="B491" s="40">
        <f>VLOOKUP(Table7[[#This Row],[Date]],'DB Details'!$A:$L,12)</f>
        <v/>
      </c>
      <c r="C491" s="41">
        <f>VLOOKUP(Table7[[#This Row],[Date]],'DB Details'!$A:$Q,13)</f>
        <v/>
      </c>
      <c r="D491" s="46">
        <f>(Table7[[#This Row],[S&amp;P]]-C479)/C479</f>
        <v/>
      </c>
      <c r="F491" s="3" t="n"/>
      <c r="K491" s="2" t="n"/>
    </row>
    <row r="492">
      <c r="A492" s="39" t="n">
        <v>32325</v>
      </c>
      <c r="B492" s="40">
        <f>VLOOKUP(Table7[[#This Row],[Date]],'DB Details'!$A:$L,12)</f>
        <v/>
      </c>
      <c r="C492" s="41">
        <f>VLOOKUP(Table7[[#This Row],[Date]],'DB Details'!$A:$Q,13)</f>
        <v/>
      </c>
      <c r="D492" s="46">
        <f>(Table7[[#This Row],[S&amp;P]]-C480)/C480</f>
        <v/>
      </c>
      <c r="F492" s="3" t="n"/>
      <c r="K492" s="2" t="n"/>
    </row>
    <row r="493">
      <c r="A493" s="39" t="n">
        <v>32356</v>
      </c>
      <c r="B493" s="40">
        <f>VLOOKUP(Table7[[#This Row],[Date]],'DB Details'!$A:$L,12)</f>
        <v/>
      </c>
      <c r="C493" s="41">
        <f>VLOOKUP(Table7[[#This Row],[Date]],'DB Details'!$A:$Q,13)</f>
        <v/>
      </c>
      <c r="D493" s="46">
        <f>(Table7[[#This Row],[S&amp;P]]-C481)/C481</f>
        <v/>
      </c>
      <c r="F493" s="3" t="n"/>
      <c r="K493" s="2" t="n"/>
    </row>
    <row r="494">
      <c r="A494" s="39" t="n">
        <v>32387</v>
      </c>
      <c r="B494" s="40">
        <f>VLOOKUP(Table7[[#This Row],[Date]],'DB Details'!$A:$L,12)</f>
        <v/>
      </c>
      <c r="C494" s="41">
        <f>VLOOKUP(Table7[[#This Row],[Date]],'DB Details'!$A:$Q,13)</f>
        <v/>
      </c>
      <c r="D494" s="46">
        <f>(Table7[[#This Row],[S&amp;P]]-C482)/C482</f>
        <v/>
      </c>
      <c r="F494" s="3" t="n"/>
      <c r="K494" s="2" t="n"/>
    </row>
    <row r="495">
      <c r="A495" s="39" t="n">
        <v>32417</v>
      </c>
      <c r="B495" s="40">
        <f>VLOOKUP(Table7[[#This Row],[Date]],'DB Details'!$A:$L,12)</f>
        <v/>
      </c>
      <c r="C495" s="41">
        <f>VLOOKUP(Table7[[#This Row],[Date]],'DB Details'!$A:$Q,13)</f>
        <v/>
      </c>
      <c r="D495" s="46">
        <f>(Table7[[#This Row],[S&amp;P]]-C483)/C483</f>
        <v/>
      </c>
      <c r="F495" s="3" t="n"/>
      <c r="K495" s="2" t="n"/>
    </row>
    <row r="496">
      <c r="A496" s="39" t="n">
        <v>32448</v>
      </c>
      <c r="B496" s="40">
        <f>VLOOKUP(Table7[[#This Row],[Date]],'DB Details'!$A:$L,12)</f>
        <v/>
      </c>
      <c r="C496" s="41">
        <f>VLOOKUP(Table7[[#This Row],[Date]],'DB Details'!$A:$Q,13)</f>
        <v/>
      </c>
      <c r="D496" s="46">
        <f>(Table7[[#This Row],[S&amp;P]]-C484)/C484</f>
        <v/>
      </c>
      <c r="F496" s="3" t="n"/>
      <c r="K496" s="2" t="n"/>
    </row>
    <row r="497">
      <c r="A497" s="39" t="n">
        <v>32478</v>
      </c>
      <c r="B497" s="40">
        <f>VLOOKUP(Table7[[#This Row],[Date]],'DB Details'!$A:$L,12)</f>
        <v/>
      </c>
      <c r="C497" s="41">
        <f>VLOOKUP(Table7[[#This Row],[Date]],'DB Details'!$A:$Q,13)</f>
        <v/>
      </c>
      <c r="D497" s="46">
        <f>(Table7[[#This Row],[S&amp;P]]-C485)/C485</f>
        <v/>
      </c>
      <c r="F497" s="3" t="n"/>
      <c r="K497" s="2" t="n"/>
    </row>
    <row r="498">
      <c r="A498" s="39" t="n">
        <v>32509</v>
      </c>
      <c r="B498" s="40">
        <f>VLOOKUP(Table7[[#This Row],[Date]],'DB Details'!$A:$L,12)</f>
        <v/>
      </c>
      <c r="C498" s="41">
        <f>VLOOKUP(Table7[[#This Row],[Date]],'DB Details'!$A:$Q,13)</f>
        <v/>
      </c>
      <c r="D498" s="46">
        <f>(Table7[[#This Row],[S&amp;P]]-C486)/C486</f>
        <v/>
      </c>
      <c r="F498" s="3" t="n"/>
      <c r="K498" s="2" t="n"/>
    </row>
    <row r="499">
      <c r="A499" s="39" t="n">
        <v>32540</v>
      </c>
      <c r="B499" s="40">
        <f>VLOOKUP(Table7[[#This Row],[Date]],'DB Details'!$A:$L,12)</f>
        <v/>
      </c>
      <c r="C499" s="41">
        <f>VLOOKUP(Table7[[#This Row],[Date]],'DB Details'!$A:$Q,13)</f>
        <v/>
      </c>
      <c r="D499" s="46">
        <f>(Table7[[#This Row],[S&amp;P]]-C487)/C487</f>
        <v/>
      </c>
      <c r="F499" s="3" t="n"/>
      <c r="K499" s="2" t="n"/>
    </row>
    <row r="500">
      <c r="A500" s="39" t="n">
        <v>32568</v>
      </c>
      <c r="B500" s="40">
        <f>VLOOKUP(Table7[[#This Row],[Date]],'DB Details'!$A:$L,12)</f>
        <v/>
      </c>
      <c r="C500" s="41">
        <f>VLOOKUP(Table7[[#This Row],[Date]],'DB Details'!$A:$Q,13)</f>
        <v/>
      </c>
      <c r="D500" s="46">
        <f>(Table7[[#This Row],[S&amp;P]]-C488)/C488</f>
        <v/>
      </c>
      <c r="F500" s="3" t="n"/>
      <c r="K500" s="2" t="n"/>
    </row>
    <row r="501">
      <c r="A501" s="39" t="n">
        <v>32599</v>
      </c>
      <c r="B501" s="40">
        <f>VLOOKUP(Table7[[#This Row],[Date]],'DB Details'!$A:$L,12)</f>
        <v/>
      </c>
      <c r="C501" s="41">
        <f>VLOOKUP(Table7[[#This Row],[Date]],'DB Details'!$A:$Q,13)</f>
        <v/>
      </c>
      <c r="D501" s="46">
        <f>(Table7[[#This Row],[S&amp;P]]-C489)/C489</f>
        <v/>
      </c>
      <c r="F501" s="3" t="n"/>
      <c r="K501" s="2" t="n"/>
    </row>
    <row r="502">
      <c r="A502" s="39" t="n">
        <v>32629</v>
      </c>
      <c r="B502" s="40">
        <f>VLOOKUP(Table7[[#This Row],[Date]],'DB Details'!$A:$L,12)</f>
        <v/>
      </c>
      <c r="C502" s="41">
        <f>VLOOKUP(Table7[[#This Row],[Date]],'DB Details'!$A:$Q,13)</f>
        <v/>
      </c>
      <c r="D502" s="46">
        <f>(Table7[[#This Row],[S&amp;P]]-C490)/C490</f>
        <v/>
      </c>
      <c r="F502" s="3" t="n"/>
      <c r="K502" s="2" t="n"/>
    </row>
    <row r="503">
      <c r="A503" s="39" t="n">
        <v>32660</v>
      </c>
      <c r="B503" s="40">
        <f>VLOOKUP(Table7[[#This Row],[Date]],'DB Details'!$A:$L,12)</f>
        <v/>
      </c>
      <c r="C503" s="41">
        <f>VLOOKUP(Table7[[#This Row],[Date]],'DB Details'!$A:$Q,13)</f>
        <v/>
      </c>
      <c r="D503" s="46">
        <f>(Table7[[#This Row],[S&amp;P]]-C491)/C491</f>
        <v/>
      </c>
      <c r="F503" s="3" t="n"/>
      <c r="K503" s="2" t="n"/>
    </row>
    <row r="504">
      <c r="A504" s="39" t="n">
        <v>32690</v>
      </c>
      <c r="B504" s="40">
        <f>VLOOKUP(Table7[[#This Row],[Date]],'DB Details'!$A:$L,12)</f>
        <v/>
      </c>
      <c r="C504" s="41">
        <f>VLOOKUP(Table7[[#This Row],[Date]],'DB Details'!$A:$Q,13)</f>
        <v/>
      </c>
      <c r="D504" s="46">
        <f>(Table7[[#This Row],[S&amp;P]]-C492)/C492</f>
        <v/>
      </c>
      <c r="F504" s="3" t="n"/>
      <c r="K504" s="2" t="n"/>
    </row>
    <row r="505">
      <c r="A505" s="39" t="n">
        <v>32721</v>
      </c>
      <c r="B505" s="40">
        <f>VLOOKUP(Table7[[#This Row],[Date]],'DB Details'!$A:$L,12)</f>
        <v/>
      </c>
      <c r="C505" s="41">
        <f>VLOOKUP(Table7[[#This Row],[Date]],'DB Details'!$A:$Q,13)</f>
        <v/>
      </c>
      <c r="D505" s="46">
        <f>(Table7[[#This Row],[S&amp;P]]-C493)/C493</f>
        <v/>
      </c>
      <c r="F505" s="3" t="n"/>
      <c r="K505" s="2" t="n"/>
    </row>
    <row r="506">
      <c r="A506" s="39" t="n">
        <v>32752</v>
      </c>
      <c r="B506" s="40">
        <f>VLOOKUP(Table7[[#This Row],[Date]],'DB Details'!$A:$L,12)</f>
        <v/>
      </c>
      <c r="C506" s="41">
        <f>VLOOKUP(Table7[[#This Row],[Date]],'DB Details'!$A:$Q,13)</f>
        <v/>
      </c>
      <c r="D506" s="46">
        <f>(Table7[[#This Row],[S&amp;P]]-C494)/C494</f>
        <v/>
      </c>
      <c r="F506" s="3" t="n"/>
      <c r="K506" s="2" t="n"/>
    </row>
    <row r="507">
      <c r="A507" s="39" t="n">
        <v>32782</v>
      </c>
      <c r="B507" s="40">
        <f>VLOOKUP(Table7[[#This Row],[Date]],'DB Details'!$A:$L,12)</f>
        <v/>
      </c>
      <c r="C507" s="41">
        <f>VLOOKUP(Table7[[#This Row],[Date]],'DB Details'!$A:$Q,13)</f>
        <v/>
      </c>
      <c r="D507" s="46">
        <f>(Table7[[#This Row],[S&amp;P]]-C495)/C495</f>
        <v/>
      </c>
      <c r="F507" s="3" t="n"/>
      <c r="K507" s="2" t="n"/>
    </row>
    <row r="508">
      <c r="A508" s="39" t="n">
        <v>32813</v>
      </c>
      <c r="B508" s="40">
        <f>VLOOKUP(Table7[[#This Row],[Date]],'DB Details'!$A:$L,12)</f>
        <v/>
      </c>
      <c r="C508" s="41">
        <f>VLOOKUP(Table7[[#This Row],[Date]],'DB Details'!$A:$Q,13)</f>
        <v/>
      </c>
      <c r="D508" s="46">
        <f>(Table7[[#This Row],[S&amp;P]]-C496)/C496</f>
        <v/>
      </c>
      <c r="F508" s="3" t="n"/>
      <c r="K508" s="2" t="n"/>
    </row>
    <row r="509">
      <c r="A509" s="39" t="n">
        <v>32843</v>
      </c>
      <c r="B509" s="40">
        <f>VLOOKUP(Table7[[#This Row],[Date]],'DB Details'!$A:$L,12)</f>
        <v/>
      </c>
      <c r="C509" s="41">
        <f>VLOOKUP(Table7[[#This Row],[Date]],'DB Details'!$A:$Q,13)</f>
        <v/>
      </c>
      <c r="D509" s="46">
        <f>(Table7[[#This Row],[S&amp;P]]-C497)/C497</f>
        <v/>
      </c>
      <c r="F509" s="3" t="n"/>
      <c r="K509" s="2" t="n"/>
    </row>
    <row r="510">
      <c r="A510" s="39" t="n">
        <v>32874</v>
      </c>
      <c r="B510" s="40">
        <f>VLOOKUP(Table7[[#This Row],[Date]],'DB Details'!$A:$L,12)</f>
        <v/>
      </c>
      <c r="C510" s="41">
        <f>VLOOKUP(Table7[[#This Row],[Date]],'DB Details'!$A:$Q,13)</f>
        <v/>
      </c>
      <c r="D510" s="46">
        <f>(Table7[[#This Row],[S&amp;P]]-C498)/C498</f>
        <v/>
      </c>
      <c r="F510" s="3" t="n"/>
      <c r="K510" s="2" t="n"/>
    </row>
    <row r="511">
      <c r="A511" s="39" t="n">
        <v>32905</v>
      </c>
      <c r="B511" s="40">
        <f>VLOOKUP(Table7[[#This Row],[Date]],'DB Details'!$A:$L,12)</f>
        <v/>
      </c>
      <c r="C511" s="41">
        <f>VLOOKUP(Table7[[#This Row],[Date]],'DB Details'!$A:$Q,13)</f>
        <v/>
      </c>
      <c r="D511" s="46">
        <f>(Table7[[#This Row],[S&amp;P]]-C499)/C499</f>
        <v/>
      </c>
      <c r="F511" s="3" t="n"/>
      <c r="K511" s="2" t="n"/>
    </row>
    <row r="512">
      <c r="A512" s="39" t="n">
        <v>32933</v>
      </c>
      <c r="B512" s="40">
        <f>VLOOKUP(Table7[[#This Row],[Date]],'DB Details'!$A:$L,12)</f>
        <v/>
      </c>
      <c r="C512" s="41">
        <f>VLOOKUP(Table7[[#This Row],[Date]],'DB Details'!$A:$Q,13)</f>
        <v/>
      </c>
      <c r="D512" s="46">
        <f>(Table7[[#This Row],[S&amp;P]]-C500)/C500</f>
        <v/>
      </c>
      <c r="F512" s="3" t="n"/>
      <c r="K512" s="2" t="n"/>
    </row>
    <row r="513">
      <c r="A513" s="39" t="n">
        <v>32964</v>
      </c>
      <c r="B513" s="40">
        <f>VLOOKUP(Table7[[#This Row],[Date]],'DB Details'!$A:$L,12)</f>
        <v/>
      </c>
      <c r="C513" s="41">
        <f>VLOOKUP(Table7[[#This Row],[Date]],'DB Details'!$A:$Q,13)</f>
        <v/>
      </c>
      <c r="D513" s="46">
        <f>(Table7[[#This Row],[S&amp;P]]-C501)/C501</f>
        <v/>
      </c>
      <c r="F513" s="3" t="n"/>
      <c r="K513" s="2" t="n"/>
    </row>
    <row r="514">
      <c r="A514" s="39" t="n">
        <v>32994</v>
      </c>
      <c r="B514" s="40">
        <f>VLOOKUP(Table7[[#This Row],[Date]],'DB Details'!$A:$L,12)</f>
        <v/>
      </c>
      <c r="C514" s="41">
        <f>VLOOKUP(Table7[[#This Row],[Date]],'DB Details'!$A:$Q,13)</f>
        <v/>
      </c>
      <c r="D514" s="46">
        <f>(Table7[[#This Row],[S&amp;P]]-C502)/C502</f>
        <v/>
      </c>
      <c r="F514" s="3" t="n"/>
      <c r="K514" s="2" t="n"/>
    </row>
    <row r="515">
      <c r="A515" s="39" t="n">
        <v>33025</v>
      </c>
      <c r="B515" s="40">
        <f>VLOOKUP(Table7[[#This Row],[Date]],'DB Details'!$A:$L,12)</f>
        <v/>
      </c>
      <c r="C515" s="41">
        <f>VLOOKUP(Table7[[#This Row],[Date]],'DB Details'!$A:$Q,13)</f>
        <v/>
      </c>
      <c r="D515" s="46">
        <f>(Table7[[#This Row],[S&amp;P]]-C503)/C503</f>
        <v/>
      </c>
      <c r="F515" s="3" t="n"/>
      <c r="K515" s="2" t="n"/>
    </row>
    <row r="516">
      <c r="A516" s="39" t="n">
        <v>33055</v>
      </c>
      <c r="B516" s="40">
        <f>VLOOKUP(Table7[[#This Row],[Date]],'DB Details'!$A:$L,12)</f>
        <v/>
      </c>
      <c r="C516" s="41">
        <f>VLOOKUP(Table7[[#This Row],[Date]],'DB Details'!$A:$Q,13)</f>
        <v/>
      </c>
      <c r="D516" s="46">
        <f>(Table7[[#This Row],[S&amp;P]]-C504)/C504</f>
        <v/>
      </c>
      <c r="F516" s="3" t="n"/>
      <c r="K516" s="2" t="n"/>
    </row>
    <row r="517">
      <c r="A517" s="39" t="n">
        <v>33086</v>
      </c>
      <c r="B517" s="40">
        <f>VLOOKUP(Table7[[#This Row],[Date]],'DB Details'!$A:$L,12)</f>
        <v/>
      </c>
      <c r="C517" s="41">
        <f>VLOOKUP(Table7[[#This Row],[Date]],'DB Details'!$A:$Q,13)</f>
        <v/>
      </c>
      <c r="D517" s="46">
        <f>(Table7[[#This Row],[S&amp;P]]-C505)/C505</f>
        <v/>
      </c>
      <c r="F517" s="3" t="n"/>
      <c r="K517" s="2" t="n"/>
    </row>
    <row r="518">
      <c r="A518" s="39" t="n">
        <v>33117</v>
      </c>
      <c r="B518" s="40">
        <f>VLOOKUP(Table7[[#This Row],[Date]],'DB Details'!$A:$L,12)</f>
        <v/>
      </c>
      <c r="C518" s="41">
        <f>VLOOKUP(Table7[[#This Row],[Date]],'DB Details'!$A:$Q,13)</f>
        <v/>
      </c>
      <c r="D518" s="46">
        <f>(Table7[[#This Row],[S&amp;P]]-C506)/C506</f>
        <v/>
      </c>
      <c r="F518" s="3" t="n"/>
      <c r="K518" s="2" t="n"/>
    </row>
    <row r="519">
      <c r="A519" s="39" t="n">
        <v>33147</v>
      </c>
      <c r="B519" s="40">
        <f>VLOOKUP(Table7[[#This Row],[Date]],'DB Details'!$A:$L,12)</f>
        <v/>
      </c>
      <c r="C519" s="41">
        <f>VLOOKUP(Table7[[#This Row],[Date]],'DB Details'!$A:$Q,13)</f>
        <v/>
      </c>
      <c r="D519" s="46">
        <f>(Table7[[#This Row],[S&amp;P]]-C507)/C507</f>
        <v/>
      </c>
      <c r="F519" s="3" t="n"/>
      <c r="K519" s="2" t="n"/>
    </row>
    <row r="520">
      <c r="A520" s="39" t="n">
        <v>33178</v>
      </c>
      <c r="B520" s="40">
        <f>VLOOKUP(Table7[[#This Row],[Date]],'DB Details'!$A:$L,12)</f>
        <v/>
      </c>
      <c r="C520" s="41">
        <f>VLOOKUP(Table7[[#This Row],[Date]],'DB Details'!$A:$Q,13)</f>
        <v/>
      </c>
      <c r="D520" s="46">
        <f>(Table7[[#This Row],[S&amp;P]]-C508)/C508</f>
        <v/>
      </c>
      <c r="F520" s="3" t="n"/>
      <c r="K520" s="2" t="n"/>
    </row>
    <row r="521">
      <c r="A521" s="39" t="n">
        <v>33208</v>
      </c>
      <c r="B521" s="40">
        <f>VLOOKUP(Table7[[#This Row],[Date]],'DB Details'!$A:$L,12)</f>
        <v/>
      </c>
      <c r="C521" s="41">
        <f>VLOOKUP(Table7[[#This Row],[Date]],'DB Details'!$A:$Q,13)</f>
        <v/>
      </c>
      <c r="D521" s="46">
        <f>(Table7[[#This Row],[S&amp;P]]-C509)/C509</f>
        <v/>
      </c>
      <c r="F521" s="3" t="n"/>
      <c r="K521" s="2" t="n"/>
    </row>
    <row r="522">
      <c r="A522" s="39" t="n">
        <v>33239</v>
      </c>
      <c r="B522" s="40">
        <f>VLOOKUP(Table7[[#This Row],[Date]],'DB Details'!$A:$L,12)</f>
        <v/>
      </c>
      <c r="C522" s="41">
        <f>VLOOKUP(Table7[[#This Row],[Date]],'DB Details'!$A:$Q,13)</f>
        <v/>
      </c>
      <c r="D522" s="46">
        <f>(Table7[[#This Row],[S&amp;P]]-C510)/C510</f>
        <v/>
      </c>
      <c r="F522" s="3" t="n"/>
      <c r="K522" s="2" t="n"/>
    </row>
    <row r="523">
      <c r="A523" s="39" t="n">
        <v>33270</v>
      </c>
      <c r="B523" s="40">
        <f>VLOOKUP(Table7[[#This Row],[Date]],'DB Details'!$A:$L,12)</f>
        <v/>
      </c>
      <c r="C523" s="41">
        <f>VLOOKUP(Table7[[#This Row],[Date]],'DB Details'!$A:$Q,13)</f>
        <v/>
      </c>
      <c r="D523" s="46">
        <f>(Table7[[#This Row],[S&amp;P]]-C511)/C511</f>
        <v/>
      </c>
      <c r="F523" s="3" t="n"/>
      <c r="K523" s="2" t="n"/>
    </row>
    <row r="524">
      <c r="A524" s="39" t="n">
        <v>33298</v>
      </c>
      <c r="B524" s="40">
        <f>VLOOKUP(Table7[[#This Row],[Date]],'DB Details'!$A:$L,12)</f>
        <v/>
      </c>
      <c r="C524" s="41">
        <f>VLOOKUP(Table7[[#This Row],[Date]],'DB Details'!$A:$Q,13)</f>
        <v/>
      </c>
      <c r="D524" s="46">
        <f>(Table7[[#This Row],[S&amp;P]]-C512)/C512</f>
        <v/>
      </c>
      <c r="F524" s="3" t="n"/>
      <c r="K524" s="2" t="n"/>
    </row>
    <row r="525">
      <c r="A525" s="39" t="n">
        <v>33329</v>
      </c>
      <c r="B525" s="40">
        <f>VLOOKUP(Table7[[#This Row],[Date]],'DB Details'!$A:$L,12)</f>
        <v/>
      </c>
      <c r="C525" s="41">
        <f>VLOOKUP(Table7[[#This Row],[Date]],'DB Details'!$A:$Q,13)</f>
        <v/>
      </c>
      <c r="D525" s="46">
        <f>(Table7[[#This Row],[S&amp;P]]-C513)/C513</f>
        <v/>
      </c>
      <c r="F525" s="3" t="n"/>
      <c r="K525" s="2" t="n"/>
    </row>
    <row r="526">
      <c r="A526" s="39" t="n">
        <v>33359</v>
      </c>
      <c r="B526" s="40">
        <f>VLOOKUP(Table7[[#This Row],[Date]],'DB Details'!$A:$L,12)</f>
        <v/>
      </c>
      <c r="C526" s="41">
        <f>VLOOKUP(Table7[[#This Row],[Date]],'DB Details'!$A:$Q,13)</f>
        <v/>
      </c>
      <c r="D526" s="46">
        <f>(Table7[[#This Row],[S&amp;P]]-C514)/C514</f>
        <v/>
      </c>
      <c r="F526" s="3" t="n"/>
      <c r="K526" s="2" t="n"/>
    </row>
    <row r="527">
      <c r="A527" s="39" t="n">
        <v>33390</v>
      </c>
      <c r="B527" s="40">
        <f>VLOOKUP(Table7[[#This Row],[Date]],'DB Details'!$A:$L,12)</f>
        <v/>
      </c>
      <c r="C527" s="41">
        <f>VLOOKUP(Table7[[#This Row],[Date]],'DB Details'!$A:$Q,13)</f>
        <v/>
      </c>
      <c r="D527" s="46">
        <f>(Table7[[#This Row],[S&amp;P]]-C515)/C515</f>
        <v/>
      </c>
      <c r="F527" s="3" t="n"/>
      <c r="K527" s="2" t="n"/>
    </row>
    <row r="528">
      <c r="A528" s="39" t="n">
        <v>33420</v>
      </c>
      <c r="B528" s="40">
        <f>VLOOKUP(Table7[[#This Row],[Date]],'DB Details'!$A:$L,12)</f>
        <v/>
      </c>
      <c r="C528" s="41">
        <f>VLOOKUP(Table7[[#This Row],[Date]],'DB Details'!$A:$Q,13)</f>
        <v/>
      </c>
      <c r="D528" s="46">
        <f>(Table7[[#This Row],[S&amp;P]]-C516)/C516</f>
        <v/>
      </c>
      <c r="F528" s="3" t="n"/>
      <c r="K528" s="2" t="n"/>
    </row>
    <row r="529">
      <c r="A529" s="39" t="n">
        <v>33451</v>
      </c>
      <c r="B529" s="40">
        <f>VLOOKUP(Table7[[#This Row],[Date]],'DB Details'!$A:$L,12)</f>
        <v/>
      </c>
      <c r="C529" s="41">
        <f>VLOOKUP(Table7[[#This Row],[Date]],'DB Details'!$A:$Q,13)</f>
        <v/>
      </c>
      <c r="D529" s="46">
        <f>(Table7[[#This Row],[S&amp;P]]-C517)/C517</f>
        <v/>
      </c>
      <c r="F529" s="3" t="n"/>
      <c r="K529" s="2" t="n"/>
    </row>
    <row r="530">
      <c r="A530" s="39" t="n">
        <v>33482</v>
      </c>
      <c r="B530" s="40">
        <f>VLOOKUP(Table7[[#This Row],[Date]],'DB Details'!$A:$L,12)</f>
        <v/>
      </c>
      <c r="C530" s="41">
        <f>VLOOKUP(Table7[[#This Row],[Date]],'DB Details'!$A:$Q,13)</f>
        <v/>
      </c>
      <c r="D530" s="46">
        <f>(Table7[[#This Row],[S&amp;P]]-C518)/C518</f>
        <v/>
      </c>
      <c r="F530" s="3" t="n"/>
      <c r="K530" s="2" t="n"/>
    </row>
    <row r="531">
      <c r="A531" s="39" t="n">
        <v>33512</v>
      </c>
      <c r="B531" s="40">
        <f>VLOOKUP(Table7[[#This Row],[Date]],'DB Details'!$A:$L,12)</f>
        <v/>
      </c>
      <c r="C531" s="41">
        <f>VLOOKUP(Table7[[#This Row],[Date]],'DB Details'!$A:$Q,13)</f>
        <v/>
      </c>
      <c r="D531" s="46">
        <f>(Table7[[#This Row],[S&amp;P]]-C519)/C519</f>
        <v/>
      </c>
      <c r="F531" s="3" t="n"/>
      <c r="K531" s="2" t="n"/>
    </row>
    <row r="532">
      <c r="A532" s="39" t="n">
        <v>33543</v>
      </c>
      <c r="B532" s="40">
        <f>VLOOKUP(Table7[[#This Row],[Date]],'DB Details'!$A:$L,12)</f>
        <v/>
      </c>
      <c r="C532" s="41">
        <f>VLOOKUP(Table7[[#This Row],[Date]],'DB Details'!$A:$Q,13)</f>
        <v/>
      </c>
      <c r="D532" s="46">
        <f>(Table7[[#This Row],[S&amp;P]]-C520)/C520</f>
        <v/>
      </c>
      <c r="F532" s="3" t="n"/>
      <c r="K532" s="2" t="n"/>
    </row>
    <row r="533">
      <c r="A533" s="39" t="n">
        <v>33573</v>
      </c>
      <c r="B533" s="40">
        <f>VLOOKUP(Table7[[#This Row],[Date]],'DB Details'!$A:$L,12)</f>
        <v/>
      </c>
      <c r="C533" s="41">
        <f>VLOOKUP(Table7[[#This Row],[Date]],'DB Details'!$A:$Q,13)</f>
        <v/>
      </c>
      <c r="D533" s="46">
        <f>(Table7[[#This Row],[S&amp;P]]-C521)/C521</f>
        <v/>
      </c>
      <c r="F533" s="3" t="n"/>
      <c r="K533" s="2" t="n"/>
    </row>
    <row r="534">
      <c r="A534" s="39" t="n">
        <v>33604</v>
      </c>
      <c r="B534" s="40">
        <f>VLOOKUP(Table7[[#This Row],[Date]],'DB Details'!$A:$L,12)</f>
        <v/>
      </c>
      <c r="C534" s="41">
        <f>VLOOKUP(Table7[[#This Row],[Date]],'DB Details'!$A:$Q,13)</f>
        <v/>
      </c>
      <c r="D534" s="46">
        <f>(Table7[[#This Row],[S&amp;P]]-C522)/C522</f>
        <v/>
      </c>
      <c r="F534" s="3" t="n"/>
      <c r="K534" s="2" t="n"/>
    </row>
    <row r="535">
      <c r="A535" s="39" t="n">
        <v>33635</v>
      </c>
      <c r="B535" s="40">
        <f>VLOOKUP(Table7[[#This Row],[Date]],'DB Details'!$A:$L,12)</f>
        <v/>
      </c>
      <c r="C535" s="41">
        <f>VLOOKUP(Table7[[#This Row],[Date]],'DB Details'!$A:$Q,13)</f>
        <v/>
      </c>
      <c r="D535" s="46">
        <f>(Table7[[#This Row],[S&amp;P]]-C523)/C523</f>
        <v/>
      </c>
      <c r="F535" s="3" t="n"/>
      <c r="K535" s="2" t="n"/>
    </row>
    <row r="536">
      <c r="A536" s="39" t="n">
        <v>33664</v>
      </c>
      <c r="B536" s="40">
        <f>VLOOKUP(Table7[[#This Row],[Date]],'DB Details'!$A:$L,12)</f>
        <v/>
      </c>
      <c r="C536" s="41">
        <f>VLOOKUP(Table7[[#This Row],[Date]],'DB Details'!$A:$Q,13)</f>
        <v/>
      </c>
      <c r="D536" s="46">
        <f>(Table7[[#This Row],[S&amp;P]]-C524)/C524</f>
        <v/>
      </c>
      <c r="F536" s="3" t="n"/>
      <c r="K536" s="2" t="n"/>
    </row>
    <row r="537">
      <c r="A537" s="39" t="n">
        <v>33695</v>
      </c>
      <c r="B537" s="40">
        <f>VLOOKUP(Table7[[#This Row],[Date]],'DB Details'!$A:$L,12)</f>
        <v/>
      </c>
      <c r="C537" s="41">
        <f>VLOOKUP(Table7[[#This Row],[Date]],'DB Details'!$A:$Q,13)</f>
        <v/>
      </c>
      <c r="D537" s="46">
        <f>(Table7[[#This Row],[S&amp;P]]-C525)/C525</f>
        <v/>
      </c>
      <c r="F537" s="3" t="n"/>
      <c r="K537" s="2" t="n"/>
    </row>
    <row r="538">
      <c r="A538" s="39" t="n">
        <v>33725</v>
      </c>
      <c r="B538" s="40">
        <f>VLOOKUP(Table7[[#This Row],[Date]],'DB Details'!$A:$L,12)</f>
        <v/>
      </c>
      <c r="C538" s="41">
        <f>VLOOKUP(Table7[[#This Row],[Date]],'DB Details'!$A:$Q,13)</f>
        <v/>
      </c>
      <c r="D538" s="46">
        <f>(Table7[[#This Row],[S&amp;P]]-C526)/C526</f>
        <v/>
      </c>
      <c r="F538" s="3" t="n"/>
      <c r="K538" s="2" t="n"/>
    </row>
    <row r="539">
      <c r="A539" s="39" t="n">
        <v>33756</v>
      </c>
      <c r="B539" s="40">
        <f>VLOOKUP(Table7[[#This Row],[Date]],'DB Details'!$A:$L,12)</f>
        <v/>
      </c>
      <c r="C539" s="41">
        <f>VLOOKUP(Table7[[#This Row],[Date]],'DB Details'!$A:$Q,13)</f>
        <v/>
      </c>
      <c r="D539" s="46">
        <f>(Table7[[#This Row],[S&amp;P]]-C527)/C527</f>
        <v/>
      </c>
      <c r="F539" s="3" t="n"/>
      <c r="K539" s="2" t="n"/>
    </row>
    <row r="540">
      <c r="A540" s="39" t="n">
        <v>33786</v>
      </c>
      <c r="B540" s="40">
        <f>VLOOKUP(Table7[[#This Row],[Date]],'DB Details'!$A:$L,12)</f>
        <v/>
      </c>
      <c r="C540" s="41">
        <f>VLOOKUP(Table7[[#This Row],[Date]],'DB Details'!$A:$Q,13)</f>
        <v/>
      </c>
      <c r="D540" s="46">
        <f>(Table7[[#This Row],[S&amp;P]]-C528)/C528</f>
        <v/>
      </c>
      <c r="F540" s="3" t="n"/>
      <c r="K540" s="2" t="n"/>
    </row>
    <row r="541">
      <c r="A541" s="39" t="n">
        <v>33817</v>
      </c>
      <c r="B541" s="40">
        <f>VLOOKUP(Table7[[#This Row],[Date]],'DB Details'!$A:$L,12)</f>
        <v/>
      </c>
      <c r="C541" s="41">
        <f>VLOOKUP(Table7[[#This Row],[Date]],'DB Details'!$A:$Q,13)</f>
        <v/>
      </c>
      <c r="D541" s="46">
        <f>(Table7[[#This Row],[S&amp;P]]-C529)/C529</f>
        <v/>
      </c>
      <c r="F541" s="3" t="n"/>
      <c r="K541" s="2" t="n"/>
    </row>
    <row r="542">
      <c r="A542" s="39" t="n">
        <v>33848</v>
      </c>
      <c r="B542" s="40">
        <f>VLOOKUP(Table7[[#This Row],[Date]],'DB Details'!$A:$L,12)</f>
        <v/>
      </c>
      <c r="C542" s="41">
        <f>VLOOKUP(Table7[[#This Row],[Date]],'DB Details'!$A:$Q,13)</f>
        <v/>
      </c>
      <c r="D542" s="46">
        <f>(Table7[[#This Row],[S&amp;P]]-C530)/C530</f>
        <v/>
      </c>
      <c r="F542" s="3" t="n"/>
      <c r="K542" s="2" t="n"/>
    </row>
    <row r="543">
      <c r="A543" s="39" t="n">
        <v>33878</v>
      </c>
      <c r="B543" s="40">
        <f>VLOOKUP(Table7[[#This Row],[Date]],'DB Details'!$A:$L,12)</f>
        <v/>
      </c>
      <c r="C543" s="41">
        <f>VLOOKUP(Table7[[#This Row],[Date]],'DB Details'!$A:$Q,13)</f>
        <v/>
      </c>
      <c r="D543" s="46">
        <f>(Table7[[#This Row],[S&amp;P]]-C531)/C531</f>
        <v/>
      </c>
      <c r="F543" s="3" t="n"/>
      <c r="K543" s="2" t="n"/>
    </row>
    <row r="544">
      <c r="A544" s="39" t="n">
        <v>33909</v>
      </c>
      <c r="B544" s="40">
        <f>VLOOKUP(Table7[[#This Row],[Date]],'DB Details'!$A:$L,12)</f>
        <v/>
      </c>
      <c r="C544" s="41">
        <f>VLOOKUP(Table7[[#This Row],[Date]],'DB Details'!$A:$Q,13)</f>
        <v/>
      </c>
      <c r="D544" s="46">
        <f>(Table7[[#This Row],[S&amp;P]]-C532)/C532</f>
        <v/>
      </c>
      <c r="F544" s="3" t="n"/>
      <c r="K544" s="2" t="n"/>
    </row>
    <row r="545">
      <c r="A545" s="39" t="n">
        <v>33939</v>
      </c>
      <c r="B545" s="40">
        <f>VLOOKUP(Table7[[#This Row],[Date]],'DB Details'!$A:$L,12)</f>
        <v/>
      </c>
      <c r="C545" s="41">
        <f>VLOOKUP(Table7[[#This Row],[Date]],'DB Details'!$A:$Q,13)</f>
        <v/>
      </c>
      <c r="D545" s="46">
        <f>(Table7[[#This Row],[S&amp;P]]-C533)/C533</f>
        <v/>
      </c>
      <c r="F545" s="3" t="n"/>
      <c r="K545" s="2" t="n"/>
    </row>
    <row r="546">
      <c r="A546" s="39" t="n">
        <v>33970</v>
      </c>
      <c r="B546" s="40">
        <f>VLOOKUP(Table7[[#This Row],[Date]],'DB Details'!$A:$L,12)</f>
        <v/>
      </c>
      <c r="C546" s="41">
        <f>VLOOKUP(Table7[[#This Row],[Date]],'DB Details'!$A:$Q,13)</f>
        <v/>
      </c>
      <c r="D546" s="46">
        <f>(Table7[[#This Row],[S&amp;P]]-C534)/C534</f>
        <v/>
      </c>
      <c r="F546" s="3" t="n"/>
      <c r="K546" s="2" t="n"/>
    </row>
    <row r="547">
      <c r="A547" s="39" t="n">
        <v>34001</v>
      </c>
      <c r="B547" s="40">
        <f>VLOOKUP(Table7[[#This Row],[Date]],'DB Details'!$A:$L,12)</f>
        <v/>
      </c>
      <c r="C547" s="41">
        <f>VLOOKUP(Table7[[#This Row],[Date]],'DB Details'!$A:$Q,13)</f>
        <v/>
      </c>
      <c r="D547" s="46">
        <f>(Table7[[#This Row],[S&amp;P]]-C535)/C535</f>
        <v/>
      </c>
      <c r="F547" s="3" t="n"/>
      <c r="K547" s="2" t="n"/>
    </row>
    <row r="548">
      <c r="A548" s="39" t="n">
        <v>34029</v>
      </c>
      <c r="B548" s="40">
        <f>VLOOKUP(Table7[[#This Row],[Date]],'DB Details'!$A:$L,12)</f>
        <v/>
      </c>
      <c r="C548" s="41">
        <f>VLOOKUP(Table7[[#This Row],[Date]],'DB Details'!$A:$Q,13)</f>
        <v/>
      </c>
      <c r="D548" s="46">
        <f>(Table7[[#This Row],[S&amp;P]]-C536)/C536</f>
        <v/>
      </c>
      <c r="F548" s="3" t="n"/>
      <c r="K548" s="2" t="n"/>
    </row>
    <row r="549">
      <c r="A549" s="39" t="n">
        <v>34060</v>
      </c>
      <c r="B549" s="40">
        <f>VLOOKUP(Table7[[#This Row],[Date]],'DB Details'!$A:$L,12)</f>
        <v/>
      </c>
      <c r="C549" s="41">
        <f>VLOOKUP(Table7[[#This Row],[Date]],'DB Details'!$A:$Q,13)</f>
        <v/>
      </c>
      <c r="D549" s="46">
        <f>(Table7[[#This Row],[S&amp;P]]-C537)/C537</f>
        <v/>
      </c>
      <c r="F549" s="3" t="n"/>
      <c r="K549" s="2" t="n"/>
    </row>
    <row r="550">
      <c r="A550" s="39" t="n">
        <v>34090</v>
      </c>
      <c r="B550" s="40">
        <f>VLOOKUP(Table7[[#This Row],[Date]],'DB Details'!$A:$L,12)</f>
        <v/>
      </c>
      <c r="C550" s="41">
        <f>VLOOKUP(Table7[[#This Row],[Date]],'DB Details'!$A:$Q,13)</f>
        <v/>
      </c>
      <c r="D550" s="46">
        <f>(Table7[[#This Row],[S&amp;P]]-C538)/C538</f>
        <v/>
      </c>
      <c r="F550" s="3" t="n"/>
      <c r="K550" s="2" t="n"/>
    </row>
    <row r="551">
      <c r="A551" s="39" t="n">
        <v>34121</v>
      </c>
      <c r="B551" s="40">
        <f>VLOOKUP(Table7[[#This Row],[Date]],'DB Details'!$A:$L,12)</f>
        <v/>
      </c>
      <c r="C551" s="41">
        <f>VLOOKUP(Table7[[#This Row],[Date]],'DB Details'!$A:$Q,13)</f>
        <v/>
      </c>
      <c r="D551" s="46">
        <f>(Table7[[#This Row],[S&amp;P]]-C539)/C539</f>
        <v/>
      </c>
      <c r="F551" s="3" t="n"/>
      <c r="K551" s="2" t="n"/>
    </row>
    <row r="552">
      <c r="A552" s="39" t="n">
        <v>34151</v>
      </c>
      <c r="B552" s="40">
        <f>VLOOKUP(Table7[[#This Row],[Date]],'DB Details'!$A:$L,12)</f>
        <v/>
      </c>
      <c r="C552" s="41">
        <f>VLOOKUP(Table7[[#This Row],[Date]],'DB Details'!$A:$Q,13)</f>
        <v/>
      </c>
      <c r="D552" s="46">
        <f>(Table7[[#This Row],[S&amp;P]]-C540)/C540</f>
        <v/>
      </c>
      <c r="F552" s="3" t="n"/>
      <c r="K552" s="2" t="n"/>
    </row>
    <row r="553">
      <c r="A553" s="39" t="n">
        <v>34182</v>
      </c>
      <c r="B553" s="40">
        <f>VLOOKUP(Table7[[#This Row],[Date]],'DB Details'!$A:$L,12)</f>
        <v/>
      </c>
      <c r="C553" s="41">
        <f>VLOOKUP(Table7[[#This Row],[Date]],'DB Details'!$A:$Q,13)</f>
        <v/>
      </c>
      <c r="D553" s="46">
        <f>(Table7[[#This Row],[S&amp;P]]-C541)/C541</f>
        <v/>
      </c>
      <c r="F553" s="3" t="n"/>
      <c r="K553" s="2" t="n"/>
    </row>
    <row r="554">
      <c r="A554" s="39" t="n">
        <v>34213</v>
      </c>
      <c r="B554" s="40">
        <f>VLOOKUP(Table7[[#This Row],[Date]],'DB Details'!$A:$L,12)</f>
        <v/>
      </c>
      <c r="C554" s="41">
        <f>VLOOKUP(Table7[[#This Row],[Date]],'DB Details'!$A:$Q,13)</f>
        <v/>
      </c>
      <c r="D554" s="46">
        <f>(Table7[[#This Row],[S&amp;P]]-C542)/C542</f>
        <v/>
      </c>
      <c r="F554" s="3" t="n"/>
      <c r="K554" s="2" t="n"/>
    </row>
    <row r="555">
      <c r="A555" s="39" t="n">
        <v>34243</v>
      </c>
      <c r="B555" s="40">
        <f>VLOOKUP(Table7[[#This Row],[Date]],'DB Details'!$A:$L,12)</f>
        <v/>
      </c>
      <c r="C555" s="41">
        <f>VLOOKUP(Table7[[#This Row],[Date]],'DB Details'!$A:$Q,13)</f>
        <v/>
      </c>
      <c r="D555" s="46">
        <f>(Table7[[#This Row],[S&amp;P]]-C543)/C543</f>
        <v/>
      </c>
      <c r="F555" s="3" t="n"/>
      <c r="K555" s="2" t="n"/>
    </row>
    <row r="556">
      <c r="A556" s="39" t="n">
        <v>34274</v>
      </c>
      <c r="B556" s="40">
        <f>VLOOKUP(Table7[[#This Row],[Date]],'DB Details'!$A:$L,12)</f>
        <v/>
      </c>
      <c r="C556" s="41">
        <f>VLOOKUP(Table7[[#This Row],[Date]],'DB Details'!$A:$Q,13)</f>
        <v/>
      </c>
      <c r="D556" s="46">
        <f>(Table7[[#This Row],[S&amp;P]]-C544)/C544</f>
        <v/>
      </c>
      <c r="F556" s="3" t="n"/>
      <c r="K556" s="2" t="n"/>
    </row>
    <row r="557">
      <c r="A557" s="39" t="n">
        <v>34304</v>
      </c>
      <c r="B557" s="40">
        <f>VLOOKUP(Table7[[#This Row],[Date]],'DB Details'!$A:$L,12)</f>
        <v/>
      </c>
      <c r="C557" s="41">
        <f>VLOOKUP(Table7[[#This Row],[Date]],'DB Details'!$A:$Q,13)</f>
        <v/>
      </c>
      <c r="D557" s="46">
        <f>(Table7[[#This Row],[S&amp;P]]-C545)/C545</f>
        <v/>
      </c>
      <c r="F557" s="3" t="n"/>
      <c r="K557" s="2" t="n"/>
    </row>
    <row r="558">
      <c r="A558" s="39" t="n">
        <v>34335</v>
      </c>
      <c r="B558" s="40">
        <f>VLOOKUP(Table7[[#This Row],[Date]],'DB Details'!$A:$L,12)</f>
        <v/>
      </c>
      <c r="C558" s="41">
        <f>VLOOKUP(Table7[[#This Row],[Date]],'DB Details'!$A:$Q,13)</f>
        <v/>
      </c>
      <c r="D558" s="46">
        <f>(Table7[[#This Row],[S&amp;P]]-C546)/C546</f>
        <v/>
      </c>
      <c r="F558" s="3" t="n"/>
      <c r="K558" s="2" t="n"/>
    </row>
    <row r="559">
      <c r="A559" s="39" t="n">
        <v>34366</v>
      </c>
      <c r="B559" s="40">
        <f>VLOOKUP(Table7[[#This Row],[Date]],'DB Details'!$A:$L,12)</f>
        <v/>
      </c>
      <c r="C559" s="41">
        <f>VLOOKUP(Table7[[#This Row],[Date]],'DB Details'!$A:$Q,13)</f>
        <v/>
      </c>
      <c r="D559" s="46">
        <f>(Table7[[#This Row],[S&amp;P]]-C547)/C547</f>
        <v/>
      </c>
      <c r="F559" s="3" t="n"/>
      <c r="K559" s="2" t="n"/>
    </row>
    <row r="560">
      <c r="A560" s="39" t="n">
        <v>34394</v>
      </c>
      <c r="B560" s="40">
        <f>VLOOKUP(Table7[[#This Row],[Date]],'DB Details'!$A:$L,12)</f>
        <v/>
      </c>
      <c r="C560" s="41">
        <f>VLOOKUP(Table7[[#This Row],[Date]],'DB Details'!$A:$Q,13)</f>
        <v/>
      </c>
      <c r="D560" s="46">
        <f>(Table7[[#This Row],[S&amp;P]]-C548)/C548</f>
        <v/>
      </c>
      <c r="F560" s="3" t="n"/>
      <c r="K560" s="2" t="n"/>
    </row>
    <row r="561">
      <c r="A561" s="39" t="n">
        <v>34425</v>
      </c>
      <c r="B561" s="40">
        <f>VLOOKUP(Table7[[#This Row],[Date]],'DB Details'!$A:$L,12)</f>
        <v/>
      </c>
      <c r="C561" s="41">
        <f>VLOOKUP(Table7[[#This Row],[Date]],'DB Details'!$A:$Q,13)</f>
        <v/>
      </c>
      <c r="D561" s="46">
        <f>(Table7[[#This Row],[S&amp;P]]-C549)/C549</f>
        <v/>
      </c>
      <c r="F561" s="3" t="n"/>
      <c r="K561" s="2" t="n"/>
    </row>
    <row r="562">
      <c r="A562" s="39" t="n">
        <v>34455</v>
      </c>
      <c r="B562" s="40">
        <f>VLOOKUP(Table7[[#This Row],[Date]],'DB Details'!$A:$L,12)</f>
        <v/>
      </c>
      <c r="C562" s="41">
        <f>VLOOKUP(Table7[[#This Row],[Date]],'DB Details'!$A:$Q,13)</f>
        <v/>
      </c>
      <c r="D562" s="46">
        <f>(Table7[[#This Row],[S&amp;P]]-C550)/C550</f>
        <v/>
      </c>
      <c r="F562" s="3" t="n"/>
      <c r="K562" s="2" t="n"/>
    </row>
    <row r="563">
      <c r="A563" s="39" t="n">
        <v>34486</v>
      </c>
      <c r="B563" s="40">
        <f>VLOOKUP(Table7[[#This Row],[Date]],'DB Details'!$A:$L,12)</f>
        <v/>
      </c>
      <c r="C563" s="41">
        <f>VLOOKUP(Table7[[#This Row],[Date]],'DB Details'!$A:$Q,13)</f>
        <v/>
      </c>
      <c r="D563" s="46">
        <f>(Table7[[#This Row],[S&amp;P]]-C551)/C551</f>
        <v/>
      </c>
      <c r="F563" s="3" t="n"/>
      <c r="K563" s="2" t="n"/>
    </row>
    <row r="564">
      <c r="A564" s="39" t="n">
        <v>34516</v>
      </c>
      <c r="B564" s="40">
        <f>VLOOKUP(Table7[[#This Row],[Date]],'DB Details'!$A:$L,12)</f>
        <v/>
      </c>
      <c r="C564" s="41">
        <f>VLOOKUP(Table7[[#This Row],[Date]],'DB Details'!$A:$Q,13)</f>
        <v/>
      </c>
      <c r="D564" s="46">
        <f>(Table7[[#This Row],[S&amp;P]]-C552)/C552</f>
        <v/>
      </c>
      <c r="F564" s="3" t="n"/>
      <c r="K564" s="2" t="n"/>
    </row>
    <row r="565">
      <c r="A565" s="39" t="n">
        <v>34547</v>
      </c>
      <c r="B565" s="40">
        <f>VLOOKUP(Table7[[#This Row],[Date]],'DB Details'!$A:$L,12)</f>
        <v/>
      </c>
      <c r="C565" s="41">
        <f>VLOOKUP(Table7[[#This Row],[Date]],'DB Details'!$A:$Q,13)</f>
        <v/>
      </c>
      <c r="D565" s="46">
        <f>(Table7[[#This Row],[S&amp;P]]-C553)/C553</f>
        <v/>
      </c>
      <c r="F565" s="3" t="n"/>
      <c r="K565" s="2" t="n"/>
    </row>
    <row r="566">
      <c r="A566" s="39" t="n">
        <v>34578</v>
      </c>
      <c r="B566" s="40">
        <f>VLOOKUP(Table7[[#This Row],[Date]],'DB Details'!$A:$L,12)</f>
        <v/>
      </c>
      <c r="C566" s="41">
        <f>VLOOKUP(Table7[[#This Row],[Date]],'DB Details'!$A:$Q,13)</f>
        <v/>
      </c>
      <c r="D566" s="46">
        <f>(Table7[[#This Row],[S&amp;P]]-C554)/C554</f>
        <v/>
      </c>
      <c r="F566" s="3" t="n"/>
      <c r="K566" s="2" t="n"/>
    </row>
    <row r="567">
      <c r="A567" s="39" t="n">
        <v>34608</v>
      </c>
      <c r="B567" s="40">
        <f>VLOOKUP(Table7[[#This Row],[Date]],'DB Details'!$A:$L,12)</f>
        <v/>
      </c>
      <c r="C567" s="41">
        <f>VLOOKUP(Table7[[#This Row],[Date]],'DB Details'!$A:$Q,13)</f>
        <v/>
      </c>
      <c r="D567" s="46">
        <f>(Table7[[#This Row],[S&amp;P]]-C555)/C555</f>
        <v/>
      </c>
      <c r="F567" s="3" t="n"/>
      <c r="K567" s="2" t="n"/>
    </row>
    <row r="568">
      <c r="A568" s="39" t="n">
        <v>34639</v>
      </c>
      <c r="B568" s="40">
        <f>VLOOKUP(Table7[[#This Row],[Date]],'DB Details'!$A:$L,12)</f>
        <v/>
      </c>
      <c r="C568" s="41">
        <f>VLOOKUP(Table7[[#This Row],[Date]],'DB Details'!$A:$Q,13)</f>
        <v/>
      </c>
      <c r="D568" s="46">
        <f>(Table7[[#This Row],[S&amp;P]]-C556)/C556</f>
        <v/>
      </c>
      <c r="F568" s="3" t="n"/>
      <c r="K568" s="2" t="n"/>
    </row>
    <row r="569">
      <c r="A569" s="39" t="n">
        <v>34669</v>
      </c>
      <c r="B569" s="40">
        <f>VLOOKUP(Table7[[#This Row],[Date]],'DB Details'!$A:$L,12)</f>
        <v/>
      </c>
      <c r="C569" s="41">
        <f>VLOOKUP(Table7[[#This Row],[Date]],'DB Details'!$A:$Q,13)</f>
        <v/>
      </c>
      <c r="D569" s="46">
        <f>(Table7[[#This Row],[S&amp;P]]-C557)/C557</f>
        <v/>
      </c>
      <c r="F569" s="3" t="n"/>
      <c r="K569" s="2" t="n"/>
    </row>
    <row r="570">
      <c r="A570" s="39" t="n">
        <v>34700</v>
      </c>
      <c r="B570" s="40">
        <f>VLOOKUP(Table7[[#This Row],[Date]],'DB Details'!$A:$L,12)</f>
        <v/>
      </c>
      <c r="C570" s="41">
        <f>VLOOKUP(Table7[[#This Row],[Date]],'DB Details'!$A:$Q,13)</f>
        <v/>
      </c>
      <c r="D570" s="46">
        <f>(Table7[[#This Row],[S&amp;P]]-C558)/C558</f>
        <v/>
      </c>
      <c r="F570" s="3" t="n"/>
      <c r="K570" s="2" t="n"/>
    </row>
    <row r="571">
      <c r="A571" s="39" t="n">
        <v>34731</v>
      </c>
      <c r="B571" s="40">
        <f>VLOOKUP(Table7[[#This Row],[Date]],'DB Details'!$A:$L,12)</f>
        <v/>
      </c>
      <c r="C571" s="41">
        <f>VLOOKUP(Table7[[#This Row],[Date]],'DB Details'!$A:$Q,13)</f>
        <v/>
      </c>
      <c r="D571" s="46">
        <f>(Table7[[#This Row],[S&amp;P]]-C559)/C559</f>
        <v/>
      </c>
      <c r="F571" s="3" t="n"/>
      <c r="K571" s="2" t="n"/>
    </row>
    <row r="572">
      <c r="A572" s="39" t="n">
        <v>34759</v>
      </c>
      <c r="B572" s="40">
        <f>VLOOKUP(Table7[[#This Row],[Date]],'DB Details'!$A:$L,12)</f>
        <v/>
      </c>
      <c r="C572" s="41">
        <f>VLOOKUP(Table7[[#This Row],[Date]],'DB Details'!$A:$Q,13)</f>
        <v/>
      </c>
      <c r="D572" s="46">
        <f>(Table7[[#This Row],[S&amp;P]]-C560)/C560</f>
        <v/>
      </c>
      <c r="F572" s="3" t="n"/>
      <c r="K572" s="2" t="n"/>
    </row>
    <row r="573">
      <c r="A573" s="39" t="n">
        <v>34790</v>
      </c>
      <c r="B573" s="40">
        <f>VLOOKUP(Table7[[#This Row],[Date]],'DB Details'!$A:$L,12)</f>
        <v/>
      </c>
      <c r="C573" s="41">
        <f>VLOOKUP(Table7[[#This Row],[Date]],'DB Details'!$A:$Q,13)</f>
        <v/>
      </c>
      <c r="D573" s="46">
        <f>(Table7[[#This Row],[S&amp;P]]-C561)/C561</f>
        <v/>
      </c>
      <c r="F573" s="3" t="n"/>
      <c r="K573" s="2" t="n"/>
    </row>
    <row r="574">
      <c r="A574" s="39" t="n">
        <v>34820</v>
      </c>
      <c r="B574" s="40">
        <f>VLOOKUP(Table7[[#This Row],[Date]],'DB Details'!$A:$L,12)</f>
        <v/>
      </c>
      <c r="C574" s="41">
        <f>VLOOKUP(Table7[[#This Row],[Date]],'DB Details'!$A:$Q,13)</f>
        <v/>
      </c>
      <c r="D574" s="46">
        <f>(Table7[[#This Row],[S&amp;P]]-C562)/C562</f>
        <v/>
      </c>
      <c r="F574" s="3" t="n"/>
      <c r="K574" s="2" t="n"/>
    </row>
    <row r="575">
      <c r="A575" s="39" t="n">
        <v>34851</v>
      </c>
      <c r="B575" s="40">
        <f>VLOOKUP(Table7[[#This Row],[Date]],'DB Details'!$A:$L,12)</f>
        <v/>
      </c>
      <c r="C575" s="41">
        <f>VLOOKUP(Table7[[#This Row],[Date]],'DB Details'!$A:$Q,13)</f>
        <v/>
      </c>
      <c r="D575" s="46">
        <f>(Table7[[#This Row],[S&amp;P]]-C563)/C563</f>
        <v/>
      </c>
      <c r="F575" s="3" t="n"/>
      <c r="K575" s="2" t="n"/>
    </row>
    <row r="576">
      <c r="A576" s="39" t="n">
        <v>34881</v>
      </c>
      <c r="B576" s="40">
        <f>VLOOKUP(Table7[[#This Row],[Date]],'DB Details'!$A:$L,12)</f>
        <v/>
      </c>
      <c r="C576" s="41">
        <f>VLOOKUP(Table7[[#This Row],[Date]],'DB Details'!$A:$Q,13)</f>
        <v/>
      </c>
      <c r="D576" s="46">
        <f>(Table7[[#This Row],[S&amp;P]]-C564)/C564</f>
        <v/>
      </c>
      <c r="F576" s="3" t="n"/>
      <c r="K576" s="2" t="n"/>
    </row>
    <row r="577">
      <c r="A577" s="39" t="n">
        <v>34912</v>
      </c>
      <c r="B577" s="40">
        <f>VLOOKUP(Table7[[#This Row],[Date]],'DB Details'!$A:$L,12)</f>
        <v/>
      </c>
      <c r="C577" s="41">
        <f>VLOOKUP(Table7[[#This Row],[Date]],'DB Details'!$A:$Q,13)</f>
        <v/>
      </c>
      <c r="D577" s="46">
        <f>(Table7[[#This Row],[S&amp;P]]-C565)/C565</f>
        <v/>
      </c>
      <c r="F577" s="3" t="n"/>
      <c r="K577" s="2" t="n"/>
    </row>
    <row r="578">
      <c r="A578" s="39" t="n">
        <v>34943</v>
      </c>
      <c r="B578" s="40">
        <f>VLOOKUP(Table7[[#This Row],[Date]],'DB Details'!$A:$L,12)</f>
        <v/>
      </c>
      <c r="C578" s="41">
        <f>VLOOKUP(Table7[[#This Row],[Date]],'DB Details'!$A:$Q,13)</f>
        <v/>
      </c>
      <c r="D578" s="46">
        <f>(Table7[[#This Row],[S&amp;P]]-C566)/C566</f>
        <v/>
      </c>
      <c r="F578" s="3" t="n"/>
      <c r="K578" s="2" t="n"/>
    </row>
    <row r="579">
      <c r="A579" s="39" t="n">
        <v>34973</v>
      </c>
      <c r="B579" s="40">
        <f>VLOOKUP(Table7[[#This Row],[Date]],'DB Details'!$A:$L,12)</f>
        <v/>
      </c>
      <c r="C579" s="41">
        <f>VLOOKUP(Table7[[#This Row],[Date]],'DB Details'!$A:$Q,13)</f>
        <v/>
      </c>
      <c r="D579" s="46">
        <f>(Table7[[#This Row],[S&amp;P]]-C567)/C567</f>
        <v/>
      </c>
      <c r="F579" s="3" t="n"/>
      <c r="K579" s="2" t="n"/>
    </row>
    <row r="580">
      <c r="A580" s="39" t="n">
        <v>35004</v>
      </c>
      <c r="B580" s="40">
        <f>VLOOKUP(Table7[[#This Row],[Date]],'DB Details'!$A:$L,12)</f>
        <v/>
      </c>
      <c r="C580" s="41">
        <f>VLOOKUP(Table7[[#This Row],[Date]],'DB Details'!$A:$Q,13)</f>
        <v/>
      </c>
      <c r="D580" s="46">
        <f>(Table7[[#This Row],[S&amp;P]]-C568)/C568</f>
        <v/>
      </c>
      <c r="F580" s="3" t="n"/>
      <c r="K580" s="2" t="n"/>
    </row>
    <row r="581">
      <c r="A581" s="39" t="n">
        <v>35034</v>
      </c>
      <c r="B581" s="40">
        <f>VLOOKUP(Table7[[#This Row],[Date]],'DB Details'!$A:$L,12)</f>
        <v/>
      </c>
      <c r="C581" s="41">
        <f>VLOOKUP(Table7[[#This Row],[Date]],'DB Details'!$A:$Q,13)</f>
        <v/>
      </c>
      <c r="D581" s="46">
        <f>(Table7[[#This Row],[S&amp;P]]-C569)/C569</f>
        <v/>
      </c>
      <c r="F581" s="3" t="n"/>
      <c r="K581" s="2" t="n"/>
    </row>
    <row r="582">
      <c r="A582" s="39" t="n">
        <v>35065</v>
      </c>
      <c r="B582" s="40">
        <f>VLOOKUP(Table7[[#This Row],[Date]],'DB Details'!$A:$L,12)</f>
        <v/>
      </c>
      <c r="C582" s="41">
        <f>VLOOKUP(Table7[[#This Row],[Date]],'DB Details'!$A:$Q,13)</f>
        <v/>
      </c>
      <c r="D582" s="46">
        <f>(Table7[[#This Row],[S&amp;P]]-C570)/C570</f>
        <v/>
      </c>
      <c r="F582" s="3" t="n"/>
      <c r="K582" s="2" t="n"/>
    </row>
    <row r="583">
      <c r="A583" s="39" t="n">
        <v>35096</v>
      </c>
      <c r="B583" s="40">
        <f>VLOOKUP(Table7[[#This Row],[Date]],'DB Details'!$A:$L,12)</f>
        <v/>
      </c>
      <c r="C583" s="41">
        <f>VLOOKUP(Table7[[#This Row],[Date]],'DB Details'!$A:$Q,13)</f>
        <v/>
      </c>
      <c r="D583" s="46">
        <f>(Table7[[#This Row],[S&amp;P]]-C571)/C571</f>
        <v/>
      </c>
      <c r="F583" s="3" t="n"/>
      <c r="K583" s="2" t="n"/>
    </row>
    <row r="584">
      <c r="A584" s="39" t="n">
        <v>35125</v>
      </c>
      <c r="B584" s="40">
        <f>VLOOKUP(Table7[[#This Row],[Date]],'DB Details'!$A:$L,12)</f>
        <v/>
      </c>
      <c r="C584" s="41">
        <f>VLOOKUP(Table7[[#This Row],[Date]],'DB Details'!$A:$Q,13)</f>
        <v/>
      </c>
      <c r="D584" s="46">
        <f>(Table7[[#This Row],[S&amp;P]]-C572)/C572</f>
        <v/>
      </c>
      <c r="F584" s="3" t="n"/>
      <c r="K584" s="2" t="n"/>
    </row>
    <row r="585">
      <c r="A585" s="39" t="n">
        <v>35156</v>
      </c>
      <c r="B585" s="40">
        <f>VLOOKUP(Table7[[#This Row],[Date]],'DB Details'!$A:$L,12)</f>
        <v/>
      </c>
      <c r="C585" s="41">
        <f>VLOOKUP(Table7[[#This Row],[Date]],'DB Details'!$A:$Q,13)</f>
        <v/>
      </c>
      <c r="D585" s="46">
        <f>(Table7[[#This Row],[S&amp;P]]-C573)/C573</f>
        <v/>
      </c>
      <c r="F585" s="3" t="n"/>
      <c r="K585" s="2" t="n"/>
    </row>
    <row r="586">
      <c r="A586" s="39" t="n">
        <v>35186</v>
      </c>
      <c r="B586" s="40">
        <f>VLOOKUP(Table7[[#This Row],[Date]],'DB Details'!$A:$L,12)</f>
        <v/>
      </c>
      <c r="C586" s="41">
        <f>VLOOKUP(Table7[[#This Row],[Date]],'DB Details'!$A:$Q,13)</f>
        <v/>
      </c>
      <c r="D586" s="46">
        <f>(Table7[[#This Row],[S&amp;P]]-C574)/C574</f>
        <v/>
      </c>
      <c r="F586" s="3" t="n"/>
      <c r="K586" s="2" t="n"/>
    </row>
    <row r="587">
      <c r="A587" s="39" t="n">
        <v>35217</v>
      </c>
      <c r="B587" s="40">
        <f>VLOOKUP(Table7[[#This Row],[Date]],'DB Details'!$A:$L,12)</f>
        <v/>
      </c>
      <c r="C587" s="41">
        <f>VLOOKUP(Table7[[#This Row],[Date]],'DB Details'!$A:$Q,13)</f>
        <v/>
      </c>
      <c r="D587" s="46">
        <f>(Table7[[#This Row],[S&amp;P]]-C575)/C575</f>
        <v/>
      </c>
      <c r="F587" s="3" t="n"/>
      <c r="K587" s="2" t="n"/>
    </row>
    <row r="588">
      <c r="A588" s="39" t="n">
        <v>35247</v>
      </c>
      <c r="B588" s="40">
        <f>VLOOKUP(Table7[[#This Row],[Date]],'DB Details'!$A:$L,12)</f>
        <v/>
      </c>
      <c r="C588" s="41">
        <f>VLOOKUP(Table7[[#This Row],[Date]],'DB Details'!$A:$Q,13)</f>
        <v/>
      </c>
      <c r="D588" s="46">
        <f>(Table7[[#This Row],[S&amp;P]]-C576)/C576</f>
        <v/>
      </c>
      <c r="F588" s="3" t="n"/>
      <c r="K588" s="2" t="n"/>
    </row>
    <row r="589">
      <c r="A589" s="39" t="n">
        <v>35278</v>
      </c>
      <c r="B589" s="40">
        <f>VLOOKUP(Table7[[#This Row],[Date]],'DB Details'!$A:$L,12)</f>
        <v/>
      </c>
      <c r="C589" s="41">
        <f>VLOOKUP(Table7[[#This Row],[Date]],'DB Details'!$A:$Q,13)</f>
        <v/>
      </c>
      <c r="D589" s="46">
        <f>(Table7[[#This Row],[S&amp;P]]-C577)/C577</f>
        <v/>
      </c>
      <c r="F589" s="3" t="n"/>
      <c r="K589" s="2" t="n"/>
    </row>
    <row r="590">
      <c r="A590" s="39" t="n">
        <v>35309</v>
      </c>
      <c r="B590" s="40">
        <f>VLOOKUP(Table7[[#This Row],[Date]],'DB Details'!$A:$L,12)</f>
        <v/>
      </c>
      <c r="C590" s="41">
        <f>VLOOKUP(Table7[[#This Row],[Date]],'DB Details'!$A:$Q,13)</f>
        <v/>
      </c>
      <c r="D590" s="46">
        <f>(Table7[[#This Row],[S&amp;P]]-C578)/C578</f>
        <v/>
      </c>
      <c r="F590" s="3" t="n"/>
      <c r="K590" s="2" t="n"/>
    </row>
    <row r="591">
      <c r="A591" s="39" t="n">
        <v>35339</v>
      </c>
      <c r="B591" s="40">
        <f>VLOOKUP(Table7[[#This Row],[Date]],'DB Details'!$A:$L,12)</f>
        <v/>
      </c>
      <c r="C591" s="41">
        <f>VLOOKUP(Table7[[#This Row],[Date]],'DB Details'!$A:$Q,13)</f>
        <v/>
      </c>
      <c r="D591" s="46">
        <f>(Table7[[#This Row],[S&amp;P]]-C579)/C579</f>
        <v/>
      </c>
      <c r="F591" s="3" t="n"/>
      <c r="K591" s="2" t="n"/>
    </row>
    <row r="592">
      <c r="A592" s="39" t="n">
        <v>35370</v>
      </c>
      <c r="B592" s="40">
        <f>VLOOKUP(Table7[[#This Row],[Date]],'DB Details'!$A:$L,12)</f>
        <v/>
      </c>
      <c r="C592" s="41">
        <f>VLOOKUP(Table7[[#This Row],[Date]],'DB Details'!$A:$Q,13)</f>
        <v/>
      </c>
      <c r="D592" s="46">
        <f>(Table7[[#This Row],[S&amp;P]]-C580)/C580</f>
        <v/>
      </c>
      <c r="F592" s="3" t="n"/>
      <c r="K592" s="2" t="n"/>
    </row>
    <row r="593">
      <c r="A593" s="39" t="n">
        <v>35400</v>
      </c>
      <c r="B593" s="40">
        <f>VLOOKUP(Table7[[#This Row],[Date]],'DB Details'!$A:$L,12)</f>
        <v/>
      </c>
      <c r="C593" s="41">
        <f>VLOOKUP(Table7[[#This Row],[Date]],'DB Details'!$A:$Q,13)</f>
        <v/>
      </c>
      <c r="D593" s="46">
        <f>(Table7[[#This Row],[S&amp;P]]-C581)/C581</f>
        <v/>
      </c>
      <c r="F593" s="3" t="n"/>
      <c r="K593" s="2" t="n"/>
    </row>
    <row r="594">
      <c r="A594" s="39" t="n">
        <v>35431</v>
      </c>
      <c r="B594" s="40">
        <f>VLOOKUP(Table7[[#This Row],[Date]],'DB Details'!$A:$L,12)</f>
        <v/>
      </c>
      <c r="C594" s="41">
        <f>VLOOKUP(Table7[[#This Row],[Date]],'DB Details'!$A:$Q,13)</f>
        <v/>
      </c>
      <c r="D594" s="46">
        <f>(Table7[[#This Row],[S&amp;P]]-C582)/C582</f>
        <v/>
      </c>
      <c r="F594" s="3" t="n"/>
      <c r="K594" s="2" t="n"/>
    </row>
    <row r="595">
      <c r="A595" s="39" t="n">
        <v>35462</v>
      </c>
      <c r="B595" s="40">
        <f>VLOOKUP(Table7[[#This Row],[Date]],'DB Details'!$A:$L,12)</f>
        <v/>
      </c>
      <c r="C595" s="41">
        <f>VLOOKUP(Table7[[#This Row],[Date]],'DB Details'!$A:$Q,13)</f>
        <v/>
      </c>
      <c r="D595" s="46">
        <f>(Table7[[#This Row],[S&amp;P]]-C583)/C583</f>
        <v/>
      </c>
      <c r="F595" s="3" t="n"/>
      <c r="K595" s="2" t="n"/>
    </row>
    <row r="596">
      <c r="A596" s="39" t="n">
        <v>35490</v>
      </c>
      <c r="B596" s="40">
        <f>VLOOKUP(Table7[[#This Row],[Date]],'DB Details'!$A:$L,12)</f>
        <v/>
      </c>
      <c r="C596" s="41">
        <f>VLOOKUP(Table7[[#This Row],[Date]],'DB Details'!$A:$Q,13)</f>
        <v/>
      </c>
      <c r="D596" s="46">
        <f>(Table7[[#This Row],[S&amp;P]]-C584)/C584</f>
        <v/>
      </c>
      <c r="F596" s="3" t="n"/>
      <c r="K596" s="2" t="n"/>
    </row>
    <row r="597">
      <c r="A597" s="39" t="n">
        <v>35521</v>
      </c>
      <c r="B597" s="40">
        <f>VLOOKUP(Table7[[#This Row],[Date]],'DB Details'!$A:$L,12)</f>
        <v/>
      </c>
      <c r="C597" s="41">
        <f>VLOOKUP(Table7[[#This Row],[Date]],'DB Details'!$A:$Q,13)</f>
        <v/>
      </c>
      <c r="D597" s="46">
        <f>(Table7[[#This Row],[S&amp;P]]-C585)/C585</f>
        <v/>
      </c>
      <c r="F597" s="3" t="n"/>
      <c r="K597" s="2" t="n"/>
    </row>
    <row r="598">
      <c r="A598" s="39" t="n">
        <v>35551</v>
      </c>
      <c r="B598" s="40">
        <f>VLOOKUP(Table7[[#This Row],[Date]],'DB Details'!$A:$L,12)</f>
        <v/>
      </c>
      <c r="C598" s="41">
        <f>VLOOKUP(Table7[[#This Row],[Date]],'DB Details'!$A:$Q,13)</f>
        <v/>
      </c>
      <c r="D598" s="46">
        <f>(Table7[[#This Row],[S&amp;P]]-C586)/C586</f>
        <v/>
      </c>
      <c r="F598" s="3" t="n"/>
      <c r="K598" s="2" t="n"/>
    </row>
    <row r="599">
      <c r="A599" s="39" t="n">
        <v>35582</v>
      </c>
      <c r="B599" s="40">
        <f>VLOOKUP(Table7[[#This Row],[Date]],'DB Details'!$A:$L,12)</f>
        <v/>
      </c>
      <c r="C599" s="41">
        <f>VLOOKUP(Table7[[#This Row],[Date]],'DB Details'!$A:$Q,13)</f>
        <v/>
      </c>
      <c r="D599" s="46">
        <f>(Table7[[#This Row],[S&amp;P]]-C587)/C587</f>
        <v/>
      </c>
      <c r="F599" s="3" t="n"/>
      <c r="K599" s="2" t="n"/>
    </row>
    <row r="600">
      <c r="A600" s="39" t="n">
        <v>35612</v>
      </c>
      <c r="B600" s="40">
        <f>VLOOKUP(Table7[[#This Row],[Date]],'DB Details'!$A:$L,12)</f>
        <v/>
      </c>
      <c r="C600" s="41">
        <f>VLOOKUP(Table7[[#This Row],[Date]],'DB Details'!$A:$Q,13)</f>
        <v/>
      </c>
      <c r="D600" s="46">
        <f>(Table7[[#This Row],[S&amp;P]]-C588)/C588</f>
        <v/>
      </c>
      <c r="F600" s="3" t="n"/>
      <c r="K600" s="2" t="n"/>
    </row>
    <row r="601">
      <c r="A601" s="39" t="n">
        <v>35643</v>
      </c>
      <c r="B601" s="40">
        <f>VLOOKUP(Table7[[#This Row],[Date]],'DB Details'!$A:$L,12)</f>
        <v/>
      </c>
      <c r="C601" s="41">
        <f>VLOOKUP(Table7[[#This Row],[Date]],'DB Details'!$A:$Q,13)</f>
        <v/>
      </c>
      <c r="D601" s="46">
        <f>(Table7[[#This Row],[S&amp;P]]-C589)/C589</f>
        <v/>
      </c>
      <c r="F601" s="3" t="n"/>
      <c r="K601" s="2" t="n"/>
    </row>
    <row r="602">
      <c r="A602" s="39" t="n">
        <v>35674</v>
      </c>
      <c r="B602" s="40">
        <f>VLOOKUP(Table7[[#This Row],[Date]],'DB Details'!$A:$L,12)</f>
        <v/>
      </c>
      <c r="C602" s="41">
        <f>VLOOKUP(Table7[[#This Row],[Date]],'DB Details'!$A:$Q,13)</f>
        <v/>
      </c>
      <c r="D602" s="46">
        <f>(Table7[[#This Row],[S&amp;P]]-C590)/C590</f>
        <v/>
      </c>
      <c r="F602" s="3" t="n"/>
      <c r="K602" s="2" t="n"/>
    </row>
    <row r="603">
      <c r="A603" s="39" t="n">
        <v>35704</v>
      </c>
      <c r="B603" s="40">
        <f>VLOOKUP(Table7[[#This Row],[Date]],'DB Details'!$A:$L,12)</f>
        <v/>
      </c>
      <c r="C603" s="41">
        <f>VLOOKUP(Table7[[#This Row],[Date]],'DB Details'!$A:$Q,13)</f>
        <v/>
      </c>
      <c r="D603" s="46">
        <f>(Table7[[#This Row],[S&amp;P]]-C591)/C591</f>
        <v/>
      </c>
      <c r="F603" s="3" t="n"/>
      <c r="K603" s="2" t="n"/>
    </row>
    <row r="604">
      <c r="A604" s="39" t="n">
        <v>35735</v>
      </c>
      <c r="B604" s="40">
        <f>VLOOKUP(Table7[[#This Row],[Date]],'DB Details'!$A:$L,12)</f>
        <v/>
      </c>
      <c r="C604" s="41">
        <f>VLOOKUP(Table7[[#This Row],[Date]],'DB Details'!$A:$Q,13)</f>
        <v/>
      </c>
      <c r="D604" s="46">
        <f>(Table7[[#This Row],[S&amp;P]]-C592)/C592</f>
        <v/>
      </c>
      <c r="F604" s="3" t="n"/>
      <c r="K604" s="2" t="n"/>
    </row>
    <row r="605">
      <c r="A605" s="39" t="n">
        <v>35765</v>
      </c>
      <c r="B605" s="40">
        <f>VLOOKUP(Table7[[#This Row],[Date]],'DB Details'!$A:$L,12)</f>
        <v/>
      </c>
      <c r="C605" s="41">
        <f>VLOOKUP(Table7[[#This Row],[Date]],'DB Details'!$A:$Q,13)</f>
        <v/>
      </c>
      <c r="D605" s="46">
        <f>(Table7[[#This Row],[S&amp;P]]-C593)/C593</f>
        <v/>
      </c>
      <c r="F605" s="3" t="n"/>
      <c r="K605" s="2" t="n"/>
    </row>
    <row r="606">
      <c r="A606" s="39" t="n">
        <v>35796</v>
      </c>
      <c r="B606" s="40">
        <f>VLOOKUP(Table7[[#This Row],[Date]],'DB Details'!$A:$L,12)</f>
        <v/>
      </c>
      <c r="C606" s="41">
        <f>VLOOKUP(Table7[[#This Row],[Date]],'DB Details'!$A:$Q,13)</f>
        <v/>
      </c>
      <c r="D606" s="46">
        <f>(Table7[[#This Row],[S&amp;P]]-C594)/C594</f>
        <v/>
      </c>
      <c r="F606" s="3" t="n"/>
      <c r="K606" s="2" t="n"/>
    </row>
    <row r="607">
      <c r="A607" s="39" t="n">
        <v>35827</v>
      </c>
      <c r="B607" s="40">
        <f>VLOOKUP(Table7[[#This Row],[Date]],'DB Details'!$A:$L,12)</f>
        <v/>
      </c>
      <c r="C607" s="41">
        <f>VLOOKUP(Table7[[#This Row],[Date]],'DB Details'!$A:$Q,13)</f>
        <v/>
      </c>
      <c r="D607" s="46">
        <f>(Table7[[#This Row],[S&amp;P]]-C595)/C595</f>
        <v/>
      </c>
      <c r="F607" s="3" t="n"/>
      <c r="K607" s="2" t="n"/>
    </row>
    <row r="608">
      <c r="A608" s="39" t="n">
        <v>35855</v>
      </c>
      <c r="B608" s="40">
        <f>VLOOKUP(Table7[[#This Row],[Date]],'DB Details'!$A:$L,12)</f>
        <v/>
      </c>
      <c r="C608" s="41">
        <f>VLOOKUP(Table7[[#This Row],[Date]],'DB Details'!$A:$Q,13)</f>
        <v/>
      </c>
      <c r="D608" s="46">
        <f>(Table7[[#This Row],[S&amp;P]]-C596)/C596</f>
        <v/>
      </c>
      <c r="F608" s="3" t="n"/>
      <c r="K608" s="2" t="n"/>
    </row>
    <row r="609">
      <c r="A609" s="39" t="n">
        <v>35886</v>
      </c>
      <c r="B609" s="40">
        <f>VLOOKUP(Table7[[#This Row],[Date]],'DB Details'!$A:$L,12)</f>
        <v/>
      </c>
      <c r="C609" s="41">
        <f>VLOOKUP(Table7[[#This Row],[Date]],'DB Details'!$A:$Q,13)</f>
        <v/>
      </c>
      <c r="D609" s="46">
        <f>(Table7[[#This Row],[S&amp;P]]-C597)/C597</f>
        <v/>
      </c>
      <c r="F609" s="3" t="n"/>
      <c r="K609" s="2" t="n"/>
    </row>
    <row r="610">
      <c r="A610" s="39" t="n">
        <v>35916</v>
      </c>
      <c r="B610" s="40">
        <f>VLOOKUP(Table7[[#This Row],[Date]],'DB Details'!$A:$L,12)</f>
        <v/>
      </c>
      <c r="C610" s="41">
        <f>VLOOKUP(Table7[[#This Row],[Date]],'DB Details'!$A:$Q,13)</f>
        <v/>
      </c>
      <c r="D610" s="46">
        <f>(Table7[[#This Row],[S&amp;P]]-C598)/C598</f>
        <v/>
      </c>
      <c r="F610" s="3" t="n"/>
      <c r="K610" s="2" t="n"/>
    </row>
    <row r="611">
      <c r="A611" s="39" t="n">
        <v>35947</v>
      </c>
      <c r="B611" s="40">
        <f>VLOOKUP(Table7[[#This Row],[Date]],'DB Details'!$A:$L,12)</f>
        <v/>
      </c>
      <c r="C611" s="41">
        <f>VLOOKUP(Table7[[#This Row],[Date]],'DB Details'!$A:$Q,13)</f>
        <v/>
      </c>
      <c r="D611" s="46">
        <f>(Table7[[#This Row],[S&amp;P]]-C599)/C599</f>
        <v/>
      </c>
      <c r="F611" s="3" t="n"/>
      <c r="K611" s="2" t="n"/>
    </row>
    <row r="612">
      <c r="A612" s="39" t="n">
        <v>35977</v>
      </c>
      <c r="B612" s="40">
        <f>VLOOKUP(Table7[[#This Row],[Date]],'DB Details'!$A:$L,12)</f>
        <v/>
      </c>
      <c r="C612" s="41">
        <f>VLOOKUP(Table7[[#This Row],[Date]],'DB Details'!$A:$Q,13)</f>
        <v/>
      </c>
      <c r="D612" s="46">
        <f>(Table7[[#This Row],[S&amp;P]]-C600)/C600</f>
        <v/>
      </c>
      <c r="F612" s="3" t="n"/>
      <c r="K612" s="2" t="n"/>
    </row>
    <row r="613">
      <c r="A613" s="39" t="n">
        <v>36008</v>
      </c>
      <c r="B613" s="40">
        <f>VLOOKUP(Table7[[#This Row],[Date]],'DB Details'!$A:$L,12)</f>
        <v/>
      </c>
      <c r="C613" s="41">
        <f>VLOOKUP(Table7[[#This Row],[Date]],'DB Details'!$A:$Q,13)</f>
        <v/>
      </c>
      <c r="D613" s="46">
        <f>(Table7[[#This Row],[S&amp;P]]-C601)/C601</f>
        <v/>
      </c>
      <c r="F613" s="3" t="n"/>
      <c r="K613" s="2" t="n"/>
    </row>
    <row r="614">
      <c r="A614" s="39" t="n">
        <v>36039</v>
      </c>
      <c r="B614" s="40">
        <f>VLOOKUP(Table7[[#This Row],[Date]],'DB Details'!$A:$L,12)</f>
        <v/>
      </c>
      <c r="C614" s="41">
        <f>VLOOKUP(Table7[[#This Row],[Date]],'DB Details'!$A:$Q,13)</f>
        <v/>
      </c>
      <c r="D614" s="46">
        <f>(Table7[[#This Row],[S&amp;P]]-C602)/C602</f>
        <v/>
      </c>
      <c r="F614" s="3" t="n"/>
      <c r="K614" s="2" t="n"/>
    </row>
    <row r="615">
      <c r="A615" s="39" t="n">
        <v>36069</v>
      </c>
      <c r="B615" s="40">
        <f>VLOOKUP(Table7[[#This Row],[Date]],'DB Details'!$A:$L,12)</f>
        <v/>
      </c>
      <c r="C615" s="41">
        <f>VLOOKUP(Table7[[#This Row],[Date]],'DB Details'!$A:$Q,13)</f>
        <v/>
      </c>
      <c r="D615" s="46">
        <f>(Table7[[#This Row],[S&amp;P]]-C603)/C603</f>
        <v/>
      </c>
      <c r="F615" s="3" t="n"/>
      <c r="K615" s="2" t="n"/>
    </row>
    <row r="616">
      <c r="A616" s="39" t="n">
        <v>36100</v>
      </c>
      <c r="B616" s="40">
        <f>VLOOKUP(Table7[[#This Row],[Date]],'DB Details'!$A:$L,12)</f>
        <v/>
      </c>
      <c r="C616" s="41">
        <f>VLOOKUP(Table7[[#This Row],[Date]],'DB Details'!$A:$Q,13)</f>
        <v/>
      </c>
      <c r="D616" s="46">
        <f>(Table7[[#This Row],[S&amp;P]]-C604)/C604</f>
        <v/>
      </c>
      <c r="F616" s="3" t="n"/>
      <c r="K616" s="2" t="n"/>
    </row>
    <row r="617">
      <c r="A617" s="39" t="n">
        <v>36130</v>
      </c>
      <c r="B617" s="40">
        <f>VLOOKUP(Table7[[#This Row],[Date]],'DB Details'!$A:$L,12)</f>
        <v/>
      </c>
      <c r="C617" s="41">
        <f>VLOOKUP(Table7[[#This Row],[Date]],'DB Details'!$A:$Q,13)</f>
        <v/>
      </c>
      <c r="D617" s="46">
        <f>(Table7[[#This Row],[S&amp;P]]-C605)/C605</f>
        <v/>
      </c>
      <c r="F617" s="3" t="n"/>
      <c r="K617" s="2" t="n"/>
    </row>
    <row r="618">
      <c r="A618" s="39" t="n">
        <v>36161</v>
      </c>
      <c r="B618" s="40">
        <f>VLOOKUP(Table7[[#This Row],[Date]],'DB Details'!$A:$L,12)</f>
        <v/>
      </c>
      <c r="C618" s="41">
        <f>VLOOKUP(Table7[[#This Row],[Date]],'DB Details'!$A:$Q,13)</f>
        <v/>
      </c>
      <c r="D618" s="46">
        <f>(Table7[[#This Row],[S&amp;P]]-C606)/C606</f>
        <v/>
      </c>
      <c r="F618" s="3" t="n"/>
      <c r="K618" s="2" t="n"/>
    </row>
    <row r="619">
      <c r="A619" s="39" t="n">
        <v>36192</v>
      </c>
      <c r="B619" s="40">
        <f>VLOOKUP(Table7[[#This Row],[Date]],'DB Details'!$A:$L,12)</f>
        <v/>
      </c>
      <c r="C619" s="41">
        <f>VLOOKUP(Table7[[#This Row],[Date]],'DB Details'!$A:$Q,13)</f>
        <v/>
      </c>
      <c r="D619" s="46">
        <f>(Table7[[#This Row],[S&amp;P]]-C607)/C607</f>
        <v/>
      </c>
      <c r="F619" s="3" t="n"/>
      <c r="K619" s="2" t="n"/>
    </row>
    <row r="620">
      <c r="A620" s="39" t="n">
        <v>36220</v>
      </c>
      <c r="B620" s="40">
        <f>VLOOKUP(Table7[[#This Row],[Date]],'DB Details'!$A:$L,12)</f>
        <v/>
      </c>
      <c r="C620" s="41">
        <f>VLOOKUP(Table7[[#This Row],[Date]],'DB Details'!$A:$Q,13)</f>
        <v/>
      </c>
      <c r="D620" s="46">
        <f>(Table7[[#This Row],[S&amp;P]]-C608)/C608</f>
        <v/>
      </c>
      <c r="F620" s="3" t="n"/>
      <c r="K620" s="2" t="n"/>
    </row>
    <row r="621">
      <c r="A621" s="39" t="n">
        <v>36251</v>
      </c>
      <c r="B621" s="40">
        <f>VLOOKUP(Table7[[#This Row],[Date]],'DB Details'!$A:$L,12)</f>
        <v/>
      </c>
      <c r="C621" s="41">
        <f>VLOOKUP(Table7[[#This Row],[Date]],'DB Details'!$A:$Q,13)</f>
        <v/>
      </c>
      <c r="D621" s="46">
        <f>(Table7[[#This Row],[S&amp;P]]-C609)/C609</f>
        <v/>
      </c>
      <c r="F621" s="3" t="n"/>
      <c r="K621" s="2" t="n"/>
    </row>
    <row r="622">
      <c r="A622" s="39" t="n">
        <v>36281</v>
      </c>
      <c r="B622" s="40">
        <f>VLOOKUP(Table7[[#This Row],[Date]],'DB Details'!$A:$L,12)</f>
        <v/>
      </c>
      <c r="C622" s="41">
        <f>VLOOKUP(Table7[[#This Row],[Date]],'DB Details'!$A:$Q,13)</f>
        <v/>
      </c>
      <c r="D622" s="46">
        <f>(Table7[[#This Row],[S&amp;P]]-C610)/C610</f>
        <v/>
      </c>
      <c r="F622" s="3" t="n"/>
      <c r="K622" s="2" t="n"/>
    </row>
    <row r="623">
      <c r="A623" s="39" t="n">
        <v>36312</v>
      </c>
      <c r="B623" s="40">
        <f>VLOOKUP(Table7[[#This Row],[Date]],'DB Details'!$A:$L,12)</f>
        <v/>
      </c>
      <c r="C623" s="41">
        <f>VLOOKUP(Table7[[#This Row],[Date]],'DB Details'!$A:$Q,13)</f>
        <v/>
      </c>
      <c r="D623" s="46">
        <f>(Table7[[#This Row],[S&amp;P]]-C611)/C611</f>
        <v/>
      </c>
      <c r="F623" s="3" t="n"/>
      <c r="K623" s="2" t="n"/>
    </row>
    <row r="624">
      <c r="A624" s="39" t="n">
        <v>36342</v>
      </c>
      <c r="B624" s="40">
        <f>VLOOKUP(Table7[[#This Row],[Date]],'DB Details'!$A:$L,12)</f>
        <v/>
      </c>
      <c r="C624" s="41">
        <f>VLOOKUP(Table7[[#This Row],[Date]],'DB Details'!$A:$Q,13)</f>
        <v/>
      </c>
      <c r="D624" s="46">
        <f>(Table7[[#This Row],[S&amp;P]]-C612)/C612</f>
        <v/>
      </c>
      <c r="F624" s="3" t="n"/>
      <c r="K624" s="2" t="n"/>
    </row>
    <row r="625">
      <c r="A625" s="39" t="n">
        <v>36373</v>
      </c>
      <c r="B625" s="40">
        <f>VLOOKUP(Table7[[#This Row],[Date]],'DB Details'!$A:$L,12)</f>
        <v/>
      </c>
      <c r="C625" s="41">
        <f>VLOOKUP(Table7[[#This Row],[Date]],'DB Details'!$A:$Q,13)</f>
        <v/>
      </c>
      <c r="D625" s="46">
        <f>(Table7[[#This Row],[S&amp;P]]-C613)/C613</f>
        <v/>
      </c>
      <c r="F625" s="3" t="n"/>
      <c r="K625" s="2" t="n"/>
    </row>
    <row r="626">
      <c r="A626" s="39" t="n">
        <v>36404</v>
      </c>
      <c r="B626" s="40">
        <f>VLOOKUP(Table7[[#This Row],[Date]],'DB Details'!$A:$L,12)</f>
        <v/>
      </c>
      <c r="C626" s="41">
        <f>VLOOKUP(Table7[[#This Row],[Date]],'DB Details'!$A:$Q,13)</f>
        <v/>
      </c>
      <c r="D626" s="46">
        <f>(Table7[[#This Row],[S&amp;P]]-C614)/C614</f>
        <v/>
      </c>
      <c r="F626" s="3" t="n"/>
      <c r="K626" s="2" t="n"/>
    </row>
    <row r="627">
      <c r="A627" s="39" t="n">
        <v>36434</v>
      </c>
      <c r="B627" s="40">
        <f>VLOOKUP(Table7[[#This Row],[Date]],'DB Details'!$A:$L,12)</f>
        <v/>
      </c>
      <c r="C627" s="41">
        <f>VLOOKUP(Table7[[#This Row],[Date]],'DB Details'!$A:$Q,13)</f>
        <v/>
      </c>
      <c r="D627" s="46">
        <f>(Table7[[#This Row],[S&amp;P]]-C615)/C615</f>
        <v/>
      </c>
      <c r="F627" s="3" t="n"/>
      <c r="K627" s="2" t="n"/>
    </row>
    <row r="628">
      <c r="A628" s="39" t="n">
        <v>36465</v>
      </c>
      <c r="B628" s="40">
        <f>VLOOKUP(Table7[[#This Row],[Date]],'DB Details'!$A:$L,12)</f>
        <v/>
      </c>
      <c r="C628" s="41">
        <f>VLOOKUP(Table7[[#This Row],[Date]],'DB Details'!$A:$Q,13)</f>
        <v/>
      </c>
      <c r="D628" s="46">
        <f>(Table7[[#This Row],[S&amp;P]]-C616)/C616</f>
        <v/>
      </c>
      <c r="F628" s="3" t="n"/>
      <c r="K628" s="2" t="n"/>
    </row>
    <row r="629">
      <c r="A629" s="39" t="n">
        <v>36495</v>
      </c>
      <c r="B629" s="40">
        <f>VLOOKUP(Table7[[#This Row],[Date]],'DB Details'!$A:$L,12)</f>
        <v/>
      </c>
      <c r="C629" s="41">
        <f>VLOOKUP(Table7[[#This Row],[Date]],'DB Details'!$A:$Q,13)</f>
        <v/>
      </c>
      <c r="D629" s="46">
        <f>(Table7[[#This Row],[S&amp;P]]-C617)/C617</f>
        <v/>
      </c>
      <c r="F629" s="3" t="n"/>
      <c r="K629" s="2" t="n"/>
    </row>
    <row r="630">
      <c r="A630" s="39" t="n">
        <v>36526</v>
      </c>
      <c r="B630" s="40">
        <f>VLOOKUP(Table7[[#This Row],[Date]],'DB Details'!$A:$L,12)</f>
        <v/>
      </c>
      <c r="C630" s="41">
        <f>VLOOKUP(Table7[[#This Row],[Date]],'DB Details'!$A:$Q,13)</f>
        <v/>
      </c>
      <c r="D630" s="46">
        <f>(Table7[[#This Row],[S&amp;P]]-C618)/C618</f>
        <v/>
      </c>
      <c r="F630" s="3" t="n"/>
      <c r="K630" s="2" t="n"/>
    </row>
    <row r="631">
      <c r="A631" s="39" t="n">
        <v>36557</v>
      </c>
      <c r="B631" s="40">
        <f>VLOOKUP(Table7[[#This Row],[Date]],'DB Details'!$A:$L,12)</f>
        <v/>
      </c>
      <c r="C631" s="41">
        <f>VLOOKUP(Table7[[#This Row],[Date]],'DB Details'!$A:$Q,13)</f>
        <v/>
      </c>
      <c r="D631" s="46">
        <f>(Table7[[#This Row],[S&amp;P]]-C619)/C619</f>
        <v/>
      </c>
      <c r="F631" s="3" t="n"/>
      <c r="K631" s="2" t="n"/>
    </row>
    <row r="632">
      <c r="A632" s="39" t="n">
        <v>36586</v>
      </c>
      <c r="B632" s="40">
        <f>VLOOKUP(Table7[[#This Row],[Date]],'DB Details'!$A:$L,12)</f>
        <v/>
      </c>
      <c r="C632" s="41">
        <f>VLOOKUP(Table7[[#This Row],[Date]],'DB Details'!$A:$Q,13)</f>
        <v/>
      </c>
      <c r="D632" s="46">
        <f>(Table7[[#This Row],[S&amp;P]]-C620)/C620</f>
        <v/>
      </c>
      <c r="F632" s="3" t="n"/>
      <c r="K632" s="2" t="n"/>
    </row>
    <row r="633">
      <c r="A633" s="39" t="n">
        <v>36617</v>
      </c>
      <c r="B633" s="40">
        <f>VLOOKUP(Table7[[#This Row],[Date]],'DB Details'!$A:$L,12)</f>
        <v/>
      </c>
      <c r="C633" s="41">
        <f>VLOOKUP(Table7[[#This Row],[Date]],'DB Details'!$A:$Q,13)</f>
        <v/>
      </c>
      <c r="D633" s="46">
        <f>(Table7[[#This Row],[S&amp;P]]-C621)/C621</f>
        <v/>
      </c>
      <c r="F633" s="3" t="n"/>
      <c r="K633" s="2" t="n"/>
    </row>
    <row r="634">
      <c r="A634" s="39" t="n">
        <v>36647</v>
      </c>
      <c r="B634" s="40">
        <f>VLOOKUP(Table7[[#This Row],[Date]],'DB Details'!$A:$L,12)</f>
        <v/>
      </c>
      <c r="C634" s="41">
        <f>VLOOKUP(Table7[[#This Row],[Date]],'DB Details'!$A:$Q,13)</f>
        <v/>
      </c>
      <c r="D634" s="46">
        <f>(Table7[[#This Row],[S&amp;P]]-C622)/C622</f>
        <v/>
      </c>
      <c r="F634" s="3" t="n"/>
      <c r="K634" s="2" t="n"/>
    </row>
    <row r="635">
      <c r="A635" s="39" t="n">
        <v>36678</v>
      </c>
      <c r="B635" s="40">
        <f>VLOOKUP(Table7[[#This Row],[Date]],'DB Details'!$A:$L,12)</f>
        <v/>
      </c>
      <c r="C635" s="41">
        <f>VLOOKUP(Table7[[#This Row],[Date]],'DB Details'!$A:$Q,13)</f>
        <v/>
      </c>
      <c r="D635" s="46">
        <f>(Table7[[#This Row],[S&amp;P]]-C623)/C623</f>
        <v/>
      </c>
      <c r="F635" s="3" t="n"/>
      <c r="K635" s="2" t="n"/>
    </row>
    <row r="636">
      <c r="A636" s="39" t="n">
        <v>36708</v>
      </c>
      <c r="B636" s="40">
        <f>VLOOKUP(Table7[[#This Row],[Date]],'DB Details'!$A:$L,12)</f>
        <v/>
      </c>
      <c r="C636" s="41">
        <f>VLOOKUP(Table7[[#This Row],[Date]],'DB Details'!$A:$Q,13)</f>
        <v/>
      </c>
      <c r="D636" s="46">
        <f>(Table7[[#This Row],[S&amp;P]]-C624)/C624</f>
        <v/>
      </c>
      <c r="F636" s="3" t="n"/>
      <c r="K636" s="2" t="n"/>
    </row>
    <row r="637">
      <c r="A637" s="39" t="n">
        <v>36739</v>
      </c>
      <c r="B637" s="40">
        <f>VLOOKUP(Table7[[#This Row],[Date]],'DB Details'!$A:$L,12)</f>
        <v/>
      </c>
      <c r="C637" s="41">
        <f>VLOOKUP(Table7[[#This Row],[Date]],'DB Details'!$A:$Q,13)</f>
        <v/>
      </c>
      <c r="D637" s="46">
        <f>(Table7[[#This Row],[S&amp;P]]-C625)/C625</f>
        <v/>
      </c>
      <c r="F637" s="3" t="n"/>
      <c r="K637" s="2" t="n"/>
    </row>
    <row r="638">
      <c r="A638" s="39" t="n">
        <v>36770</v>
      </c>
      <c r="B638" s="40">
        <f>VLOOKUP(Table7[[#This Row],[Date]],'DB Details'!$A:$L,12)</f>
        <v/>
      </c>
      <c r="C638" s="41">
        <f>VLOOKUP(Table7[[#This Row],[Date]],'DB Details'!$A:$Q,13)</f>
        <v/>
      </c>
      <c r="D638" s="46">
        <f>(Table7[[#This Row],[S&amp;P]]-C626)/C626</f>
        <v/>
      </c>
      <c r="F638" s="3" t="n"/>
      <c r="K638" s="2" t="n"/>
    </row>
    <row r="639">
      <c r="A639" s="39" t="n">
        <v>36800</v>
      </c>
      <c r="B639" s="40">
        <f>VLOOKUP(Table7[[#This Row],[Date]],'DB Details'!$A:$L,12)</f>
        <v/>
      </c>
      <c r="C639" s="41">
        <f>VLOOKUP(Table7[[#This Row],[Date]],'DB Details'!$A:$Q,13)</f>
        <v/>
      </c>
      <c r="D639" s="46">
        <f>(Table7[[#This Row],[S&amp;P]]-C627)/C627</f>
        <v/>
      </c>
      <c r="F639" s="3" t="n"/>
      <c r="K639" s="2" t="n"/>
    </row>
    <row r="640">
      <c r="A640" s="39" t="n">
        <v>36831</v>
      </c>
      <c r="B640" s="40">
        <f>VLOOKUP(Table7[[#This Row],[Date]],'DB Details'!$A:$L,12)</f>
        <v/>
      </c>
      <c r="C640" s="41">
        <f>VLOOKUP(Table7[[#This Row],[Date]],'DB Details'!$A:$Q,13)</f>
        <v/>
      </c>
      <c r="D640" s="46">
        <f>(Table7[[#This Row],[S&amp;P]]-C628)/C628</f>
        <v/>
      </c>
      <c r="F640" s="3" t="n"/>
      <c r="K640" s="2" t="n"/>
    </row>
    <row r="641">
      <c r="A641" s="39" t="n">
        <v>36861</v>
      </c>
      <c r="B641" s="40">
        <f>VLOOKUP(Table7[[#This Row],[Date]],'DB Details'!$A:$L,12)</f>
        <v/>
      </c>
      <c r="C641" s="41">
        <f>VLOOKUP(Table7[[#This Row],[Date]],'DB Details'!$A:$Q,13)</f>
        <v/>
      </c>
      <c r="D641" s="46">
        <f>(Table7[[#This Row],[S&amp;P]]-C629)/C629</f>
        <v/>
      </c>
      <c r="F641" s="3" t="n"/>
      <c r="K641" s="2" t="n"/>
    </row>
    <row r="642">
      <c r="A642" s="39" t="n">
        <v>36892</v>
      </c>
      <c r="B642" s="40">
        <f>VLOOKUP(Table7[[#This Row],[Date]],'DB Details'!$A:$L,12)</f>
        <v/>
      </c>
      <c r="C642" s="41">
        <f>VLOOKUP(Table7[[#This Row],[Date]],'DB Details'!$A:$Q,13)</f>
        <v/>
      </c>
      <c r="D642" s="46">
        <f>(Table7[[#This Row],[S&amp;P]]-C630)/C630</f>
        <v/>
      </c>
      <c r="F642" s="3" t="n"/>
      <c r="K642" s="2" t="n"/>
    </row>
    <row r="643">
      <c r="A643" s="39" t="n">
        <v>36923</v>
      </c>
      <c r="B643" s="40">
        <f>VLOOKUP(Table7[[#This Row],[Date]],'DB Details'!$A:$L,12)</f>
        <v/>
      </c>
      <c r="C643" s="41">
        <f>VLOOKUP(Table7[[#This Row],[Date]],'DB Details'!$A:$Q,13)</f>
        <v/>
      </c>
      <c r="D643" s="46">
        <f>(Table7[[#This Row],[S&amp;P]]-C631)/C631</f>
        <v/>
      </c>
      <c r="F643" s="3" t="n"/>
      <c r="K643" s="2" t="n"/>
    </row>
    <row r="644">
      <c r="A644" s="39" t="n">
        <v>36951</v>
      </c>
      <c r="B644" s="40">
        <f>VLOOKUP(Table7[[#This Row],[Date]],'DB Details'!$A:$L,12)</f>
        <v/>
      </c>
      <c r="C644" s="41">
        <f>VLOOKUP(Table7[[#This Row],[Date]],'DB Details'!$A:$Q,13)</f>
        <v/>
      </c>
      <c r="D644" s="46">
        <f>(Table7[[#This Row],[S&amp;P]]-C632)/C632</f>
        <v/>
      </c>
      <c r="F644" s="3" t="n"/>
      <c r="K644" s="2" t="n"/>
    </row>
    <row r="645">
      <c r="A645" s="39" t="n">
        <v>36982</v>
      </c>
      <c r="B645" s="40">
        <f>VLOOKUP(Table7[[#This Row],[Date]],'DB Details'!$A:$L,12)</f>
        <v/>
      </c>
      <c r="C645" s="41">
        <f>VLOOKUP(Table7[[#This Row],[Date]],'DB Details'!$A:$Q,13)</f>
        <v/>
      </c>
      <c r="D645" s="46">
        <f>(Table7[[#This Row],[S&amp;P]]-C633)/C633</f>
        <v/>
      </c>
      <c r="F645" s="3" t="n"/>
      <c r="K645" s="2" t="n"/>
    </row>
    <row r="646">
      <c r="A646" s="39" t="n">
        <v>37012</v>
      </c>
      <c r="B646" s="40">
        <f>VLOOKUP(Table7[[#This Row],[Date]],'DB Details'!$A:$L,12)</f>
        <v/>
      </c>
      <c r="C646" s="41">
        <f>VLOOKUP(Table7[[#This Row],[Date]],'DB Details'!$A:$Q,13)</f>
        <v/>
      </c>
      <c r="D646" s="46">
        <f>(Table7[[#This Row],[S&amp;P]]-C634)/C634</f>
        <v/>
      </c>
      <c r="F646" s="3" t="n"/>
      <c r="K646" s="2" t="n"/>
    </row>
    <row r="647">
      <c r="A647" s="39" t="n">
        <v>37043</v>
      </c>
      <c r="B647" s="40">
        <f>VLOOKUP(Table7[[#This Row],[Date]],'DB Details'!$A:$L,12)</f>
        <v/>
      </c>
      <c r="C647" s="41">
        <f>VLOOKUP(Table7[[#This Row],[Date]],'DB Details'!$A:$Q,13)</f>
        <v/>
      </c>
      <c r="D647" s="46">
        <f>(Table7[[#This Row],[S&amp;P]]-C635)/C635</f>
        <v/>
      </c>
      <c r="F647" s="3" t="n"/>
      <c r="K647" s="2" t="n"/>
    </row>
    <row r="648">
      <c r="A648" s="39" t="n">
        <v>37073</v>
      </c>
      <c r="B648" s="40">
        <f>VLOOKUP(Table7[[#This Row],[Date]],'DB Details'!$A:$L,12)</f>
        <v/>
      </c>
      <c r="C648" s="41">
        <f>VLOOKUP(Table7[[#This Row],[Date]],'DB Details'!$A:$Q,13)</f>
        <v/>
      </c>
      <c r="D648" s="46">
        <f>(Table7[[#This Row],[S&amp;P]]-C636)/C636</f>
        <v/>
      </c>
      <c r="F648" s="3" t="n"/>
      <c r="K648" s="2" t="n"/>
    </row>
    <row r="649">
      <c r="A649" s="39" t="n">
        <v>37104</v>
      </c>
      <c r="B649" s="40">
        <f>VLOOKUP(Table7[[#This Row],[Date]],'DB Details'!$A:$L,12)</f>
        <v/>
      </c>
      <c r="C649" s="41">
        <f>VLOOKUP(Table7[[#This Row],[Date]],'DB Details'!$A:$Q,13)</f>
        <v/>
      </c>
      <c r="D649" s="46">
        <f>(Table7[[#This Row],[S&amp;P]]-C637)/C637</f>
        <v/>
      </c>
      <c r="F649" s="3" t="n"/>
      <c r="K649" s="2" t="n"/>
    </row>
    <row r="650">
      <c r="A650" s="39" t="n">
        <v>37135</v>
      </c>
      <c r="B650" s="40">
        <f>VLOOKUP(Table7[[#This Row],[Date]],'DB Details'!$A:$L,12)</f>
        <v/>
      </c>
      <c r="C650" s="41">
        <f>VLOOKUP(Table7[[#This Row],[Date]],'DB Details'!$A:$Q,13)</f>
        <v/>
      </c>
      <c r="D650" s="46">
        <f>(Table7[[#This Row],[S&amp;P]]-C638)/C638</f>
        <v/>
      </c>
      <c r="F650" s="3" t="n"/>
      <c r="K650" s="2" t="n"/>
    </row>
    <row r="651">
      <c r="A651" s="39" t="n">
        <v>37165</v>
      </c>
      <c r="B651" s="40">
        <f>VLOOKUP(Table7[[#This Row],[Date]],'DB Details'!$A:$L,12)</f>
        <v/>
      </c>
      <c r="C651" s="41">
        <f>VLOOKUP(Table7[[#This Row],[Date]],'DB Details'!$A:$Q,13)</f>
        <v/>
      </c>
      <c r="D651" s="46">
        <f>(Table7[[#This Row],[S&amp;P]]-C639)/C639</f>
        <v/>
      </c>
      <c r="F651" s="3" t="n"/>
      <c r="K651" s="2" t="n"/>
    </row>
    <row r="652">
      <c r="A652" s="39" t="n">
        <v>37196</v>
      </c>
      <c r="B652" s="40">
        <f>VLOOKUP(Table7[[#This Row],[Date]],'DB Details'!$A:$L,12)</f>
        <v/>
      </c>
      <c r="C652" s="41">
        <f>VLOOKUP(Table7[[#This Row],[Date]],'DB Details'!$A:$Q,13)</f>
        <v/>
      </c>
      <c r="D652" s="46">
        <f>(Table7[[#This Row],[S&amp;P]]-C640)/C640</f>
        <v/>
      </c>
      <c r="F652" s="3" t="n"/>
      <c r="K652" s="2" t="n"/>
    </row>
    <row r="653">
      <c r="A653" s="39" t="n">
        <v>37226</v>
      </c>
      <c r="B653" s="40">
        <f>VLOOKUP(Table7[[#This Row],[Date]],'DB Details'!$A:$L,12)</f>
        <v/>
      </c>
      <c r="C653" s="41">
        <f>VLOOKUP(Table7[[#This Row],[Date]],'DB Details'!$A:$Q,13)</f>
        <v/>
      </c>
      <c r="D653" s="46">
        <f>(Table7[[#This Row],[S&amp;P]]-C641)/C641</f>
        <v/>
      </c>
      <c r="F653" s="3" t="n"/>
      <c r="K653" s="2" t="n"/>
    </row>
    <row r="654">
      <c r="A654" s="39" t="n">
        <v>37257</v>
      </c>
      <c r="B654" s="40">
        <f>VLOOKUP(Table7[[#This Row],[Date]],'DB Details'!$A:$L,12)</f>
        <v/>
      </c>
      <c r="C654" s="41">
        <f>VLOOKUP(Table7[[#This Row],[Date]],'DB Details'!$A:$Q,13)</f>
        <v/>
      </c>
      <c r="D654" s="46">
        <f>(Table7[[#This Row],[S&amp;P]]-C642)/C642</f>
        <v/>
      </c>
      <c r="F654" s="3" t="n"/>
      <c r="K654" s="2" t="n"/>
    </row>
    <row r="655">
      <c r="A655" s="39" t="n">
        <v>37288</v>
      </c>
      <c r="B655" s="40">
        <f>VLOOKUP(Table7[[#This Row],[Date]],'DB Details'!$A:$L,12)</f>
        <v/>
      </c>
      <c r="C655" s="41">
        <f>VLOOKUP(Table7[[#This Row],[Date]],'DB Details'!$A:$Q,13)</f>
        <v/>
      </c>
      <c r="D655" s="46">
        <f>(Table7[[#This Row],[S&amp;P]]-C643)/C643</f>
        <v/>
      </c>
      <c r="F655" s="3" t="n"/>
      <c r="K655" s="2" t="n"/>
    </row>
    <row r="656">
      <c r="A656" s="39" t="n">
        <v>37316</v>
      </c>
      <c r="B656" s="40">
        <f>VLOOKUP(Table7[[#This Row],[Date]],'DB Details'!$A:$L,12)</f>
        <v/>
      </c>
      <c r="C656" s="41">
        <f>VLOOKUP(Table7[[#This Row],[Date]],'DB Details'!$A:$Q,13)</f>
        <v/>
      </c>
      <c r="D656" s="46">
        <f>(Table7[[#This Row],[S&amp;P]]-C644)/C644</f>
        <v/>
      </c>
      <c r="F656" s="3" t="n"/>
      <c r="K656" s="2" t="n"/>
    </row>
    <row r="657">
      <c r="A657" s="39" t="n">
        <v>37347</v>
      </c>
      <c r="B657" s="40">
        <f>VLOOKUP(Table7[[#This Row],[Date]],'DB Details'!$A:$L,12)</f>
        <v/>
      </c>
      <c r="C657" s="41">
        <f>VLOOKUP(Table7[[#This Row],[Date]],'DB Details'!$A:$Q,13)</f>
        <v/>
      </c>
      <c r="D657" s="46">
        <f>(Table7[[#This Row],[S&amp;P]]-C645)/C645</f>
        <v/>
      </c>
      <c r="F657" s="3" t="n"/>
      <c r="K657" s="2" t="n"/>
    </row>
    <row r="658">
      <c r="A658" s="39" t="n">
        <v>37377</v>
      </c>
      <c r="B658" s="40">
        <f>VLOOKUP(Table7[[#This Row],[Date]],'DB Details'!$A:$L,12)</f>
        <v/>
      </c>
      <c r="C658" s="41">
        <f>VLOOKUP(Table7[[#This Row],[Date]],'DB Details'!$A:$Q,13)</f>
        <v/>
      </c>
      <c r="D658" s="46">
        <f>(Table7[[#This Row],[S&amp;P]]-C646)/C646</f>
        <v/>
      </c>
      <c r="F658" s="3" t="n"/>
      <c r="K658" s="2" t="n"/>
    </row>
    <row r="659">
      <c r="A659" s="39" t="n">
        <v>37408</v>
      </c>
      <c r="B659" s="40">
        <f>VLOOKUP(Table7[[#This Row],[Date]],'DB Details'!$A:$L,12)</f>
        <v/>
      </c>
      <c r="C659" s="41">
        <f>VLOOKUP(Table7[[#This Row],[Date]],'DB Details'!$A:$Q,13)</f>
        <v/>
      </c>
      <c r="D659" s="46">
        <f>(Table7[[#This Row],[S&amp;P]]-C647)/C647</f>
        <v/>
      </c>
      <c r="F659" s="3" t="n"/>
      <c r="K659" s="2" t="n"/>
    </row>
    <row r="660">
      <c r="A660" s="39" t="n">
        <v>37438</v>
      </c>
      <c r="B660" s="40">
        <f>VLOOKUP(Table7[[#This Row],[Date]],'DB Details'!$A:$L,12)</f>
        <v/>
      </c>
      <c r="C660" s="41">
        <f>VLOOKUP(Table7[[#This Row],[Date]],'DB Details'!$A:$Q,13)</f>
        <v/>
      </c>
      <c r="D660" s="46">
        <f>(Table7[[#This Row],[S&amp;P]]-C648)/C648</f>
        <v/>
      </c>
      <c r="F660" s="3" t="n"/>
      <c r="K660" s="2" t="n"/>
    </row>
    <row r="661">
      <c r="A661" s="39" t="n">
        <v>37469</v>
      </c>
      <c r="B661" s="40">
        <f>VLOOKUP(Table7[[#This Row],[Date]],'DB Details'!$A:$L,12)</f>
        <v/>
      </c>
      <c r="C661" s="41">
        <f>VLOOKUP(Table7[[#This Row],[Date]],'DB Details'!$A:$Q,13)</f>
        <v/>
      </c>
      <c r="D661" s="46">
        <f>(Table7[[#This Row],[S&amp;P]]-C649)/C649</f>
        <v/>
      </c>
      <c r="F661" s="3" t="n"/>
      <c r="K661" s="2" t="n"/>
    </row>
    <row r="662">
      <c r="A662" s="39" t="n">
        <v>37500</v>
      </c>
      <c r="B662" s="40">
        <f>VLOOKUP(Table7[[#This Row],[Date]],'DB Details'!$A:$L,12)</f>
        <v/>
      </c>
      <c r="C662" s="41">
        <f>VLOOKUP(Table7[[#This Row],[Date]],'DB Details'!$A:$Q,13)</f>
        <v/>
      </c>
      <c r="D662" s="46">
        <f>(Table7[[#This Row],[S&amp;P]]-C650)/C650</f>
        <v/>
      </c>
      <c r="F662" s="3" t="n"/>
      <c r="K662" s="2" t="n"/>
    </row>
    <row r="663">
      <c r="A663" s="39" t="n">
        <v>37530</v>
      </c>
      <c r="B663" s="40">
        <f>VLOOKUP(Table7[[#This Row],[Date]],'DB Details'!$A:$L,12)</f>
        <v/>
      </c>
      <c r="C663" s="41">
        <f>VLOOKUP(Table7[[#This Row],[Date]],'DB Details'!$A:$Q,13)</f>
        <v/>
      </c>
      <c r="D663" s="46">
        <f>(Table7[[#This Row],[S&amp;P]]-C651)/C651</f>
        <v/>
      </c>
      <c r="F663" s="3" t="n"/>
      <c r="K663" s="2" t="n"/>
    </row>
    <row r="664">
      <c r="A664" s="39" t="n">
        <v>37561</v>
      </c>
      <c r="B664" s="40">
        <f>VLOOKUP(Table7[[#This Row],[Date]],'DB Details'!$A:$L,12)</f>
        <v/>
      </c>
      <c r="C664" s="41">
        <f>VLOOKUP(Table7[[#This Row],[Date]],'DB Details'!$A:$Q,13)</f>
        <v/>
      </c>
      <c r="D664" s="46">
        <f>(Table7[[#This Row],[S&amp;P]]-C652)/C652</f>
        <v/>
      </c>
      <c r="F664" s="3" t="n"/>
      <c r="K664" s="2" t="n"/>
    </row>
    <row r="665">
      <c r="A665" s="39" t="n">
        <v>37591</v>
      </c>
      <c r="B665" s="40">
        <f>VLOOKUP(Table7[[#This Row],[Date]],'DB Details'!$A:$L,12)</f>
        <v/>
      </c>
      <c r="C665" s="41">
        <f>VLOOKUP(Table7[[#This Row],[Date]],'DB Details'!$A:$Q,13)</f>
        <v/>
      </c>
      <c r="D665" s="46">
        <f>(Table7[[#This Row],[S&amp;P]]-C653)/C653</f>
        <v/>
      </c>
      <c r="F665" s="3" t="n"/>
      <c r="K665" s="2" t="n"/>
    </row>
    <row r="666">
      <c r="A666" s="39" t="n">
        <v>37622</v>
      </c>
      <c r="B666" s="40">
        <f>VLOOKUP(Table7[[#This Row],[Date]],'DB Details'!$A:$L,12)</f>
        <v/>
      </c>
      <c r="C666" s="41">
        <f>VLOOKUP(Table7[[#This Row],[Date]],'DB Details'!$A:$Q,13)</f>
        <v/>
      </c>
      <c r="D666" s="46">
        <f>(Table7[[#This Row],[S&amp;P]]-C654)/C654</f>
        <v/>
      </c>
      <c r="F666" s="3" t="n"/>
      <c r="K666" s="2" t="n"/>
    </row>
    <row r="667">
      <c r="A667" s="39" t="n">
        <v>37653</v>
      </c>
      <c r="B667" s="40">
        <f>VLOOKUP(Table7[[#This Row],[Date]],'DB Details'!$A:$L,12)</f>
        <v/>
      </c>
      <c r="C667" s="41">
        <f>VLOOKUP(Table7[[#This Row],[Date]],'DB Details'!$A:$Q,13)</f>
        <v/>
      </c>
      <c r="D667" s="46">
        <f>(Table7[[#This Row],[S&amp;P]]-C655)/C655</f>
        <v/>
      </c>
      <c r="F667" s="3" t="n"/>
      <c r="K667" s="2" t="n"/>
    </row>
    <row r="668">
      <c r="A668" s="39" t="n">
        <v>37681</v>
      </c>
      <c r="B668" s="40">
        <f>VLOOKUP(Table7[[#This Row],[Date]],'DB Details'!$A:$L,12)</f>
        <v/>
      </c>
      <c r="C668" s="41">
        <f>VLOOKUP(Table7[[#This Row],[Date]],'DB Details'!$A:$Q,13)</f>
        <v/>
      </c>
      <c r="D668" s="46">
        <f>(Table7[[#This Row],[S&amp;P]]-C656)/C656</f>
        <v/>
      </c>
      <c r="F668" s="3" t="n"/>
      <c r="K668" s="2" t="n"/>
    </row>
    <row r="669">
      <c r="A669" s="39" t="n">
        <v>37712</v>
      </c>
      <c r="B669" s="40">
        <f>VLOOKUP(Table7[[#This Row],[Date]],'DB Details'!$A:$L,12)</f>
        <v/>
      </c>
      <c r="C669" s="41">
        <f>VLOOKUP(Table7[[#This Row],[Date]],'DB Details'!$A:$Q,13)</f>
        <v/>
      </c>
      <c r="D669" s="46">
        <f>(Table7[[#This Row],[S&amp;P]]-C657)/C657</f>
        <v/>
      </c>
      <c r="F669" s="3" t="n"/>
      <c r="K669" s="2" t="n"/>
    </row>
    <row r="670">
      <c r="A670" s="39" t="n">
        <v>37742</v>
      </c>
      <c r="B670" s="40">
        <f>VLOOKUP(Table7[[#This Row],[Date]],'DB Details'!$A:$L,12)</f>
        <v/>
      </c>
      <c r="C670" s="41">
        <f>VLOOKUP(Table7[[#This Row],[Date]],'DB Details'!$A:$Q,13)</f>
        <v/>
      </c>
      <c r="D670" s="46">
        <f>(Table7[[#This Row],[S&amp;P]]-C658)/C658</f>
        <v/>
      </c>
      <c r="F670" s="3" t="n"/>
      <c r="K670" s="2" t="n"/>
    </row>
    <row r="671">
      <c r="A671" s="39" t="n">
        <v>37773</v>
      </c>
      <c r="B671" s="40">
        <f>VLOOKUP(Table7[[#This Row],[Date]],'DB Details'!$A:$L,12)</f>
        <v/>
      </c>
      <c r="C671" s="41">
        <f>VLOOKUP(Table7[[#This Row],[Date]],'DB Details'!$A:$Q,13)</f>
        <v/>
      </c>
      <c r="D671" s="46">
        <f>(Table7[[#This Row],[S&amp;P]]-C659)/C659</f>
        <v/>
      </c>
      <c r="F671" s="3" t="n"/>
      <c r="K671" s="2" t="n"/>
    </row>
    <row r="672">
      <c r="A672" s="39" t="n">
        <v>37803</v>
      </c>
      <c r="B672" s="40">
        <f>VLOOKUP(Table7[[#This Row],[Date]],'DB Details'!$A:$L,12)</f>
        <v/>
      </c>
      <c r="C672" s="41">
        <f>VLOOKUP(Table7[[#This Row],[Date]],'DB Details'!$A:$Q,13)</f>
        <v/>
      </c>
      <c r="D672" s="46">
        <f>(Table7[[#This Row],[S&amp;P]]-C660)/C660</f>
        <v/>
      </c>
      <c r="F672" s="3" t="n"/>
      <c r="K672" s="2" t="n"/>
    </row>
    <row r="673">
      <c r="A673" s="39" t="n">
        <v>37834</v>
      </c>
      <c r="B673" s="40">
        <f>VLOOKUP(Table7[[#This Row],[Date]],'DB Details'!$A:$L,12)</f>
        <v/>
      </c>
      <c r="C673" s="41">
        <f>VLOOKUP(Table7[[#This Row],[Date]],'DB Details'!$A:$Q,13)</f>
        <v/>
      </c>
      <c r="D673" s="46">
        <f>(Table7[[#This Row],[S&amp;P]]-C661)/C661</f>
        <v/>
      </c>
      <c r="F673" s="3" t="n"/>
      <c r="K673" s="2" t="n"/>
    </row>
    <row r="674">
      <c r="A674" s="39" t="n">
        <v>37865</v>
      </c>
      <c r="B674" s="40">
        <f>VLOOKUP(Table7[[#This Row],[Date]],'DB Details'!$A:$L,12)</f>
        <v/>
      </c>
      <c r="C674" s="41">
        <f>VLOOKUP(Table7[[#This Row],[Date]],'DB Details'!$A:$Q,13)</f>
        <v/>
      </c>
      <c r="D674" s="46">
        <f>(Table7[[#This Row],[S&amp;P]]-C662)/C662</f>
        <v/>
      </c>
      <c r="F674" s="3" t="n"/>
      <c r="K674" s="2" t="n"/>
    </row>
    <row r="675">
      <c r="A675" s="39" t="n">
        <v>37895</v>
      </c>
      <c r="B675" s="40">
        <f>VLOOKUP(Table7[[#This Row],[Date]],'DB Details'!$A:$L,12)</f>
        <v/>
      </c>
      <c r="C675" s="41">
        <f>VLOOKUP(Table7[[#This Row],[Date]],'DB Details'!$A:$Q,13)</f>
        <v/>
      </c>
      <c r="D675" s="46">
        <f>(Table7[[#This Row],[S&amp;P]]-C663)/C663</f>
        <v/>
      </c>
      <c r="F675" s="3" t="n"/>
      <c r="K675" s="2" t="n"/>
    </row>
    <row r="676">
      <c r="A676" s="39" t="n">
        <v>37926</v>
      </c>
      <c r="B676" s="40">
        <f>VLOOKUP(Table7[[#This Row],[Date]],'DB Details'!$A:$L,12)</f>
        <v/>
      </c>
      <c r="C676" s="41">
        <f>VLOOKUP(Table7[[#This Row],[Date]],'DB Details'!$A:$Q,13)</f>
        <v/>
      </c>
      <c r="D676" s="46">
        <f>(Table7[[#This Row],[S&amp;P]]-C664)/C664</f>
        <v/>
      </c>
      <c r="F676" s="3" t="n"/>
      <c r="K676" s="2" t="n"/>
    </row>
    <row r="677">
      <c r="A677" s="39" t="n">
        <v>37956</v>
      </c>
      <c r="B677" s="40">
        <f>VLOOKUP(Table7[[#This Row],[Date]],'DB Details'!$A:$L,12)</f>
        <v/>
      </c>
      <c r="C677" s="41">
        <f>VLOOKUP(Table7[[#This Row],[Date]],'DB Details'!$A:$Q,13)</f>
        <v/>
      </c>
      <c r="D677" s="46">
        <f>(Table7[[#This Row],[S&amp;P]]-C665)/C665</f>
        <v/>
      </c>
      <c r="F677" s="3" t="n"/>
      <c r="K677" s="2" t="n"/>
    </row>
    <row r="678">
      <c r="A678" s="39" t="n">
        <v>37987</v>
      </c>
      <c r="B678" s="40">
        <f>VLOOKUP(Table7[[#This Row],[Date]],'DB Details'!$A:$L,12)</f>
        <v/>
      </c>
      <c r="C678" s="41">
        <f>VLOOKUP(Table7[[#This Row],[Date]],'DB Details'!$A:$Q,13)</f>
        <v/>
      </c>
      <c r="D678" s="46">
        <f>(Table7[[#This Row],[S&amp;P]]-C666)/C666</f>
        <v/>
      </c>
      <c r="F678" s="3" t="n"/>
      <c r="K678" s="2" t="n"/>
    </row>
    <row r="679">
      <c r="A679" s="39" t="n">
        <v>38018</v>
      </c>
      <c r="B679" s="40">
        <f>VLOOKUP(Table7[[#This Row],[Date]],'DB Details'!$A:$L,12)</f>
        <v/>
      </c>
      <c r="C679" s="41">
        <f>VLOOKUP(Table7[[#This Row],[Date]],'DB Details'!$A:$Q,13)</f>
        <v/>
      </c>
      <c r="D679" s="46">
        <f>(Table7[[#This Row],[S&amp;P]]-C667)/C667</f>
        <v/>
      </c>
      <c r="F679" s="3" t="n"/>
      <c r="K679" s="2" t="n"/>
    </row>
    <row r="680">
      <c r="A680" s="39" t="n">
        <v>38047</v>
      </c>
      <c r="B680" s="40">
        <f>VLOOKUP(Table7[[#This Row],[Date]],'DB Details'!$A:$L,12)</f>
        <v/>
      </c>
      <c r="C680" s="41">
        <f>VLOOKUP(Table7[[#This Row],[Date]],'DB Details'!$A:$Q,13)</f>
        <v/>
      </c>
      <c r="D680" s="46">
        <f>(Table7[[#This Row],[S&amp;P]]-C668)/C668</f>
        <v/>
      </c>
      <c r="F680" s="3" t="n"/>
      <c r="K680" s="2" t="n"/>
    </row>
    <row r="681">
      <c r="A681" s="39" t="n">
        <v>38078</v>
      </c>
      <c r="B681" s="40">
        <f>VLOOKUP(Table7[[#This Row],[Date]],'DB Details'!$A:$L,12)</f>
        <v/>
      </c>
      <c r="C681" s="41">
        <f>VLOOKUP(Table7[[#This Row],[Date]],'DB Details'!$A:$Q,13)</f>
        <v/>
      </c>
      <c r="D681" s="46">
        <f>(Table7[[#This Row],[S&amp;P]]-C669)/C669</f>
        <v/>
      </c>
      <c r="F681" s="3" t="n"/>
      <c r="K681" s="2" t="n"/>
    </row>
    <row r="682">
      <c r="A682" s="39" t="n">
        <v>38108</v>
      </c>
      <c r="B682" s="40">
        <f>VLOOKUP(Table7[[#This Row],[Date]],'DB Details'!$A:$L,12)</f>
        <v/>
      </c>
      <c r="C682" s="41">
        <f>VLOOKUP(Table7[[#This Row],[Date]],'DB Details'!$A:$Q,13)</f>
        <v/>
      </c>
      <c r="D682" s="46">
        <f>(Table7[[#This Row],[S&amp;P]]-C670)/C670</f>
        <v/>
      </c>
      <c r="F682" s="3" t="n"/>
      <c r="K682" s="2" t="n"/>
    </row>
    <row r="683">
      <c r="A683" s="39" t="n">
        <v>38139</v>
      </c>
      <c r="B683" s="40">
        <f>VLOOKUP(Table7[[#This Row],[Date]],'DB Details'!$A:$L,12)</f>
        <v/>
      </c>
      <c r="C683" s="41">
        <f>VLOOKUP(Table7[[#This Row],[Date]],'DB Details'!$A:$Q,13)</f>
        <v/>
      </c>
      <c r="D683" s="46">
        <f>(Table7[[#This Row],[S&amp;P]]-C671)/C671</f>
        <v/>
      </c>
      <c r="F683" s="3" t="n"/>
      <c r="K683" s="2" t="n"/>
    </row>
    <row r="684">
      <c r="A684" s="39" t="n">
        <v>38169</v>
      </c>
      <c r="B684" s="40">
        <f>VLOOKUP(Table7[[#This Row],[Date]],'DB Details'!$A:$L,12)</f>
        <v/>
      </c>
      <c r="C684" s="41">
        <f>VLOOKUP(Table7[[#This Row],[Date]],'DB Details'!$A:$Q,13)</f>
        <v/>
      </c>
      <c r="D684" s="46">
        <f>(Table7[[#This Row],[S&amp;P]]-C672)/C672</f>
        <v/>
      </c>
      <c r="F684" s="3" t="n"/>
      <c r="K684" s="2" t="n"/>
    </row>
    <row r="685">
      <c r="A685" s="39" t="n">
        <v>38200</v>
      </c>
      <c r="B685" s="40">
        <f>VLOOKUP(Table7[[#This Row],[Date]],'DB Details'!$A:$L,12)</f>
        <v/>
      </c>
      <c r="C685" s="41">
        <f>VLOOKUP(Table7[[#This Row],[Date]],'DB Details'!$A:$Q,13)</f>
        <v/>
      </c>
      <c r="D685" s="46">
        <f>(Table7[[#This Row],[S&amp;P]]-C673)/C673</f>
        <v/>
      </c>
      <c r="F685" s="3" t="n"/>
      <c r="K685" s="2" t="n"/>
    </row>
    <row r="686">
      <c r="A686" s="39" t="n">
        <v>38231</v>
      </c>
      <c r="B686" s="40">
        <f>VLOOKUP(Table7[[#This Row],[Date]],'DB Details'!$A:$L,12)</f>
        <v/>
      </c>
      <c r="C686" s="41">
        <f>VLOOKUP(Table7[[#This Row],[Date]],'DB Details'!$A:$Q,13)</f>
        <v/>
      </c>
      <c r="D686" s="46">
        <f>(Table7[[#This Row],[S&amp;P]]-C674)/C674</f>
        <v/>
      </c>
      <c r="F686" s="3" t="n"/>
      <c r="K686" s="2" t="n"/>
    </row>
    <row r="687">
      <c r="A687" s="39" t="n">
        <v>38261</v>
      </c>
      <c r="B687" s="40">
        <f>VLOOKUP(Table7[[#This Row],[Date]],'DB Details'!$A:$L,12)</f>
        <v/>
      </c>
      <c r="C687" s="41">
        <f>VLOOKUP(Table7[[#This Row],[Date]],'DB Details'!$A:$Q,13)</f>
        <v/>
      </c>
      <c r="D687" s="46">
        <f>(Table7[[#This Row],[S&amp;P]]-C675)/C675</f>
        <v/>
      </c>
      <c r="F687" s="3" t="n"/>
      <c r="K687" s="2" t="n"/>
    </row>
    <row r="688">
      <c r="A688" s="39" t="n">
        <v>38292</v>
      </c>
      <c r="B688" s="40">
        <f>VLOOKUP(Table7[[#This Row],[Date]],'DB Details'!$A:$L,12)</f>
        <v/>
      </c>
      <c r="C688" s="41">
        <f>VLOOKUP(Table7[[#This Row],[Date]],'DB Details'!$A:$Q,13)</f>
        <v/>
      </c>
      <c r="D688" s="46">
        <f>(Table7[[#This Row],[S&amp;P]]-C676)/C676</f>
        <v/>
      </c>
      <c r="F688" s="3" t="n"/>
      <c r="K688" s="2" t="n"/>
    </row>
    <row r="689">
      <c r="A689" s="39" t="n">
        <v>38322</v>
      </c>
      <c r="B689" s="40">
        <f>VLOOKUP(Table7[[#This Row],[Date]],'DB Details'!$A:$L,12)</f>
        <v/>
      </c>
      <c r="C689" s="41">
        <f>VLOOKUP(Table7[[#This Row],[Date]],'DB Details'!$A:$Q,13)</f>
        <v/>
      </c>
      <c r="D689" s="46">
        <f>(Table7[[#This Row],[S&amp;P]]-C677)/C677</f>
        <v/>
      </c>
      <c r="F689" s="3" t="n"/>
      <c r="K689" s="2" t="n"/>
    </row>
    <row r="690">
      <c r="A690" s="39" t="n">
        <v>38353</v>
      </c>
      <c r="B690" s="40">
        <f>VLOOKUP(Table7[[#This Row],[Date]],'DB Details'!$A:$L,12)</f>
        <v/>
      </c>
      <c r="C690" s="41">
        <f>VLOOKUP(Table7[[#This Row],[Date]],'DB Details'!$A:$Q,13)</f>
        <v/>
      </c>
      <c r="D690" s="46">
        <f>(Table7[[#This Row],[S&amp;P]]-C678)/C678</f>
        <v/>
      </c>
      <c r="F690" s="3" t="n"/>
      <c r="K690" s="2" t="n"/>
    </row>
    <row r="691">
      <c r="A691" s="39" t="n">
        <v>38384</v>
      </c>
      <c r="B691" s="40">
        <f>VLOOKUP(Table7[[#This Row],[Date]],'DB Details'!$A:$L,12)</f>
        <v/>
      </c>
      <c r="C691" s="41">
        <f>VLOOKUP(Table7[[#This Row],[Date]],'DB Details'!$A:$Q,13)</f>
        <v/>
      </c>
      <c r="D691" s="46">
        <f>(Table7[[#This Row],[S&amp;P]]-C679)/C679</f>
        <v/>
      </c>
      <c r="F691" s="3" t="n"/>
      <c r="K691" s="2" t="n"/>
    </row>
    <row r="692">
      <c r="A692" s="39" t="n">
        <v>38412</v>
      </c>
      <c r="B692" s="40">
        <f>VLOOKUP(Table7[[#This Row],[Date]],'DB Details'!$A:$L,12)</f>
        <v/>
      </c>
      <c r="C692" s="41">
        <f>VLOOKUP(Table7[[#This Row],[Date]],'DB Details'!$A:$Q,13)</f>
        <v/>
      </c>
      <c r="D692" s="46">
        <f>(Table7[[#This Row],[S&amp;P]]-C680)/C680</f>
        <v/>
      </c>
      <c r="F692" s="3" t="n"/>
      <c r="K692" s="2" t="n"/>
    </row>
    <row r="693">
      <c r="A693" s="39" t="n">
        <v>38443</v>
      </c>
      <c r="B693" s="40">
        <f>VLOOKUP(Table7[[#This Row],[Date]],'DB Details'!$A:$L,12)</f>
        <v/>
      </c>
      <c r="C693" s="41">
        <f>VLOOKUP(Table7[[#This Row],[Date]],'DB Details'!$A:$Q,13)</f>
        <v/>
      </c>
      <c r="D693" s="46">
        <f>(Table7[[#This Row],[S&amp;P]]-C681)/C681</f>
        <v/>
      </c>
      <c r="F693" s="3" t="n"/>
      <c r="K693" s="2" t="n"/>
    </row>
    <row r="694">
      <c r="A694" s="39" t="n">
        <v>38473</v>
      </c>
      <c r="B694" s="40">
        <f>VLOOKUP(Table7[[#This Row],[Date]],'DB Details'!$A:$L,12)</f>
        <v/>
      </c>
      <c r="C694" s="41">
        <f>VLOOKUP(Table7[[#This Row],[Date]],'DB Details'!$A:$Q,13)</f>
        <v/>
      </c>
      <c r="D694" s="46">
        <f>(Table7[[#This Row],[S&amp;P]]-C682)/C682</f>
        <v/>
      </c>
      <c r="F694" s="3" t="n"/>
      <c r="K694" s="2" t="n"/>
    </row>
    <row r="695">
      <c r="A695" s="39" t="n">
        <v>38504</v>
      </c>
      <c r="B695" s="40">
        <f>VLOOKUP(Table7[[#This Row],[Date]],'DB Details'!$A:$L,12)</f>
        <v/>
      </c>
      <c r="C695" s="41">
        <f>VLOOKUP(Table7[[#This Row],[Date]],'DB Details'!$A:$Q,13)</f>
        <v/>
      </c>
      <c r="D695" s="46">
        <f>(Table7[[#This Row],[S&amp;P]]-C683)/C683</f>
        <v/>
      </c>
      <c r="F695" s="3" t="n"/>
      <c r="K695" s="2" t="n"/>
    </row>
    <row r="696">
      <c r="A696" s="39" t="n">
        <v>38534</v>
      </c>
      <c r="B696" s="40">
        <f>VLOOKUP(Table7[[#This Row],[Date]],'DB Details'!$A:$L,12)</f>
        <v/>
      </c>
      <c r="C696" s="41">
        <f>VLOOKUP(Table7[[#This Row],[Date]],'DB Details'!$A:$Q,13)</f>
        <v/>
      </c>
      <c r="D696" s="46">
        <f>(Table7[[#This Row],[S&amp;P]]-C684)/C684</f>
        <v/>
      </c>
      <c r="F696" s="3" t="n"/>
      <c r="K696" s="2" t="n"/>
    </row>
    <row r="697">
      <c r="A697" s="39" t="n">
        <v>38565</v>
      </c>
      <c r="B697" s="40">
        <f>VLOOKUP(Table7[[#This Row],[Date]],'DB Details'!$A:$L,12)</f>
        <v/>
      </c>
      <c r="C697" s="41">
        <f>VLOOKUP(Table7[[#This Row],[Date]],'DB Details'!$A:$Q,13)</f>
        <v/>
      </c>
      <c r="D697" s="46">
        <f>(Table7[[#This Row],[S&amp;P]]-C685)/C685</f>
        <v/>
      </c>
      <c r="F697" s="3" t="n"/>
      <c r="K697" s="2" t="n"/>
    </row>
    <row r="698">
      <c r="A698" s="39" t="n">
        <v>38596</v>
      </c>
      <c r="B698" s="40">
        <f>VLOOKUP(Table7[[#This Row],[Date]],'DB Details'!$A:$L,12)</f>
        <v/>
      </c>
      <c r="C698" s="41">
        <f>VLOOKUP(Table7[[#This Row],[Date]],'DB Details'!$A:$Q,13)</f>
        <v/>
      </c>
      <c r="D698" s="46">
        <f>(Table7[[#This Row],[S&amp;P]]-C686)/C686</f>
        <v/>
      </c>
      <c r="F698" s="3" t="n"/>
      <c r="K698" s="2" t="n"/>
    </row>
    <row r="699">
      <c r="A699" s="39" t="n">
        <v>38626</v>
      </c>
      <c r="B699" s="40">
        <f>VLOOKUP(Table7[[#This Row],[Date]],'DB Details'!$A:$L,12)</f>
        <v/>
      </c>
      <c r="C699" s="41">
        <f>VLOOKUP(Table7[[#This Row],[Date]],'DB Details'!$A:$Q,13)</f>
        <v/>
      </c>
      <c r="D699" s="46">
        <f>(Table7[[#This Row],[S&amp;P]]-C687)/C687</f>
        <v/>
      </c>
      <c r="F699" s="3" t="n"/>
      <c r="K699" s="2" t="n"/>
    </row>
    <row r="700">
      <c r="A700" s="39" t="n">
        <v>38657</v>
      </c>
      <c r="B700" s="40">
        <f>VLOOKUP(Table7[[#This Row],[Date]],'DB Details'!$A:$L,12)</f>
        <v/>
      </c>
      <c r="C700" s="41">
        <f>VLOOKUP(Table7[[#This Row],[Date]],'DB Details'!$A:$Q,13)</f>
        <v/>
      </c>
      <c r="D700" s="46">
        <f>(Table7[[#This Row],[S&amp;P]]-C688)/C688</f>
        <v/>
      </c>
      <c r="F700" s="3" t="n"/>
      <c r="K700" s="2" t="n"/>
    </row>
    <row r="701">
      <c r="A701" s="39" t="n">
        <v>38687</v>
      </c>
      <c r="B701" s="40">
        <f>VLOOKUP(Table7[[#This Row],[Date]],'DB Details'!$A:$L,12)</f>
        <v/>
      </c>
      <c r="C701" s="41">
        <f>VLOOKUP(Table7[[#This Row],[Date]],'DB Details'!$A:$Q,13)</f>
        <v/>
      </c>
      <c r="D701" s="46">
        <f>(Table7[[#This Row],[S&amp;P]]-C689)/C689</f>
        <v/>
      </c>
      <c r="F701" s="3" t="n"/>
      <c r="K701" s="2" t="n"/>
    </row>
    <row r="702">
      <c r="A702" s="39" t="n">
        <v>38718</v>
      </c>
      <c r="B702" s="40">
        <f>VLOOKUP(Table7[[#This Row],[Date]],'DB Details'!$A:$L,12)</f>
        <v/>
      </c>
      <c r="C702" s="41">
        <f>VLOOKUP(Table7[[#This Row],[Date]],'DB Details'!$A:$Q,13)</f>
        <v/>
      </c>
      <c r="D702" s="46">
        <f>(Table7[[#This Row],[S&amp;P]]-C690)/C690</f>
        <v/>
      </c>
      <c r="F702" s="3" t="n"/>
      <c r="K702" s="2" t="n"/>
    </row>
    <row r="703">
      <c r="A703" s="39" t="n">
        <v>38749</v>
      </c>
      <c r="B703" s="40">
        <f>VLOOKUP(Table7[[#This Row],[Date]],'DB Details'!$A:$L,12)</f>
        <v/>
      </c>
      <c r="C703" s="41">
        <f>VLOOKUP(Table7[[#This Row],[Date]],'DB Details'!$A:$Q,13)</f>
        <v/>
      </c>
      <c r="D703" s="46">
        <f>(Table7[[#This Row],[S&amp;P]]-C691)/C691</f>
        <v/>
      </c>
      <c r="F703" s="3" t="n"/>
      <c r="K703" s="2" t="n"/>
    </row>
    <row r="704">
      <c r="A704" s="39" t="n">
        <v>38777</v>
      </c>
      <c r="B704" s="40">
        <f>VLOOKUP(Table7[[#This Row],[Date]],'DB Details'!$A:$L,12)</f>
        <v/>
      </c>
      <c r="C704" s="41">
        <f>VLOOKUP(Table7[[#This Row],[Date]],'DB Details'!$A:$Q,13)</f>
        <v/>
      </c>
      <c r="D704" s="46">
        <f>(Table7[[#This Row],[S&amp;P]]-C692)/C692</f>
        <v/>
      </c>
      <c r="F704" s="3" t="n"/>
      <c r="K704" s="2" t="n"/>
    </row>
    <row r="705">
      <c r="A705" s="39" t="n">
        <v>38808</v>
      </c>
      <c r="B705" s="40">
        <f>VLOOKUP(Table7[[#This Row],[Date]],'DB Details'!$A:$L,12)</f>
        <v/>
      </c>
      <c r="C705" s="41">
        <f>VLOOKUP(Table7[[#This Row],[Date]],'DB Details'!$A:$Q,13)</f>
        <v/>
      </c>
      <c r="D705" s="46">
        <f>(Table7[[#This Row],[S&amp;P]]-C693)/C693</f>
        <v/>
      </c>
      <c r="F705" s="3" t="n"/>
      <c r="K705" s="2" t="n"/>
    </row>
    <row r="706">
      <c r="A706" s="39" t="n">
        <v>38838</v>
      </c>
      <c r="B706" s="40">
        <f>VLOOKUP(Table7[[#This Row],[Date]],'DB Details'!$A:$L,12)</f>
        <v/>
      </c>
      <c r="C706" s="41">
        <f>VLOOKUP(Table7[[#This Row],[Date]],'DB Details'!$A:$Q,13)</f>
        <v/>
      </c>
      <c r="D706" s="46">
        <f>(Table7[[#This Row],[S&amp;P]]-C694)/C694</f>
        <v/>
      </c>
      <c r="F706" s="3" t="n"/>
      <c r="K706" s="2" t="n"/>
    </row>
    <row r="707">
      <c r="A707" s="39" t="n">
        <v>38869</v>
      </c>
      <c r="B707" s="40">
        <f>VLOOKUP(Table7[[#This Row],[Date]],'DB Details'!$A:$L,12)</f>
        <v/>
      </c>
      <c r="C707" s="41">
        <f>VLOOKUP(Table7[[#This Row],[Date]],'DB Details'!$A:$Q,13)</f>
        <v/>
      </c>
      <c r="D707" s="46">
        <f>(Table7[[#This Row],[S&amp;P]]-C695)/C695</f>
        <v/>
      </c>
      <c r="F707" s="3" t="n"/>
      <c r="K707" s="2" t="n"/>
    </row>
    <row r="708">
      <c r="A708" s="39" t="n">
        <v>38899</v>
      </c>
      <c r="B708" s="40">
        <f>VLOOKUP(Table7[[#This Row],[Date]],'DB Details'!$A:$L,12)</f>
        <v/>
      </c>
      <c r="C708" s="41">
        <f>VLOOKUP(Table7[[#This Row],[Date]],'DB Details'!$A:$Q,13)</f>
        <v/>
      </c>
      <c r="D708" s="46">
        <f>(Table7[[#This Row],[S&amp;P]]-C696)/C696</f>
        <v/>
      </c>
      <c r="F708" s="3" t="n"/>
      <c r="K708" s="2" t="n"/>
    </row>
    <row r="709">
      <c r="A709" s="39" t="n">
        <v>38930</v>
      </c>
      <c r="B709" s="40">
        <f>VLOOKUP(Table7[[#This Row],[Date]],'DB Details'!$A:$L,12)</f>
        <v/>
      </c>
      <c r="C709" s="41">
        <f>VLOOKUP(Table7[[#This Row],[Date]],'DB Details'!$A:$Q,13)</f>
        <v/>
      </c>
      <c r="D709" s="46">
        <f>(Table7[[#This Row],[S&amp;P]]-C697)/C697</f>
        <v/>
      </c>
      <c r="F709" s="3" t="n"/>
      <c r="K709" s="2" t="n"/>
    </row>
    <row r="710">
      <c r="A710" s="39" t="n">
        <v>38961</v>
      </c>
      <c r="B710" s="40">
        <f>VLOOKUP(Table7[[#This Row],[Date]],'DB Details'!$A:$L,12)</f>
        <v/>
      </c>
      <c r="C710" s="41">
        <f>VLOOKUP(Table7[[#This Row],[Date]],'DB Details'!$A:$Q,13)</f>
        <v/>
      </c>
      <c r="D710" s="46">
        <f>(Table7[[#This Row],[S&amp;P]]-C698)/C698</f>
        <v/>
      </c>
      <c r="F710" s="3" t="n"/>
      <c r="K710" s="2" t="n"/>
    </row>
    <row r="711">
      <c r="A711" s="39" t="n">
        <v>38991</v>
      </c>
      <c r="B711" s="40">
        <f>VLOOKUP(Table7[[#This Row],[Date]],'DB Details'!$A:$L,12)</f>
        <v/>
      </c>
      <c r="C711" s="41">
        <f>VLOOKUP(Table7[[#This Row],[Date]],'DB Details'!$A:$Q,13)</f>
        <v/>
      </c>
      <c r="D711" s="46">
        <f>(Table7[[#This Row],[S&amp;P]]-C699)/C699</f>
        <v/>
      </c>
      <c r="F711" s="3" t="n"/>
      <c r="K711" s="2" t="n"/>
    </row>
    <row r="712">
      <c r="A712" s="39" t="n">
        <v>39022</v>
      </c>
      <c r="B712" s="40">
        <f>VLOOKUP(Table7[[#This Row],[Date]],'DB Details'!$A:$L,12)</f>
        <v/>
      </c>
      <c r="C712" s="41">
        <f>VLOOKUP(Table7[[#This Row],[Date]],'DB Details'!$A:$Q,13)</f>
        <v/>
      </c>
      <c r="D712" s="46">
        <f>(Table7[[#This Row],[S&amp;P]]-C700)/C700</f>
        <v/>
      </c>
      <c r="F712" s="3" t="n"/>
      <c r="K712" s="2" t="n"/>
    </row>
    <row r="713">
      <c r="A713" s="39" t="n">
        <v>39052</v>
      </c>
      <c r="B713" s="40">
        <f>VLOOKUP(Table7[[#This Row],[Date]],'DB Details'!$A:$L,12)</f>
        <v/>
      </c>
      <c r="C713" s="41">
        <f>VLOOKUP(Table7[[#This Row],[Date]],'DB Details'!$A:$Q,13)</f>
        <v/>
      </c>
      <c r="D713" s="46">
        <f>(Table7[[#This Row],[S&amp;P]]-C701)/C701</f>
        <v/>
      </c>
      <c r="F713" s="3" t="n"/>
      <c r="K713" s="2" t="n"/>
    </row>
    <row r="714">
      <c r="A714" s="39" t="n">
        <v>39083</v>
      </c>
      <c r="B714" s="40">
        <f>VLOOKUP(Table7[[#This Row],[Date]],'DB Details'!$A:$L,12)</f>
        <v/>
      </c>
      <c r="C714" s="41">
        <f>VLOOKUP(Table7[[#This Row],[Date]],'DB Details'!$A:$Q,13)</f>
        <v/>
      </c>
      <c r="D714" s="46">
        <f>(Table7[[#This Row],[S&amp;P]]-C702)/C702</f>
        <v/>
      </c>
      <c r="F714" s="3" t="n"/>
      <c r="K714" s="2" t="n"/>
    </row>
    <row r="715">
      <c r="A715" s="39" t="n">
        <v>39114</v>
      </c>
      <c r="B715" s="40">
        <f>VLOOKUP(Table7[[#This Row],[Date]],'DB Details'!$A:$L,12)</f>
        <v/>
      </c>
      <c r="C715" s="41">
        <f>VLOOKUP(Table7[[#This Row],[Date]],'DB Details'!$A:$Q,13)</f>
        <v/>
      </c>
      <c r="D715" s="46">
        <f>(Table7[[#This Row],[S&amp;P]]-C703)/C703</f>
        <v/>
      </c>
      <c r="F715" s="3" t="n"/>
      <c r="K715" s="2" t="n"/>
    </row>
    <row r="716">
      <c r="A716" s="39" t="n">
        <v>39142</v>
      </c>
      <c r="B716" s="40">
        <f>VLOOKUP(Table7[[#This Row],[Date]],'DB Details'!$A:$L,12)</f>
        <v/>
      </c>
      <c r="C716" s="41">
        <f>VLOOKUP(Table7[[#This Row],[Date]],'DB Details'!$A:$Q,13)</f>
        <v/>
      </c>
      <c r="D716" s="46">
        <f>(Table7[[#This Row],[S&amp;P]]-C704)/C704</f>
        <v/>
      </c>
      <c r="F716" s="3" t="n"/>
      <c r="K716" s="2" t="n"/>
    </row>
    <row r="717">
      <c r="A717" s="39" t="n">
        <v>39173</v>
      </c>
      <c r="B717" s="40">
        <f>VLOOKUP(Table7[[#This Row],[Date]],'DB Details'!$A:$L,12)</f>
        <v/>
      </c>
      <c r="C717" s="41">
        <f>VLOOKUP(Table7[[#This Row],[Date]],'DB Details'!$A:$Q,13)</f>
        <v/>
      </c>
      <c r="D717" s="46">
        <f>(Table7[[#This Row],[S&amp;P]]-C705)/C705</f>
        <v/>
      </c>
      <c r="F717" s="3" t="n"/>
      <c r="K717" s="2" t="n"/>
    </row>
    <row r="718">
      <c r="A718" s="39" t="n">
        <v>39203</v>
      </c>
      <c r="B718" s="40">
        <f>VLOOKUP(Table7[[#This Row],[Date]],'DB Details'!$A:$L,12)</f>
        <v/>
      </c>
      <c r="C718" s="41">
        <f>VLOOKUP(Table7[[#This Row],[Date]],'DB Details'!$A:$Q,13)</f>
        <v/>
      </c>
      <c r="D718" s="46">
        <f>(Table7[[#This Row],[S&amp;P]]-C706)/C706</f>
        <v/>
      </c>
      <c r="F718" s="3" t="n"/>
      <c r="K718" s="2" t="n"/>
    </row>
    <row r="719">
      <c r="A719" s="39" t="n">
        <v>39234</v>
      </c>
      <c r="B719" s="40">
        <f>VLOOKUP(Table7[[#This Row],[Date]],'DB Details'!$A:$L,12)</f>
        <v/>
      </c>
      <c r="C719" s="41">
        <f>VLOOKUP(Table7[[#This Row],[Date]],'DB Details'!$A:$Q,13)</f>
        <v/>
      </c>
      <c r="D719" s="46">
        <f>(Table7[[#This Row],[S&amp;P]]-C707)/C707</f>
        <v/>
      </c>
      <c r="F719" s="3" t="n"/>
      <c r="K719" s="2" t="n"/>
    </row>
    <row r="720">
      <c r="A720" s="39" t="n">
        <v>39264</v>
      </c>
      <c r="B720" s="40">
        <f>VLOOKUP(Table7[[#This Row],[Date]],'DB Details'!$A:$L,12)</f>
        <v/>
      </c>
      <c r="C720" s="41">
        <f>VLOOKUP(Table7[[#This Row],[Date]],'DB Details'!$A:$Q,13)</f>
        <v/>
      </c>
      <c r="D720" s="46">
        <f>(Table7[[#This Row],[S&amp;P]]-C708)/C708</f>
        <v/>
      </c>
      <c r="F720" s="3" t="n"/>
      <c r="K720" s="2" t="n"/>
    </row>
    <row r="721">
      <c r="A721" s="39" t="n">
        <v>39295</v>
      </c>
      <c r="B721" s="40">
        <f>VLOOKUP(Table7[[#This Row],[Date]],'DB Details'!$A:$L,12)</f>
        <v/>
      </c>
      <c r="C721" s="41">
        <f>VLOOKUP(Table7[[#This Row],[Date]],'DB Details'!$A:$Q,13)</f>
        <v/>
      </c>
      <c r="D721" s="46">
        <f>(Table7[[#This Row],[S&amp;P]]-C709)/C709</f>
        <v/>
      </c>
      <c r="F721" s="3" t="n"/>
      <c r="K721" s="2" t="n"/>
    </row>
    <row r="722">
      <c r="A722" s="39" t="n">
        <v>39326</v>
      </c>
      <c r="B722" s="40">
        <f>VLOOKUP(Table7[[#This Row],[Date]],'DB Details'!$A:$L,12)</f>
        <v/>
      </c>
      <c r="C722" s="41">
        <f>VLOOKUP(Table7[[#This Row],[Date]],'DB Details'!$A:$Q,13)</f>
        <v/>
      </c>
      <c r="D722" s="46">
        <f>(Table7[[#This Row],[S&amp;P]]-C710)/C710</f>
        <v/>
      </c>
      <c r="F722" s="3" t="n"/>
      <c r="K722" s="2" t="n"/>
    </row>
    <row r="723">
      <c r="A723" s="39" t="n">
        <v>39356</v>
      </c>
      <c r="B723" s="40">
        <f>VLOOKUP(Table7[[#This Row],[Date]],'DB Details'!$A:$L,12)</f>
        <v/>
      </c>
      <c r="C723" s="41">
        <f>VLOOKUP(Table7[[#This Row],[Date]],'DB Details'!$A:$Q,13)</f>
        <v/>
      </c>
      <c r="D723" s="46">
        <f>(Table7[[#This Row],[S&amp;P]]-C711)/C711</f>
        <v/>
      </c>
      <c r="F723" s="3" t="n"/>
      <c r="K723" s="2" t="n"/>
    </row>
    <row r="724">
      <c r="A724" s="39" t="n">
        <v>39387</v>
      </c>
      <c r="B724" s="40">
        <f>VLOOKUP(Table7[[#This Row],[Date]],'DB Details'!$A:$L,12)</f>
        <v/>
      </c>
      <c r="C724" s="41">
        <f>VLOOKUP(Table7[[#This Row],[Date]],'DB Details'!$A:$Q,13)</f>
        <v/>
      </c>
      <c r="D724" s="46">
        <f>(Table7[[#This Row],[S&amp;P]]-C712)/C712</f>
        <v/>
      </c>
      <c r="F724" s="3" t="n"/>
      <c r="K724" s="2" t="n"/>
    </row>
    <row r="725">
      <c r="A725" s="39" t="n">
        <v>39417</v>
      </c>
      <c r="B725" s="40">
        <f>VLOOKUP(Table7[[#This Row],[Date]],'DB Details'!$A:$L,12)</f>
        <v/>
      </c>
      <c r="C725" s="41">
        <f>VLOOKUP(Table7[[#This Row],[Date]],'DB Details'!$A:$Q,13)</f>
        <v/>
      </c>
      <c r="D725" s="46">
        <f>(Table7[[#This Row],[S&amp;P]]-C713)/C713</f>
        <v/>
      </c>
      <c r="F725" s="3" t="n"/>
      <c r="K725" s="2" t="n"/>
    </row>
    <row r="726">
      <c r="A726" s="39" t="n">
        <v>39448</v>
      </c>
      <c r="B726" s="40">
        <f>VLOOKUP(Table7[[#This Row],[Date]],'DB Details'!$A:$L,12)</f>
        <v/>
      </c>
      <c r="C726" s="41">
        <f>VLOOKUP(Table7[[#This Row],[Date]],'DB Details'!$A:$Q,13)</f>
        <v/>
      </c>
      <c r="D726" s="46">
        <f>(Table7[[#This Row],[S&amp;P]]-C714)/C714</f>
        <v/>
      </c>
      <c r="F726" s="3" t="n"/>
      <c r="K726" s="2" t="n"/>
    </row>
    <row r="727">
      <c r="A727" s="39" t="n">
        <v>39479</v>
      </c>
      <c r="B727" s="40">
        <f>VLOOKUP(Table7[[#This Row],[Date]],'DB Details'!$A:$L,12)</f>
        <v/>
      </c>
      <c r="C727" s="41">
        <f>VLOOKUP(Table7[[#This Row],[Date]],'DB Details'!$A:$Q,13)</f>
        <v/>
      </c>
      <c r="D727" s="46">
        <f>(Table7[[#This Row],[S&amp;P]]-C715)/C715</f>
        <v/>
      </c>
      <c r="F727" s="3" t="n"/>
      <c r="K727" s="2" t="n"/>
    </row>
    <row r="728">
      <c r="A728" s="39" t="n">
        <v>39508</v>
      </c>
      <c r="B728" s="40">
        <f>VLOOKUP(Table7[[#This Row],[Date]],'DB Details'!$A:$L,12)</f>
        <v/>
      </c>
      <c r="C728" s="41">
        <f>VLOOKUP(Table7[[#This Row],[Date]],'DB Details'!$A:$Q,13)</f>
        <v/>
      </c>
      <c r="D728" s="46">
        <f>(Table7[[#This Row],[S&amp;P]]-C716)/C716</f>
        <v/>
      </c>
      <c r="F728" s="3" t="n"/>
      <c r="K728" s="2" t="n"/>
    </row>
    <row r="729">
      <c r="A729" s="39" t="n">
        <v>39539</v>
      </c>
      <c r="B729" s="40">
        <f>VLOOKUP(Table7[[#This Row],[Date]],'DB Details'!$A:$L,12)</f>
        <v/>
      </c>
      <c r="C729" s="41">
        <f>VLOOKUP(Table7[[#This Row],[Date]],'DB Details'!$A:$Q,13)</f>
        <v/>
      </c>
      <c r="D729" s="46">
        <f>(Table7[[#This Row],[S&amp;P]]-C717)/C717</f>
        <v/>
      </c>
      <c r="F729" s="3" t="n"/>
      <c r="K729" s="2" t="n"/>
    </row>
    <row r="730">
      <c r="A730" s="39" t="n">
        <v>39569</v>
      </c>
      <c r="B730" s="40">
        <f>VLOOKUP(Table7[[#This Row],[Date]],'DB Details'!$A:$L,12)</f>
        <v/>
      </c>
      <c r="C730" s="41">
        <f>VLOOKUP(Table7[[#This Row],[Date]],'DB Details'!$A:$Q,13)</f>
        <v/>
      </c>
      <c r="D730" s="46">
        <f>(Table7[[#This Row],[S&amp;P]]-C718)/C718</f>
        <v/>
      </c>
      <c r="F730" s="3" t="n"/>
      <c r="K730" s="2" t="n"/>
    </row>
    <row r="731">
      <c r="A731" s="39" t="n">
        <v>39600</v>
      </c>
      <c r="B731" s="40">
        <f>VLOOKUP(Table7[[#This Row],[Date]],'DB Details'!$A:$L,12)</f>
        <v/>
      </c>
      <c r="C731" s="41">
        <f>VLOOKUP(Table7[[#This Row],[Date]],'DB Details'!$A:$Q,13)</f>
        <v/>
      </c>
      <c r="D731" s="46">
        <f>(Table7[[#This Row],[S&amp;P]]-C719)/C719</f>
        <v/>
      </c>
      <c r="F731" s="3" t="n"/>
      <c r="K731" s="2" t="n"/>
    </row>
    <row r="732">
      <c r="A732" s="39" t="n">
        <v>39630</v>
      </c>
      <c r="B732" s="40">
        <f>VLOOKUP(Table7[[#This Row],[Date]],'DB Details'!$A:$L,12)</f>
        <v/>
      </c>
      <c r="C732" s="41">
        <f>VLOOKUP(Table7[[#This Row],[Date]],'DB Details'!$A:$Q,13)</f>
        <v/>
      </c>
      <c r="D732" s="46">
        <f>(Table7[[#This Row],[S&amp;P]]-C720)/C720</f>
        <v/>
      </c>
      <c r="F732" s="3" t="n"/>
      <c r="K732" s="2" t="n"/>
    </row>
    <row r="733">
      <c r="A733" s="39" t="n">
        <v>39661</v>
      </c>
      <c r="B733" s="40">
        <f>VLOOKUP(Table7[[#This Row],[Date]],'DB Details'!$A:$L,12)</f>
        <v/>
      </c>
      <c r="C733" s="41">
        <f>VLOOKUP(Table7[[#This Row],[Date]],'DB Details'!$A:$Q,13)</f>
        <v/>
      </c>
      <c r="D733" s="46">
        <f>(Table7[[#This Row],[S&amp;P]]-C721)/C721</f>
        <v/>
      </c>
      <c r="F733" s="3" t="n"/>
      <c r="K733" s="2" t="n"/>
    </row>
    <row r="734">
      <c r="A734" s="39" t="n">
        <v>39692</v>
      </c>
      <c r="B734" s="40">
        <f>VLOOKUP(Table7[[#This Row],[Date]],'DB Details'!$A:$L,12)</f>
        <v/>
      </c>
      <c r="C734" s="41">
        <f>VLOOKUP(Table7[[#This Row],[Date]],'DB Details'!$A:$Q,13)</f>
        <v/>
      </c>
      <c r="D734" s="46">
        <f>(Table7[[#This Row],[S&amp;P]]-C722)/C722</f>
        <v/>
      </c>
      <c r="F734" s="3" t="n"/>
      <c r="K734" s="2" t="n"/>
    </row>
    <row r="735">
      <c r="A735" s="39" t="n">
        <v>39722</v>
      </c>
      <c r="B735" s="40">
        <f>VLOOKUP(Table7[[#This Row],[Date]],'DB Details'!$A:$L,12)</f>
        <v/>
      </c>
      <c r="C735" s="41">
        <f>VLOOKUP(Table7[[#This Row],[Date]],'DB Details'!$A:$Q,13)</f>
        <v/>
      </c>
      <c r="D735" s="46">
        <f>(Table7[[#This Row],[S&amp;P]]-C723)/C723</f>
        <v/>
      </c>
      <c r="F735" s="3" t="n"/>
      <c r="K735" s="2" t="n"/>
    </row>
    <row r="736">
      <c r="A736" s="39" t="n">
        <v>39753</v>
      </c>
      <c r="B736" s="40">
        <f>VLOOKUP(Table7[[#This Row],[Date]],'DB Details'!$A:$L,12)</f>
        <v/>
      </c>
      <c r="C736" s="41">
        <f>VLOOKUP(Table7[[#This Row],[Date]],'DB Details'!$A:$Q,13)</f>
        <v/>
      </c>
      <c r="D736" s="46">
        <f>(Table7[[#This Row],[S&amp;P]]-C724)/C724</f>
        <v/>
      </c>
      <c r="F736" s="3" t="n"/>
      <c r="K736" s="2" t="n"/>
    </row>
    <row r="737">
      <c r="A737" s="39" t="n">
        <v>39783</v>
      </c>
      <c r="B737" s="40">
        <f>VLOOKUP(Table7[[#This Row],[Date]],'DB Details'!$A:$L,12)</f>
        <v/>
      </c>
      <c r="C737" s="41">
        <f>VLOOKUP(Table7[[#This Row],[Date]],'DB Details'!$A:$Q,13)</f>
        <v/>
      </c>
      <c r="D737" s="46">
        <f>(Table7[[#This Row],[S&amp;P]]-C725)/C725</f>
        <v/>
      </c>
      <c r="F737" s="3" t="n"/>
      <c r="K737" s="2" t="n"/>
    </row>
    <row r="738">
      <c r="A738" s="39" t="n">
        <v>39814</v>
      </c>
      <c r="B738" s="40">
        <f>VLOOKUP(Table7[[#This Row],[Date]],'DB Details'!$A:$L,12)</f>
        <v/>
      </c>
      <c r="C738" s="41">
        <f>VLOOKUP(Table7[[#This Row],[Date]],'DB Details'!$A:$Q,13)</f>
        <v/>
      </c>
      <c r="D738" s="46">
        <f>(Table7[[#This Row],[S&amp;P]]-C726)/C726</f>
        <v/>
      </c>
      <c r="F738" s="3" t="n"/>
      <c r="K738" s="2" t="n"/>
    </row>
    <row r="739">
      <c r="A739" s="39" t="n">
        <v>39845</v>
      </c>
      <c r="B739" s="40">
        <f>VLOOKUP(Table7[[#This Row],[Date]],'DB Details'!$A:$L,12)</f>
        <v/>
      </c>
      <c r="C739" s="41">
        <f>VLOOKUP(Table7[[#This Row],[Date]],'DB Details'!$A:$Q,13)</f>
        <v/>
      </c>
      <c r="D739" s="46">
        <f>(Table7[[#This Row],[S&amp;P]]-C727)/C727</f>
        <v/>
      </c>
      <c r="F739" s="3" t="n"/>
      <c r="K739" s="2" t="n"/>
    </row>
    <row r="740">
      <c r="A740" s="39" t="n">
        <v>39873</v>
      </c>
      <c r="B740" s="40">
        <f>VLOOKUP(Table7[[#This Row],[Date]],'DB Details'!$A:$L,12)</f>
        <v/>
      </c>
      <c r="C740" s="41">
        <f>VLOOKUP(Table7[[#This Row],[Date]],'DB Details'!$A:$Q,13)</f>
        <v/>
      </c>
      <c r="D740" s="46">
        <f>(Table7[[#This Row],[S&amp;P]]-C728)/C728</f>
        <v/>
      </c>
      <c r="F740" s="3" t="n"/>
      <c r="K740" s="2" t="n"/>
    </row>
    <row r="741">
      <c r="A741" s="39" t="n">
        <v>39904</v>
      </c>
      <c r="B741" s="40">
        <f>VLOOKUP(Table7[[#This Row],[Date]],'DB Details'!$A:$L,12)</f>
        <v/>
      </c>
      <c r="C741" s="41">
        <f>VLOOKUP(Table7[[#This Row],[Date]],'DB Details'!$A:$Q,13)</f>
        <v/>
      </c>
      <c r="D741" s="46">
        <f>(Table7[[#This Row],[S&amp;P]]-C729)/C729</f>
        <v/>
      </c>
      <c r="F741" s="3" t="n"/>
      <c r="K741" s="2" t="n"/>
    </row>
    <row r="742">
      <c r="A742" s="39" t="n">
        <v>39934</v>
      </c>
      <c r="B742" s="40">
        <f>VLOOKUP(Table7[[#This Row],[Date]],'DB Details'!$A:$L,12)</f>
        <v/>
      </c>
      <c r="C742" s="41">
        <f>VLOOKUP(Table7[[#This Row],[Date]],'DB Details'!$A:$Q,13)</f>
        <v/>
      </c>
      <c r="D742" s="46">
        <f>(Table7[[#This Row],[S&amp;P]]-C730)/C730</f>
        <v/>
      </c>
      <c r="F742" s="3" t="n"/>
      <c r="K742" s="2" t="n"/>
    </row>
    <row r="743">
      <c r="A743" s="39" t="n">
        <v>39965</v>
      </c>
      <c r="B743" s="40">
        <f>VLOOKUP(Table7[[#This Row],[Date]],'DB Details'!$A:$L,12)</f>
        <v/>
      </c>
      <c r="C743" s="41">
        <f>VLOOKUP(Table7[[#This Row],[Date]],'DB Details'!$A:$Q,13)</f>
        <v/>
      </c>
      <c r="D743" s="46">
        <f>(Table7[[#This Row],[S&amp;P]]-C731)/C731</f>
        <v/>
      </c>
      <c r="F743" s="3" t="n"/>
      <c r="K743" s="2" t="n"/>
    </row>
    <row r="744">
      <c r="A744" s="39" t="n">
        <v>39995</v>
      </c>
      <c r="B744" s="40">
        <f>VLOOKUP(Table7[[#This Row],[Date]],'DB Details'!$A:$L,12)</f>
        <v/>
      </c>
      <c r="C744" s="41">
        <f>VLOOKUP(Table7[[#This Row],[Date]],'DB Details'!$A:$Q,13)</f>
        <v/>
      </c>
      <c r="D744" s="46">
        <f>(Table7[[#This Row],[S&amp;P]]-C732)/C732</f>
        <v/>
      </c>
      <c r="F744" s="3" t="n"/>
      <c r="K744" s="2" t="n"/>
    </row>
    <row r="745">
      <c r="A745" s="39" t="n">
        <v>40026</v>
      </c>
      <c r="B745" s="40">
        <f>VLOOKUP(Table7[[#This Row],[Date]],'DB Details'!$A:$L,12)</f>
        <v/>
      </c>
      <c r="C745" s="41">
        <f>VLOOKUP(Table7[[#This Row],[Date]],'DB Details'!$A:$Q,13)</f>
        <v/>
      </c>
      <c r="D745" s="46">
        <f>(Table7[[#This Row],[S&amp;P]]-C733)/C733</f>
        <v/>
      </c>
      <c r="F745" s="3" t="n"/>
      <c r="K745" s="2" t="n"/>
    </row>
    <row r="746">
      <c r="A746" s="39" t="n">
        <v>40057</v>
      </c>
      <c r="B746" s="40">
        <f>VLOOKUP(Table7[[#This Row],[Date]],'DB Details'!$A:$L,12)</f>
        <v/>
      </c>
      <c r="C746" s="41">
        <f>VLOOKUP(Table7[[#This Row],[Date]],'DB Details'!$A:$Q,13)</f>
        <v/>
      </c>
      <c r="D746" s="46">
        <f>(Table7[[#This Row],[S&amp;P]]-C734)/C734</f>
        <v/>
      </c>
      <c r="F746" s="3" t="n"/>
      <c r="K746" s="2" t="n"/>
    </row>
    <row r="747">
      <c r="A747" s="39" t="n">
        <v>40087</v>
      </c>
      <c r="B747" s="40">
        <f>VLOOKUP(Table7[[#This Row],[Date]],'DB Details'!$A:$L,12)</f>
        <v/>
      </c>
      <c r="C747" s="41">
        <f>VLOOKUP(Table7[[#This Row],[Date]],'DB Details'!$A:$Q,13)</f>
        <v/>
      </c>
      <c r="D747" s="46">
        <f>(Table7[[#This Row],[S&amp;P]]-C735)/C735</f>
        <v/>
      </c>
      <c r="F747" s="3" t="n"/>
      <c r="K747" s="2" t="n"/>
    </row>
    <row r="748">
      <c r="A748" s="39" t="n">
        <v>40118</v>
      </c>
      <c r="B748" s="40">
        <f>VLOOKUP(Table7[[#This Row],[Date]],'DB Details'!$A:$L,12)</f>
        <v/>
      </c>
      <c r="C748" s="41">
        <f>VLOOKUP(Table7[[#This Row],[Date]],'DB Details'!$A:$Q,13)</f>
        <v/>
      </c>
      <c r="D748" s="46">
        <f>(Table7[[#This Row],[S&amp;P]]-C736)/C736</f>
        <v/>
      </c>
      <c r="F748" s="3" t="n"/>
      <c r="K748" s="2" t="n"/>
    </row>
    <row r="749">
      <c r="A749" s="39" t="n">
        <v>40148</v>
      </c>
      <c r="B749" s="40">
        <f>VLOOKUP(Table7[[#This Row],[Date]],'DB Details'!$A:$L,12)</f>
        <v/>
      </c>
      <c r="C749" s="41">
        <f>VLOOKUP(Table7[[#This Row],[Date]],'DB Details'!$A:$Q,13)</f>
        <v/>
      </c>
      <c r="D749" s="46">
        <f>(Table7[[#This Row],[S&amp;P]]-C737)/C737</f>
        <v/>
      </c>
      <c r="F749" s="3" t="n"/>
      <c r="K749" s="2" t="n"/>
    </row>
    <row r="750">
      <c r="A750" s="39" t="n">
        <v>40179</v>
      </c>
      <c r="B750" s="40">
        <f>VLOOKUP(Table7[[#This Row],[Date]],'DB Details'!$A:$L,12)</f>
        <v/>
      </c>
      <c r="C750" s="41">
        <f>VLOOKUP(Table7[[#This Row],[Date]],'DB Details'!$A:$Q,13)</f>
        <v/>
      </c>
      <c r="D750" s="46">
        <f>(Table7[[#This Row],[S&amp;P]]-C738)/C738</f>
        <v/>
      </c>
      <c r="F750" s="3" t="n"/>
      <c r="K750" s="2" t="n"/>
    </row>
    <row r="751">
      <c r="A751" s="39" t="n">
        <v>40210</v>
      </c>
      <c r="B751" s="40">
        <f>VLOOKUP(Table7[[#This Row],[Date]],'DB Details'!$A:$L,12)</f>
        <v/>
      </c>
      <c r="C751" s="41">
        <f>VLOOKUP(Table7[[#This Row],[Date]],'DB Details'!$A:$Q,13)</f>
        <v/>
      </c>
      <c r="D751" s="46">
        <f>(Table7[[#This Row],[S&amp;P]]-C739)/C739</f>
        <v/>
      </c>
      <c r="F751" s="3" t="n"/>
      <c r="K751" s="2" t="n"/>
    </row>
    <row r="752">
      <c r="A752" s="39" t="n">
        <v>40238</v>
      </c>
      <c r="B752" s="40">
        <f>VLOOKUP(Table7[[#This Row],[Date]],'DB Details'!$A:$L,12)</f>
        <v/>
      </c>
      <c r="C752" s="41">
        <f>VLOOKUP(Table7[[#This Row],[Date]],'DB Details'!$A:$Q,13)</f>
        <v/>
      </c>
      <c r="D752" s="46">
        <f>(Table7[[#This Row],[S&amp;P]]-C740)/C740</f>
        <v/>
      </c>
      <c r="F752" s="3" t="n"/>
      <c r="K752" s="2" t="n"/>
    </row>
    <row r="753">
      <c r="A753" s="39" t="n">
        <v>40269</v>
      </c>
      <c r="B753" s="40">
        <f>VLOOKUP(Table7[[#This Row],[Date]],'DB Details'!$A:$L,12)</f>
        <v/>
      </c>
      <c r="C753" s="41">
        <f>VLOOKUP(Table7[[#This Row],[Date]],'DB Details'!$A:$Q,13)</f>
        <v/>
      </c>
      <c r="D753" s="46">
        <f>(Table7[[#This Row],[S&amp;P]]-C741)/C741</f>
        <v/>
      </c>
      <c r="F753" s="3" t="n"/>
      <c r="K753" s="2" t="n"/>
    </row>
    <row r="754">
      <c r="A754" s="39" t="n">
        <v>40299</v>
      </c>
      <c r="B754" s="40">
        <f>VLOOKUP(Table7[[#This Row],[Date]],'DB Details'!$A:$L,12)</f>
        <v/>
      </c>
      <c r="C754" s="41">
        <f>VLOOKUP(Table7[[#This Row],[Date]],'DB Details'!$A:$Q,13)</f>
        <v/>
      </c>
      <c r="D754" s="46">
        <f>(Table7[[#This Row],[S&amp;P]]-C742)/C742</f>
        <v/>
      </c>
      <c r="F754" s="3" t="n"/>
      <c r="K754" s="2" t="n"/>
    </row>
    <row r="755">
      <c r="A755" s="39" t="n">
        <v>40330</v>
      </c>
      <c r="B755" s="40">
        <f>VLOOKUP(Table7[[#This Row],[Date]],'DB Details'!$A:$L,12)</f>
        <v/>
      </c>
      <c r="C755" s="41">
        <f>VLOOKUP(Table7[[#This Row],[Date]],'DB Details'!$A:$Q,13)</f>
        <v/>
      </c>
      <c r="D755" s="46">
        <f>(Table7[[#This Row],[S&amp;P]]-C743)/C743</f>
        <v/>
      </c>
      <c r="F755" s="3" t="n"/>
      <c r="K755" s="2" t="n"/>
    </row>
    <row r="756">
      <c r="A756" s="39" t="n">
        <v>40360</v>
      </c>
      <c r="B756" s="40">
        <f>VLOOKUP(Table7[[#This Row],[Date]],'DB Details'!$A:$L,12)</f>
        <v/>
      </c>
      <c r="C756" s="41">
        <f>VLOOKUP(Table7[[#This Row],[Date]],'DB Details'!$A:$Q,13)</f>
        <v/>
      </c>
      <c r="D756" s="46">
        <f>(Table7[[#This Row],[S&amp;P]]-C744)/C744</f>
        <v/>
      </c>
      <c r="F756" s="3" t="n"/>
      <c r="K756" s="2" t="n"/>
    </row>
    <row r="757">
      <c r="A757" s="39" t="n">
        <v>40391</v>
      </c>
      <c r="B757" s="40">
        <f>VLOOKUP(Table7[[#This Row],[Date]],'DB Details'!$A:$L,12)</f>
        <v/>
      </c>
      <c r="C757" s="41">
        <f>VLOOKUP(Table7[[#This Row],[Date]],'DB Details'!$A:$Q,13)</f>
        <v/>
      </c>
      <c r="D757" s="46">
        <f>(Table7[[#This Row],[S&amp;P]]-C745)/C745</f>
        <v/>
      </c>
      <c r="F757" s="3" t="n"/>
      <c r="K757" s="2" t="n"/>
    </row>
    <row r="758">
      <c r="A758" s="39" t="n">
        <v>40422</v>
      </c>
      <c r="B758" s="40">
        <f>VLOOKUP(Table7[[#This Row],[Date]],'DB Details'!$A:$L,12)</f>
        <v/>
      </c>
      <c r="C758" s="41">
        <f>VLOOKUP(Table7[[#This Row],[Date]],'DB Details'!$A:$Q,13)</f>
        <v/>
      </c>
      <c r="D758" s="46">
        <f>(Table7[[#This Row],[S&amp;P]]-C746)/C746</f>
        <v/>
      </c>
      <c r="F758" s="3" t="n"/>
      <c r="K758" s="2" t="n"/>
    </row>
    <row r="759">
      <c r="A759" s="39" t="n">
        <v>40452</v>
      </c>
      <c r="B759" s="40">
        <f>VLOOKUP(Table7[[#This Row],[Date]],'DB Details'!$A:$L,12)</f>
        <v/>
      </c>
      <c r="C759" s="41">
        <f>VLOOKUP(Table7[[#This Row],[Date]],'DB Details'!$A:$Q,13)</f>
        <v/>
      </c>
      <c r="D759" s="46">
        <f>(Table7[[#This Row],[S&amp;P]]-C747)/C747</f>
        <v/>
      </c>
      <c r="F759" s="3" t="n"/>
      <c r="K759" s="2" t="n"/>
    </row>
    <row r="760">
      <c r="A760" s="39" t="n">
        <v>40483</v>
      </c>
      <c r="B760" s="40">
        <f>VLOOKUP(Table7[[#This Row],[Date]],'DB Details'!$A:$L,12)</f>
        <v/>
      </c>
      <c r="C760" s="41">
        <f>VLOOKUP(Table7[[#This Row],[Date]],'DB Details'!$A:$Q,13)</f>
        <v/>
      </c>
      <c r="D760" s="46">
        <f>(Table7[[#This Row],[S&amp;P]]-C748)/C748</f>
        <v/>
      </c>
      <c r="F760" s="3" t="n"/>
      <c r="K760" s="2" t="n"/>
    </row>
    <row r="761">
      <c r="A761" s="39" t="n">
        <v>40513</v>
      </c>
      <c r="B761" s="40">
        <f>VLOOKUP(Table7[[#This Row],[Date]],'DB Details'!$A:$L,12)</f>
        <v/>
      </c>
      <c r="C761" s="41">
        <f>VLOOKUP(Table7[[#This Row],[Date]],'DB Details'!$A:$Q,13)</f>
        <v/>
      </c>
      <c r="D761" s="46">
        <f>(Table7[[#This Row],[S&amp;P]]-C749)/C749</f>
        <v/>
      </c>
      <c r="F761" s="3" t="n"/>
      <c r="K761" s="2" t="n"/>
    </row>
    <row r="762">
      <c r="A762" s="39" t="n">
        <v>40544</v>
      </c>
      <c r="B762" s="40">
        <f>VLOOKUP(Table7[[#This Row],[Date]],'DB Details'!$A:$L,12)</f>
        <v/>
      </c>
      <c r="C762" s="41">
        <f>VLOOKUP(Table7[[#This Row],[Date]],'DB Details'!$A:$Q,13)</f>
        <v/>
      </c>
      <c r="D762" s="46">
        <f>(Table7[[#This Row],[S&amp;P]]-C750)/C750</f>
        <v/>
      </c>
      <c r="F762" s="3" t="n"/>
      <c r="K762" s="2" t="n"/>
    </row>
    <row r="763">
      <c r="A763" s="39" t="n">
        <v>40575</v>
      </c>
      <c r="B763" s="40">
        <f>VLOOKUP(Table7[[#This Row],[Date]],'DB Details'!$A:$L,12)</f>
        <v/>
      </c>
      <c r="C763" s="41">
        <f>VLOOKUP(Table7[[#This Row],[Date]],'DB Details'!$A:$Q,13)</f>
        <v/>
      </c>
      <c r="D763" s="46">
        <f>(Table7[[#This Row],[S&amp;P]]-C751)/C751</f>
        <v/>
      </c>
      <c r="F763" s="3" t="n"/>
      <c r="K763" s="2" t="n"/>
    </row>
    <row r="764">
      <c r="A764" s="39" t="n">
        <v>40603</v>
      </c>
      <c r="B764" s="40">
        <f>VLOOKUP(Table7[[#This Row],[Date]],'DB Details'!$A:$L,12)</f>
        <v/>
      </c>
      <c r="C764" s="41">
        <f>VLOOKUP(Table7[[#This Row],[Date]],'DB Details'!$A:$Q,13)</f>
        <v/>
      </c>
      <c r="D764" s="46">
        <f>(Table7[[#This Row],[S&amp;P]]-C752)/C752</f>
        <v/>
      </c>
      <c r="F764" s="3" t="n"/>
      <c r="K764" s="2" t="n"/>
    </row>
    <row r="765">
      <c r="A765" s="39" t="n">
        <v>40634</v>
      </c>
      <c r="B765" s="40">
        <f>VLOOKUP(Table7[[#This Row],[Date]],'DB Details'!$A:$L,12)</f>
        <v/>
      </c>
      <c r="C765" s="41">
        <f>VLOOKUP(Table7[[#This Row],[Date]],'DB Details'!$A:$Q,13)</f>
        <v/>
      </c>
      <c r="D765" s="46">
        <f>(Table7[[#This Row],[S&amp;P]]-C753)/C753</f>
        <v/>
      </c>
      <c r="F765" s="3" t="n"/>
      <c r="K765" s="2" t="n"/>
    </row>
    <row r="766">
      <c r="A766" s="39" t="n">
        <v>40664</v>
      </c>
      <c r="B766" s="40">
        <f>VLOOKUP(Table7[[#This Row],[Date]],'DB Details'!$A:$L,12)</f>
        <v/>
      </c>
      <c r="C766" s="41">
        <f>VLOOKUP(Table7[[#This Row],[Date]],'DB Details'!$A:$Q,13)</f>
        <v/>
      </c>
      <c r="D766" s="46">
        <f>(Table7[[#This Row],[S&amp;P]]-C754)/C754</f>
        <v/>
      </c>
      <c r="F766" s="3" t="n"/>
      <c r="K766" s="2" t="n"/>
    </row>
    <row r="767">
      <c r="A767" s="39" t="n">
        <v>40695</v>
      </c>
      <c r="B767" s="40">
        <f>VLOOKUP(Table7[[#This Row],[Date]],'DB Details'!$A:$L,12)</f>
        <v/>
      </c>
      <c r="C767" s="41">
        <f>VLOOKUP(Table7[[#This Row],[Date]],'DB Details'!$A:$Q,13)</f>
        <v/>
      </c>
      <c r="D767" s="46">
        <f>(Table7[[#This Row],[S&amp;P]]-C755)/C755</f>
        <v/>
      </c>
      <c r="F767" s="3" t="n"/>
      <c r="K767" s="2" t="n"/>
    </row>
    <row r="768">
      <c r="A768" s="39" t="n">
        <v>40725</v>
      </c>
      <c r="B768" s="40">
        <f>VLOOKUP(Table7[[#This Row],[Date]],'DB Details'!$A:$L,12)</f>
        <v/>
      </c>
      <c r="C768" s="41">
        <f>VLOOKUP(Table7[[#This Row],[Date]],'DB Details'!$A:$Q,13)</f>
        <v/>
      </c>
      <c r="D768" s="46">
        <f>(Table7[[#This Row],[S&amp;P]]-C756)/C756</f>
        <v/>
      </c>
      <c r="F768" s="3" t="n"/>
      <c r="K768" s="2" t="n"/>
    </row>
    <row r="769">
      <c r="A769" s="39" t="n">
        <v>40756</v>
      </c>
      <c r="B769" s="40">
        <f>VLOOKUP(Table7[[#This Row],[Date]],'DB Details'!$A:$L,12)</f>
        <v/>
      </c>
      <c r="C769" s="41">
        <f>VLOOKUP(Table7[[#This Row],[Date]],'DB Details'!$A:$Q,13)</f>
        <v/>
      </c>
      <c r="D769" s="46">
        <f>(Table7[[#This Row],[S&amp;P]]-C757)/C757</f>
        <v/>
      </c>
      <c r="F769" s="3" t="n"/>
      <c r="K769" s="2" t="n"/>
    </row>
    <row r="770">
      <c r="A770" s="39" t="n">
        <v>40787</v>
      </c>
      <c r="B770" s="40">
        <f>VLOOKUP(Table7[[#This Row],[Date]],'DB Details'!$A:$L,12)</f>
        <v/>
      </c>
      <c r="C770" s="41">
        <f>VLOOKUP(Table7[[#This Row],[Date]],'DB Details'!$A:$Q,13)</f>
        <v/>
      </c>
      <c r="D770" s="46">
        <f>(Table7[[#This Row],[S&amp;P]]-C758)/C758</f>
        <v/>
      </c>
      <c r="F770" s="3" t="n"/>
      <c r="K770" s="2" t="n"/>
    </row>
    <row r="771">
      <c r="A771" s="39" t="n">
        <v>40817</v>
      </c>
      <c r="B771" s="40">
        <f>VLOOKUP(Table7[[#This Row],[Date]],'DB Details'!$A:$L,12)</f>
        <v/>
      </c>
      <c r="C771" s="41">
        <f>VLOOKUP(Table7[[#This Row],[Date]],'DB Details'!$A:$Q,13)</f>
        <v/>
      </c>
      <c r="D771" s="46">
        <f>(Table7[[#This Row],[S&amp;P]]-C759)/C759</f>
        <v/>
      </c>
      <c r="F771" s="3" t="n"/>
      <c r="K771" s="2" t="n"/>
    </row>
    <row r="772">
      <c r="A772" s="39" t="n">
        <v>40848</v>
      </c>
      <c r="B772" s="40">
        <f>VLOOKUP(Table7[[#This Row],[Date]],'DB Details'!$A:$L,12)</f>
        <v/>
      </c>
      <c r="C772" s="41">
        <f>VLOOKUP(Table7[[#This Row],[Date]],'DB Details'!$A:$Q,13)</f>
        <v/>
      </c>
      <c r="D772" s="46">
        <f>(Table7[[#This Row],[S&amp;P]]-C760)/C760</f>
        <v/>
      </c>
      <c r="F772" s="3" t="n"/>
      <c r="K772" s="2" t="n"/>
    </row>
    <row r="773">
      <c r="A773" s="39" t="n">
        <v>40878</v>
      </c>
      <c r="B773" s="40">
        <f>VLOOKUP(Table7[[#This Row],[Date]],'DB Details'!$A:$L,12)</f>
        <v/>
      </c>
      <c r="C773" s="41">
        <f>VLOOKUP(Table7[[#This Row],[Date]],'DB Details'!$A:$Q,13)</f>
        <v/>
      </c>
      <c r="D773" s="46">
        <f>(Table7[[#This Row],[S&amp;P]]-C761)/C761</f>
        <v/>
      </c>
      <c r="F773" s="3" t="n"/>
      <c r="K773" s="2" t="n"/>
    </row>
    <row r="774">
      <c r="A774" s="39" t="n">
        <v>40909</v>
      </c>
      <c r="B774" s="40">
        <f>VLOOKUP(Table7[[#This Row],[Date]],'DB Details'!$A:$L,12)</f>
        <v/>
      </c>
      <c r="C774" s="41">
        <f>VLOOKUP(Table7[[#This Row],[Date]],'DB Details'!$A:$Q,13)</f>
        <v/>
      </c>
      <c r="D774" s="46">
        <f>(Table7[[#This Row],[S&amp;P]]-C762)/C762</f>
        <v/>
      </c>
      <c r="F774" s="3" t="n"/>
      <c r="K774" s="2" t="n"/>
    </row>
    <row r="775">
      <c r="A775" s="39" t="n">
        <v>40940</v>
      </c>
      <c r="B775" s="40">
        <f>VLOOKUP(Table7[[#This Row],[Date]],'DB Details'!$A:$L,12)</f>
        <v/>
      </c>
      <c r="C775" s="41">
        <f>VLOOKUP(Table7[[#This Row],[Date]],'DB Details'!$A:$Q,13)</f>
        <v/>
      </c>
      <c r="D775" s="46">
        <f>(Table7[[#This Row],[S&amp;P]]-C763)/C763</f>
        <v/>
      </c>
      <c r="F775" s="3" t="n"/>
      <c r="K775" s="2" t="n"/>
    </row>
    <row r="776">
      <c r="A776" s="39" t="n">
        <v>40969</v>
      </c>
      <c r="B776" s="40">
        <f>VLOOKUP(Table7[[#This Row],[Date]],'DB Details'!$A:$L,12)</f>
        <v/>
      </c>
      <c r="C776" s="41">
        <f>VLOOKUP(Table7[[#This Row],[Date]],'DB Details'!$A:$Q,13)</f>
        <v/>
      </c>
      <c r="D776" s="46">
        <f>(Table7[[#This Row],[S&amp;P]]-C764)/C764</f>
        <v/>
      </c>
      <c r="F776" s="3" t="n"/>
      <c r="K776" s="2" t="n"/>
    </row>
    <row r="777">
      <c r="A777" s="39" t="n">
        <v>41000</v>
      </c>
      <c r="B777" s="40">
        <f>VLOOKUP(Table7[[#This Row],[Date]],'DB Details'!$A:$L,12)</f>
        <v/>
      </c>
      <c r="C777" s="41">
        <f>VLOOKUP(Table7[[#This Row],[Date]],'DB Details'!$A:$Q,13)</f>
        <v/>
      </c>
      <c r="D777" s="46">
        <f>(Table7[[#This Row],[S&amp;P]]-C765)/C765</f>
        <v/>
      </c>
      <c r="F777" s="3" t="n"/>
      <c r="K777" s="2" t="n"/>
    </row>
    <row r="778">
      <c r="A778" s="39" t="n">
        <v>41030</v>
      </c>
      <c r="B778" s="40">
        <f>VLOOKUP(Table7[[#This Row],[Date]],'DB Details'!$A:$L,12)</f>
        <v/>
      </c>
      <c r="C778" s="41">
        <f>VLOOKUP(Table7[[#This Row],[Date]],'DB Details'!$A:$Q,13)</f>
        <v/>
      </c>
      <c r="D778" s="46">
        <f>(Table7[[#This Row],[S&amp;P]]-C766)/C766</f>
        <v/>
      </c>
      <c r="F778" s="3" t="n"/>
      <c r="K778" s="2" t="n"/>
    </row>
    <row r="779">
      <c r="A779" s="39" t="n">
        <v>41061</v>
      </c>
      <c r="B779" s="40">
        <f>VLOOKUP(Table7[[#This Row],[Date]],'DB Details'!$A:$L,12)</f>
        <v/>
      </c>
      <c r="C779" s="41">
        <f>VLOOKUP(Table7[[#This Row],[Date]],'DB Details'!$A:$Q,13)</f>
        <v/>
      </c>
      <c r="D779" s="46">
        <f>(Table7[[#This Row],[S&amp;P]]-C767)/C767</f>
        <v/>
      </c>
      <c r="F779" s="3" t="n"/>
      <c r="K779" s="2" t="n"/>
    </row>
    <row r="780">
      <c r="A780" s="39" t="n">
        <v>41091</v>
      </c>
      <c r="B780" s="40">
        <f>VLOOKUP(Table7[[#This Row],[Date]],'DB Details'!$A:$L,12)</f>
        <v/>
      </c>
      <c r="C780" s="41">
        <f>VLOOKUP(Table7[[#This Row],[Date]],'DB Details'!$A:$Q,13)</f>
        <v/>
      </c>
      <c r="D780" s="46">
        <f>(Table7[[#This Row],[S&amp;P]]-C768)/C768</f>
        <v/>
      </c>
      <c r="F780" s="3" t="n"/>
      <c r="K780" s="2" t="n"/>
    </row>
    <row r="781">
      <c r="A781" s="39" t="n">
        <v>41122</v>
      </c>
      <c r="B781" s="40">
        <f>VLOOKUP(Table7[[#This Row],[Date]],'DB Details'!$A:$L,12)</f>
        <v/>
      </c>
      <c r="C781" s="41">
        <f>VLOOKUP(Table7[[#This Row],[Date]],'DB Details'!$A:$Q,13)</f>
        <v/>
      </c>
      <c r="D781" s="46">
        <f>(Table7[[#This Row],[S&amp;P]]-C769)/C769</f>
        <v/>
      </c>
      <c r="F781" s="3" t="n"/>
      <c r="K781" s="2" t="n"/>
    </row>
    <row r="782">
      <c r="A782" s="39" t="n">
        <v>41153</v>
      </c>
      <c r="B782" s="40">
        <f>VLOOKUP(Table7[[#This Row],[Date]],'DB Details'!$A:$L,12)</f>
        <v/>
      </c>
      <c r="C782" s="41">
        <f>VLOOKUP(Table7[[#This Row],[Date]],'DB Details'!$A:$Q,13)</f>
        <v/>
      </c>
      <c r="D782" s="46">
        <f>(Table7[[#This Row],[S&amp;P]]-C770)/C770</f>
        <v/>
      </c>
      <c r="F782" s="3" t="n"/>
      <c r="K782" s="2" t="n"/>
    </row>
    <row r="783">
      <c r="A783" s="39" t="n">
        <v>41183</v>
      </c>
      <c r="B783" s="40">
        <f>VLOOKUP(Table7[[#This Row],[Date]],'DB Details'!$A:$L,12)</f>
        <v/>
      </c>
      <c r="C783" s="41">
        <f>VLOOKUP(Table7[[#This Row],[Date]],'DB Details'!$A:$Q,13)</f>
        <v/>
      </c>
      <c r="D783" s="46">
        <f>(Table7[[#This Row],[S&amp;P]]-C771)/C771</f>
        <v/>
      </c>
      <c r="F783" s="3" t="n"/>
      <c r="K783" s="2" t="n"/>
    </row>
    <row r="784">
      <c r="A784" s="39" t="n">
        <v>41214</v>
      </c>
      <c r="B784" s="40">
        <f>VLOOKUP(Table7[[#This Row],[Date]],'DB Details'!$A:$L,12)</f>
        <v/>
      </c>
      <c r="C784" s="41">
        <f>VLOOKUP(Table7[[#This Row],[Date]],'DB Details'!$A:$Q,13)</f>
        <v/>
      </c>
      <c r="D784" s="46">
        <f>(Table7[[#This Row],[S&amp;P]]-C772)/C772</f>
        <v/>
      </c>
      <c r="F784" s="3" t="n"/>
      <c r="K784" s="2" t="n"/>
    </row>
    <row r="785">
      <c r="A785" s="39" t="n">
        <v>41244</v>
      </c>
      <c r="B785" s="40">
        <f>VLOOKUP(Table7[[#This Row],[Date]],'DB Details'!$A:$L,12)</f>
        <v/>
      </c>
      <c r="C785" s="41">
        <f>VLOOKUP(Table7[[#This Row],[Date]],'DB Details'!$A:$Q,13)</f>
        <v/>
      </c>
      <c r="D785" s="46">
        <f>(Table7[[#This Row],[S&amp;P]]-C773)/C773</f>
        <v/>
      </c>
      <c r="F785" s="3" t="n"/>
      <c r="K785" s="2" t="n"/>
    </row>
    <row r="786">
      <c r="A786" s="39" t="n">
        <v>41275</v>
      </c>
      <c r="B786" s="40">
        <f>VLOOKUP(Table7[[#This Row],[Date]],'DB Details'!$A:$L,12)</f>
        <v/>
      </c>
      <c r="C786" s="41">
        <f>VLOOKUP(Table7[[#This Row],[Date]],'DB Details'!$A:$Q,13)</f>
        <v/>
      </c>
      <c r="D786" s="46">
        <f>(Table7[[#This Row],[S&amp;P]]-C774)/C774</f>
        <v/>
      </c>
      <c r="F786" s="3" t="n"/>
      <c r="K786" s="2" t="n"/>
    </row>
    <row r="787">
      <c r="A787" s="39" t="n">
        <v>41306</v>
      </c>
      <c r="B787" s="40">
        <f>VLOOKUP(Table7[[#This Row],[Date]],'DB Details'!$A:$L,12)</f>
        <v/>
      </c>
      <c r="C787" s="41">
        <f>VLOOKUP(Table7[[#This Row],[Date]],'DB Details'!$A:$Q,13)</f>
        <v/>
      </c>
      <c r="D787" s="46">
        <f>(Table7[[#This Row],[S&amp;P]]-C775)/C775</f>
        <v/>
      </c>
      <c r="F787" s="3" t="n"/>
      <c r="K787" s="2" t="n"/>
    </row>
    <row r="788">
      <c r="A788" s="39" t="n">
        <v>41334</v>
      </c>
      <c r="B788" s="40">
        <f>VLOOKUP(Table7[[#This Row],[Date]],'DB Details'!$A:$L,12)</f>
        <v/>
      </c>
      <c r="C788" s="41">
        <f>VLOOKUP(Table7[[#This Row],[Date]],'DB Details'!$A:$Q,13)</f>
        <v/>
      </c>
      <c r="D788" s="46">
        <f>(Table7[[#This Row],[S&amp;P]]-C776)/C776</f>
        <v/>
      </c>
      <c r="F788" s="3" t="n"/>
      <c r="K788" s="2" t="n"/>
    </row>
    <row r="789">
      <c r="A789" s="39" t="n">
        <v>41365</v>
      </c>
      <c r="B789" s="40">
        <f>VLOOKUP(Table7[[#This Row],[Date]],'DB Details'!$A:$L,12)</f>
        <v/>
      </c>
      <c r="C789" s="41">
        <f>VLOOKUP(Table7[[#This Row],[Date]],'DB Details'!$A:$Q,13)</f>
        <v/>
      </c>
      <c r="D789" s="46">
        <f>(Table7[[#This Row],[S&amp;P]]-C777)/C777</f>
        <v/>
      </c>
      <c r="F789" s="3" t="n"/>
      <c r="K789" s="2" t="n"/>
    </row>
    <row r="790">
      <c r="A790" s="39" t="n">
        <v>41395</v>
      </c>
      <c r="B790" s="40">
        <f>VLOOKUP(Table7[[#This Row],[Date]],'DB Details'!$A:$L,12)</f>
        <v/>
      </c>
      <c r="C790" s="41">
        <f>VLOOKUP(Table7[[#This Row],[Date]],'DB Details'!$A:$Q,13)</f>
        <v/>
      </c>
      <c r="D790" s="46">
        <f>(Table7[[#This Row],[S&amp;P]]-C778)/C778</f>
        <v/>
      </c>
      <c r="F790" s="3" t="n"/>
      <c r="K790" s="2" t="n"/>
    </row>
    <row r="791">
      <c r="A791" s="39" t="n">
        <v>41426</v>
      </c>
      <c r="B791" s="40">
        <f>VLOOKUP(Table7[[#This Row],[Date]],'DB Details'!$A:$L,12)</f>
        <v/>
      </c>
      <c r="C791" s="41">
        <f>VLOOKUP(Table7[[#This Row],[Date]],'DB Details'!$A:$Q,13)</f>
        <v/>
      </c>
      <c r="D791" s="46">
        <f>(Table7[[#This Row],[S&amp;P]]-C779)/C779</f>
        <v/>
      </c>
      <c r="F791" s="3" t="n"/>
      <c r="K791" s="2" t="n"/>
    </row>
    <row r="792">
      <c r="A792" s="39" t="n">
        <v>41456</v>
      </c>
      <c r="B792" s="40">
        <f>VLOOKUP(Table7[[#This Row],[Date]],'DB Details'!$A:$L,12)</f>
        <v/>
      </c>
      <c r="C792" s="41">
        <f>VLOOKUP(Table7[[#This Row],[Date]],'DB Details'!$A:$Q,13)</f>
        <v/>
      </c>
      <c r="D792" s="46">
        <f>(Table7[[#This Row],[S&amp;P]]-C780)/C780</f>
        <v/>
      </c>
      <c r="F792" s="3" t="n"/>
      <c r="K792" s="2" t="n"/>
    </row>
    <row r="793">
      <c r="A793" s="39" t="n">
        <v>41487</v>
      </c>
      <c r="B793" s="40">
        <f>VLOOKUP(Table7[[#This Row],[Date]],'DB Details'!$A:$L,12)</f>
        <v/>
      </c>
      <c r="C793" s="41">
        <f>VLOOKUP(Table7[[#This Row],[Date]],'DB Details'!$A:$Q,13)</f>
        <v/>
      </c>
      <c r="D793" s="46">
        <f>(Table7[[#This Row],[S&amp;P]]-C781)/C781</f>
        <v/>
      </c>
      <c r="F793" s="3" t="n"/>
      <c r="K793" s="2" t="n"/>
    </row>
    <row r="794">
      <c r="A794" s="39" t="n">
        <v>41518</v>
      </c>
      <c r="B794" s="40">
        <f>VLOOKUP(Table7[[#This Row],[Date]],'DB Details'!$A:$L,12)</f>
        <v/>
      </c>
      <c r="C794" s="41">
        <f>VLOOKUP(Table7[[#This Row],[Date]],'DB Details'!$A:$Q,13)</f>
        <v/>
      </c>
      <c r="D794" s="46">
        <f>(Table7[[#This Row],[S&amp;P]]-C782)/C782</f>
        <v/>
      </c>
      <c r="F794" s="3" t="n"/>
      <c r="K794" s="2" t="n"/>
    </row>
    <row r="795">
      <c r="A795" s="39" t="n">
        <v>41548</v>
      </c>
      <c r="B795" s="40">
        <f>VLOOKUP(Table7[[#This Row],[Date]],'DB Details'!$A:$L,12)</f>
        <v/>
      </c>
      <c r="C795" s="41">
        <f>VLOOKUP(Table7[[#This Row],[Date]],'DB Details'!$A:$Q,13)</f>
        <v/>
      </c>
      <c r="D795" s="46">
        <f>(Table7[[#This Row],[S&amp;P]]-C783)/C783</f>
        <v/>
      </c>
      <c r="F795" s="3" t="n"/>
      <c r="K795" s="2" t="n"/>
    </row>
    <row r="796">
      <c r="A796" s="39" t="n">
        <v>41579</v>
      </c>
      <c r="B796" s="40">
        <f>VLOOKUP(Table7[[#This Row],[Date]],'DB Details'!$A:$L,12)</f>
        <v/>
      </c>
      <c r="C796" s="41">
        <f>VLOOKUP(Table7[[#This Row],[Date]],'DB Details'!$A:$Q,13)</f>
        <v/>
      </c>
      <c r="D796" s="46">
        <f>(Table7[[#This Row],[S&amp;P]]-C784)/C784</f>
        <v/>
      </c>
      <c r="F796" s="3" t="n"/>
      <c r="K796" s="2" t="n"/>
    </row>
    <row r="797">
      <c r="A797" s="39" t="n">
        <v>41609</v>
      </c>
      <c r="B797" s="40">
        <f>VLOOKUP(Table7[[#This Row],[Date]],'DB Details'!$A:$L,12)</f>
        <v/>
      </c>
      <c r="C797" s="41">
        <f>VLOOKUP(Table7[[#This Row],[Date]],'DB Details'!$A:$Q,13)</f>
        <v/>
      </c>
      <c r="D797" s="46">
        <f>(Table7[[#This Row],[S&amp;P]]-C785)/C785</f>
        <v/>
      </c>
      <c r="F797" s="3" t="n"/>
      <c r="K797" s="2" t="n"/>
    </row>
    <row r="798">
      <c r="A798" s="39" t="n">
        <v>41640</v>
      </c>
      <c r="B798" s="40">
        <f>VLOOKUP(Table7[[#This Row],[Date]],'DB Details'!$A:$L,12)</f>
        <v/>
      </c>
      <c r="C798" s="41">
        <f>VLOOKUP(Table7[[#This Row],[Date]],'DB Details'!$A:$Q,13)</f>
        <v/>
      </c>
      <c r="D798" s="46">
        <f>(Table7[[#This Row],[S&amp;P]]-C786)/C786</f>
        <v/>
      </c>
      <c r="F798" s="3" t="n"/>
      <c r="K798" s="2" t="n"/>
    </row>
    <row r="799">
      <c r="A799" s="39" t="n">
        <v>41671</v>
      </c>
      <c r="B799" s="40">
        <f>VLOOKUP(Table7[[#This Row],[Date]],'DB Details'!$A:$L,12)</f>
        <v/>
      </c>
      <c r="C799" s="41">
        <f>VLOOKUP(Table7[[#This Row],[Date]],'DB Details'!$A:$Q,13)</f>
        <v/>
      </c>
      <c r="D799" s="46">
        <f>(Table7[[#This Row],[S&amp;P]]-C787)/C787</f>
        <v/>
      </c>
      <c r="F799" s="3" t="n"/>
      <c r="K799" s="2" t="n"/>
    </row>
    <row r="800">
      <c r="A800" s="39" t="n">
        <v>41699</v>
      </c>
      <c r="B800" s="40">
        <f>VLOOKUP(Table7[[#This Row],[Date]],'DB Details'!$A:$L,12)</f>
        <v/>
      </c>
      <c r="C800" s="41">
        <f>VLOOKUP(Table7[[#This Row],[Date]],'DB Details'!$A:$Q,13)</f>
        <v/>
      </c>
      <c r="D800" s="46">
        <f>(Table7[[#This Row],[S&amp;P]]-C788)/C788</f>
        <v/>
      </c>
      <c r="F800" s="3" t="n"/>
      <c r="K800" s="2" t="n"/>
    </row>
    <row r="801">
      <c r="A801" s="39" t="n">
        <v>41730</v>
      </c>
      <c r="B801" s="40">
        <f>VLOOKUP(Table7[[#This Row],[Date]],'DB Details'!$A:$L,12)</f>
        <v/>
      </c>
      <c r="C801" s="41">
        <f>VLOOKUP(Table7[[#This Row],[Date]],'DB Details'!$A:$Q,13)</f>
        <v/>
      </c>
      <c r="D801" s="46">
        <f>(Table7[[#This Row],[S&amp;P]]-C789)/C789</f>
        <v/>
      </c>
      <c r="F801" s="3" t="n"/>
      <c r="K801" s="2" t="n"/>
    </row>
    <row r="802">
      <c r="A802" s="39" t="n">
        <v>41760</v>
      </c>
      <c r="B802" s="40">
        <f>VLOOKUP(Table7[[#This Row],[Date]],'DB Details'!$A:$L,12)</f>
        <v/>
      </c>
      <c r="C802" s="41">
        <f>VLOOKUP(Table7[[#This Row],[Date]],'DB Details'!$A:$Q,13)</f>
        <v/>
      </c>
      <c r="D802" s="46">
        <f>(Table7[[#This Row],[S&amp;P]]-C790)/C790</f>
        <v/>
      </c>
      <c r="F802" s="3" t="n"/>
      <c r="K802" s="2" t="n"/>
    </row>
    <row r="803">
      <c r="A803" s="39" t="n">
        <v>41791</v>
      </c>
      <c r="B803" s="40">
        <f>VLOOKUP(Table7[[#This Row],[Date]],'DB Details'!$A:$L,12)</f>
        <v/>
      </c>
      <c r="C803" s="41">
        <f>VLOOKUP(Table7[[#This Row],[Date]],'DB Details'!$A:$Q,13)</f>
        <v/>
      </c>
      <c r="D803" s="46">
        <f>(Table7[[#This Row],[S&amp;P]]-C791)/C791</f>
        <v/>
      </c>
      <c r="F803" s="3" t="n"/>
      <c r="K803" s="2" t="n"/>
    </row>
    <row r="804">
      <c r="A804" s="39" t="n">
        <v>41821</v>
      </c>
      <c r="B804" s="40">
        <f>VLOOKUP(Table7[[#This Row],[Date]],'DB Details'!$A:$L,12)</f>
        <v/>
      </c>
      <c r="C804" s="41">
        <f>VLOOKUP(Table7[[#This Row],[Date]],'DB Details'!$A:$Q,13)</f>
        <v/>
      </c>
      <c r="D804" s="46">
        <f>(Table7[[#This Row],[S&amp;P]]-C792)/C792</f>
        <v/>
      </c>
      <c r="F804" s="3" t="n"/>
      <c r="K804" s="2" t="n"/>
    </row>
    <row r="805">
      <c r="A805" s="39" t="n">
        <v>41852</v>
      </c>
      <c r="B805" s="40">
        <f>VLOOKUP(Table7[[#This Row],[Date]],'DB Details'!$A:$L,12)</f>
        <v/>
      </c>
      <c r="C805" s="41">
        <f>VLOOKUP(Table7[[#This Row],[Date]],'DB Details'!$A:$Q,13)</f>
        <v/>
      </c>
      <c r="D805" s="46">
        <f>(Table7[[#This Row],[S&amp;P]]-C793)/C793</f>
        <v/>
      </c>
      <c r="F805" s="3" t="n"/>
      <c r="K805" s="2" t="n"/>
    </row>
    <row r="806">
      <c r="A806" s="39" t="n">
        <v>41883</v>
      </c>
      <c r="B806" s="40">
        <f>VLOOKUP(Table7[[#This Row],[Date]],'DB Details'!$A:$L,12)</f>
        <v/>
      </c>
      <c r="C806" s="41">
        <f>VLOOKUP(Table7[[#This Row],[Date]],'DB Details'!$A:$Q,13)</f>
        <v/>
      </c>
      <c r="D806" s="46">
        <f>(Table7[[#This Row],[S&amp;P]]-C794)/C794</f>
        <v/>
      </c>
      <c r="F806" s="3" t="n"/>
      <c r="K806" s="2" t="n"/>
    </row>
    <row r="807">
      <c r="A807" s="39" t="n">
        <v>41913</v>
      </c>
      <c r="B807" s="40">
        <f>VLOOKUP(Table7[[#This Row],[Date]],'DB Details'!$A:$L,12)</f>
        <v/>
      </c>
      <c r="C807" s="41">
        <f>VLOOKUP(Table7[[#This Row],[Date]],'DB Details'!$A:$Q,13)</f>
        <v/>
      </c>
      <c r="D807" s="46">
        <f>(Table7[[#This Row],[S&amp;P]]-C795)/C795</f>
        <v/>
      </c>
      <c r="F807" s="3" t="n"/>
      <c r="K807" s="2" t="n"/>
    </row>
    <row r="808">
      <c r="A808" s="39" t="n">
        <v>41944</v>
      </c>
      <c r="B808" s="40">
        <f>VLOOKUP(Table7[[#This Row],[Date]],'DB Details'!$A:$L,12)</f>
        <v/>
      </c>
      <c r="C808" s="41">
        <f>VLOOKUP(Table7[[#This Row],[Date]],'DB Details'!$A:$Q,13)</f>
        <v/>
      </c>
      <c r="D808" s="46">
        <f>(Table7[[#This Row],[S&amp;P]]-C796)/C796</f>
        <v/>
      </c>
      <c r="F808" s="3" t="n"/>
      <c r="K808" s="2" t="n"/>
    </row>
    <row r="809">
      <c r="A809" s="39" t="n">
        <v>41974</v>
      </c>
      <c r="B809" s="40">
        <f>VLOOKUP(Table7[[#This Row],[Date]],'DB Details'!$A:$L,12)</f>
        <v/>
      </c>
      <c r="C809" s="41">
        <f>VLOOKUP(Table7[[#This Row],[Date]],'DB Details'!$A:$Q,13)</f>
        <v/>
      </c>
      <c r="D809" s="46">
        <f>(Table7[[#This Row],[S&amp;P]]-C797)/C797</f>
        <v/>
      </c>
      <c r="F809" s="3" t="n"/>
      <c r="K809" s="2" t="n"/>
    </row>
    <row r="810">
      <c r="A810" s="39" t="n">
        <v>42005</v>
      </c>
      <c r="B810" s="40">
        <f>VLOOKUP(Table7[[#This Row],[Date]],'DB Details'!$A:$L,12)</f>
        <v/>
      </c>
      <c r="C810" s="41">
        <f>VLOOKUP(Table7[[#This Row],[Date]],'DB Details'!$A:$Q,13)</f>
        <v/>
      </c>
      <c r="D810" s="46">
        <f>(Table7[[#This Row],[S&amp;P]]-C798)/C798</f>
        <v/>
      </c>
      <c r="F810" s="3" t="n"/>
      <c r="K810" s="2" t="n"/>
    </row>
    <row r="811">
      <c r="A811" s="39" t="n">
        <v>42036</v>
      </c>
      <c r="B811" s="40">
        <f>VLOOKUP(Table7[[#This Row],[Date]],'DB Details'!$A:$L,12)</f>
        <v/>
      </c>
      <c r="C811" s="41">
        <f>VLOOKUP(Table7[[#This Row],[Date]],'DB Details'!$A:$Q,13)</f>
        <v/>
      </c>
      <c r="D811" s="46">
        <f>(Table7[[#This Row],[S&amp;P]]-C799)/C799</f>
        <v/>
      </c>
      <c r="F811" s="3" t="n"/>
      <c r="K811" s="2" t="n"/>
    </row>
    <row r="812">
      <c r="A812" s="39" t="n">
        <v>42064</v>
      </c>
      <c r="B812" s="40">
        <f>VLOOKUP(Table7[[#This Row],[Date]],'DB Details'!$A:$L,12)</f>
        <v/>
      </c>
      <c r="C812" s="41">
        <f>VLOOKUP(Table7[[#This Row],[Date]],'DB Details'!$A:$Q,13)</f>
        <v/>
      </c>
      <c r="D812" s="46">
        <f>(Table7[[#This Row],[S&amp;P]]-C800)/C800</f>
        <v/>
      </c>
      <c r="F812" s="3" t="n"/>
      <c r="K812" s="2" t="n"/>
    </row>
    <row r="813">
      <c r="A813" s="39" t="n">
        <v>42095</v>
      </c>
      <c r="B813" s="40">
        <f>VLOOKUP(Table7[[#This Row],[Date]],'DB Details'!$A:$L,12)</f>
        <v/>
      </c>
      <c r="C813" s="41">
        <f>VLOOKUP(Table7[[#This Row],[Date]],'DB Details'!$A:$Q,13)</f>
        <v/>
      </c>
      <c r="D813" s="46">
        <f>(Table7[[#This Row],[S&amp;P]]-C801)/C801</f>
        <v/>
      </c>
      <c r="F813" s="3" t="n"/>
      <c r="K813" s="2" t="n"/>
    </row>
    <row r="814">
      <c r="A814" s="39" t="n">
        <v>42125</v>
      </c>
      <c r="B814" s="40">
        <f>VLOOKUP(Table7[[#This Row],[Date]],'DB Details'!$A:$L,12)</f>
        <v/>
      </c>
      <c r="C814" s="41">
        <f>VLOOKUP(Table7[[#This Row],[Date]],'DB Details'!$A:$Q,13)</f>
        <v/>
      </c>
      <c r="D814" s="46">
        <f>(Table7[[#This Row],[S&amp;P]]-C802)/C802</f>
        <v/>
      </c>
      <c r="F814" s="3" t="n"/>
      <c r="K814" s="2" t="n"/>
    </row>
    <row r="815">
      <c r="A815" s="39" t="n">
        <v>42156</v>
      </c>
      <c r="B815" s="40">
        <f>VLOOKUP(Table7[[#This Row],[Date]],'DB Details'!$A:$L,12)</f>
        <v/>
      </c>
      <c r="C815" s="41">
        <f>VLOOKUP(Table7[[#This Row],[Date]],'DB Details'!$A:$Q,13)</f>
        <v/>
      </c>
      <c r="D815" s="46">
        <f>(Table7[[#This Row],[S&amp;P]]-C803)/C803</f>
        <v/>
      </c>
      <c r="F815" s="3" t="n"/>
      <c r="K815" s="2" t="n"/>
    </row>
    <row r="816">
      <c r="A816" s="39" t="n">
        <v>42186</v>
      </c>
      <c r="B816" s="40">
        <f>VLOOKUP(Table7[[#This Row],[Date]],'DB Details'!$A:$L,12)</f>
        <v/>
      </c>
      <c r="C816" s="41">
        <f>VLOOKUP(Table7[[#This Row],[Date]],'DB Details'!$A:$Q,13)</f>
        <v/>
      </c>
      <c r="D816" s="46">
        <f>(Table7[[#This Row],[S&amp;P]]-C804)/C804</f>
        <v/>
      </c>
      <c r="F816" s="3" t="n"/>
      <c r="K816" s="2" t="n"/>
    </row>
    <row r="817">
      <c r="A817" s="39" t="n">
        <v>42217</v>
      </c>
      <c r="B817" s="40">
        <f>VLOOKUP(Table7[[#This Row],[Date]],'DB Details'!$A:$L,12)</f>
        <v/>
      </c>
      <c r="C817" s="41">
        <f>VLOOKUP(Table7[[#This Row],[Date]],'DB Details'!$A:$Q,13)</f>
        <v/>
      </c>
      <c r="D817" s="46">
        <f>(Table7[[#This Row],[S&amp;P]]-C805)/C805</f>
        <v/>
      </c>
      <c r="F817" s="3" t="n"/>
      <c r="K817" s="2" t="n"/>
    </row>
    <row r="818">
      <c r="A818" s="39" t="n">
        <v>42248</v>
      </c>
      <c r="B818" s="40">
        <f>VLOOKUP(Table7[[#This Row],[Date]],'DB Details'!$A:$L,12)</f>
        <v/>
      </c>
      <c r="C818" s="41">
        <f>VLOOKUP(Table7[[#This Row],[Date]],'DB Details'!$A:$Q,13)</f>
        <v/>
      </c>
      <c r="D818" s="46">
        <f>(Table7[[#This Row],[S&amp;P]]-C806)/C806</f>
        <v/>
      </c>
      <c r="F818" s="3" t="n"/>
      <c r="K818" s="2" t="n"/>
    </row>
    <row r="819">
      <c r="A819" s="39" t="n">
        <v>42278</v>
      </c>
      <c r="B819" s="40">
        <f>VLOOKUP(Table7[[#This Row],[Date]],'DB Details'!$A:$L,12)</f>
        <v/>
      </c>
      <c r="C819" s="41">
        <f>VLOOKUP(Table7[[#This Row],[Date]],'DB Details'!$A:$Q,13)</f>
        <v/>
      </c>
      <c r="D819" s="46">
        <f>(Table7[[#This Row],[S&amp;P]]-C807)/C807</f>
        <v/>
      </c>
      <c r="F819" s="3" t="n"/>
      <c r="K819" s="2" t="n"/>
    </row>
    <row r="820">
      <c r="A820" s="39" t="n">
        <v>42309</v>
      </c>
      <c r="B820" s="40">
        <f>VLOOKUP(Table7[[#This Row],[Date]],'DB Details'!$A:$L,12)</f>
        <v/>
      </c>
      <c r="C820" s="41">
        <f>VLOOKUP(Table7[[#This Row],[Date]],'DB Details'!$A:$Q,13)</f>
        <v/>
      </c>
      <c r="D820" s="46">
        <f>(Table7[[#This Row],[S&amp;P]]-C808)/C808</f>
        <v/>
      </c>
      <c r="F820" s="3" t="n"/>
      <c r="K820" s="2" t="n"/>
    </row>
    <row r="821">
      <c r="A821" s="39" t="n">
        <v>42339</v>
      </c>
      <c r="B821" s="40">
        <f>VLOOKUP(Table7[[#This Row],[Date]],'DB Details'!$A:$L,12)</f>
        <v/>
      </c>
      <c r="C821" s="41">
        <f>VLOOKUP(Table7[[#This Row],[Date]],'DB Details'!$A:$Q,13)</f>
        <v/>
      </c>
      <c r="D821" s="46">
        <f>(Table7[[#This Row],[S&amp;P]]-C809)/C809</f>
        <v/>
      </c>
      <c r="F821" s="3" t="n"/>
      <c r="K821" s="2" t="n"/>
    </row>
    <row r="822">
      <c r="A822" s="39" t="n">
        <v>42370</v>
      </c>
      <c r="B822" s="40">
        <f>VLOOKUP(Table7[[#This Row],[Date]],'DB Details'!$A:$L,12)</f>
        <v/>
      </c>
      <c r="C822" s="41">
        <f>VLOOKUP(Table7[[#This Row],[Date]],'DB Details'!$A:$Q,13)</f>
        <v/>
      </c>
      <c r="D822" s="46">
        <f>(Table7[[#This Row],[S&amp;P]]-C810)/C810</f>
        <v/>
      </c>
      <c r="F822" s="3" t="n"/>
      <c r="K822" s="2" t="n"/>
    </row>
    <row r="823">
      <c r="A823" s="39" t="n">
        <v>42401</v>
      </c>
      <c r="B823" s="40">
        <f>VLOOKUP(Table7[[#This Row],[Date]],'DB Details'!$A:$L,12)</f>
        <v/>
      </c>
      <c r="C823" s="41">
        <f>VLOOKUP(Table7[[#This Row],[Date]],'DB Details'!$A:$Q,13)</f>
        <v/>
      </c>
      <c r="D823" s="46">
        <f>(Table7[[#This Row],[S&amp;P]]-C811)/C811</f>
        <v/>
      </c>
      <c r="F823" s="3" t="n"/>
      <c r="K823" s="2" t="n"/>
    </row>
    <row r="824">
      <c r="A824" s="39" t="n">
        <v>42430</v>
      </c>
      <c r="B824" s="40">
        <f>VLOOKUP(Table7[[#This Row],[Date]],'DB Details'!$A:$L,12)</f>
        <v/>
      </c>
      <c r="C824" s="41">
        <f>VLOOKUP(Table7[[#This Row],[Date]],'DB Details'!$A:$Q,13)</f>
        <v/>
      </c>
      <c r="D824" s="46">
        <f>(Table7[[#This Row],[S&amp;P]]-C812)/C812</f>
        <v/>
      </c>
      <c r="F824" s="3" t="n"/>
      <c r="K824" s="2" t="n"/>
    </row>
    <row r="825">
      <c r="A825" s="39" t="n">
        <v>42461</v>
      </c>
      <c r="B825" s="40">
        <f>VLOOKUP(Table7[[#This Row],[Date]],'DB Details'!$A:$L,12)</f>
        <v/>
      </c>
      <c r="C825" s="41">
        <f>VLOOKUP(Table7[[#This Row],[Date]],'DB Details'!$A:$Q,13)</f>
        <v/>
      </c>
      <c r="D825" s="46">
        <f>(Table7[[#This Row],[S&amp;P]]-C813)/C813</f>
        <v/>
      </c>
      <c r="F825" s="3" t="n"/>
      <c r="K825" s="2" t="n"/>
    </row>
    <row r="826">
      <c r="A826" s="39" t="n">
        <v>42491</v>
      </c>
      <c r="B826" s="40">
        <f>VLOOKUP(Table7[[#This Row],[Date]],'DB Details'!$A:$L,12)</f>
        <v/>
      </c>
      <c r="C826" s="41">
        <f>VLOOKUP(Table7[[#This Row],[Date]],'DB Details'!$A:$Q,13)</f>
        <v/>
      </c>
      <c r="D826" s="46">
        <f>(Table7[[#This Row],[S&amp;P]]-C814)/C814</f>
        <v/>
      </c>
      <c r="F826" s="3" t="n"/>
      <c r="K826" s="2" t="n"/>
    </row>
    <row r="827">
      <c r="A827" s="39" t="n">
        <v>42522</v>
      </c>
      <c r="B827" s="40">
        <f>VLOOKUP(Table7[[#This Row],[Date]],'DB Details'!$A:$L,12)</f>
        <v/>
      </c>
      <c r="C827" s="41">
        <f>VLOOKUP(Table7[[#This Row],[Date]],'DB Details'!$A:$Q,13)</f>
        <v/>
      </c>
      <c r="D827" s="46">
        <f>(Table7[[#This Row],[S&amp;P]]-C815)/C815</f>
        <v/>
      </c>
      <c r="F827" s="3" t="n"/>
      <c r="K827" s="2" t="n"/>
    </row>
    <row r="828">
      <c r="A828" s="39" t="n">
        <v>42552</v>
      </c>
      <c r="B828" s="40">
        <f>VLOOKUP(Table7[[#This Row],[Date]],'DB Details'!$A:$L,12)</f>
        <v/>
      </c>
      <c r="C828" s="41">
        <f>VLOOKUP(Table7[[#This Row],[Date]],'DB Details'!$A:$Q,13)</f>
        <v/>
      </c>
      <c r="D828" s="46">
        <f>(Table7[[#This Row],[S&amp;P]]-C816)/C816</f>
        <v/>
      </c>
      <c r="F828" s="3" t="n"/>
      <c r="K828" s="2" t="n"/>
    </row>
    <row r="829">
      <c r="A829" s="39" t="n">
        <v>42583</v>
      </c>
      <c r="B829" s="40">
        <f>VLOOKUP(Table7[[#This Row],[Date]],'DB Details'!$A:$L,12)</f>
        <v/>
      </c>
      <c r="C829" s="41">
        <f>VLOOKUP(Table7[[#This Row],[Date]],'DB Details'!$A:$Q,13)</f>
        <v/>
      </c>
      <c r="D829" s="46">
        <f>(Table7[[#This Row],[S&amp;P]]-C817)/C817</f>
        <v/>
      </c>
      <c r="F829" s="3" t="n"/>
      <c r="K829" s="2" t="n"/>
    </row>
    <row r="830">
      <c r="A830" s="39" t="n">
        <v>42614</v>
      </c>
      <c r="B830" s="40">
        <f>VLOOKUP(Table7[[#This Row],[Date]],'DB Details'!$A:$L,12)</f>
        <v/>
      </c>
      <c r="C830" s="41">
        <f>VLOOKUP(Table7[[#This Row],[Date]],'DB Details'!$A:$Q,13)</f>
        <v/>
      </c>
      <c r="D830" s="46">
        <f>(Table7[[#This Row],[S&amp;P]]-C818)/C818</f>
        <v/>
      </c>
      <c r="F830" s="3" t="n"/>
      <c r="K830" s="2" t="n"/>
    </row>
    <row r="831">
      <c r="A831" s="39" t="n">
        <v>42644</v>
      </c>
      <c r="B831" s="40">
        <f>VLOOKUP(Table7[[#This Row],[Date]],'DB Details'!$A:$L,12)</f>
        <v/>
      </c>
      <c r="C831" s="41">
        <f>VLOOKUP(Table7[[#This Row],[Date]],'DB Details'!$A:$Q,13)</f>
        <v/>
      </c>
      <c r="D831" s="46">
        <f>(Table7[[#This Row],[S&amp;P]]-C819)/C819</f>
        <v/>
      </c>
      <c r="F831" s="3" t="n"/>
      <c r="K831" s="2" t="n"/>
    </row>
    <row r="832">
      <c r="A832" s="39" t="n">
        <v>42675</v>
      </c>
      <c r="B832" s="40">
        <f>VLOOKUP(Table7[[#This Row],[Date]],'DB Details'!$A:$L,12)</f>
        <v/>
      </c>
      <c r="C832" s="41">
        <f>VLOOKUP(Table7[[#This Row],[Date]],'DB Details'!$A:$Q,13)</f>
        <v/>
      </c>
      <c r="D832" s="46">
        <f>(Table7[[#This Row],[S&amp;P]]-C820)/C820</f>
        <v/>
      </c>
      <c r="F832" s="3" t="n"/>
      <c r="K832" s="2" t="n"/>
    </row>
    <row r="833">
      <c r="A833" s="39" t="n">
        <v>42705</v>
      </c>
      <c r="B833" s="40">
        <f>VLOOKUP(Table7[[#This Row],[Date]],'DB Details'!$A:$L,12)</f>
        <v/>
      </c>
      <c r="C833" s="41">
        <f>VLOOKUP(Table7[[#This Row],[Date]],'DB Details'!$A:$Q,13)</f>
        <v/>
      </c>
      <c r="D833" s="46">
        <f>(Table7[[#This Row],[S&amp;P]]-C821)/C821</f>
        <v/>
      </c>
      <c r="F833" s="3" t="n"/>
      <c r="K833" s="2" t="n"/>
    </row>
    <row r="834">
      <c r="A834" s="39" t="n">
        <v>42736</v>
      </c>
      <c r="B834" s="40">
        <f>VLOOKUP(Table7[[#This Row],[Date]],'DB Details'!$A:$L,12)</f>
        <v/>
      </c>
      <c r="C834" s="41">
        <f>VLOOKUP(Table7[[#This Row],[Date]],'DB Details'!$A:$Q,13)</f>
        <v/>
      </c>
      <c r="D834" s="46">
        <f>(Table7[[#This Row],[S&amp;P]]-C822)/C822</f>
        <v/>
      </c>
      <c r="F834" s="3" t="n"/>
      <c r="K834" s="2" t="n"/>
    </row>
    <row r="835">
      <c r="A835" s="39" t="n">
        <v>42767</v>
      </c>
      <c r="B835" s="40">
        <f>VLOOKUP(Table7[[#This Row],[Date]],'DB Details'!$A:$L,12)</f>
        <v/>
      </c>
      <c r="C835" s="41">
        <f>VLOOKUP(Table7[[#This Row],[Date]],'DB Details'!$A:$Q,13)</f>
        <v/>
      </c>
      <c r="D835" s="46">
        <f>(Table7[[#This Row],[S&amp;P]]-C823)/C823</f>
        <v/>
      </c>
      <c r="F835" s="3" t="n"/>
      <c r="K835" s="2" t="n"/>
    </row>
    <row r="836">
      <c r="A836" s="39" t="n">
        <v>42795</v>
      </c>
      <c r="B836" s="40">
        <f>VLOOKUP(Table7[[#This Row],[Date]],'DB Details'!$A:$L,12)</f>
        <v/>
      </c>
      <c r="C836" s="41">
        <f>VLOOKUP(Table7[[#This Row],[Date]],'DB Details'!$A:$Q,13)</f>
        <v/>
      </c>
      <c r="D836" s="46">
        <f>(Table7[[#This Row],[S&amp;P]]-C824)/C824</f>
        <v/>
      </c>
      <c r="F836" s="3" t="n"/>
      <c r="K836" s="2" t="n"/>
    </row>
    <row r="837">
      <c r="A837" s="39" t="n">
        <v>42826</v>
      </c>
      <c r="B837" s="40">
        <f>VLOOKUP(Table7[[#This Row],[Date]],'DB Details'!$A:$L,12)</f>
        <v/>
      </c>
      <c r="C837" s="41">
        <f>VLOOKUP(Table7[[#This Row],[Date]],'DB Details'!$A:$Q,13)</f>
        <v/>
      </c>
      <c r="D837" s="46">
        <f>(Table7[[#This Row],[S&amp;P]]-C825)/C825</f>
        <v/>
      </c>
      <c r="F837" s="3" t="n"/>
      <c r="K837" s="2" t="n"/>
    </row>
    <row r="838">
      <c r="A838" s="39" t="n">
        <v>42856</v>
      </c>
      <c r="B838" s="40">
        <f>VLOOKUP(Table7[[#This Row],[Date]],'DB Details'!$A:$L,12)</f>
        <v/>
      </c>
      <c r="C838" s="41">
        <f>VLOOKUP(Table7[[#This Row],[Date]],'DB Details'!$A:$Q,13)</f>
        <v/>
      </c>
      <c r="D838" s="46">
        <f>(Table7[[#This Row],[S&amp;P]]-C826)/C826</f>
        <v/>
      </c>
      <c r="F838" s="3" t="n"/>
      <c r="K838" s="2" t="n"/>
    </row>
    <row r="839">
      <c r="A839" s="39" t="n">
        <v>42887</v>
      </c>
      <c r="B839" s="40">
        <f>VLOOKUP(Table7[[#This Row],[Date]],'DB Details'!$A:$L,12)</f>
        <v/>
      </c>
      <c r="C839" s="41">
        <f>VLOOKUP(Table7[[#This Row],[Date]],'DB Details'!$A:$Q,13)</f>
        <v/>
      </c>
      <c r="D839" s="46">
        <f>(Table7[[#This Row],[S&amp;P]]-C827)/C827</f>
        <v/>
      </c>
      <c r="F839" s="3" t="n"/>
      <c r="K839" s="2" t="n"/>
    </row>
    <row r="840">
      <c r="A840" s="39" t="n">
        <v>42917</v>
      </c>
      <c r="B840" s="40">
        <f>VLOOKUP(Table7[[#This Row],[Date]],'DB Details'!$A:$L,12)</f>
        <v/>
      </c>
      <c r="C840" s="41">
        <f>VLOOKUP(Table7[[#This Row],[Date]],'DB Details'!$A:$Q,13)</f>
        <v/>
      </c>
      <c r="D840" s="46">
        <f>(Table7[[#This Row],[S&amp;P]]-C828)/C828</f>
        <v/>
      </c>
      <c r="F840" s="3" t="n"/>
      <c r="K840" s="2" t="n"/>
    </row>
    <row r="841">
      <c r="A841" s="39" t="n">
        <v>42948</v>
      </c>
      <c r="B841" s="40">
        <f>VLOOKUP(Table7[[#This Row],[Date]],'DB Details'!$A:$L,12)</f>
        <v/>
      </c>
      <c r="C841" s="41">
        <f>VLOOKUP(Table7[[#This Row],[Date]],'DB Details'!$A:$Q,13)</f>
        <v/>
      </c>
      <c r="D841" s="46">
        <f>(Table7[[#This Row],[S&amp;P]]-C829)/C829</f>
        <v/>
      </c>
      <c r="F841" s="3" t="n"/>
      <c r="K841" s="2" t="n"/>
    </row>
    <row r="842">
      <c r="A842" s="39" t="n">
        <v>42979</v>
      </c>
      <c r="B842" s="40">
        <f>VLOOKUP(Table7[[#This Row],[Date]],'DB Details'!$A:$L,12)</f>
        <v/>
      </c>
      <c r="C842" s="41">
        <f>VLOOKUP(Table7[[#This Row],[Date]],'DB Details'!$A:$Q,13)</f>
        <v/>
      </c>
      <c r="D842" s="46">
        <f>(Table7[[#This Row],[S&amp;P]]-C830)/C830</f>
        <v/>
      </c>
      <c r="F842" s="3" t="n"/>
      <c r="K842" s="2" t="n"/>
    </row>
    <row r="843">
      <c r="A843" s="39" t="n">
        <v>43009</v>
      </c>
      <c r="B843" s="40">
        <f>VLOOKUP(Table7[[#This Row],[Date]],'DB Details'!$A:$L,12)</f>
        <v/>
      </c>
      <c r="C843" s="41">
        <f>VLOOKUP(Table7[[#This Row],[Date]],'DB Details'!$A:$Q,13)</f>
        <v/>
      </c>
      <c r="D843" s="46">
        <f>(Table7[[#This Row],[S&amp;P]]-C831)/C831</f>
        <v/>
      </c>
      <c r="F843" s="3" t="n"/>
      <c r="K843" s="2" t="n"/>
    </row>
    <row r="844">
      <c r="A844" s="39" t="n">
        <v>43040</v>
      </c>
      <c r="B844" s="40">
        <f>VLOOKUP(Table7[[#This Row],[Date]],'DB Details'!$A:$L,12)</f>
        <v/>
      </c>
      <c r="C844" s="41">
        <f>VLOOKUP(Table7[[#This Row],[Date]],'DB Details'!$A:$Q,13)</f>
        <v/>
      </c>
      <c r="D844" s="46">
        <f>(Table7[[#This Row],[S&amp;P]]-C832)/C832</f>
        <v/>
      </c>
      <c r="F844" s="3" t="n"/>
      <c r="K844" s="2" t="n"/>
    </row>
    <row r="845">
      <c r="A845" s="39" t="n">
        <v>43070</v>
      </c>
      <c r="B845" s="40">
        <f>VLOOKUP(Table7[[#This Row],[Date]],'DB Details'!$A:$L,12)</f>
        <v/>
      </c>
      <c r="C845" s="41">
        <f>VLOOKUP(Table7[[#This Row],[Date]],'DB Details'!$A:$Q,13)</f>
        <v/>
      </c>
      <c r="D845" s="46">
        <f>(Table7[[#This Row],[S&amp;P]]-C833)/C833</f>
        <v/>
      </c>
      <c r="F845" s="3" t="n"/>
      <c r="K845" s="2" t="n"/>
    </row>
    <row r="846">
      <c r="A846" s="39" t="n">
        <v>43101</v>
      </c>
      <c r="B846" s="40">
        <f>VLOOKUP(Table7[[#This Row],[Date]],'DB Details'!$A:$L,12)</f>
        <v/>
      </c>
      <c r="C846" s="41">
        <f>VLOOKUP(Table7[[#This Row],[Date]],'DB Details'!$A:$Q,13)</f>
        <v/>
      </c>
      <c r="D846" s="46">
        <f>(Table7[[#This Row],[S&amp;P]]-C834)/C834</f>
        <v/>
      </c>
      <c r="F846" s="4" t="n"/>
      <c r="K846" s="2" t="n"/>
    </row>
    <row r="847">
      <c r="A847" s="45" t="n">
        <v>43132</v>
      </c>
      <c r="B847" s="40">
        <f>VLOOKUP(Table7[[#This Row],[Date]],'DB Details'!$A:$L,12)</f>
        <v/>
      </c>
      <c r="C847" s="41">
        <f>VLOOKUP(Table7[[#This Row],[Date]],'DB Details'!$A:$Q,13)</f>
        <v/>
      </c>
      <c r="D847" s="46">
        <f>(Table7[[#This Row],[S&amp;P]]-C835)/C835</f>
        <v/>
      </c>
    </row>
    <row r="848">
      <c r="A848" s="39" t="n">
        <v>43160</v>
      </c>
      <c r="B848" s="40">
        <f>VLOOKUP(Table7[[#This Row],[Date]],'DB Details'!$A:$L,12)</f>
        <v/>
      </c>
      <c r="C848" s="41">
        <f>VLOOKUP(Table7[[#This Row],[Date]],'DB Details'!$A:$Q,13)</f>
        <v/>
      </c>
      <c r="D848" s="46">
        <f>(Table7[[#This Row],[S&amp;P]]-C836)/C836</f>
        <v/>
      </c>
    </row>
    <row r="849">
      <c r="A849" s="45" t="n">
        <v>43191</v>
      </c>
      <c r="B849" s="40">
        <f>VLOOKUP(Table7[[#This Row],[Date]],'DB Details'!$A:$L,12)</f>
        <v/>
      </c>
      <c r="C849" s="41">
        <f>VLOOKUP(Table7[[#This Row],[Date]],'DB Details'!$A:$Q,13)</f>
        <v/>
      </c>
      <c r="D849" s="46">
        <f>(Table7[[#This Row],[S&amp;P]]-C837)/C837</f>
        <v/>
      </c>
    </row>
    <row r="850">
      <c r="A850" s="39" t="n">
        <v>43221</v>
      </c>
      <c r="B850" s="40">
        <f>VLOOKUP(Table7[[#This Row],[Date]],'DB Details'!$A:$L,12)</f>
        <v/>
      </c>
      <c r="C850" s="41">
        <f>VLOOKUP(Table7[[#This Row],[Date]],'DB Details'!$A:$Q,13)</f>
        <v/>
      </c>
      <c r="D850" s="46">
        <f>(Table7[[#This Row],[S&amp;P]]-C838)/C838</f>
        <v/>
      </c>
    </row>
    <row r="851">
      <c r="A851" s="45" t="n">
        <v>43252</v>
      </c>
      <c r="B851" s="40">
        <f>VLOOKUP(Table7[[#This Row],[Date]],'DB Details'!$A:$L,12)</f>
        <v/>
      </c>
      <c r="C851" s="41">
        <f>VLOOKUP(Table7[[#This Row],[Date]],'DB Details'!$A:$Q,13)</f>
        <v/>
      </c>
      <c r="D851" s="46">
        <f>(Table7[[#This Row],[S&amp;P]]-C839)/C839</f>
        <v/>
      </c>
    </row>
    <row r="852">
      <c r="A852" s="45" t="n">
        <v>43282</v>
      </c>
      <c r="B852" s="40">
        <f>VLOOKUP(Table7[[#This Row],[Date]],'DB Details'!$A:$L,12)</f>
        <v/>
      </c>
      <c r="C852" s="41">
        <f>VLOOKUP(Table7[[#This Row],[Date]],'DB Details'!$A:$Q,13)</f>
        <v/>
      </c>
      <c r="D852" s="46">
        <f>(Table7[[#This Row],[S&amp;P]]-C840)/C840</f>
        <v/>
      </c>
    </row>
    <row r="853">
      <c r="A853" s="45" t="n">
        <v>43313</v>
      </c>
      <c r="B853" s="40">
        <f>VLOOKUP(Table7[[#This Row],[Date]],'DB Details'!$A:$L,12)</f>
        <v/>
      </c>
      <c r="C853" s="41">
        <f>VLOOKUP(Table7[[#This Row],[Date]],'DB Details'!$A:$Q,13)</f>
        <v/>
      </c>
      <c r="D853" s="46">
        <f>(Table7[[#This Row],[S&amp;P]]-C841)/C841</f>
        <v/>
      </c>
    </row>
    <row r="854">
      <c r="A854" s="45" t="n">
        <v>43344</v>
      </c>
      <c r="B854" s="40">
        <f>VLOOKUP(Table7[[#This Row],[Date]],'DB Details'!$A:$L,12)</f>
        <v/>
      </c>
      <c r="C854" s="41">
        <f>VLOOKUP(Table7[[#This Row],[Date]],'DB Details'!$A:$Q,13)</f>
        <v/>
      </c>
      <c r="D854" s="46">
        <f>(Table7[[#This Row],[S&amp;P]]-C842)/C842</f>
        <v/>
      </c>
    </row>
    <row r="855">
      <c r="A855" s="45" t="n">
        <v>43374</v>
      </c>
      <c r="B855" s="40">
        <f>VLOOKUP(Table7[[#This Row],[Date]],'DB Details'!$A:$L,12)</f>
        <v/>
      </c>
      <c r="C855" s="41">
        <f>VLOOKUP(Table7[[#This Row],[Date]],'DB Details'!$A:$Q,13)</f>
        <v/>
      </c>
      <c r="D855" s="46">
        <f>(Table7[[#This Row],[S&amp;P]]-C843)/C843</f>
        <v/>
      </c>
    </row>
    <row r="856">
      <c r="A856" s="45" t="n">
        <v>43405</v>
      </c>
      <c r="B856" s="40">
        <f>VLOOKUP(Table7[[#This Row],[Date]],'DB Details'!$A:$L,12)</f>
        <v/>
      </c>
      <c r="C856" s="41">
        <f>VLOOKUP(Table7[[#This Row],[Date]],'DB Details'!$A:$Q,13)</f>
        <v/>
      </c>
      <c r="D856" s="46">
        <f>(Table7[[#This Row],[S&amp;P]]-C844)/C844</f>
        <v/>
      </c>
    </row>
    <row r="857">
      <c r="A857" s="45" t="n">
        <v>43435</v>
      </c>
      <c r="B857" s="40">
        <f>VLOOKUP(Table7[[#This Row],[Date]],'DB Details'!$A:$L,12)</f>
        <v/>
      </c>
      <c r="C857" s="41">
        <f>VLOOKUP(Table7[[#This Row],[Date]],'DB Details'!$A:$Q,13)</f>
        <v/>
      </c>
      <c r="D857" s="46">
        <f>(Table7[[#This Row],[S&amp;P]]-C845)/C845</f>
        <v/>
      </c>
    </row>
    <row r="858">
      <c r="A858" s="45" t="n">
        <v>43466</v>
      </c>
      <c r="B858" s="40">
        <f>VLOOKUP(Table7[[#This Row],[Date]],'DB Details'!$A:$L,12)</f>
        <v/>
      </c>
      <c r="C858" s="41">
        <f>VLOOKUP(Table7[[#This Row],[Date]],'DB Details'!$A:$Q,13)</f>
        <v/>
      </c>
      <c r="D858" s="46">
        <f>(Table7[[#This Row],[S&amp;P]]-C846)/C846</f>
        <v/>
      </c>
    </row>
    <row r="859">
      <c r="A859" s="45" t="n">
        <v>43497</v>
      </c>
      <c r="B859" s="40">
        <f>VLOOKUP(Table7[[#This Row],[Date]],'DB Details'!$A:$L,12)</f>
        <v/>
      </c>
      <c r="C859" s="41">
        <f>VLOOKUP(Table7[[#This Row],[Date]],'DB Details'!$A:$Q,13)</f>
        <v/>
      </c>
      <c r="D859" s="46">
        <f>(Table7[[#This Row],[S&amp;P]]-C847)/C847</f>
        <v/>
      </c>
    </row>
    <row r="860">
      <c r="A860" s="45" t="n">
        <v>43525</v>
      </c>
      <c r="B860" s="40">
        <f>VLOOKUP(Table7[[#This Row],[Date]],'DB Details'!$A:$L,12)</f>
        <v/>
      </c>
      <c r="C860" s="41">
        <f>VLOOKUP(Table7[[#This Row],[Date]],'DB Details'!$A:$Q,13)</f>
        <v/>
      </c>
      <c r="D860" s="46">
        <f>(Table7[[#This Row],[S&amp;P]]-C848)/C848</f>
        <v/>
      </c>
    </row>
    <row r="861">
      <c r="A861" s="45" t="n">
        <v>43556</v>
      </c>
      <c r="B861" s="40">
        <f>VLOOKUP(Table7[[#This Row],[Date]],'DB Details'!$A:$L,12)</f>
        <v/>
      </c>
      <c r="C861" s="41">
        <f>VLOOKUP(Table7[[#This Row],[Date]],'DB Details'!$A:$Q,13)</f>
        <v/>
      </c>
      <c r="D861" s="46">
        <f>(Table7[[#This Row],[S&amp;P]]-C849)/C849</f>
        <v/>
      </c>
    </row>
    <row r="862">
      <c r="A862" s="45" t="n">
        <v>43586</v>
      </c>
      <c r="B862" s="40">
        <f>VLOOKUP(Table7[[#This Row],[Date]],'DB Details'!$A:$L,12)</f>
        <v/>
      </c>
      <c r="C862" s="41">
        <f>VLOOKUP(Table7[[#This Row],[Date]],'DB Details'!$A:$Q,13)</f>
        <v/>
      </c>
      <c r="D862" s="46">
        <f>(Table7[[#This Row],[S&amp;P]]-C850)/C850</f>
        <v/>
      </c>
    </row>
    <row r="863">
      <c r="A863" s="45" t="n">
        <v>43617</v>
      </c>
      <c r="B863" s="40">
        <f>VLOOKUP(Table7[[#This Row],[Date]],'DB Details'!$A:$L,12)</f>
        <v/>
      </c>
      <c r="C863" s="41">
        <f>VLOOKUP(Table7[[#This Row],[Date]],'DB Details'!$A:$Q,13)</f>
        <v/>
      </c>
      <c r="D863" s="46">
        <f>(Table7[[#This Row],[S&amp;P]]-C851)/C851</f>
        <v/>
      </c>
    </row>
    <row r="864">
      <c r="A864" s="45" t="n">
        <v>43647</v>
      </c>
      <c r="B864" s="40">
        <f>VLOOKUP(Table7[[#This Row],[Date]],'DB Details'!$A:$L,12)</f>
        <v/>
      </c>
      <c r="C864" s="41">
        <f>VLOOKUP(Table7[[#This Row],[Date]],'DB Details'!$A:$Q,13)</f>
        <v/>
      </c>
      <c r="D864" s="46">
        <f>(Table7[[#This Row],[S&amp;P]]-C852)/C852</f>
        <v/>
      </c>
    </row>
    <row r="865">
      <c r="A865" s="45" t="n">
        <v>43678</v>
      </c>
      <c r="B865" s="40">
        <f>VLOOKUP(Table7[[#This Row],[Date]],'DB Details'!$A:$L,12)</f>
        <v/>
      </c>
      <c r="C865" s="41">
        <f>VLOOKUP(Table7[[#This Row],[Date]],'DB Details'!$A:$Q,13)</f>
        <v/>
      </c>
      <c r="D865" s="46">
        <f>(Table7[[#This Row],[S&amp;P]]-C853)/C853</f>
        <v/>
      </c>
    </row>
    <row r="866">
      <c r="A866" s="45" t="n">
        <v>43709</v>
      </c>
      <c r="B866" s="40">
        <f>VLOOKUP(Table7[[#This Row],[Date]],'DB Details'!$A:$L,12)</f>
        <v/>
      </c>
      <c r="C866" s="41">
        <f>VLOOKUP(Table7[[#This Row],[Date]],'DB Details'!$A:$Q,13)</f>
        <v/>
      </c>
      <c r="D866" s="46">
        <f>(Table7[[#This Row],[S&amp;P]]-C854)/C854</f>
        <v/>
      </c>
    </row>
    <row r="867">
      <c r="A867" s="45" t="n">
        <v>43739</v>
      </c>
      <c r="B867" s="40">
        <f>VLOOKUP(Table7[[#This Row],[Date]],'DB Details'!$A:$L,12)</f>
        <v/>
      </c>
      <c r="C867" s="41">
        <f>VLOOKUP(Table7[[#This Row],[Date]],'DB Details'!$A:$Q,13)</f>
        <v/>
      </c>
      <c r="D867" s="46">
        <f>(Table7[[#This Row],[S&amp;P]]-C855)/C855</f>
        <v/>
      </c>
    </row>
    <row r="868">
      <c r="A868" s="45" t="n">
        <v>43770</v>
      </c>
      <c r="B868" s="40">
        <f>VLOOKUP(Table7[[#This Row],[Date]],'DB Details'!$A:$L,12)</f>
        <v/>
      </c>
      <c r="C868" s="41">
        <f>VLOOKUP(Table7[[#This Row],[Date]],'DB Details'!$A:$Q,13)</f>
        <v/>
      </c>
      <c r="D868" s="46">
        <f>(Table7[[#This Row],[S&amp;P]]-C856)/C856</f>
        <v/>
      </c>
    </row>
    <row r="869">
      <c r="A869" s="45" t="n">
        <v>43800</v>
      </c>
      <c r="B869" s="40">
        <f>VLOOKUP(Table7[[#This Row],[Date]],'DB Details'!$A:$L,12)</f>
        <v/>
      </c>
      <c r="C869" s="41">
        <f>VLOOKUP(Table7[[#This Row],[Date]],'DB Details'!$A:$Q,13)</f>
        <v/>
      </c>
      <c r="D869" s="46">
        <f>(Table7[[#This Row],[S&amp;P]]-C857)/C857</f>
        <v/>
      </c>
    </row>
    <row r="870">
      <c r="A870" s="45" t="n">
        <v>43831</v>
      </c>
      <c r="B870" s="40">
        <f>VLOOKUP(Table7[[#This Row],[Date]],'DB Details'!$A:$L,12)</f>
        <v/>
      </c>
      <c r="C870" s="41">
        <f>VLOOKUP(Table7[[#This Row],[Date]],'DB Details'!$A:$Q,13)</f>
        <v/>
      </c>
      <c r="D870" s="46">
        <f>(Table7[[#This Row],[S&amp;P]]-C858)/C858</f>
        <v/>
      </c>
    </row>
    <row r="871">
      <c r="A871" s="45" t="n">
        <v>43862</v>
      </c>
      <c r="B871" s="40">
        <f>VLOOKUP(Table7[[#This Row],[Date]],'DB Details'!$A:$L,12)</f>
        <v/>
      </c>
      <c r="C871" s="41">
        <f>VLOOKUP(Table7[[#This Row],[Date]],'DB Details'!$A:$Q,13)</f>
        <v/>
      </c>
      <c r="D871" s="46">
        <f>(Table7[[#This Row],[S&amp;P]]-C859)/C859</f>
        <v/>
      </c>
    </row>
    <row r="872">
      <c r="A872" s="45" t="n">
        <v>43891</v>
      </c>
      <c r="B872" s="40">
        <f>VLOOKUP(Table7[[#This Row],[Date]],'DB Details'!$A:$L,12)</f>
        <v/>
      </c>
      <c r="C872" s="41">
        <f>VLOOKUP(Table7[[#This Row],[Date]],'DB Details'!$A:$Q,13)</f>
        <v/>
      </c>
      <c r="D872" s="46">
        <f>(Table7[[#This Row],[S&amp;P]]-C860)/C860</f>
        <v/>
      </c>
    </row>
    <row r="873">
      <c r="A873" s="45" t="n">
        <v>43922</v>
      </c>
      <c r="B873" s="40">
        <f>VLOOKUP(Table7[[#This Row],[Date]],'DB Details'!$A:$L,12)</f>
        <v/>
      </c>
      <c r="C873" s="41">
        <f>VLOOKUP(Table7[[#This Row],[Date]],'DB Details'!$A:$Q,13)</f>
        <v/>
      </c>
      <c r="D873" s="46">
        <f>(Table7[[#This Row],[S&amp;P]]-C861)/C861</f>
        <v/>
      </c>
    </row>
    <row r="874">
      <c r="A874" s="45" t="n">
        <v>43952</v>
      </c>
      <c r="B874" s="40">
        <f>VLOOKUP(Table7[[#This Row],[Date]],'DB Details'!$A:$L,12)</f>
        <v/>
      </c>
      <c r="C874" s="41">
        <f>VLOOKUP(Table7[[#This Row],[Date]],'DB Details'!$A:$Q,13)</f>
        <v/>
      </c>
      <c r="D874" s="46">
        <f>(Table7[[#This Row],[S&amp;P]]-C862)/C862</f>
        <v/>
      </c>
    </row>
    <row r="875">
      <c r="A875" s="45" t="n">
        <v>43983</v>
      </c>
      <c r="B875" s="40">
        <f>VLOOKUP(Table7[[#This Row],[Date]],'DB Details'!$A:$L,12)</f>
        <v/>
      </c>
      <c r="C875" s="41">
        <f>VLOOKUP(Table7[[#This Row],[Date]],'DB Details'!$A:$Q,13)</f>
        <v/>
      </c>
      <c r="D875" s="46">
        <f>(Table7[[#This Row],[S&amp;P]]-C863)/C863</f>
        <v/>
      </c>
    </row>
    <row r="876">
      <c r="A876" s="45" t="n">
        <v>44013</v>
      </c>
      <c r="B876" s="40">
        <f>VLOOKUP(Table7[[#This Row],[Date]],'DB Details'!$A:$L,12)</f>
        <v/>
      </c>
      <c r="C876" s="41">
        <f>VLOOKUP(Table7[[#This Row],[Date]],'DB Details'!$A:$Q,13)</f>
        <v/>
      </c>
      <c r="D876" s="46">
        <f>(Table7[[#This Row],[S&amp;P]]-C864)/C864</f>
        <v/>
      </c>
    </row>
    <row r="877">
      <c r="A877" s="45" t="n">
        <v>44044</v>
      </c>
      <c r="B877" s="40">
        <f>VLOOKUP(Table7[[#This Row],[Date]],'DB Details'!$A:$L,12)</f>
        <v/>
      </c>
      <c r="C877" s="41">
        <f>VLOOKUP(Table7[[#This Row],[Date]],'DB Details'!$A:$Q,13)</f>
        <v/>
      </c>
      <c r="D877" s="46">
        <f>(Table7[[#This Row],[S&amp;P]]-C865)/C865</f>
        <v/>
      </c>
    </row>
    <row r="878">
      <c r="A878" s="45" t="n">
        <v>44075</v>
      </c>
      <c r="B878" s="40">
        <f>VLOOKUP(Table7[[#This Row],[Date]],'DB Details'!$A:$L,12)</f>
        <v/>
      </c>
      <c r="C878" s="41">
        <f>VLOOKUP(Table7[[#This Row],[Date]],'DB Details'!$A:$Q,13)</f>
        <v/>
      </c>
      <c r="D878" s="46">
        <f>(Table7[[#This Row],[S&amp;P]]-C866)/C866</f>
        <v/>
      </c>
    </row>
    <row r="879">
      <c r="A879" s="45" t="n">
        <v>44105</v>
      </c>
      <c r="B879" s="40">
        <f>VLOOKUP(Table7[[#This Row],[Date]],'DB Details'!$A:$L,12)</f>
        <v/>
      </c>
      <c r="C879" s="41">
        <f>VLOOKUP(Table7[[#This Row],[Date]],'DB Details'!$A:$Q,13)</f>
        <v/>
      </c>
      <c r="D879" s="46">
        <f>(Table7[[#This Row],[S&amp;P]]-C867)/C867</f>
        <v/>
      </c>
    </row>
    <row r="880">
      <c r="A880" s="45" t="n">
        <v>44136</v>
      </c>
      <c r="B880" s="40">
        <f>VLOOKUP(Table7[[#This Row],[Date]],'DB Details'!$A:$L,12)</f>
        <v/>
      </c>
      <c r="C880" s="41">
        <f>VLOOKUP(Table7[[#This Row],[Date]],'DB Details'!$A:$Q,13)</f>
        <v/>
      </c>
      <c r="D880" s="46">
        <f>(Table7[[#This Row],[S&amp;P]]-C868)/C868</f>
        <v/>
      </c>
    </row>
    <row r="881">
      <c r="A881" s="45" t="n">
        <v>44166</v>
      </c>
      <c r="B881" s="40">
        <f>VLOOKUP(Table7[[#This Row],[Date]],'DB Details'!$A:$L,12)</f>
        <v/>
      </c>
      <c r="C881" s="41">
        <f>VLOOKUP(Table7[[#This Row],[Date]],'DB Details'!$A:$Q,13)</f>
        <v/>
      </c>
      <c r="D881" s="46">
        <f>(Table7[[#This Row],[S&amp;P]]-C869)/C869</f>
        <v/>
      </c>
    </row>
    <row r="882">
      <c r="A882" s="45" t="n">
        <v>44197</v>
      </c>
      <c r="B882" s="40">
        <f>VLOOKUP(Table7[[#This Row],[Date]],'DB Details'!$A:$L,12)</f>
        <v/>
      </c>
      <c r="C882" s="41">
        <f>VLOOKUP(Table7[[#This Row],[Date]],'DB Details'!$A:$Q,13)</f>
        <v/>
      </c>
      <c r="D882" s="46">
        <f>(Table7[[#This Row],[S&amp;P]]-C870)/C870</f>
        <v/>
      </c>
    </row>
    <row r="883">
      <c r="A883" s="45" t="n">
        <v>44228</v>
      </c>
      <c r="B883" s="40">
        <f>VLOOKUP(Table7[[#This Row],[Date]],'DB Details'!$A:$L,12)</f>
        <v/>
      </c>
      <c r="C883" s="41">
        <f>VLOOKUP(Table7[[#This Row],[Date]],'DB Details'!$A:$Q,13)</f>
        <v/>
      </c>
      <c r="D883" s="46">
        <f>(Table7[[#This Row],[S&amp;P]]-C871)/C871</f>
        <v/>
      </c>
    </row>
    <row r="884">
      <c r="A884" s="45" t="n">
        <v>44256</v>
      </c>
      <c r="B884" s="40">
        <f>VLOOKUP(Table7[[#This Row],[Date]],'DB Details'!$A:$L,12)</f>
        <v/>
      </c>
      <c r="C884" s="41">
        <f>VLOOKUP(Table7[[#This Row],[Date]],'DB Details'!$A:$Q,13)</f>
        <v/>
      </c>
      <c r="D884" s="46">
        <f>(Table7[[#This Row],[S&amp;P]]-C872)/C872</f>
        <v/>
      </c>
    </row>
    <row r="885">
      <c r="A885" s="45" t="n">
        <v>44287</v>
      </c>
      <c r="B885" s="40">
        <f>VLOOKUP(Table7[[#This Row],[Date]],'DB Details'!$A:$L,12)</f>
        <v/>
      </c>
      <c r="C885" s="41">
        <f>VLOOKUP(Table7[[#This Row],[Date]],'DB Details'!$A:$Q,13)</f>
        <v/>
      </c>
      <c r="D885" s="46">
        <f>(Table7[[#This Row],[S&amp;P]]-C873)/C873</f>
        <v/>
      </c>
    </row>
    <row r="886">
      <c r="A886" s="45" t="n">
        <v>44317</v>
      </c>
      <c r="B886" s="40">
        <f>VLOOKUP(Table7[[#This Row],[Date]],'DB Details'!$A:$L,12)</f>
        <v/>
      </c>
      <c r="C886" s="41">
        <f>VLOOKUP(Table7[[#This Row],[Date]],'DB Details'!$A:$Q,13)</f>
        <v/>
      </c>
      <c r="D886" s="46">
        <f>(Table7[[#This Row],[S&amp;P]]-C874)/C874</f>
        <v/>
      </c>
    </row>
    <row r="887">
      <c r="A887" s="45" t="n">
        <v>44348</v>
      </c>
      <c r="B887" s="40">
        <f>VLOOKUP(Table7[[#This Row],[Date]],'DB Details'!$A:$L,12)</f>
        <v/>
      </c>
      <c r="C887" s="41">
        <f>VLOOKUP(Table7[[#This Row],[Date]],'DB Details'!$A:$Q,13)</f>
        <v/>
      </c>
      <c r="D887" s="46">
        <f>(Table7[[#This Row],[S&amp;P]]-C875)/C875</f>
        <v/>
      </c>
    </row>
    <row r="888">
      <c r="A888" s="45" t="n">
        <v>44378</v>
      </c>
      <c r="B888" s="40">
        <f>VLOOKUP(Table7[[#This Row],[Date]],'DB Details'!$A:$L,12)</f>
        <v/>
      </c>
      <c r="C888" s="41">
        <f>VLOOKUP(Table7[[#This Row],[Date]],'DB Details'!$A:$Q,13)</f>
        <v/>
      </c>
      <c r="D888" s="46">
        <f>(Table7[[#This Row],[S&amp;P]]-C876)/C876</f>
        <v/>
      </c>
    </row>
    <row r="889">
      <c r="A889" s="45" t="n">
        <v>44409</v>
      </c>
      <c r="B889" s="40">
        <f>VLOOKUP(Table7[[#This Row],[Date]],'DB Details'!$A:$L,12)</f>
        <v/>
      </c>
      <c r="C889" s="41">
        <f>VLOOKUP(Table7[[#This Row],[Date]],'DB Details'!$A:$Q,13)</f>
        <v/>
      </c>
      <c r="D889" s="46">
        <f>(Table7[[#This Row],[S&amp;P]]-C877)/C877</f>
        <v/>
      </c>
    </row>
    <row r="890">
      <c r="A890" s="45" t="n">
        <v>44440</v>
      </c>
      <c r="B890" s="40">
        <f>VLOOKUP(Table7[[#This Row],[Date]],'DB Details'!$A:$L,12)</f>
        <v/>
      </c>
      <c r="C890" s="41">
        <f>VLOOKUP(Table7[[#This Row],[Date]],'DB Details'!$A:$Q,13)</f>
        <v/>
      </c>
      <c r="D890" s="46">
        <f>(Table7[[#This Row],[S&amp;P]]-C878)/C878</f>
        <v/>
      </c>
    </row>
    <row r="891">
      <c r="A891" s="45" t="n">
        <v>44470</v>
      </c>
      <c r="B891" s="40">
        <f>VLOOKUP(Table7[[#This Row],[Date]],'DB Details'!$A:$L,12)</f>
        <v/>
      </c>
      <c r="C891" s="41">
        <f>VLOOKUP(Table7[[#This Row],[Date]],'DB Details'!$A:$Q,13)</f>
        <v/>
      </c>
      <c r="D891" s="46">
        <f>(Table7[[#This Row],[S&amp;P]]-C879)/C879</f>
        <v/>
      </c>
    </row>
    <row r="892">
      <c r="A892" s="45" t="n">
        <v>44501</v>
      </c>
      <c r="B892" s="40">
        <f>VLOOKUP(Table7[[#This Row],[Date]],'DB Details'!$A:$L,12)</f>
        <v/>
      </c>
      <c r="C892" s="41">
        <f>VLOOKUP(Table7[[#This Row],[Date]],'DB Details'!$A:$Q,13)</f>
        <v/>
      </c>
      <c r="D892" s="46">
        <f>(Table7[[#This Row],[S&amp;P]]-C880)/C880</f>
        <v/>
      </c>
    </row>
    <row r="893">
      <c r="A893" s="45" t="n">
        <v>44531</v>
      </c>
      <c r="B893" s="40">
        <f>VLOOKUP(Table7[[#This Row],[Date]],'DB Details'!$A:$L,12)</f>
        <v/>
      </c>
      <c r="C893" s="41">
        <f>VLOOKUP(Table7[[#This Row],[Date]],'DB Details'!$A:$Q,13)</f>
        <v/>
      </c>
      <c r="D893" s="46">
        <f>(Table7[[#This Row],[S&amp;P]]-C881)/C881</f>
        <v/>
      </c>
    </row>
    <row r="894">
      <c r="A894" s="45" t="n">
        <v>44562</v>
      </c>
      <c r="B894" s="40">
        <f>VLOOKUP(Table7[[#This Row],[Date]],'DB Details'!$A:$L,12)</f>
        <v/>
      </c>
      <c r="C894" s="41">
        <f>VLOOKUP(Table7[[#This Row],[Date]],'DB Details'!$A:$Q,13)</f>
        <v/>
      </c>
      <c r="D894" s="46">
        <f>(Table7[[#This Row],[S&amp;P]]-C882)/C882</f>
        <v/>
      </c>
    </row>
    <row r="895">
      <c r="A895" s="45" t="n">
        <v>44593</v>
      </c>
      <c r="B895" s="40">
        <f>VLOOKUP(Table7[[#This Row],[Date]],'DB Details'!$A:$L,12)</f>
        <v/>
      </c>
      <c r="C895" s="41">
        <f>VLOOKUP(Table7[[#This Row],[Date]],'DB Details'!$A:$Q,13)</f>
        <v/>
      </c>
      <c r="D895" s="46">
        <f>(Table7[[#This Row],[S&amp;P]]-C883)/C883</f>
        <v/>
      </c>
    </row>
    <row r="896">
      <c r="A896" s="45" t="n">
        <v>44621</v>
      </c>
      <c r="B896" s="40">
        <f>VLOOKUP(Table7[[#This Row],[Date]],'DB Details'!$A:$L,12)</f>
        <v/>
      </c>
      <c r="C896" s="41">
        <f>VLOOKUP(Table7[[#This Row],[Date]],'DB Details'!$A:$Q,13)</f>
        <v/>
      </c>
      <c r="D896" s="46">
        <f>(Table7[[#This Row],[S&amp;P]]-C884)/C884</f>
        <v/>
      </c>
    </row>
    <row r="897">
      <c r="A897" s="45" t="n">
        <v>44652</v>
      </c>
      <c r="B897" s="40">
        <f>VLOOKUP(Table7[[#This Row],[Date]],'DB Details'!$A:$L,12)</f>
        <v/>
      </c>
      <c r="C897" s="41">
        <f>VLOOKUP(Table7[[#This Row],[Date]],'DB Details'!$A:$Q,13)</f>
        <v/>
      </c>
      <c r="D897" s="46">
        <f>(Table7[[#This Row],[S&amp;P]]-C885)/C885</f>
        <v/>
      </c>
    </row>
    <row r="898">
      <c r="A898" s="45" t="n">
        <v>44682</v>
      </c>
      <c r="B898" s="40">
        <f>VLOOKUP(Table7[[#This Row],[Date]],'DB Details'!$A:$L,12)</f>
        <v/>
      </c>
      <c r="C898" s="41">
        <f>VLOOKUP(Table7[[#This Row],[Date]],'DB Details'!$A:$Q,13)</f>
        <v/>
      </c>
      <c r="D898" s="46">
        <f>(Table7[[#This Row],[S&amp;P]]-C886)/C886</f>
        <v/>
      </c>
    </row>
    <row r="899">
      <c r="A899" s="45" t="n">
        <v>44713</v>
      </c>
      <c r="B899" s="40">
        <f>VLOOKUP(Table7[[#This Row],[Date]],'DB Details'!$A:$L,12)</f>
        <v/>
      </c>
      <c r="C899" s="41">
        <f>VLOOKUP(Table7[[#This Row],[Date]],'DB Details'!$A:$Q,13)</f>
        <v/>
      </c>
      <c r="D899" s="46">
        <f>(Table7[[#This Row],[S&amp;P]]-C887)/C887</f>
        <v/>
      </c>
    </row>
    <row r="900">
      <c r="A900" s="45" t="n">
        <v>44743</v>
      </c>
      <c r="B900" s="40">
        <f>VLOOKUP(Table7[[#This Row],[Date]],'DB Details'!$A:$L,12)</f>
        <v/>
      </c>
      <c r="C900" s="41">
        <f>VLOOKUP(Table7[[#This Row],[Date]],'DB Details'!$A:$Q,13)</f>
        <v/>
      </c>
      <c r="D900" s="46">
        <f>(Table7[[#This Row],[S&amp;P]]-C888)/C888</f>
        <v/>
      </c>
    </row>
    <row r="901">
      <c r="A901" s="45" t="n">
        <v>44774</v>
      </c>
      <c r="B901" s="40">
        <f>VLOOKUP(Table7[[#This Row],[Date]],'DB Details'!$A:$L,12)</f>
        <v/>
      </c>
      <c r="C901" s="41">
        <f>VLOOKUP(Table7[[#This Row],[Date]],'DB Details'!$A:$Q,13)</f>
        <v/>
      </c>
      <c r="D901" s="46">
        <f>(Table7[[#This Row],[S&amp;P]]-C889)/C889</f>
        <v/>
      </c>
    </row>
    <row r="902">
      <c r="A902" s="45" t="n">
        <v>44805</v>
      </c>
      <c r="B902" s="40">
        <f>VLOOKUP(Table7[[#This Row],[Date]],'DB Details'!$A:$L,12)</f>
        <v/>
      </c>
      <c r="C902" s="41">
        <f>VLOOKUP(Table7[[#This Row],[Date]],'DB Details'!$A:$Q,13)</f>
        <v/>
      </c>
      <c r="D902" s="46">
        <f>(Table7[[#This Row],[S&amp;P]]-C890)/C890</f>
        <v/>
      </c>
    </row>
    <row r="903">
      <c r="A903" s="45" t="n">
        <v>44835</v>
      </c>
      <c r="B903" s="40">
        <f>VLOOKUP(Table7[[#This Row],[Date]],'DB Details'!$A:$L,12)</f>
        <v/>
      </c>
      <c r="C903" s="41">
        <f>VLOOKUP(Table7[[#This Row],[Date]],'DB Details'!$A:$Q,13)</f>
        <v/>
      </c>
      <c r="D903" s="46">
        <f>(Table7[[#This Row],[S&amp;P]]-C891)/C891</f>
        <v/>
      </c>
    </row>
    <row r="904">
      <c r="A904" s="45" t="n">
        <v>44866</v>
      </c>
      <c r="B904" s="40">
        <f>VLOOKUP(Table7[[#This Row],[Date]],'DB Details'!$A:$L,12)</f>
        <v/>
      </c>
      <c r="C904" s="41">
        <f>VLOOKUP(Table7[[#This Row],[Date]],'DB Details'!$A:$Q,13)</f>
        <v/>
      </c>
      <c r="D904" s="46">
        <f>(Table7[[#This Row],[S&amp;P]]-C892)/C892</f>
        <v/>
      </c>
    </row>
    <row r="905">
      <c r="A905" s="45" t="n">
        <v>44896</v>
      </c>
      <c r="B905" s="40">
        <f>VLOOKUP(Table7[[#This Row],[Date]],'DB Details'!$A:$L,12)</f>
        <v/>
      </c>
      <c r="C905" s="41">
        <f>VLOOKUP(Table7[[#This Row],[Date]],'DB Details'!$A:$Q,13)</f>
        <v/>
      </c>
      <c r="D905" s="46">
        <f>(Table7[[#This Row],[S&amp;P]]-C893)/C893</f>
        <v/>
      </c>
    </row>
    <row r="906">
      <c r="A906" s="45" t="n">
        <v>44927</v>
      </c>
      <c r="B906" s="40">
        <f>VLOOKUP(Table7[[#This Row],[Date]],'DB Details'!$A:$L,12)</f>
        <v/>
      </c>
      <c r="C906" s="41">
        <f>VLOOKUP(Table7[[#This Row],[Date]],'DB Details'!$A:$Q,13)</f>
        <v/>
      </c>
      <c r="D906" s="46">
        <f>(Table7[[#This Row],[S&amp;P]]-C894)/C894</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906"/>
  <sheetViews>
    <sheetView zoomScaleNormal="100" workbookViewId="0">
      <pane ySplit="5" topLeftCell="A861" activePane="bottomLeft" state="frozen"/>
      <selection activeCell="C68" sqref="C68"/>
      <selection pane="bottomLeft" activeCell="W897" sqref="W897"/>
    </sheetView>
  </sheetViews>
  <sheetFormatPr baseColWidth="8" defaultColWidth="9.1796875" defaultRowHeight="14.5"/>
  <cols>
    <col width="18.36328125" customWidth="1" style="97" min="1" max="1"/>
    <col width="11" customWidth="1" style="97" min="2" max="3"/>
    <col width="9.1796875" customWidth="1" style="97" min="4" max="6"/>
    <col width="12.81640625" customWidth="1" style="97" min="7" max="7"/>
    <col width="14.36328125" customWidth="1" style="97" min="8" max="8"/>
    <col width="9.1796875" customWidth="1" style="97" min="9" max="9"/>
    <col width="14.81640625" customWidth="1" style="97" min="10" max="10"/>
    <col width="9.1796875" customWidth="1" style="97" min="11" max="51"/>
    <col width="9.1796875" customWidth="1" style="97" min="52" max="16384"/>
  </cols>
  <sheetData>
    <row r="1">
      <c r="A1" s="113" t="inlineStr">
        <is>
          <t>ISM Manufacturing</t>
        </is>
      </c>
      <c r="I1" s="110" t="n"/>
    </row>
    <row r="2">
      <c r="B2" s="110" t="n"/>
      <c r="C2" s="110" t="n"/>
    </row>
    <row r="3">
      <c r="B3" s="110" t="n"/>
      <c r="C3" s="110" t="n"/>
    </row>
    <row r="4" ht="16" customHeight="1" thickBot="1">
      <c r="B4" s="110" t="n"/>
      <c r="C4" s="110" t="n"/>
    </row>
    <row r="5">
      <c r="A5" s="42" t="inlineStr">
        <is>
          <t>Date</t>
        </is>
      </c>
      <c r="B5" s="43" t="inlineStr">
        <is>
          <t>PMI</t>
        </is>
      </c>
      <c r="C5" s="44" t="inlineStr">
        <is>
          <t>Change</t>
        </is>
      </c>
    </row>
    <row r="6">
      <c r="A6" s="39" t="n">
        <v>17533</v>
      </c>
      <c r="B6" s="40">
        <f>VLOOKUP(Table9[[#This Row],[Date]],'DB Details'!$A:$L,12)</f>
        <v/>
      </c>
      <c r="C6" s="40" t="n"/>
    </row>
    <row r="7">
      <c r="A7" s="39" t="n">
        <v>17564</v>
      </c>
      <c r="B7" s="40">
        <f>VLOOKUP(Table9[[#This Row],[Date]],'DB Details'!$A:$L,12)</f>
        <v/>
      </c>
      <c r="C7" s="40">
        <f>Table9[[#This Row],[PMI]]-B6</f>
        <v/>
      </c>
    </row>
    <row r="8">
      <c r="A8" s="39" t="n">
        <v>17593</v>
      </c>
      <c r="B8" s="40">
        <f>VLOOKUP(Table9[[#This Row],[Date]],'DB Details'!$A:$L,12)</f>
        <v/>
      </c>
      <c r="C8" s="40">
        <f>Table9[[#This Row],[PMI]]-B7</f>
        <v/>
      </c>
    </row>
    <row r="9">
      <c r="A9" s="39" t="n">
        <v>17624</v>
      </c>
      <c r="B9" s="40">
        <f>VLOOKUP(Table9[[#This Row],[Date]],'DB Details'!$A:$L,12)</f>
        <v/>
      </c>
      <c r="C9" s="40">
        <f>Table9[[#This Row],[PMI]]-B8</f>
        <v/>
      </c>
    </row>
    <row r="10">
      <c r="A10" s="39" t="n">
        <v>17654</v>
      </c>
      <c r="B10" s="40">
        <f>VLOOKUP(Table9[[#This Row],[Date]],'DB Details'!$A:$L,12)</f>
        <v/>
      </c>
      <c r="C10" s="40">
        <f>Table9[[#This Row],[PMI]]-B9</f>
        <v/>
      </c>
    </row>
    <row r="11">
      <c r="A11" s="39" t="n">
        <v>17685</v>
      </c>
      <c r="B11" s="40">
        <f>VLOOKUP(Table9[[#This Row],[Date]],'DB Details'!$A:$L,12)</f>
        <v/>
      </c>
      <c r="C11" s="40">
        <f>Table9[[#This Row],[PMI]]-B10</f>
        <v/>
      </c>
    </row>
    <row r="12">
      <c r="A12" s="39" t="n">
        <v>17715</v>
      </c>
      <c r="B12" s="40">
        <f>VLOOKUP(Table9[[#This Row],[Date]],'DB Details'!$A:$L,12)</f>
        <v/>
      </c>
      <c r="C12" s="40">
        <f>Table9[[#This Row],[PMI]]-B11</f>
        <v/>
      </c>
    </row>
    <row r="13">
      <c r="A13" s="39" t="n">
        <v>17746</v>
      </c>
      <c r="B13" s="40">
        <f>VLOOKUP(Table9[[#This Row],[Date]],'DB Details'!$A:$L,12)</f>
        <v/>
      </c>
      <c r="C13" s="40">
        <f>Table9[[#This Row],[PMI]]-B12</f>
        <v/>
      </c>
    </row>
    <row r="14">
      <c r="A14" s="39" t="n">
        <v>17777</v>
      </c>
      <c r="B14" s="40">
        <f>VLOOKUP(Table9[[#This Row],[Date]],'DB Details'!$A:$L,12)</f>
        <v/>
      </c>
      <c r="C14" s="40">
        <f>Table9[[#This Row],[PMI]]-B13</f>
        <v/>
      </c>
    </row>
    <row r="15">
      <c r="A15" s="39" t="n">
        <v>17807</v>
      </c>
      <c r="B15" s="40">
        <f>VLOOKUP(Table9[[#This Row],[Date]],'DB Details'!$A:$L,12)</f>
        <v/>
      </c>
      <c r="C15" s="40">
        <f>Table9[[#This Row],[PMI]]-B14</f>
        <v/>
      </c>
    </row>
    <row r="16">
      <c r="A16" s="39" t="n">
        <v>17838</v>
      </c>
      <c r="B16" s="40">
        <f>VLOOKUP(Table9[[#This Row],[Date]],'DB Details'!$A:$L,12)</f>
        <v/>
      </c>
      <c r="C16" s="40">
        <f>Table9[[#This Row],[PMI]]-B15</f>
        <v/>
      </c>
    </row>
    <row r="17">
      <c r="A17" s="39" t="n">
        <v>17868</v>
      </c>
      <c r="B17" s="40">
        <f>VLOOKUP(Table9[[#This Row],[Date]],'DB Details'!$A:$L,12)</f>
        <v/>
      </c>
      <c r="C17" s="40">
        <f>Table9[[#This Row],[PMI]]-B16</f>
        <v/>
      </c>
    </row>
    <row r="18">
      <c r="A18" s="39" t="n">
        <v>17899</v>
      </c>
      <c r="B18" s="40">
        <f>VLOOKUP(Table9[[#This Row],[Date]],'DB Details'!$A:$L,12)</f>
        <v/>
      </c>
      <c r="C18" s="40">
        <f>Table9[[#This Row],[PMI]]-B17</f>
        <v/>
      </c>
    </row>
    <row r="19">
      <c r="A19" s="39" t="n">
        <v>17930</v>
      </c>
      <c r="B19" s="40">
        <f>VLOOKUP(Table9[[#This Row],[Date]],'DB Details'!$A:$L,12)</f>
        <v/>
      </c>
      <c r="C19" s="40">
        <f>Table9[[#This Row],[PMI]]-B18</f>
        <v/>
      </c>
    </row>
    <row r="20">
      <c r="A20" s="39" t="n">
        <v>17958</v>
      </c>
      <c r="B20" s="40">
        <f>VLOOKUP(Table9[[#This Row],[Date]],'DB Details'!$A:$L,12)</f>
        <v/>
      </c>
      <c r="C20" s="40">
        <f>Table9[[#This Row],[PMI]]-B19</f>
        <v/>
      </c>
    </row>
    <row r="21">
      <c r="A21" s="39" t="n">
        <v>17989</v>
      </c>
      <c r="B21" s="40">
        <f>VLOOKUP(Table9[[#This Row],[Date]],'DB Details'!$A:$L,12)</f>
        <v/>
      </c>
      <c r="C21" s="40">
        <f>Table9[[#This Row],[PMI]]-B20</f>
        <v/>
      </c>
    </row>
    <row r="22">
      <c r="A22" s="39" t="n">
        <v>18019</v>
      </c>
      <c r="B22" s="40">
        <f>VLOOKUP(Table9[[#This Row],[Date]],'DB Details'!$A:$L,12)</f>
        <v/>
      </c>
      <c r="C22" s="40">
        <f>Table9[[#This Row],[PMI]]-B21</f>
        <v/>
      </c>
    </row>
    <row r="23">
      <c r="A23" s="39" t="n">
        <v>18050</v>
      </c>
      <c r="B23" s="40">
        <f>VLOOKUP(Table9[[#This Row],[Date]],'DB Details'!$A:$L,12)</f>
        <v/>
      </c>
      <c r="C23" s="40">
        <f>Table9[[#This Row],[PMI]]-B22</f>
        <v/>
      </c>
    </row>
    <row r="24">
      <c r="A24" s="39" t="n">
        <v>18080</v>
      </c>
      <c r="B24" s="40">
        <f>VLOOKUP(Table9[[#This Row],[Date]],'DB Details'!$A:$L,12)</f>
        <v/>
      </c>
      <c r="C24" s="40">
        <f>Table9[[#This Row],[PMI]]-B23</f>
        <v/>
      </c>
    </row>
    <row r="25">
      <c r="A25" s="39" t="n">
        <v>18111</v>
      </c>
      <c r="B25" s="40">
        <f>VLOOKUP(Table9[[#This Row],[Date]],'DB Details'!$A:$L,12)</f>
        <v/>
      </c>
      <c r="C25" s="40">
        <f>Table9[[#This Row],[PMI]]-B24</f>
        <v/>
      </c>
    </row>
    <row r="26">
      <c r="A26" s="39" t="n">
        <v>18142</v>
      </c>
      <c r="B26" s="40">
        <f>VLOOKUP(Table9[[#This Row],[Date]],'DB Details'!$A:$L,12)</f>
        <v/>
      </c>
      <c r="C26" s="40">
        <f>Table9[[#This Row],[PMI]]-B25</f>
        <v/>
      </c>
    </row>
    <row r="27">
      <c r="A27" s="39" t="n">
        <v>18172</v>
      </c>
      <c r="B27" s="40">
        <f>VLOOKUP(Table9[[#This Row],[Date]],'DB Details'!$A:$L,12)</f>
        <v/>
      </c>
      <c r="C27" s="40">
        <f>Table9[[#This Row],[PMI]]-B26</f>
        <v/>
      </c>
    </row>
    <row r="28">
      <c r="A28" s="39" t="n">
        <v>18203</v>
      </c>
      <c r="B28" s="40">
        <f>VLOOKUP(Table9[[#This Row],[Date]],'DB Details'!$A:$L,12)</f>
        <v/>
      </c>
      <c r="C28" s="40">
        <f>Table9[[#This Row],[PMI]]-B27</f>
        <v/>
      </c>
    </row>
    <row r="29">
      <c r="A29" s="39" t="n">
        <v>18233</v>
      </c>
      <c r="B29" s="40">
        <f>VLOOKUP(Table9[[#This Row],[Date]],'DB Details'!$A:$L,12)</f>
        <v/>
      </c>
      <c r="C29" s="40">
        <f>Table9[[#This Row],[PMI]]-B28</f>
        <v/>
      </c>
    </row>
    <row r="30">
      <c r="A30" s="39" t="n">
        <v>18264</v>
      </c>
      <c r="B30" s="40">
        <f>VLOOKUP(Table9[[#This Row],[Date]],'DB Details'!$A:$L,12)</f>
        <v/>
      </c>
      <c r="C30" s="40">
        <f>Table9[[#This Row],[PMI]]-B29</f>
        <v/>
      </c>
    </row>
    <row r="31">
      <c r="A31" s="39" t="n">
        <v>18295</v>
      </c>
      <c r="B31" s="40">
        <f>VLOOKUP(Table9[[#This Row],[Date]],'DB Details'!$A:$L,12)</f>
        <v/>
      </c>
      <c r="C31" s="40">
        <f>Table9[[#This Row],[PMI]]-B30</f>
        <v/>
      </c>
    </row>
    <row r="32">
      <c r="A32" s="39" t="n">
        <v>18323</v>
      </c>
      <c r="B32" s="40">
        <f>VLOOKUP(Table9[[#This Row],[Date]],'DB Details'!$A:$L,12)</f>
        <v/>
      </c>
      <c r="C32" s="40">
        <f>Table9[[#This Row],[PMI]]-B31</f>
        <v/>
      </c>
    </row>
    <row r="33">
      <c r="A33" s="39" t="n">
        <v>18354</v>
      </c>
      <c r="B33" s="40">
        <f>VLOOKUP(Table9[[#This Row],[Date]],'DB Details'!$A:$L,12)</f>
        <v/>
      </c>
      <c r="C33" s="40">
        <f>Table9[[#This Row],[PMI]]-B32</f>
        <v/>
      </c>
    </row>
    <row r="34">
      <c r="A34" s="39" t="n">
        <v>18384</v>
      </c>
      <c r="B34" s="40">
        <f>VLOOKUP(Table9[[#This Row],[Date]],'DB Details'!$A:$L,12)</f>
        <v/>
      </c>
      <c r="C34" s="40">
        <f>Table9[[#This Row],[PMI]]-B33</f>
        <v/>
      </c>
    </row>
    <row r="35">
      <c r="A35" s="39" t="n">
        <v>18415</v>
      </c>
      <c r="B35" s="40">
        <f>VLOOKUP(Table9[[#This Row],[Date]],'DB Details'!$A:$L,12)</f>
        <v/>
      </c>
      <c r="C35" s="40">
        <f>Table9[[#This Row],[PMI]]-B34</f>
        <v/>
      </c>
    </row>
    <row r="36">
      <c r="A36" s="39" t="n">
        <v>18445</v>
      </c>
      <c r="B36" s="40">
        <f>VLOOKUP(Table9[[#This Row],[Date]],'DB Details'!$A:$L,12)</f>
        <v/>
      </c>
      <c r="C36" s="40">
        <f>Table9[[#This Row],[PMI]]-B35</f>
        <v/>
      </c>
    </row>
    <row r="37">
      <c r="A37" s="39" t="n">
        <v>18476</v>
      </c>
      <c r="B37" s="40">
        <f>VLOOKUP(Table9[[#This Row],[Date]],'DB Details'!$A:$L,12)</f>
        <v/>
      </c>
      <c r="C37" s="40">
        <f>Table9[[#This Row],[PMI]]-B36</f>
        <v/>
      </c>
    </row>
    <row r="38">
      <c r="A38" s="39" t="n">
        <v>18507</v>
      </c>
      <c r="B38" s="40">
        <f>VLOOKUP(Table9[[#This Row],[Date]],'DB Details'!$A:$L,12)</f>
        <v/>
      </c>
      <c r="C38" s="40">
        <f>Table9[[#This Row],[PMI]]-B37</f>
        <v/>
      </c>
    </row>
    <row r="39">
      <c r="A39" s="39" t="n">
        <v>18537</v>
      </c>
      <c r="B39" s="40">
        <f>VLOOKUP(Table9[[#This Row],[Date]],'DB Details'!$A:$L,12)</f>
        <v/>
      </c>
      <c r="C39" s="40">
        <f>Table9[[#This Row],[PMI]]-B38</f>
        <v/>
      </c>
    </row>
    <row r="40">
      <c r="A40" s="39" t="n">
        <v>18568</v>
      </c>
      <c r="B40" s="40">
        <f>VLOOKUP(Table9[[#This Row],[Date]],'DB Details'!$A:$L,12)</f>
        <v/>
      </c>
      <c r="C40" s="40">
        <f>Table9[[#This Row],[PMI]]-B39</f>
        <v/>
      </c>
    </row>
    <row r="41">
      <c r="A41" s="39" t="n">
        <v>18598</v>
      </c>
      <c r="B41" s="40">
        <f>VLOOKUP(Table9[[#This Row],[Date]],'DB Details'!$A:$L,12)</f>
        <v/>
      </c>
      <c r="C41" s="40">
        <f>Table9[[#This Row],[PMI]]-B40</f>
        <v/>
      </c>
    </row>
    <row r="42">
      <c r="A42" s="39" t="n">
        <v>18629</v>
      </c>
      <c r="B42" s="40">
        <f>VLOOKUP(Table9[[#This Row],[Date]],'DB Details'!$A:$L,12)</f>
        <v/>
      </c>
      <c r="C42" s="40">
        <f>Table9[[#This Row],[PMI]]-B41</f>
        <v/>
      </c>
    </row>
    <row r="43">
      <c r="A43" s="39" t="n">
        <v>18660</v>
      </c>
      <c r="B43" s="40">
        <f>VLOOKUP(Table9[[#This Row],[Date]],'DB Details'!$A:$L,12)</f>
        <v/>
      </c>
      <c r="C43" s="40">
        <f>Table9[[#This Row],[PMI]]-B42</f>
        <v/>
      </c>
    </row>
    <row r="44">
      <c r="A44" s="39" t="n">
        <v>18688</v>
      </c>
      <c r="B44" s="40">
        <f>VLOOKUP(Table9[[#This Row],[Date]],'DB Details'!$A:$L,12)</f>
        <v/>
      </c>
      <c r="C44" s="40">
        <f>Table9[[#This Row],[PMI]]-B43</f>
        <v/>
      </c>
    </row>
    <row r="45">
      <c r="A45" s="39" t="n">
        <v>18719</v>
      </c>
      <c r="B45" s="40">
        <f>VLOOKUP(Table9[[#This Row],[Date]],'DB Details'!$A:$L,12)</f>
        <v/>
      </c>
      <c r="C45" s="40">
        <f>Table9[[#This Row],[PMI]]-B44</f>
        <v/>
      </c>
    </row>
    <row r="46">
      <c r="A46" s="39" t="n">
        <v>18749</v>
      </c>
      <c r="B46" s="40">
        <f>VLOOKUP(Table9[[#This Row],[Date]],'DB Details'!$A:$L,12)</f>
        <v/>
      </c>
      <c r="C46" s="40">
        <f>Table9[[#This Row],[PMI]]-B45</f>
        <v/>
      </c>
    </row>
    <row r="47">
      <c r="A47" s="39" t="n">
        <v>18780</v>
      </c>
      <c r="B47" s="40">
        <f>VLOOKUP(Table9[[#This Row],[Date]],'DB Details'!$A:$L,12)</f>
        <v/>
      </c>
      <c r="C47" s="40">
        <f>Table9[[#This Row],[PMI]]-B46</f>
        <v/>
      </c>
    </row>
    <row r="48">
      <c r="A48" s="39" t="n">
        <v>18810</v>
      </c>
      <c r="B48" s="40">
        <f>VLOOKUP(Table9[[#This Row],[Date]],'DB Details'!$A:$L,12)</f>
        <v/>
      </c>
      <c r="C48" s="40">
        <f>Table9[[#This Row],[PMI]]-B47</f>
        <v/>
      </c>
    </row>
    <row r="49">
      <c r="A49" s="39" t="n">
        <v>18841</v>
      </c>
      <c r="B49" s="40">
        <f>VLOOKUP(Table9[[#This Row],[Date]],'DB Details'!$A:$L,12)</f>
        <v/>
      </c>
      <c r="C49" s="40">
        <f>Table9[[#This Row],[PMI]]-B48</f>
        <v/>
      </c>
    </row>
    <row r="50">
      <c r="A50" s="39" t="n">
        <v>18872</v>
      </c>
      <c r="B50" s="40">
        <f>VLOOKUP(Table9[[#This Row],[Date]],'DB Details'!$A:$L,12)</f>
        <v/>
      </c>
      <c r="C50" s="40">
        <f>Table9[[#This Row],[PMI]]-B49</f>
        <v/>
      </c>
    </row>
    <row r="51">
      <c r="A51" s="39" t="n">
        <v>18902</v>
      </c>
      <c r="B51" s="40">
        <f>VLOOKUP(Table9[[#This Row],[Date]],'DB Details'!$A:$L,12)</f>
        <v/>
      </c>
      <c r="C51" s="40">
        <f>Table9[[#This Row],[PMI]]-B50</f>
        <v/>
      </c>
    </row>
    <row r="52">
      <c r="A52" s="39" t="n">
        <v>18933</v>
      </c>
      <c r="B52" s="40">
        <f>VLOOKUP(Table9[[#This Row],[Date]],'DB Details'!$A:$L,12)</f>
        <v/>
      </c>
      <c r="C52" s="40">
        <f>Table9[[#This Row],[PMI]]-B51</f>
        <v/>
      </c>
    </row>
    <row r="53">
      <c r="A53" s="39" t="n">
        <v>18963</v>
      </c>
      <c r="B53" s="40">
        <f>VLOOKUP(Table9[[#This Row],[Date]],'DB Details'!$A:$L,12)</f>
        <v/>
      </c>
      <c r="C53" s="40">
        <f>Table9[[#This Row],[PMI]]-B52</f>
        <v/>
      </c>
    </row>
    <row r="54">
      <c r="A54" s="39" t="n">
        <v>18994</v>
      </c>
      <c r="B54" s="40">
        <f>VLOOKUP(Table9[[#This Row],[Date]],'DB Details'!$A:$L,12)</f>
        <v/>
      </c>
      <c r="C54" s="40">
        <f>Table9[[#This Row],[PMI]]-B53</f>
        <v/>
      </c>
    </row>
    <row r="55">
      <c r="A55" s="39" t="n">
        <v>19025</v>
      </c>
      <c r="B55" s="40">
        <f>VLOOKUP(Table9[[#This Row],[Date]],'DB Details'!$A:$L,12)</f>
        <v/>
      </c>
      <c r="C55" s="40">
        <f>Table9[[#This Row],[PMI]]-B54</f>
        <v/>
      </c>
    </row>
    <row r="56">
      <c r="A56" s="39" t="n">
        <v>19054</v>
      </c>
      <c r="B56" s="40">
        <f>VLOOKUP(Table9[[#This Row],[Date]],'DB Details'!$A:$L,12)</f>
        <v/>
      </c>
      <c r="C56" s="40">
        <f>Table9[[#This Row],[PMI]]-B55</f>
        <v/>
      </c>
    </row>
    <row r="57">
      <c r="A57" s="39" t="n">
        <v>19085</v>
      </c>
      <c r="B57" s="40">
        <f>VLOOKUP(Table9[[#This Row],[Date]],'DB Details'!$A:$L,12)</f>
        <v/>
      </c>
      <c r="C57" s="40">
        <f>Table9[[#This Row],[PMI]]-B56</f>
        <v/>
      </c>
    </row>
    <row r="58">
      <c r="A58" s="39" t="n">
        <v>19115</v>
      </c>
      <c r="B58" s="40">
        <f>VLOOKUP(Table9[[#This Row],[Date]],'DB Details'!$A:$L,12)</f>
        <v/>
      </c>
      <c r="C58" s="40">
        <f>Table9[[#This Row],[PMI]]-B57</f>
        <v/>
      </c>
    </row>
    <row r="59">
      <c r="A59" s="39" t="n">
        <v>19146</v>
      </c>
      <c r="B59" s="40">
        <f>VLOOKUP(Table9[[#This Row],[Date]],'DB Details'!$A:$L,12)</f>
        <v/>
      </c>
      <c r="C59" s="40">
        <f>Table9[[#This Row],[PMI]]-B58</f>
        <v/>
      </c>
    </row>
    <row r="60">
      <c r="A60" s="39" t="n">
        <v>19176</v>
      </c>
      <c r="B60" s="40">
        <f>VLOOKUP(Table9[[#This Row],[Date]],'DB Details'!$A:$L,12)</f>
        <v/>
      </c>
      <c r="C60" s="40">
        <f>Table9[[#This Row],[PMI]]-B59</f>
        <v/>
      </c>
    </row>
    <row r="61">
      <c r="A61" s="39" t="n">
        <v>19207</v>
      </c>
      <c r="B61" s="40">
        <f>VLOOKUP(Table9[[#This Row],[Date]],'DB Details'!$A:$L,12)</f>
        <v/>
      </c>
      <c r="C61" s="40">
        <f>Table9[[#This Row],[PMI]]-B60</f>
        <v/>
      </c>
    </row>
    <row r="62">
      <c r="A62" s="39" t="n">
        <v>19238</v>
      </c>
      <c r="B62" s="40">
        <f>VLOOKUP(Table9[[#This Row],[Date]],'DB Details'!$A:$L,12)</f>
        <v/>
      </c>
      <c r="C62" s="40">
        <f>Table9[[#This Row],[PMI]]-B61</f>
        <v/>
      </c>
    </row>
    <row r="63">
      <c r="A63" s="39" t="n">
        <v>19268</v>
      </c>
      <c r="B63" s="40">
        <f>VLOOKUP(Table9[[#This Row],[Date]],'DB Details'!$A:$L,12)</f>
        <v/>
      </c>
      <c r="C63" s="40">
        <f>Table9[[#This Row],[PMI]]-B62</f>
        <v/>
      </c>
    </row>
    <row r="64">
      <c r="A64" s="39" t="n">
        <v>19299</v>
      </c>
      <c r="B64" s="40">
        <f>VLOOKUP(Table9[[#This Row],[Date]],'DB Details'!$A:$L,12)</f>
        <v/>
      </c>
      <c r="C64" s="40">
        <f>Table9[[#This Row],[PMI]]-B63</f>
        <v/>
      </c>
    </row>
    <row r="65">
      <c r="A65" s="39" t="n">
        <v>19329</v>
      </c>
      <c r="B65" s="40">
        <f>VLOOKUP(Table9[[#This Row],[Date]],'DB Details'!$A:$L,12)</f>
        <v/>
      </c>
      <c r="C65" s="40">
        <f>Table9[[#This Row],[PMI]]-B64</f>
        <v/>
      </c>
    </row>
    <row r="66">
      <c r="A66" s="39" t="n">
        <v>19360</v>
      </c>
      <c r="B66" s="40">
        <f>VLOOKUP(Table9[[#This Row],[Date]],'DB Details'!$A:$L,12)</f>
        <v/>
      </c>
      <c r="C66" s="40">
        <f>Table9[[#This Row],[PMI]]-B65</f>
        <v/>
      </c>
    </row>
    <row r="67">
      <c r="A67" s="39" t="n">
        <v>19391</v>
      </c>
      <c r="B67" s="40">
        <f>VLOOKUP(Table9[[#This Row],[Date]],'DB Details'!$A:$L,12)</f>
        <v/>
      </c>
      <c r="C67" s="40">
        <f>Table9[[#This Row],[PMI]]-B66</f>
        <v/>
      </c>
    </row>
    <row r="68">
      <c r="A68" s="39" t="n">
        <v>19419</v>
      </c>
      <c r="B68" s="40">
        <f>VLOOKUP(Table9[[#This Row],[Date]],'DB Details'!$A:$L,12)</f>
        <v/>
      </c>
      <c r="C68" s="40">
        <f>Table9[[#This Row],[PMI]]-B67</f>
        <v/>
      </c>
    </row>
    <row r="69">
      <c r="A69" s="39" t="n">
        <v>19450</v>
      </c>
      <c r="B69" s="40">
        <f>VLOOKUP(Table9[[#This Row],[Date]],'DB Details'!$A:$L,12)</f>
        <v/>
      </c>
      <c r="C69" s="40">
        <f>Table9[[#This Row],[PMI]]-B68</f>
        <v/>
      </c>
    </row>
    <row r="70">
      <c r="A70" s="39" t="n">
        <v>19480</v>
      </c>
      <c r="B70" s="40">
        <f>VLOOKUP(Table9[[#This Row],[Date]],'DB Details'!$A:$L,12)</f>
        <v/>
      </c>
      <c r="C70" s="40">
        <f>Table9[[#This Row],[PMI]]-B69</f>
        <v/>
      </c>
    </row>
    <row r="71">
      <c r="A71" s="39" t="n">
        <v>19511</v>
      </c>
      <c r="B71" s="40">
        <f>VLOOKUP(Table9[[#This Row],[Date]],'DB Details'!$A:$L,12)</f>
        <v/>
      </c>
      <c r="C71" s="40">
        <f>Table9[[#This Row],[PMI]]-B70</f>
        <v/>
      </c>
    </row>
    <row r="72">
      <c r="A72" s="39" t="n">
        <v>19541</v>
      </c>
      <c r="B72" s="40">
        <f>VLOOKUP(Table9[[#This Row],[Date]],'DB Details'!$A:$L,12)</f>
        <v/>
      </c>
      <c r="C72" s="40">
        <f>Table9[[#This Row],[PMI]]-B71</f>
        <v/>
      </c>
    </row>
    <row r="73">
      <c r="A73" s="39" t="n">
        <v>19572</v>
      </c>
      <c r="B73" s="40">
        <f>VLOOKUP(Table9[[#This Row],[Date]],'DB Details'!$A:$L,12)</f>
        <v/>
      </c>
      <c r="C73" s="40">
        <f>Table9[[#This Row],[PMI]]-B72</f>
        <v/>
      </c>
    </row>
    <row r="74">
      <c r="A74" s="39" t="n">
        <v>19603</v>
      </c>
      <c r="B74" s="40">
        <f>VLOOKUP(Table9[[#This Row],[Date]],'DB Details'!$A:$L,12)</f>
        <v/>
      </c>
      <c r="C74" s="40">
        <f>Table9[[#This Row],[PMI]]-B73</f>
        <v/>
      </c>
    </row>
    <row r="75">
      <c r="A75" s="39" t="n">
        <v>19633</v>
      </c>
      <c r="B75" s="40">
        <f>VLOOKUP(Table9[[#This Row],[Date]],'DB Details'!$A:$L,12)</f>
        <v/>
      </c>
      <c r="C75" s="40">
        <f>Table9[[#This Row],[PMI]]-B74</f>
        <v/>
      </c>
    </row>
    <row r="76">
      <c r="A76" s="39" t="n">
        <v>19664</v>
      </c>
      <c r="B76" s="40">
        <f>VLOOKUP(Table9[[#This Row],[Date]],'DB Details'!$A:$L,12)</f>
        <v/>
      </c>
      <c r="C76" s="40">
        <f>Table9[[#This Row],[PMI]]-B75</f>
        <v/>
      </c>
    </row>
    <row r="77">
      <c r="A77" s="39" t="n">
        <v>19694</v>
      </c>
      <c r="B77" s="40">
        <f>VLOOKUP(Table9[[#This Row],[Date]],'DB Details'!$A:$L,12)</f>
        <v/>
      </c>
      <c r="C77" s="40">
        <f>Table9[[#This Row],[PMI]]-B76</f>
        <v/>
      </c>
    </row>
    <row r="78">
      <c r="A78" s="39" t="n">
        <v>19725</v>
      </c>
      <c r="B78" s="40">
        <f>VLOOKUP(Table9[[#This Row],[Date]],'DB Details'!$A:$L,12)</f>
        <v/>
      </c>
      <c r="C78" s="40">
        <f>Table9[[#This Row],[PMI]]-B77</f>
        <v/>
      </c>
    </row>
    <row r="79">
      <c r="A79" s="39" t="n">
        <v>19756</v>
      </c>
      <c r="B79" s="40">
        <f>VLOOKUP(Table9[[#This Row],[Date]],'DB Details'!$A:$L,12)</f>
        <v/>
      </c>
      <c r="C79" s="40">
        <f>Table9[[#This Row],[PMI]]-B78</f>
        <v/>
      </c>
    </row>
    <row r="80">
      <c r="A80" s="39" t="n">
        <v>19784</v>
      </c>
      <c r="B80" s="40">
        <f>VLOOKUP(Table9[[#This Row],[Date]],'DB Details'!$A:$L,12)</f>
        <v/>
      </c>
      <c r="C80" s="40">
        <f>Table9[[#This Row],[PMI]]-B79</f>
        <v/>
      </c>
    </row>
    <row r="81">
      <c r="A81" s="39" t="n">
        <v>19815</v>
      </c>
      <c r="B81" s="40">
        <f>VLOOKUP(Table9[[#This Row],[Date]],'DB Details'!$A:$L,12)</f>
        <v/>
      </c>
      <c r="C81" s="40">
        <f>Table9[[#This Row],[PMI]]-B80</f>
        <v/>
      </c>
    </row>
    <row r="82">
      <c r="A82" s="39" t="n">
        <v>19845</v>
      </c>
      <c r="B82" s="40">
        <f>VLOOKUP(Table9[[#This Row],[Date]],'DB Details'!$A:$L,12)</f>
        <v/>
      </c>
      <c r="C82" s="40">
        <f>Table9[[#This Row],[PMI]]-B81</f>
        <v/>
      </c>
    </row>
    <row r="83">
      <c r="A83" s="39" t="n">
        <v>19876</v>
      </c>
      <c r="B83" s="40">
        <f>VLOOKUP(Table9[[#This Row],[Date]],'DB Details'!$A:$L,12)</f>
        <v/>
      </c>
      <c r="C83" s="40">
        <f>Table9[[#This Row],[PMI]]-B82</f>
        <v/>
      </c>
    </row>
    <row r="84">
      <c r="A84" s="39" t="n">
        <v>19906</v>
      </c>
      <c r="B84" s="40">
        <f>VLOOKUP(Table9[[#This Row],[Date]],'DB Details'!$A:$L,12)</f>
        <v/>
      </c>
      <c r="C84" s="40">
        <f>Table9[[#This Row],[PMI]]-B83</f>
        <v/>
      </c>
    </row>
    <row r="85">
      <c r="A85" s="39" t="n">
        <v>19937</v>
      </c>
      <c r="B85" s="40">
        <f>VLOOKUP(Table9[[#This Row],[Date]],'DB Details'!$A:$L,12)</f>
        <v/>
      </c>
      <c r="C85" s="40">
        <f>Table9[[#This Row],[PMI]]-B84</f>
        <v/>
      </c>
    </row>
    <row r="86">
      <c r="A86" s="39" t="n">
        <v>19968</v>
      </c>
      <c r="B86" s="40">
        <f>VLOOKUP(Table9[[#This Row],[Date]],'DB Details'!$A:$L,12)</f>
        <v/>
      </c>
      <c r="C86" s="40">
        <f>Table9[[#This Row],[PMI]]-B85</f>
        <v/>
      </c>
    </row>
    <row r="87">
      <c r="A87" s="39" t="n">
        <v>19998</v>
      </c>
      <c r="B87" s="40">
        <f>VLOOKUP(Table9[[#This Row],[Date]],'DB Details'!$A:$L,12)</f>
        <v/>
      </c>
      <c r="C87" s="40">
        <f>Table9[[#This Row],[PMI]]-B86</f>
        <v/>
      </c>
    </row>
    <row r="88">
      <c r="A88" s="39" t="n">
        <v>20029</v>
      </c>
      <c r="B88" s="40">
        <f>VLOOKUP(Table9[[#This Row],[Date]],'DB Details'!$A:$L,12)</f>
        <v/>
      </c>
      <c r="C88" s="40">
        <f>Table9[[#This Row],[PMI]]-B87</f>
        <v/>
      </c>
    </row>
    <row r="89">
      <c r="A89" s="39" t="n">
        <v>20059</v>
      </c>
      <c r="B89" s="40">
        <f>VLOOKUP(Table9[[#This Row],[Date]],'DB Details'!$A:$L,12)</f>
        <v/>
      </c>
      <c r="C89" s="40">
        <f>Table9[[#This Row],[PMI]]-B88</f>
        <v/>
      </c>
    </row>
    <row r="90">
      <c r="A90" s="39" t="n">
        <v>20090</v>
      </c>
      <c r="B90" s="40">
        <f>VLOOKUP(Table9[[#This Row],[Date]],'DB Details'!$A:$L,12)</f>
        <v/>
      </c>
      <c r="C90" s="40">
        <f>Table9[[#This Row],[PMI]]-B89</f>
        <v/>
      </c>
    </row>
    <row r="91">
      <c r="A91" s="39" t="n">
        <v>20121</v>
      </c>
      <c r="B91" s="40">
        <f>VLOOKUP(Table9[[#This Row],[Date]],'DB Details'!$A:$L,12)</f>
        <v/>
      </c>
      <c r="C91" s="40">
        <f>Table9[[#This Row],[PMI]]-B90</f>
        <v/>
      </c>
    </row>
    <row r="92">
      <c r="A92" s="39" t="n">
        <v>20149</v>
      </c>
      <c r="B92" s="40">
        <f>VLOOKUP(Table9[[#This Row],[Date]],'DB Details'!$A:$L,12)</f>
        <v/>
      </c>
      <c r="C92" s="40">
        <f>Table9[[#This Row],[PMI]]-B91</f>
        <v/>
      </c>
    </row>
    <row r="93">
      <c r="A93" s="39" t="n">
        <v>20180</v>
      </c>
      <c r="B93" s="40">
        <f>VLOOKUP(Table9[[#This Row],[Date]],'DB Details'!$A:$L,12)</f>
        <v/>
      </c>
      <c r="C93" s="40">
        <f>Table9[[#This Row],[PMI]]-B92</f>
        <v/>
      </c>
    </row>
    <row r="94">
      <c r="A94" s="39" t="n">
        <v>20210</v>
      </c>
      <c r="B94" s="40">
        <f>VLOOKUP(Table9[[#This Row],[Date]],'DB Details'!$A:$L,12)</f>
        <v/>
      </c>
      <c r="C94" s="40">
        <f>Table9[[#This Row],[PMI]]-B93</f>
        <v/>
      </c>
    </row>
    <row r="95">
      <c r="A95" s="39" t="n">
        <v>20241</v>
      </c>
      <c r="B95" s="40">
        <f>VLOOKUP(Table9[[#This Row],[Date]],'DB Details'!$A:$L,12)</f>
        <v/>
      </c>
      <c r="C95" s="40">
        <f>Table9[[#This Row],[PMI]]-B94</f>
        <v/>
      </c>
    </row>
    <row r="96">
      <c r="A96" s="39" t="n">
        <v>20271</v>
      </c>
      <c r="B96" s="40">
        <f>VLOOKUP(Table9[[#This Row],[Date]],'DB Details'!$A:$L,12)</f>
        <v/>
      </c>
      <c r="C96" s="40">
        <f>Table9[[#This Row],[PMI]]-B95</f>
        <v/>
      </c>
    </row>
    <row r="97">
      <c r="A97" s="39" t="n">
        <v>20302</v>
      </c>
      <c r="B97" s="40">
        <f>VLOOKUP(Table9[[#This Row],[Date]],'DB Details'!$A:$L,12)</f>
        <v/>
      </c>
      <c r="C97" s="40">
        <f>Table9[[#This Row],[PMI]]-B96</f>
        <v/>
      </c>
    </row>
    <row r="98">
      <c r="A98" s="39" t="n">
        <v>20333</v>
      </c>
      <c r="B98" s="40">
        <f>VLOOKUP(Table9[[#This Row],[Date]],'DB Details'!$A:$L,12)</f>
        <v/>
      </c>
      <c r="C98" s="40">
        <f>Table9[[#This Row],[PMI]]-B97</f>
        <v/>
      </c>
    </row>
    <row r="99">
      <c r="A99" s="39" t="n">
        <v>20363</v>
      </c>
      <c r="B99" s="40">
        <f>VLOOKUP(Table9[[#This Row],[Date]],'DB Details'!$A:$L,12)</f>
        <v/>
      </c>
      <c r="C99" s="40">
        <f>Table9[[#This Row],[PMI]]-B98</f>
        <v/>
      </c>
    </row>
    <row r="100">
      <c r="A100" s="39" t="n">
        <v>20394</v>
      </c>
      <c r="B100" s="40">
        <f>VLOOKUP(Table9[[#This Row],[Date]],'DB Details'!$A:$L,12)</f>
        <v/>
      </c>
      <c r="C100" s="40">
        <f>Table9[[#This Row],[PMI]]-B99</f>
        <v/>
      </c>
    </row>
    <row r="101">
      <c r="A101" s="39" t="n">
        <v>20424</v>
      </c>
      <c r="B101" s="40">
        <f>VLOOKUP(Table9[[#This Row],[Date]],'DB Details'!$A:$L,12)</f>
        <v/>
      </c>
      <c r="C101" s="40">
        <f>Table9[[#This Row],[PMI]]-B100</f>
        <v/>
      </c>
    </row>
    <row r="102">
      <c r="A102" s="39" t="n">
        <v>20455</v>
      </c>
      <c r="B102" s="40">
        <f>VLOOKUP(Table9[[#This Row],[Date]],'DB Details'!$A:$L,12)</f>
        <v/>
      </c>
      <c r="C102" s="40">
        <f>Table9[[#This Row],[PMI]]-B101</f>
        <v/>
      </c>
    </row>
    <row r="103">
      <c r="A103" s="39" t="n">
        <v>20486</v>
      </c>
      <c r="B103" s="40">
        <f>VLOOKUP(Table9[[#This Row],[Date]],'DB Details'!$A:$L,12)</f>
        <v/>
      </c>
      <c r="C103" s="40">
        <f>Table9[[#This Row],[PMI]]-B102</f>
        <v/>
      </c>
    </row>
    <row r="104">
      <c r="A104" s="39" t="n">
        <v>20515</v>
      </c>
      <c r="B104" s="40">
        <f>VLOOKUP(Table9[[#This Row],[Date]],'DB Details'!$A:$L,12)</f>
        <v/>
      </c>
      <c r="C104" s="40">
        <f>Table9[[#This Row],[PMI]]-B103</f>
        <v/>
      </c>
    </row>
    <row r="105">
      <c r="A105" s="39" t="n">
        <v>20546</v>
      </c>
      <c r="B105" s="40">
        <f>VLOOKUP(Table9[[#This Row],[Date]],'DB Details'!$A:$L,12)</f>
        <v/>
      </c>
      <c r="C105" s="40">
        <f>Table9[[#This Row],[PMI]]-B104</f>
        <v/>
      </c>
    </row>
    <row r="106">
      <c r="A106" s="39" t="n">
        <v>20576</v>
      </c>
      <c r="B106" s="40">
        <f>VLOOKUP(Table9[[#This Row],[Date]],'DB Details'!$A:$L,12)</f>
        <v/>
      </c>
      <c r="C106" s="40">
        <f>Table9[[#This Row],[PMI]]-B105</f>
        <v/>
      </c>
    </row>
    <row r="107">
      <c r="A107" s="39" t="n">
        <v>20607</v>
      </c>
      <c r="B107" s="40">
        <f>VLOOKUP(Table9[[#This Row],[Date]],'DB Details'!$A:$L,12)</f>
        <v/>
      </c>
      <c r="C107" s="40">
        <f>Table9[[#This Row],[PMI]]-B106</f>
        <v/>
      </c>
    </row>
    <row r="108">
      <c r="A108" s="39" t="n">
        <v>20637</v>
      </c>
      <c r="B108" s="40">
        <f>VLOOKUP(Table9[[#This Row],[Date]],'DB Details'!$A:$L,12)</f>
        <v/>
      </c>
      <c r="C108" s="40">
        <f>Table9[[#This Row],[PMI]]-B107</f>
        <v/>
      </c>
    </row>
    <row r="109">
      <c r="A109" s="39" t="n">
        <v>20668</v>
      </c>
      <c r="B109" s="40">
        <f>VLOOKUP(Table9[[#This Row],[Date]],'DB Details'!$A:$L,12)</f>
        <v/>
      </c>
      <c r="C109" s="40">
        <f>Table9[[#This Row],[PMI]]-B108</f>
        <v/>
      </c>
    </row>
    <row r="110">
      <c r="A110" s="39" t="n">
        <v>20699</v>
      </c>
      <c r="B110" s="40">
        <f>VLOOKUP(Table9[[#This Row],[Date]],'DB Details'!$A:$L,12)</f>
        <v/>
      </c>
      <c r="C110" s="40">
        <f>Table9[[#This Row],[PMI]]-B109</f>
        <v/>
      </c>
    </row>
    <row r="111">
      <c r="A111" s="39" t="n">
        <v>20729</v>
      </c>
      <c r="B111" s="40">
        <f>VLOOKUP(Table9[[#This Row],[Date]],'DB Details'!$A:$L,12)</f>
        <v/>
      </c>
      <c r="C111" s="40">
        <f>Table9[[#This Row],[PMI]]-B110</f>
        <v/>
      </c>
    </row>
    <row r="112">
      <c r="A112" s="39" t="n">
        <v>20760</v>
      </c>
      <c r="B112" s="40">
        <f>VLOOKUP(Table9[[#This Row],[Date]],'DB Details'!$A:$L,12)</f>
        <v/>
      </c>
      <c r="C112" s="40">
        <f>Table9[[#This Row],[PMI]]-B111</f>
        <v/>
      </c>
    </row>
    <row r="113">
      <c r="A113" s="39" t="n">
        <v>20790</v>
      </c>
      <c r="B113" s="40">
        <f>VLOOKUP(Table9[[#This Row],[Date]],'DB Details'!$A:$L,12)</f>
        <v/>
      </c>
      <c r="C113" s="40">
        <f>Table9[[#This Row],[PMI]]-B112</f>
        <v/>
      </c>
    </row>
    <row r="114">
      <c r="A114" s="39" t="n">
        <v>20821</v>
      </c>
      <c r="B114" s="40">
        <f>VLOOKUP(Table9[[#This Row],[Date]],'DB Details'!$A:$L,12)</f>
        <v/>
      </c>
      <c r="C114" s="40">
        <f>Table9[[#This Row],[PMI]]-B113</f>
        <v/>
      </c>
    </row>
    <row r="115">
      <c r="A115" s="39" t="n">
        <v>20852</v>
      </c>
      <c r="B115" s="40">
        <f>VLOOKUP(Table9[[#This Row],[Date]],'DB Details'!$A:$L,12)</f>
        <v/>
      </c>
      <c r="C115" s="40">
        <f>Table9[[#This Row],[PMI]]-B114</f>
        <v/>
      </c>
    </row>
    <row r="116">
      <c r="A116" s="39" t="n">
        <v>20880</v>
      </c>
      <c r="B116" s="40">
        <f>VLOOKUP(Table9[[#This Row],[Date]],'DB Details'!$A:$L,12)</f>
        <v/>
      </c>
      <c r="C116" s="40">
        <f>Table9[[#This Row],[PMI]]-B115</f>
        <v/>
      </c>
    </row>
    <row r="117">
      <c r="A117" s="39" t="n">
        <v>20911</v>
      </c>
      <c r="B117" s="40">
        <f>VLOOKUP(Table9[[#This Row],[Date]],'DB Details'!$A:$L,12)</f>
        <v/>
      </c>
      <c r="C117" s="40">
        <f>Table9[[#This Row],[PMI]]-B116</f>
        <v/>
      </c>
    </row>
    <row r="118">
      <c r="A118" s="39" t="n">
        <v>20941</v>
      </c>
      <c r="B118" s="40">
        <f>VLOOKUP(Table9[[#This Row],[Date]],'DB Details'!$A:$L,12)</f>
        <v/>
      </c>
      <c r="C118" s="40">
        <f>Table9[[#This Row],[PMI]]-B117</f>
        <v/>
      </c>
    </row>
    <row r="119">
      <c r="A119" s="39" t="n">
        <v>20972</v>
      </c>
      <c r="B119" s="40">
        <f>VLOOKUP(Table9[[#This Row],[Date]],'DB Details'!$A:$L,12)</f>
        <v/>
      </c>
      <c r="C119" s="40">
        <f>Table9[[#This Row],[PMI]]-B118</f>
        <v/>
      </c>
    </row>
    <row r="120">
      <c r="A120" s="39" t="n">
        <v>21002</v>
      </c>
      <c r="B120" s="40">
        <f>VLOOKUP(Table9[[#This Row],[Date]],'DB Details'!$A:$L,12)</f>
        <v/>
      </c>
      <c r="C120" s="40">
        <f>Table9[[#This Row],[PMI]]-B119</f>
        <v/>
      </c>
    </row>
    <row r="121">
      <c r="A121" s="39" t="n">
        <v>21033</v>
      </c>
      <c r="B121" s="40">
        <f>VLOOKUP(Table9[[#This Row],[Date]],'DB Details'!$A:$L,12)</f>
        <v/>
      </c>
      <c r="C121" s="40">
        <f>Table9[[#This Row],[PMI]]-B120</f>
        <v/>
      </c>
    </row>
    <row r="122">
      <c r="A122" s="39" t="n">
        <v>21064</v>
      </c>
      <c r="B122" s="40">
        <f>VLOOKUP(Table9[[#This Row],[Date]],'DB Details'!$A:$L,12)</f>
        <v/>
      </c>
      <c r="C122" s="40">
        <f>Table9[[#This Row],[PMI]]-B121</f>
        <v/>
      </c>
    </row>
    <row r="123">
      <c r="A123" s="39" t="n">
        <v>21094</v>
      </c>
      <c r="B123" s="40">
        <f>VLOOKUP(Table9[[#This Row],[Date]],'DB Details'!$A:$L,12)</f>
        <v/>
      </c>
      <c r="C123" s="40">
        <f>Table9[[#This Row],[PMI]]-B122</f>
        <v/>
      </c>
    </row>
    <row r="124">
      <c r="A124" s="39" t="n">
        <v>21125</v>
      </c>
      <c r="B124" s="40">
        <f>VLOOKUP(Table9[[#This Row],[Date]],'DB Details'!$A:$L,12)</f>
        <v/>
      </c>
      <c r="C124" s="40">
        <f>Table9[[#This Row],[PMI]]-B123</f>
        <v/>
      </c>
    </row>
    <row r="125">
      <c r="A125" s="39" t="n">
        <v>21155</v>
      </c>
      <c r="B125" s="40">
        <f>VLOOKUP(Table9[[#This Row],[Date]],'DB Details'!$A:$L,12)</f>
        <v/>
      </c>
      <c r="C125" s="40">
        <f>Table9[[#This Row],[PMI]]-B124</f>
        <v/>
      </c>
    </row>
    <row r="126">
      <c r="A126" s="39" t="n">
        <v>21186</v>
      </c>
      <c r="B126" s="40">
        <f>VLOOKUP(Table9[[#This Row],[Date]],'DB Details'!$A:$L,12)</f>
        <v/>
      </c>
      <c r="C126" s="40">
        <f>Table9[[#This Row],[PMI]]-B125</f>
        <v/>
      </c>
    </row>
    <row r="127">
      <c r="A127" s="39" t="n">
        <v>21217</v>
      </c>
      <c r="B127" s="40">
        <f>VLOOKUP(Table9[[#This Row],[Date]],'DB Details'!$A:$L,12)</f>
        <v/>
      </c>
      <c r="C127" s="40">
        <f>Table9[[#This Row],[PMI]]-B126</f>
        <v/>
      </c>
    </row>
    <row r="128">
      <c r="A128" s="39" t="n">
        <v>21245</v>
      </c>
      <c r="B128" s="40">
        <f>VLOOKUP(Table9[[#This Row],[Date]],'DB Details'!$A:$L,12)</f>
        <v/>
      </c>
      <c r="C128" s="40">
        <f>Table9[[#This Row],[PMI]]-B127</f>
        <v/>
      </c>
    </row>
    <row r="129">
      <c r="A129" s="39" t="n">
        <v>21276</v>
      </c>
      <c r="B129" s="40">
        <f>VLOOKUP(Table9[[#This Row],[Date]],'DB Details'!$A:$L,12)</f>
        <v/>
      </c>
      <c r="C129" s="40">
        <f>Table9[[#This Row],[PMI]]-B128</f>
        <v/>
      </c>
    </row>
    <row r="130">
      <c r="A130" s="39" t="n">
        <v>21306</v>
      </c>
      <c r="B130" s="40">
        <f>VLOOKUP(Table9[[#This Row],[Date]],'DB Details'!$A:$L,12)</f>
        <v/>
      </c>
      <c r="C130" s="40">
        <f>Table9[[#This Row],[PMI]]-B129</f>
        <v/>
      </c>
    </row>
    <row r="131">
      <c r="A131" s="39" t="n">
        <v>21337</v>
      </c>
      <c r="B131" s="40">
        <f>VLOOKUP(Table9[[#This Row],[Date]],'DB Details'!$A:$L,12)</f>
        <v/>
      </c>
      <c r="C131" s="40">
        <f>Table9[[#This Row],[PMI]]-B130</f>
        <v/>
      </c>
    </row>
    <row r="132">
      <c r="A132" s="39" t="n">
        <v>21367</v>
      </c>
      <c r="B132" s="40">
        <f>VLOOKUP(Table9[[#This Row],[Date]],'DB Details'!$A:$L,12)</f>
        <v/>
      </c>
      <c r="C132" s="40">
        <f>Table9[[#This Row],[PMI]]-B131</f>
        <v/>
      </c>
    </row>
    <row r="133">
      <c r="A133" s="39" t="n">
        <v>21398</v>
      </c>
      <c r="B133" s="40">
        <f>VLOOKUP(Table9[[#This Row],[Date]],'DB Details'!$A:$L,12)</f>
        <v/>
      </c>
      <c r="C133" s="40">
        <f>Table9[[#This Row],[PMI]]-B132</f>
        <v/>
      </c>
    </row>
    <row r="134">
      <c r="A134" s="39" t="n">
        <v>21429</v>
      </c>
      <c r="B134" s="40">
        <f>VLOOKUP(Table9[[#This Row],[Date]],'DB Details'!$A:$L,12)</f>
        <v/>
      </c>
      <c r="C134" s="40">
        <f>Table9[[#This Row],[PMI]]-B133</f>
        <v/>
      </c>
    </row>
    <row r="135">
      <c r="A135" s="39" t="n">
        <v>21459</v>
      </c>
      <c r="B135" s="40">
        <f>VLOOKUP(Table9[[#This Row],[Date]],'DB Details'!$A:$L,12)</f>
        <v/>
      </c>
      <c r="C135" s="40">
        <f>Table9[[#This Row],[PMI]]-B134</f>
        <v/>
      </c>
    </row>
    <row r="136">
      <c r="A136" s="39" t="n">
        <v>21490</v>
      </c>
      <c r="B136" s="40">
        <f>VLOOKUP(Table9[[#This Row],[Date]],'DB Details'!$A:$L,12)</f>
        <v/>
      </c>
      <c r="C136" s="40">
        <f>Table9[[#This Row],[PMI]]-B135</f>
        <v/>
      </c>
    </row>
    <row r="137">
      <c r="A137" s="39" t="n">
        <v>21520</v>
      </c>
      <c r="B137" s="40">
        <f>VLOOKUP(Table9[[#This Row],[Date]],'DB Details'!$A:$L,12)</f>
        <v/>
      </c>
      <c r="C137" s="40">
        <f>Table9[[#This Row],[PMI]]-B136</f>
        <v/>
      </c>
    </row>
    <row r="138">
      <c r="A138" s="39" t="n">
        <v>21551</v>
      </c>
      <c r="B138" s="40">
        <f>VLOOKUP(Table9[[#This Row],[Date]],'DB Details'!$A:$L,12)</f>
        <v/>
      </c>
      <c r="C138" s="40">
        <f>Table9[[#This Row],[PMI]]-B137</f>
        <v/>
      </c>
    </row>
    <row r="139">
      <c r="A139" s="39" t="n">
        <v>21582</v>
      </c>
      <c r="B139" s="40">
        <f>VLOOKUP(Table9[[#This Row],[Date]],'DB Details'!$A:$L,12)</f>
        <v/>
      </c>
      <c r="C139" s="40">
        <f>Table9[[#This Row],[PMI]]-B138</f>
        <v/>
      </c>
    </row>
    <row r="140">
      <c r="A140" s="39" t="n">
        <v>21610</v>
      </c>
      <c r="B140" s="40">
        <f>VLOOKUP(Table9[[#This Row],[Date]],'DB Details'!$A:$L,12)</f>
        <v/>
      </c>
      <c r="C140" s="40">
        <f>Table9[[#This Row],[PMI]]-B139</f>
        <v/>
      </c>
    </row>
    <row r="141">
      <c r="A141" s="39" t="n">
        <v>21641</v>
      </c>
      <c r="B141" s="40">
        <f>VLOOKUP(Table9[[#This Row],[Date]],'DB Details'!$A:$L,12)</f>
        <v/>
      </c>
      <c r="C141" s="40">
        <f>Table9[[#This Row],[PMI]]-B140</f>
        <v/>
      </c>
    </row>
    <row r="142">
      <c r="A142" s="39" t="n">
        <v>21671</v>
      </c>
      <c r="B142" s="40">
        <f>VLOOKUP(Table9[[#This Row],[Date]],'DB Details'!$A:$L,12)</f>
        <v/>
      </c>
      <c r="C142" s="40">
        <f>Table9[[#This Row],[PMI]]-B141</f>
        <v/>
      </c>
    </row>
    <row r="143">
      <c r="A143" s="39" t="n">
        <v>21702</v>
      </c>
      <c r="B143" s="40">
        <f>VLOOKUP(Table9[[#This Row],[Date]],'DB Details'!$A:$L,12)</f>
        <v/>
      </c>
      <c r="C143" s="40">
        <f>Table9[[#This Row],[PMI]]-B142</f>
        <v/>
      </c>
    </row>
    <row r="144">
      <c r="A144" s="39" t="n">
        <v>21732</v>
      </c>
      <c r="B144" s="40">
        <f>VLOOKUP(Table9[[#This Row],[Date]],'DB Details'!$A:$L,12)</f>
        <v/>
      </c>
      <c r="C144" s="40">
        <f>Table9[[#This Row],[PMI]]-B143</f>
        <v/>
      </c>
    </row>
    <row r="145">
      <c r="A145" s="39" t="n">
        <v>21763</v>
      </c>
      <c r="B145" s="40">
        <f>VLOOKUP(Table9[[#This Row],[Date]],'DB Details'!$A:$L,12)</f>
        <v/>
      </c>
      <c r="C145" s="40">
        <f>Table9[[#This Row],[PMI]]-B144</f>
        <v/>
      </c>
    </row>
    <row r="146">
      <c r="A146" s="39" t="n">
        <v>21794</v>
      </c>
      <c r="B146" s="40">
        <f>VLOOKUP(Table9[[#This Row],[Date]],'DB Details'!$A:$L,12)</f>
        <v/>
      </c>
      <c r="C146" s="40">
        <f>Table9[[#This Row],[PMI]]-B145</f>
        <v/>
      </c>
    </row>
    <row r="147">
      <c r="A147" s="39" t="n">
        <v>21824</v>
      </c>
      <c r="B147" s="40">
        <f>VLOOKUP(Table9[[#This Row],[Date]],'DB Details'!$A:$L,12)</f>
        <v/>
      </c>
      <c r="C147" s="40">
        <f>Table9[[#This Row],[PMI]]-B146</f>
        <v/>
      </c>
    </row>
    <row r="148">
      <c r="A148" s="39" t="n">
        <v>21855</v>
      </c>
      <c r="B148" s="40">
        <f>VLOOKUP(Table9[[#This Row],[Date]],'DB Details'!$A:$L,12)</f>
        <v/>
      </c>
      <c r="C148" s="40">
        <f>Table9[[#This Row],[PMI]]-B147</f>
        <v/>
      </c>
    </row>
    <row r="149">
      <c r="A149" s="39" t="n">
        <v>21885</v>
      </c>
      <c r="B149" s="40">
        <f>VLOOKUP(Table9[[#This Row],[Date]],'DB Details'!$A:$L,12)</f>
        <v/>
      </c>
      <c r="C149" s="40">
        <f>Table9[[#This Row],[PMI]]-B148</f>
        <v/>
      </c>
    </row>
    <row r="150">
      <c r="A150" s="39" t="n">
        <v>21916</v>
      </c>
      <c r="B150" s="40">
        <f>VLOOKUP(Table9[[#This Row],[Date]],'DB Details'!$A:$L,12)</f>
        <v/>
      </c>
      <c r="C150" s="40">
        <f>Table9[[#This Row],[PMI]]-B149</f>
        <v/>
      </c>
    </row>
    <row r="151">
      <c r="A151" s="39" t="n">
        <v>21947</v>
      </c>
      <c r="B151" s="40">
        <f>VLOOKUP(Table9[[#This Row],[Date]],'DB Details'!$A:$L,12)</f>
        <v/>
      </c>
      <c r="C151" s="40">
        <f>Table9[[#This Row],[PMI]]-B150</f>
        <v/>
      </c>
    </row>
    <row r="152">
      <c r="A152" s="39" t="n">
        <v>21976</v>
      </c>
      <c r="B152" s="40">
        <f>VLOOKUP(Table9[[#This Row],[Date]],'DB Details'!$A:$L,12)</f>
        <v/>
      </c>
      <c r="C152" s="40">
        <f>Table9[[#This Row],[PMI]]-B151</f>
        <v/>
      </c>
    </row>
    <row r="153">
      <c r="A153" s="39" t="n">
        <v>22007</v>
      </c>
      <c r="B153" s="40">
        <f>VLOOKUP(Table9[[#This Row],[Date]],'DB Details'!$A:$L,12)</f>
        <v/>
      </c>
      <c r="C153" s="40">
        <f>Table9[[#This Row],[PMI]]-B152</f>
        <v/>
      </c>
    </row>
    <row r="154">
      <c r="A154" s="39" t="n">
        <v>22037</v>
      </c>
      <c r="B154" s="40">
        <f>VLOOKUP(Table9[[#This Row],[Date]],'DB Details'!$A:$L,12)</f>
        <v/>
      </c>
      <c r="C154" s="40">
        <f>Table9[[#This Row],[PMI]]-B153</f>
        <v/>
      </c>
    </row>
    <row r="155">
      <c r="A155" s="39" t="n">
        <v>22068</v>
      </c>
      <c r="B155" s="40">
        <f>VLOOKUP(Table9[[#This Row],[Date]],'DB Details'!$A:$L,12)</f>
        <v/>
      </c>
      <c r="C155" s="40">
        <f>Table9[[#This Row],[PMI]]-B154</f>
        <v/>
      </c>
    </row>
    <row r="156">
      <c r="A156" s="39" t="n">
        <v>22098</v>
      </c>
      <c r="B156" s="40">
        <f>VLOOKUP(Table9[[#This Row],[Date]],'DB Details'!$A:$L,12)</f>
        <v/>
      </c>
      <c r="C156" s="40">
        <f>Table9[[#This Row],[PMI]]-B155</f>
        <v/>
      </c>
    </row>
    <row r="157">
      <c r="A157" s="39" t="n">
        <v>22129</v>
      </c>
      <c r="B157" s="40">
        <f>VLOOKUP(Table9[[#This Row],[Date]],'DB Details'!$A:$L,12)</f>
        <v/>
      </c>
      <c r="C157" s="40">
        <f>Table9[[#This Row],[PMI]]-B156</f>
        <v/>
      </c>
    </row>
    <row r="158">
      <c r="A158" s="39" t="n">
        <v>22160</v>
      </c>
      <c r="B158" s="40">
        <f>VLOOKUP(Table9[[#This Row],[Date]],'DB Details'!$A:$L,12)</f>
        <v/>
      </c>
      <c r="C158" s="40">
        <f>Table9[[#This Row],[PMI]]-B157</f>
        <v/>
      </c>
    </row>
    <row r="159">
      <c r="A159" s="39" t="n">
        <v>22190</v>
      </c>
      <c r="B159" s="40">
        <f>VLOOKUP(Table9[[#This Row],[Date]],'DB Details'!$A:$L,12)</f>
        <v/>
      </c>
      <c r="C159" s="40">
        <f>Table9[[#This Row],[PMI]]-B158</f>
        <v/>
      </c>
    </row>
    <row r="160">
      <c r="A160" s="39" t="n">
        <v>22221</v>
      </c>
      <c r="B160" s="40">
        <f>VLOOKUP(Table9[[#This Row],[Date]],'DB Details'!$A:$L,12)</f>
        <v/>
      </c>
      <c r="C160" s="40">
        <f>Table9[[#This Row],[PMI]]-B159</f>
        <v/>
      </c>
    </row>
    <row r="161">
      <c r="A161" s="39" t="n">
        <v>22251</v>
      </c>
      <c r="B161" s="40">
        <f>VLOOKUP(Table9[[#This Row],[Date]],'DB Details'!$A:$L,12)</f>
        <v/>
      </c>
      <c r="C161" s="40">
        <f>Table9[[#This Row],[PMI]]-B160</f>
        <v/>
      </c>
    </row>
    <row r="162">
      <c r="A162" s="39" t="n">
        <v>22282</v>
      </c>
      <c r="B162" s="40">
        <f>VLOOKUP(Table9[[#This Row],[Date]],'DB Details'!$A:$L,12)</f>
        <v/>
      </c>
      <c r="C162" s="40">
        <f>Table9[[#This Row],[PMI]]-B161</f>
        <v/>
      </c>
    </row>
    <row r="163">
      <c r="A163" s="39" t="n">
        <v>22313</v>
      </c>
      <c r="B163" s="40">
        <f>VLOOKUP(Table9[[#This Row],[Date]],'DB Details'!$A:$L,12)</f>
        <v/>
      </c>
      <c r="C163" s="40">
        <f>Table9[[#This Row],[PMI]]-B162</f>
        <v/>
      </c>
    </row>
    <row r="164">
      <c r="A164" s="39" t="n">
        <v>22341</v>
      </c>
      <c r="B164" s="40">
        <f>VLOOKUP(Table9[[#This Row],[Date]],'DB Details'!$A:$L,12)</f>
        <v/>
      </c>
      <c r="C164" s="40">
        <f>Table9[[#This Row],[PMI]]-B163</f>
        <v/>
      </c>
    </row>
    <row r="165">
      <c r="A165" s="39" t="n">
        <v>22372</v>
      </c>
      <c r="B165" s="40">
        <f>VLOOKUP(Table9[[#This Row],[Date]],'DB Details'!$A:$L,12)</f>
        <v/>
      </c>
      <c r="C165" s="40">
        <f>Table9[[#This Row],[PMI]]-B164</f>
        <v/>
      </c>
    </row>
    <row r="166">
      <c r="A166" s="39" t="n">
        <v>22402</v>
      </c>
      <c r="B166" s="40">
        <f>VLOOKUP(Table9[[#This Row],[Date]],'DB Details'!$A:$L,12)</f>
        <v/>
      </c>
      <c r="C166" s="40">
        <f>Table9[[#This Row],[PMI]]-B165</f>
        <v/>
      </c>
    </row>
    <row r="167">
      <c r="A167" s="39" t="n">
        <v>22433</v>
      </c>
      <c r="B167" s="40">
        <f>VLOOKUP(Table9[[#This Row],[Date]],'DB Details'!$A:$L,12)</f>
        <v/>
      </c>
      <c r="C167" s="40">
        <f>Table9[[#This Row],[PMI]]-B166</f>
        <v/>
      </c>
    </row>
    <row r="168">
      <c r="A168" s="39" t="n">
        <v>22463</v>
      </c>
      <c r="B168" s="40">
        <f>VLOOKUP(Table9[[#This Row],[Date]],'DB Details'!$A:$L,12)</f>
        <v/>
      </c>
      <c r="C168" s="40">
        <f>Table9[[#This Row],[PMI]]-B167</f>
        <v/>
      </c>
    </row>
    <row r="169">
      <c r="A169" s="39" t="n">
        <v>22494</v>
      </c>
      <c r="B169" s="40">
        <f>VLOOKUP(Table9[[#This Row],[Date]],'DB Details'!$A:$L,12)</f>
        <v/>
      </c>
      <c r="C169" s="40">
        <f>Table9[[#This Row],[PMI]]-B168</f>
        <v/>
      </c>
    </row>
    <row r="170">
      <c r="A170" s="39" t="n">
        <v>22525</v>
      </c>
      <c r="B170" s="40">
        <f>VLOOKUP(Table9[[#This Row],[Date]],'DB Details'!$A:$L,12)</f>
        <v/>
      </c>
      <c r="C170" s="40">
        <f>Table9[[#This Row],[PMI]]-B169</f>
        <v/>
      </c>
    </row>
    <row r="171">
      <c r="A171" s="39" t="n">
        <v>22555</v>
      </c>
      <c r="B171" s="40">
        <f>VLOOKUP(Table9[[#This Row],[Date]],'DB Details'!$A:$L,12)</f>
        <v/>
      </c>
      <c r="C171" s="40">
        <f>Table9[[#This Row],[PMI]]-B170</f>
        <v/>
      </c>
    </row>
    <row r="172">
      <c r="A172" s="39" t="n">
        <v>22586</v>
      </c>
      <c r="B172" s="40">
        <f>VLOOKUP(Table9[[#This Row],[Date]],'DB Details'!$A:$L,12)</f>
        <v/>
      </c>
      <c r="C172" s="40">
        <f>Table9[[#This Row],[PMI]]-B171</f>
        <v/>
      </c>
    </row>
    <row r="173">
      <c r="A173" s="39" t="n">
        <v>22616</v>
      </c>
      <c r="B173" s="40">
        <f>VLOOKUP(Table9[[#This Row],[Date]],'DB Details'!$A:$L,12)</f>
        <v/>
      </c>
      <c r="C173" s="40">
        <f>Table9[[#This Row],[PMI]]-B172</f>
        <v/>
      </c>
    </row>
    <row r="174">
      <c r="A174" s="39" t="n">
        <v>22647</v>
      </c>
      <c r="B174" s="40">
        <f>VLOOKUP(Table9[[#This Row],[Date]],'DB Details'!$A:$L,12)</f>
        <v/>
      </c>
      <c r="C174" s="40">
        <f>Table9[[#This Row],[PMI]]-B173</f>
        <v/>
      </c>
    </row>
    <row r="175">
      <c r="A175" s="39" t="n">
        <v>22678</v>
      </c>
      <c r="B175" s="40">
        <f>VLOOKUP(Table9[[#This Row],[Date]],'DB Details'!$A:$L,12)</f>
        <v/>
      </c>
      <c r="C175" s="40">
        <f>Table9[[#This Row],[PMI]]-B174</f>
        <v/>
      </c>
    </row>
    <row r="176">
      <c r="A176" s="39" t="n">
        <v>22706</v>
      </c>
      <c r="B176" s="40">
        <f>VLOOKUP(Table9[[#This Row],[Date]],'DB Details'!$A:$L,12)</f>
        <v/>
      </c>
      <c r="C176" s="40">
        <f>Table9[[#This Row],[PMI]]-B175</f>
        <v/>
      </c>
    </row>
    <row r="177">
      <c r="A177" s="39" t="n">
        <v>22737</v>
      </c>
      <c r="B177" s="40">
        <f>VLOOKUP(Table9[[#This Row],[Date]],'DB Details'!$A:$L,12)</f>
        <v/>
      </c>
      <c r="C177" s="40">
        <f>Table9[[#This Row],[PMI]]-B176</f>
        <v/>
      </c>
    </row>
    <row r="178">
      <c r="A178" s="39" t="n">
        <v>22767</v>
      </c>
      <c r="B178" s="40">
        <f>VLOOKUP(Table9[[#This Row],[Date]],'DB Details'!$A:$L,12)</f>
        <v/>
      </c>
      <c r="C178" s="40">
        <f>Table9[[#This Row],[PMI]]-B177</f>
        <v/>
      </c>
    </row>
    <row r="179">
      <c r="A179" s="39" t="n">
        <v>22798</v>
      </c>
      <c r="B179" s="40">
        <f>VLOOKUP(Table9[[#This Row],[Date]],'DB Details'!$A:$L,12)</f>
        <v/>
      </c>
      <c r="C179" s="40">
        <f>Table9[[#This Row],[PMI]]-B178</f>
        <v/>
      </c>
    </row>
    <row r="180">
      <c r="A180" s="39" t="n">
        <v>22828</v>
      </c>
      <c r="B180" s="40">
        <f>VLOOKUP(Table9[[#This Row],[Date]],'DB Details'!$A:$L,12)</f>
        <v/>
      </c>
      <c r="C180" s="40">
        <f>Table9[[#This Row],[PMI]]-B179</f>
        <v/>
      </c>
    </row>
    <row r="181">
      <c r="A181" s="39" t="n">
        <v>22859</v>
      </c>
      <c r="B181" s="40">
        <f>VLOOKUP(Table9[[#This Row],[Date]],'DB Details'!$A:$L,12)</f>
        <v/>
      </c>
      <c r="C181" s="40">
        <f>Table9[[#This Row],[PMI]]-B180</f>
        <v/>
      </c>
    </row>
    <row r="182">
      <c r="A182" s="39" t="n">
        <v>22890</v>
      </c>
      <c r="B182" s="40">
        <f>VLOOKUP(Table9[[#This Row],[Date]],'DB Details'!$A:$L,12)</f>
        <v/>
      </c>
      <c r="C182" s="40">
        <f>Table9[[#This Row],[PMI]]-B181</f>
        <v/>
      </c>
    </row>
    <row r="183">
      <c r="A183" s="39" t="n">
        <v>22920</v>
      </c>
      <c r="B183" s="40">
        <f>VLOOKUP(Table9[[#This Row],[Date]],'DB Details'!$A:$L,12)</f>
        <v/>
      </c>
      <c r="C183" s="40">
        <f>Table9[[#This Row],[PMI]]-B182</f>
        <v/>
      </c>
    </row>
    <row r="184">
      <c r="A184" s="39" t="n">
        <v>22951</v>
      </c>
      <c r="B184" s="40">
        <f>VLOOKUP(Table9[[#This Row],[Date]],'DB Details'!$A:$L,12)</f>
        <v/>
      </c>
      <c r="C184" s="40">
        <f>Table9[[#This Row],[PMI]]-B183</f>
        <v/>
      </c>
    </row>
    <row r="185">
      <c r="A185" s="39" t="n">
        <v>22981</v>
      </c>
      <c r="B185" s="40">
        <f>VLOOKUP(Table9[[#This Row],[Date]],'DB Details'!$A:$L,12)</f>
        <v/>
      </c>
      <c r="C185" s="40">
        <f>Table9[[#This Row],[PMI]]-B184</f>
        <v/>
      </c>
    </row>
    <row r="186">
      <c r="A186" s="39" t="n">
        <v>23012</v>
      </c>
      <c r="B186" s="40">
        <f>VLOOKUP(Table9[[#This Row],[Date]],'DB Details'!$A:$L,12)</f>
        <v/>
      </c>
      <c r="C186" s="40">
        <f>Table9[[#This Row],[PMI]]-B185</f>
        <v/>
      </c>
    </row>
    <row r="187">
      <c r="A187" s="39" t="n">
        <v>23043</v>
      </c>
      <c r="B187" s="40">
        <f>VLOOKUP(Table9[[#This Row],[Date]],'DB Details'!$A:$L,12)</f>
        <v/>
      </c>
      <c r="C187" s="40">
        <f>Table9[[#This Row],[PMI]]-B186</f>
        <v/>
      </c>
    </row>
    <row r="188">
      <c r="A188" s="39" t="n">
        <v>23071</v>
      </c>
      <c r="B188" s="40">
        <f>VLOOKUP(Table9[[#This Row],[Date]],'DB Details'!$A:$L,12)</f>
        <v/>
      </c>
      <c r="C188" s="40">
        <f>Table9[[#This Row],[PMI]]-B187</f>
        <v/>
      </c>
    </row>
    <row r="189">
      <c r="A189" s="39" t="n">
        <v>23102</v>
      </c>
      <c r="B189" s="40">
        <f>VLOOKUP(Table9[[#This Row],[Date]],'DB Details'!$A:$L,12)</f>
        <v/>
      </c>
      <c r="C189" s="40">
        <f>Table9[[#This Row],[PMI]]-B188</f>
        <v/>
      </c>
    </row>
    <row r="190">
      <c r="A190" s="39" t="n">
        <v>23132</v>
      </c>
      <c r="B190" s="40">
        <f>VLOOKUP(Table9[[#This Row],[Date]],'DB Details'!$A:$L,12)</f>
        <v/>
      </c>
      <c r="C190" s="40">
        <f>Table9[[#This Row],[PMI]]-B189</f>
        <v/>
      </c>
    </row>
    <row r="191">
      <c r="A191" s="39" t="n">
        <v>23163</v>
      </c>
      <c r="B191" s="40">
        <f>VLOOKUP(Table9[[#This Row],[Date]],'DB Details'!$A:$L,12)</f>
        <v/>
      </c>
      <c r="C191" s="40">
        <f>Table9[[#This Row],[PMI]]-B190</f>
        <v/>
      </c>
    </row>
    <row r="192">
      <c r="A192" s="39" t="n">
        <v>23193</v>
      </c>
      <c r="B192" s="40">
        <f>VLOOKUP(Table9[[#This Row],[Date]],'DB Details'!$A:$L,12)</f>
        <v/>
      </c>
      <c r="C192" s="40">
        <f>Table9[[#This Row],[PMI]]-B191</f>
        <v/>
      </c>
    </row>
    <row r="193">
      <c r="A193" s="39" t="n">
        <v>23224</v>
      </c>
      <c r="B193" s="40">
        <f>VLOOKUP(Table9[[#This Row],[Date]],'DB Details'!$A:$L,12)</f>
        <v/>
      </c>
      <c r="C193" s="40">
        <f>Table9[[#This Row],[PMI]]-B192</f>
        <v/>
      </c>
    </row>
    <row r="194">
      <c r="A194" s="39" t="n">
        <v>23255</v>
      </c>
      <c r="B194" s="40">
        <f>VLOOKUP(Table9[[#This Row],[Date]],'DB Details'!$A:$L,12)</f>
        <v/>
      </c>
      <c r="C194" s="40">
        <f>Table9[[#This Row],[PMI]]-B193</f>
        <v/>
      </c>
    </row>
    <row r="195">
      <c r="A195" s="39" t="n">
        <v>23285</v>
      </c>
      <c r="B195" s="40">
        <f>VLOOKUP(Table9[[#This Row],[Date]],'DB Details'!$A:$L,12)</f>
        <v/>
      </c>
      <c r="C195" s="40">
        <f>Table9[[#This Row],[PMI]]-B194</f>
        <v/>
      </c>
    </row>
    <row r="196">
      <c r="A196" s="39" t="n">
        <v>23316</v>
      </c>
      <c r="B196" s="40">
        <f>VLOOKUP(Table9[[#This Row],[Date]],'DB Details'!$A:$L,12)</f>
        <v/>
      </c>
      <c r="C196" s="40">
        <f>Table9[[#This Row],[PMI]]-B195</f>
        <v/>
      </c>
    </row>
    <row r="197">
      <c r="A197" s="39" t="n">
        <v>23346</v>
      </c>
      <c r="B197" s="40">
        <f>VLOOKUP(Table9[[#This Row],[Date]],'DB Details'!$A:$L,12)</f>
        <v/>
      </c>
      <c r="C197" s="40">
        <f>Table9[[#This Row],[PMI]]-B196</f>
        <v/>
      </c>
    </row>
    <row r="198">
      <c r="A198" s="39" t="n">
        <v>23377</v>
      </c>
      <c r="B198" s="40">
        <f>VLOOKUP(Table9[[#This Row],[Date]],'DB Details'!$A:$L,12)</f>
        <v/>
      </c>
      <c r="C198" s="40">
        <f>Table9[[#This Row],[PMI]]-B197</f>
        <v/>
      </c>
    </row>
    <row r="199">
      <c r="A199" s="39" t="n">
        <v>23408</v>
      </c>
      <c r="B199" s="40">
        <f>VLOOKUP(Table9[[#This Row],[Date]],'DB Details'!$A:$L,12)</f>
        <v/>
      </c>
      <c r="C199" s="40">
        <f>Table9[[#This Row],[PMI]]-B198</f>
        <v/>
      </c>
    </row>
    <row r="200">
      <c r="A200" s="39" t="n">
        <v>23437</v>
      </c>
      <c r="B200" s="40">
        <f>VLOOKUP(Table9[[#This Row],[Date]],'DB Details'!$A:$L,12)</f>
        <v/>
      </c>
      <c r="C200" s="40">
        <f>Table9[[#This Row],[PMI]]-B199</f>
        <v/>
      </c>
    </row>
    <row r="201">
      <c r="A201" s="39" t="n">
        <v>23468</v>
      </c>
      <c r="B201" s="40">
        <f>VLOOKUP(Table9[[#This Row],[Date]],'DB Details'!$A:$L,12)</f>
        <v/>
      </c>
      <c r="C201" s="40">
        <f>Table9[[#This Row],[PMI]]-B200</f>
        <v/>
      </c>
    </row>
    <row r="202">
      <c r="A202" s="39" t="n">
        <v>23498</v>
      </c>
      <c r="B202" s="40">
        <f>VLOOKUP(Table9[[#This Row],[Date]],'DB Details'!$A:$L,12)</f>
        <v/>
      </c>
      <c r="C202" s="40">
        <f>Table9[[#This Row],[PMI]]-B201</f>
        <v/>
      </c>
    </row>
    <row r="203">
      <c r="A203" s="39" t="n">
        <v>23529</v>
      </c>
      <c r="B203" s="40">
        <f>VLOOKUP(Table9[[#This Row],[Date]],'DB Details'!$A:$L,12)</f>
        <v/>
      </c>
      <c r="C203" s="40">
        <f>Table9[[#This Row],[PMI]]-B202</f>
        <v/>
      </c>
    </row>
    <row r="204">
      <c r="A204" s="39" t="n">
        <v>23559</v>
      </c>
      <c r="B204" s="40">
        <f>VLOOKUP(Table9[[#This Row],[Date]],'DB Details'!$A:$L,12)</f>
        <v/>
      </c>
      <c r="C204" s="40">
        <f>Table9[[#This Row],[PMI]]-B203</f>
        <v/>
      </c>
    </row>
    <row r="205">
      <c r="A205" s="39" t="n">
        <v>23590</v>
      </c>
      <c r="B205" s="40">
        <f>VLOOKUP(Table9[[#This Row],[Date]],'DB Details'!$A:$L,12)</f>
        <v/>
      </c>
      <c r="C205" s="40">
        <f>Table9[[#This Row],[PMI]]-B204</f>
        <v/>
      </c>
    </row>
    <row r="206">
      <c r="A206" s="39" t="n">
        <v>23621</v>
      </c>
      <c r="B206" s="40">
        <f>VLOOKUP(Table9[[#This Row],[Date]],'DB Details'!$A:$L,12)</f>
        <v/>
      </c>
      <c r="C206" s="40">
        <f>Table9[[#This Row],[PMI]]-B205</f>
        <v/>
      </c>
    </row>
    <row r="207">
      <c r="A207" s="39" t="n">
        <v>23651</v>
      </c>
      <c r="B207" s="40">
        <f>VLOOKUP(Table9[[#This Row],[Date]],'DB Details'!$A:$L,12)</f>
        <v/>
      </c>
      <c r="C207" s="40">
        <f>Table9[[#This Row],[PMI]]-B206</f>
        <v/>
      </c>
    </row>
    <row r="208">
      <c r="A208" s="39" t="n">
        <v>23682</v>
      </c>
      <c r="B208" s="40">
        <f>VLOOKUP(Table9[[#This Row],[Date]],'DB Details'!$A:$L,12)</f>
        <v/>
      </c>
      <c r="C208" s="40">
        <f>Table9[[#This Row],[PMI]]-B207</f>
        <v/>
      </c>
    </row>
    <row r="209">
      <c r="A209" s="39" t="n">
        <v>23712</v>
      </c>
      <c r="B209" s="40">
        <f>VLOOKUP(Table9[[#This Row],[Date]],'DB Details'!$A:$L,12)</f>
        <v/>
      </c>
      <c r="C209" s="40">
        <f>Table9[[#This Row],[PMI]]-B208</f>
        <v/>
      </c>
    </row>
    <row r="210">
      <c r="A210" s="39" t="n">
        <v>23743</v>
      </c>
      <c r="B210" s="40">
        <f>VLOOKUP(Table9[[#This Row],[Date]],'DB Details'!$A:$L,12)</f>
        <v/>
      </c>
      <c r="C210" s="40">
        <f>Table9[[#This Row],[PMI]]-B209</f>
        <v/>
      </c>
    </row>
    <row r="211">
      <c r="A211" s="39" t="n">
        <v>23774</v>
      </c>
      <c r="B211" s="40">
        <f>VLOOKUP(Table9[[#This Row],[Date]],'DB Details'!$A:$L,12)</f>
        <v/>
      </c>
      <c r="C211" s="40">
        <f>Table9[[#This Row],[PMI]]-B210</f>
        <v/>
      </c>
    </row>
    <row r="212">
      <c r="A212" s="39" t="n">
        <v>23802</v>
      </c>
      <c r="B212" s="40">
        <f>VLOOKUP(Table9[[#This Row],[Date]],'DB Details'!$A:$L,12)</f>
        <v/>
      </c>
      <c r="C212" s="40">
        <f>Table9[[#This Row],[PMI]]-B211</f>
        <v/>
      </c>
    </row>
    <row r="213">
      <c r="A213" s="39" t="n">
        <v>23833</v>
      </c>
      <c r="B213" s="40">
        <f>VLOOKUP(Table9[[#This Row],[Date]],'DB Details'!$A:$L,12)</f>
        <v/>
      </c>
      <c r="C213" s="40">
        <f>Table9[[#This Row],[PMI]]-B212</f>
        <v/>
      </c>
    </row>
    <row r="214">
      <c r="A214" s="39" t="n">
        <v>23863</v>
      </c>
      <c r="B214" s="40">
        <f>VLOOKUP(Table9[[#This Row],[Date]],'DB Details'!$A:$L,12)</f>
        <v/>
      </c>
      <c r="C214" s="40">
        <f>Table9[[#This Row],[PMI]]-B213</f>
        <v/>
      </c>
    </row>
    <row r="215">
      <c r="A215" s="39" t="n">
        <v>23894</v>
      </c>
      <c r="B215" s="40">
        <f>VLOOKUP(Table9[[#This Row],[Date]],'DB Details'!$A:$L,12)</f>
        <v/>
      </c>
      <c r="C215" s="40">
        <f>Table9[[#This Row],[PMI]]-B214</f>
        <v/>
      </c>
    </row>
    <row r="216">
      <c r="A216" s="39" t="n">
        <v>23924</v>
      </c>
      <c r="B216" s="40">
        <f>VLOOKUP(Table9[[#This Row],[Date]],'DB Details'!$A:$L,12)</f>
        <v/>
      </c>
      <c r="C216" s="40">
        <f>Table9[[#This Row],[PMI]]-B215</f>
        <v/>
      </c>
    </row>
    <row r="217">
      <c r="A217" s="39" t="n">
        <v>23955</v>
      </c>
      <c r="B217" s="40">
        <f>VLOOKUP(Table9[[#This Row],[Date]],'DB Details'!$A:$L,12)</f>
        <v/>
      </c>
      <c r="C217" s="40">
        <f>Table9[[#This Row],[PMI]]-B216</f>
        <v/>
      </c>
    </row>
    <row r="218">
      <c r="A218" s="39" t="n">
        <v>23986</v>
      </c>
      <c r="B218" s="40">
        <f>VLOOKUP(Table9[[#This Row],[Date]],'DB Details'!$A:$L,12)</f>
        <v/>
      </c>
      <c r="C218" s="40">
        <f>Table9[[#This Row],[PMI]]-B217</f>
        <v/>
      </c>
    </row>
    <row r="219">
      <c r="A219" s="39" t="n">
        <v>24016</v>
      </c>
      <c r="B219" s="40">
        <f>VLOOKUP(Table9[[#This Row],[Date]],'DB Details'!$A:$L,12)</f>
        <v/>
      </c>
      <c r="C219" s="40">
        <f>Table9[[#This Row],[PMI]]-B218</f>
        <v/>
      </c>
    </row>
    <row r="220">
      <c r="A220" s="39" t="n">
        <v>24047</v>
      </c>
      <c r="B220" s="40">
        <f>VLOOKUP(Table9[[#This Row],[Date]],'DB Details'!$A:$L,12)</f>
        <v/>
      </c>
      <c r="C220" s="40">
        <f>Table9[[#This Row],[PMI]]-B219</f>
        <v/>
      </c>
    </row>
    <row r="221">
      <c r="A221" s="39" t="n">
        <v>24077</v>
      </c>
      <c r="B221" s="40">
        <f>VLOOKUP(Table9[[#This Row],[Date]],'DB Details'!$A:$L,12)</f>
        <v/>
      </c>
      <c r="C221" s="40">
        <f>Table9[[#This Row],[PMI]]-B220</f>
        <v/>
      </c>
    </row>
    <row r="222">
      <c r="A222" s="39" t="n">
        <v>24108</v>
      </c>
      <c r="B222" s="40">
        <f>VLOOKUP(Table9[[#This Row],[Date]],'DB Details'!$A:$L,12)</f>
        <v/>
      </c>
      <c r="C222" s="40">
        <f>Table9[[#This Row],[PMI]]-B221</f>
        <v/>
      </c>
    </row>
    <row r="223">
      <c r="A223" s="39" t="n">
        <v>24139</v>
      </c>
      <c r="B223" s="40">
        <f>VLOOKUP(Table9[[#This Row],[Date]],'DB Details'!$A:$L,12)</f>
        <v/>
      </c>
      <c r="C223" s="40">
        <f>Table9[[#This Row],[PMI]]-B222</f>
        <v/>
      </c>
    </row>
    <row r="224">
      <c r="A224" s="39" t="n">
        <v>24167</v>
      </c>
      <c r="B224" s="40">
        <f>VLOOKUP(Table9[[#This Row],[Date]],'DB Details'!$A:$L,12)</f>
        <v/>
      </c>
      <c r="C224" s="40">
        <f>Table9[[#This Row],[PMI]]-B223</f>
        <v/>
      </c>
    </row>
    <row r="225">
      <c r="A225" s="39" t="n">
        <v>24198</v>
      </c>
      <c r="B225" s="40">
        <f>VLOOKUP(Table9[[#This Row],[Date]],'DB Details'!$A:$L,12)</f>
        <v/>
      </c>
      <c r="C225" s="40">
        <f>Table9[[#This Row],[PMI]]-B224</f>
        <v/>
      </c>
    </row>
    <row r="226">
      <c r="A226" s="39" t="n">
        <v>24228</v>
      </c>
      <c r="B226" s="40">
        <f>VLOOKUP(Table9[[#This Row],[Date]],'DB Details'!$A:$L,12)</f>
        <v/>
      </c>
      <c r="C226" s="40">
        <f>Table9[[#This Row],[PMI]]-B225</f>
        <v/>
      </c>
    </row>
    <row r="227">
      <c r="A227" s="39" t="n">
        <v>24259</v>
      </c>
      <c r="B227" s="40">
        <f>VLOOKUP(Table9[[#This Row],[Date]],'DB Details'!$A:$L,12)</f>
        <v/>
      </c>
      <c r="C227" s="40">
        <f>Table9[[#This Row],[PMI]]-B226</f>
        <v/>
      </c>
    </row>
    <row r="228">
      <c r="A228" s="39" t="n">
        <v>24289</v>
      </c>
      <c r="B228" s="40">
        <f>VLOOKUP(Table9[[#This Row],[Date]],'DB Details'!$A:$L,12)</f>
        <v/>
      </c>
      <c r="C228" s="40">
        <f>Table9[[#This Row],[PMI]]-B227</f>
        <v/>
      </c>
    </row>
    <row r="229">
      <c r="A229" s="39" t="n">
        <v>24320</v>
      </c>
      <c r="B229" s="40">
        <f>VLOOKUP(Table9[[#This Row],[Date]],'DB Details'!$A:$L,12)</f>
        <v/>
      </c>
      <c r="C229" s="40">
        <f>Table9[[#This Row],[PMI]]-B228</f>
        <v/>
      </c>
    </row>
    <row r="230">
      <c r="A230" s="39" t="n">
        <v>24351</v>
      </c>
      <c r="B230" s="40">
        <f>VLOOKUP(Table9[[#This Row],[Date]],'DB Details'!$A:$L,12)</f>
        <v/>
      </c>
      <c r="C230" s="40">
        <f>Table9[[#This Row],[PMI]]-B229</f>
        <v/>
      </c>
    </row>
    <row r="231">
      <c r="A231" s="39" t="n">
        <v>24381</v>
      </c>
      <c r="B231" s="40">
        <f>VLOOKUP(Table9[[#This Row],[Date]],'DB Details'!$A:$L,12)</f>
        <v/>
      </c>
      <c r="C231" s="40">
        <f>Table9[[#This Row],[PMI]]-B230</f>
        <v/>
      </c>
    </row>
    <row r="232">
      <c r="A232" s="39" t="n">
        <v>24412</v>
      </c>
      <c r="B232" s="40">
        <f>VLOOKUP(Table9[[#This Row],[Date]],'DB Details'!$A:$L,12)</f>
        <v/>
      </c>
      <c r="C232" s="40">
        <f>Table9[[#This Row],[PMI]]-B231</f>
        <v/>
      </c>
    </row>
    <row r="233">
      <c r="A233" s="39" t="n">
        <v>24442</v>
      </c>
      <c r="B233" s="40">
        <f>VLOOKUP(Table9[[#This Row],[Date]],'DB Details'!$A:$L,12)</f>
        <v/>
      </c>
      <c r="C233" s="40">
        <f>Table9[[#This Row],[PMI]]-B232</f>
        <v/>
      </c>
    </row>
    <row r="234">
      <c r="A234" s="39" t="n">
        <v>24473</v>
      </c>
      <c r="B234" s="40">
        <f>VLOOKUP(Table9[[#This Row],[Date]],'DB Details'!$A:$L,12)</f>
        <v/>
      </c>
      <c r="C234" s="40">
        <f>Table9[[#This Row],[PMI]]-B233</f>
        <v/>
      </c>
    </row>
    <row r="235">
      <c r="A235" s="39" t="n">
        <v>24504</v>
      </c>
      <c r="B235" s="40">
        <f>VLOOKUP(Table9[[#This Row],[Date]],'DB Details'!$A:$L,12)</f>
        <v/>
      </c>
      <c r="C235" s="40">
        <f>Table9[[#This Row],[PMI]]-B234</f>
        <v/>
      </c>
    </row>
    <row r="236">
      <c r="A236" s="39" t="n">
        <v>24532</v>
      </c>
      <c r="B236" s="40">
        <f>VLOOKUP(Table9[[#This Row],[Date]],'DB Details'!$A:$L,12)</f>
        <v/>
      </c>
      <c r="C236" s="40">
        <f>Table9[[#This Row],[PMI]]-B235</f>
        <v/>
      </c>
    </row>
    <row r="237">
      <c r="A237" s="39" t="n">
        <v>24563</v>
      </c>
      <c r="B237" s="40">
        <f>VLOOKUP(Table9[[#This Row],[Date]],'DB Details'!$A:$L,12)</f>
        <v/>
      </c>
      <c r="C237" s="40">
        <f>Table9[[#This Row],[PMI]]-B236</f>
        <v/>
      </c>
    </row>
    <row r="238">
      <c r="A238" s="39" t="n">
        <v>24593</v>
      </c>
      <c r="B238" s="40">
        <f>VLOOKUP(Table9[[#This Row],[Date]],'DB Details'!$A:$L,12)</f>
        <v/>
      </c>
      <c r="C238" s="40">
        <f>Table9[[#This Row],[PMI]]-B237</f>
        <v/>
      </c>
    </row>
    <row r="239">
      <c r="A239" s="39" t="n">
        <v>24624</v>
      </c>
      <c r="B239" s="40">
        <f>VLOOKUP(Table9[[#This Row],[Date]],'DB Details'!$A:$L,12)</f>
        <v/>
      </c>
      <c r="C239" s="40">
        <f>Table9[[#This Row],[PMI]]-B238</f>
        <v/>
      </c>
    </row>
    <row r="240">
      <c r="A240" s="39" t="n">
        <v>24654</v>
      </c>
      <c r="B240" s="40">
        <f>VLOOKUP(Table9[[#This Row],[Date]],'DB Details'!$A:$L,12)</f>
        <v/>
      </c>
      <c r="C240" s="40">
        <f>Table9[[#This Row],[PMI]]-B239</f>
        <v/>
      </c>
    </row>
    <row r="241">
      <c r="A241" s="39" t="n">
        <v>24685</v>
      </c>
      <c r="B241" s="40">
        <f>VLOOKUP(Table9[[#This Row],[Date]],'DB Details'!$A:$L,12)</f>
        <v/>
      </c>
      <c r="C241" s="40">
        <f>Table9[[#This Row],[PMI]]-B240</f>
        <v/>
      </c>
    </row>
    <row r="242">
      <c r="A242" s="39" t="n">
        <v>24716</v>
      </c>
      <c r="B242" s="40">
        <f>VLOOKUP(Table9[[#This Row],[Date]],'DB Details'!$A:$L,12)</f>
        <v/>
      </c>
      <c r="C242" s="40">
        <f>Table9[[#This Row],[PMI]]-B241</f>
        <v/>
      </c>
    </row>
    <row r="243">
      <c r="A243" s="39" t="n">
        <v>24746</v>
      </c>
      <c r="B243" s="40">
        <f>VLOOKUP(Table9[[#This Row],[Date]],'DB Details'!$A:$L,12)</f>
        <v/>
      </c>
      <c r="C243" s="40">
        <f>Table9[[#This Row],[PMI]]-B242</f>
        <v/>
      </c>
    </row>
    <row r="244">
      <c r="A244" s="39" t="n">
        <v>24777</v>
      </c>
      <c r="B244" s="40">
        <f>VLOOKUP(Table9[[#This Row],[Date]],'DB Details'!$A:$L,12)</f>
        <v/>
      </c>
      <c r="C244" s="40">
        <f>Table9[[#This Row],[PMI]]-B243</f>
        <v/>
      </c>
    </row>
    <row r="245">
      <c r="A245" s="39" t="n">
        <v>24807</v>
      </c>
      <c r="B245" s="40">
        <f>VLOOKUP(Table9[[#This Row],[Date]],'DB Details'!$A:$L,12)</f>
        <v/>
      </c>
      <c r="C245" s="40">
        <f>Table9[[#This Row],[PMI]]-B244</f>
        <v/>
      </c>
    </row>
    <row r="246">
      <c r="A246" s="39" t="n">
        <v>24838</v>
      </c>
      <c r="B246" s="40">
        <f>VLOOKUP(Table9[[#This Row],[Date]],'DB Details'!$A:$L,12)</f>
        <v/>
      </c>
      <c r="C246" s="40">
        <f>Table9[[#This Row],[PMI]]-B245</f>
        <v/>
      </c>
      <c r="J246" s="4" t="n"/>
    </row>
    <row r="247">
      <c r="A247" s="39" t="n">
        <v>24869</v>
      </c>
      <c r="B247" s="40">
        <f>VLOOKUP(Table9[[#This Row],[Date]],'DB Details'!$A:$L,12)</f>
        <v/>
      </c>
      <c r="C247" s="40">
        <f>Table9[[#This Row],[PMI]]-B246</f>
        <v/>
      </c>
      <c r="J247" s="4" t="n"/>
    </row>
    <row r="248">
      <c r="A248" s="39" t="n">
        <v>24898</v>
      </c>
      <c r="B248" s="40">
        <f>VLOOKUP(Table9[[#This Row],[Date]],'DB Details'!$A:$L,12)</f>
        <v/>
      </c>
      <c r="C248" s="40">
        <f>Table9[[#This Row],[PMI]]-B247</f>
        <v/>
      </c>
      <c r="J248" s="4" t="n"/>
    </row>
    <row r="249">
      <c r="A249" s="39" t="n">
        <v>24929</v>
      </c>
      <c r="B249" s="40">
        <f>VLOOKUP(Table9[[#This Row],[Date]],'DB Details'!$A:$L,12)</f>
        <v/>
      </c>
      <c r="C249" s="40">
        <f>Table9[[#This Row],[PMI]]-B248</f>
        <v/>
      </c>
      <c r="J249" s="4" t="n"/>
    </row>
    <row r="250">
      <c r="A250" s="39" t="n">
        <v>24959</v>
      </c>
      <c r="B250" s="40">
        <f>VLOOKUP(Table9[[#This Row],[Date]],'DB Details'!$A:$L,12)</f>
        <v/>
      </c>
      <c r="C250" s="40">
        <f>Table9[[#This Row],[PMI]]-B249</f>
        <v/>
      </c>
      <c r="J250" s="4" t="n"/>
    </row>
    <row r="251">
      <c r="A251" s="39" t="n">
        <v>24990</v>
      </c>
      <c r="B251" s="40">
        <f>VLOOKUP(Table9[[#This Row],[Date]],'DB Details'!$A:$L,12)</f>
        <v/>
      </c>
      <c r="C251" s="40">
        <f>Table9[[#This Row],[PMI]]-B250</f>
        <v/>
      </c>
      <c r="J251" s="4" t="n"/>
    </row>
    <row r="252">
      <c r="A252" s="39" t="n">
        <v>25020</v>
      </c>
      <c r="B252" s="40">
        <f>VLOOKUP(Table9[[#This Row],[Date]],'DB Details'!$A:$L,12)</f>
        <v/>
      </c>
      <c r="C252" s="40">
        <f>Table9[[#This Row],[PMI]]-B251</f>
        <v/>
      </c>
      <c r="J252" s="4" t="n"/>
    </row>
    <row r="253">
      <c r="A253" s="39" t="n">
        <v>25051</v>
      </c>
      <c r="B253" s="40">
        <f>VLOOKUP(Table9[[#This Row],[Date]],'DB Details'!$A:$L,12)</f>
        <v/>
      </c>
      <c r="C253" s="40">
        <f>Table9[[#This Row],[PMI]]-B252</f>
        <v/>
      </c>
      <c r="J253" s="4" t="n"/>
    </row>
    <row r="254">
      <c r="A254" s="39" t="n">
        <v>25082</v>
      </c>
      <c r="B254" s="40">
        <f>VLOOKUP(Table9[[#This Row],[Date]],'DB Details'!$A:$L,12)</f>
        <v/>
      </c>
      <c r="C254" s="40">
        <f>Table9[[#This Row],[PMI]]-B253</f>
        <v/>
      </c>
      <c r="J254" s="4" t="n"/>
    </row>
    <row r="255">
      <c r="A255" s="39" t="n">
        <v>25112</v>
      </c>
      <c r="B255" s="40">
        <f>VLOOKUP(Table9[[#This Row],[Date]],'DB Details'!$A:$L,12)</f>
        <v/>
      </c>
      <c r="C255" s="40">
        <f>Table9[[#This Row],[PMI]]-B254</f>
        <v/>
      </c>
      <c r="J255" s="4" t="n"/>
    </row>
    <row r="256">
      <c r="A256" s="39" t="n">
        <v>25143</v>
      </c>
      <c r="B256" s="40">
        <f>VLOOKUP(Table9[[#This Row],[Date]],'DB Details'!$A:$L,12)</f>
        <v/>
      </c>
      <c r="C256" s="40">
        <f>Table9[[#This Row],[PMI]]-B255</f>
        <v/>
      </c>
      <c r="J256" s="4" t="n"/>
    </row>
    <row r="257">
      <c r="A257" s="39" t="n">
        <v>25173</v>
      </c>
      <c r="B257" s="40">
        <f>VLOOKUP(Table9[[#This Row],[Date]],'DB Details'!$A:$L,12)</f>
        <v/>
      </c>
      <c r="C257" s="40">
        <f>Table9[[#This Row],[PMI]]-B256</f>
        <v/>
      </c>
      <c r="J257" s="4" t="n"/>
    </row>
    <row r="258">
      <c r="A258" s="39" t="n">
        <v>25204</v>
      </c>
      <c r="B258" s="40">
        <f>VLOOKUP(Table9[[#This Row],[Date]],'DB Details'!$A:$L,12)</f>
        <v/>
      </c>
      <c r="C258" s="40">
        <f>Table9[[#This Row],[PMI]]-B257</f>
        <v/>
      </c>
      <c r="J258" s="4" t="n"/>
    </row>
    <row r="259">
      <c r="A259" s="39" t="n">
        <v>25235</v>
      </c>
      <c r="B259" s="40">
        <f>VLOOKUP(Table9[[#This Row],[Date]],'DB Details'!$A:$L,12)</f>
        <v/>
      </c>
      <c r="C259" s="40">
        <f>Table9[[#This Row],[PMI]]-B258</f>
        <v/>
      </c>
      <c r="J259" s="4" t="n"/>
    </row>
    <row r="260">
      <c r="A260" s="39" t="n">
        <v>25263</v>
      </c>
      <c r="B260" s="40">
        <f>VLOOKUP(Table9[[#This Row],[Date]],'DB Details'!$A:$L,12)</f>
        <v/>
      </c>
      <c r="C260" s="40">
        <f>Table9[[#This Row],[PMI]]-B259</f>
        <v/>
      </c>
      <c r="J260" s="4" t="n"/>
    </row>
    <row r="261">
      <c r="A261" s="39" t="n">
        <v>25294</v>
      </c>
      <c r="B261" s="40">
        <f>VLOOKUP(Table9[[#This Row],[Date]],'DB Details'!$A:$L,12)</f>
        <v/>
      </c>
      <c r="C261" s="40">
        <f>Table9[[#This Row],[PMI]]-B260</f>
        <v/>
      </c>
      <c r="J261" s="4" t="n"/>
    </row>
    <row r="262">
      <c r="A262" s="39" t="n">
        <v>25324</v>
      </c>
      <c r="B262" s="40">
        <f>VLOOKUP(Table9[[#This Row],[Date]],'DB Details'!$A:$L,12)</f>
        <v/>
      </c>
      <c r="C262" s="40">
        <f>Table9[[#This Row],[PMI]]-B261</f>
        <v/>
      </c>
      <c r="J262" s="4" t="n"/>
    </row>
    <row r="263">
      <c r="A263" s="39" t="n">
        <v>25355</v>
      </c>
      <c r="B263" s="40">
        <f>VLOOKUP(Table9[[#This Row],[Date]],'DB Details'!$A:$L,12)</f>
        <v/>
      </c>
      <c r="C263" s="40">
        <f>Table9[[#This Row],[PMI]]-B262</f>
        <v/>
      </c>
      <c r="J263" s="4" t="n"/>
    </row>
    <row r="264">
      <c r="A264" s="39" t="n">
        <v>25385</v>
      </c>
      <c r="B264" s="40">
        <f>VLOOKUP(Table9[[#This Row],[Date]],'DB Details'!$A:$L,12)</f>
        <v/>
      </c>
      <c r="C264" s="40">
        <f>Table9[[#This Row],[PMI]]-B263</f>
        <v/>
      </c>
      <c r="J264" s="4" t="n"/>
    </row>
    <row r="265">
      <c r="A265" s="39" t="n">
        <v>25416</v>
      </c>
      <c r="B265" s="40">
        <f>VLOOKUP(Table9[[#This Row],[Date]],'DB Details'!$A:$L,12)</f>
        <v/>
      </c>
      <c r="C265" s="40">
        <f>Table9[[#This Row],[PMI]]-B264</f>
        <v/>
      </c>
      <c r="J265" s="4" t="n"/>
    </row>
    <row r="266">
      <c r="A266" s="39" t="n">
        <v>25447</v>
      </c>
      <c r="B266" s="40">
        <f>VLOOKUP(Table9[[#This Row],[Date]],'DB Details'!$A:$L,12)</f>
        <v/>
      </c>
      <c r="C266" s="40">
        <f>Table9[[#This Row],[PMI]]-B265</f>
        <v/>
      </c>
      <c r="J266" s="4" t="n"/>
    </row>
    <row r="267">
      <c r="A267" s="39" t="n">
        <v>25477</v>
      </c>
      <c r="B267" s="40">
        <f>VLOOKUP(Table9[[#This Row],[Date]],'DB Details'!$A:$L,12)</f>
        <v/>
      </c>
      <c r="C267" s="40">
        <f>Table9[[#This Row],[PMI]]-B266</f>
        <v/>
      </c>
      <c r="J267" s="4" t="n"/>
    </row>
    <row r="268">
      <c r="A268" s="39" t="n">
        <v>25508</v>
      </c>
      <c r="B268" s="40">
        <f>VLOOKUP(Table9[[#This Row],[Date]],'DB Details'!$A:$L,12)</f>
        <v/>
      </c>
      <c r="C268" s="40">
        <f>Table9[[#This Row],[PMI]]-B267</f>
        <v/>
      </c>
      <c r="J268" s="4" t="n"/>
    </row>
    <row r="269">
      <c r="A269" s="39" t="n">
        <v>25538</v>
      </c>
      <c r="B269" s="40">
        <f>VLOOKUP(Table9[[#This Row],[Date]],'DB Details'!$A:$L,12)</f>
        <v/>
      </c>
      <c r="C269" s="40">
        <f>Table9[[#This Row],[PMI]]-B268</f>
        <v/>
      </c>
      <c r="J269" s="4" t="n"/>
    </row>
    <row r="270">
      <c r="A270" s="39" t="n">
        <v>25569</v>
      </c>
      <c r="B270" s="40">
        <f>VLOOKUP(Table9[[#This Row],[Date]],'DB Details'!$A:$L,12)</f>
        <v/>
      </c>
      <c r="C270" s="40">
        <f>Table9[[#This Row],[PMI]]-B269</f>
        <v/>
      </c>
      <c r="J270" s="4" t="n"/>
    </row>
    <row r="271">
      <c r="A271" s="39" t="n">
        <v>25600</v>
      </c>
      <c r="B271" s="40">
        <f>VLOOKUP(Table9[[#This Row],[Date]],'DB Details'!$A:$L,12)</f>
        <v/>
      </c>
      <c r="C271" s="40">
        <f>Table9[[#This Row],[PMI]]-B270</f>
        <v/>
      </c>
      <c r="J271" s="4" t="n"/>
    </row>
    <row r="272">
      <c r="A272" s="39" t="n">
        <v>25628</v>
      </c>
      <c r="B272" s="40">
        <f>VLOOKUP(Table9[[#This Row],[Date]],'DB Details'!$A:$L,12)</f>
        <v/>
      </c>
      <c r="C272" s="40">
        <f>Table9[[#This Row],[PMI]]-B271</f>
        <v/>
      </c>
      <c r="J272" s="4" t="n"/>
    </row>
    <row r="273">
      <c r="A273" s="39" t="n">
        <v>25659</v>
      </c>
      <c r="B273" s="40">
        <f>VLOOKUP(Table9[[#This Row],[Date]],'DB Details'!$A:$L,12)</f>
        <v/>
      </c>
      <c r="C273" s="40">
        <f>Table9[[#This Row],[PMI]]-B272</f>
        <v/>
      </c>
      <c r="J273" s="4" t="n"/>
    </row>
    <row r="274">
      <c r="A274" s="39" t="n">
        <v>25689</v>
      </c>
      <c r="B274" s="40">
        <f>VLOOKUP(Table9[[#This Row],[Date]],'DB Details'!$A:$L,12)</f>
        <v/>
      </c>
      <c r="C274" s="40">
        <f>Table9[[#This Row],[PMI]]-B273</f>
        <v/>
      </c>
      <c r="J274" s="4" t="n"/>
    </row>
    <row r="275">
      <c r="A275" s="39" t="n">
        <v>25720</v>
      </c>
      <c r="B275" s="40">
        <f>VLOOKUP(Table9[[#This Row],[Date]],'DB Details'!$A:$L,12)</f>
        <v/>
      </c>
      <c r="C275" s="40">
        <f>Table9[[#This Row],[PMI]]-B274</f>
        <v/>
      </c>
      <c r="J275" s="4" t="n"/>
    </row>
    <row r="276">
      <c r="A276" s="39" t="n">
        <v>25750</v>
      </c>
      <c r="B276" s="40">
        <f>VLOOKUP(Table9[[#This Row],[Date]],'DB Details'!$A:$L,12)</f>
        <v/>
      </c>
      <c r="C276" s="40">
        <f>Table9[[#This Row],[PMI]]-B275</f>
        <v/>
      </c>
      <c r="J276" s="4" t="n"/>
    </row>
    <row r="277">
      <c r="A277" s="39" t="n">
        <v>25781</v>
      </c>
      <c r="B277" s="40">
        <f>VLOOKUP(Table9[[#This Row],[Date]],'DB Details'!$A:$L,12)</f>
        <v/>
      </c>
      <c r="C277" s="40">
        <f>Table9[[#This Row],[PMI]]-B276</f>
        <v/>
      </c>
      <c r="J277" s="4" t="n"/>
    </row>
    <row r="278">
      <c r="A278" s="39" t="n">
        <v>25812</v>
      </c>
      <c r="B278" s="40">
        <f>VLOOKUP(Table9[[#This Row],[Date]],'DB Details'!$A:$L,12)</f>
        <v/>
      </c>
      <c r="C278" s="40">
        <f>Table9[[#This Row],[PMI]]-B277</f>
        <v/>
      </c>
      <c r="J278" s="4" t="n"/>
    </row>
    <row r="279">
      <c r="A279" s="39" t="n">
        <v>25842</v>
      </c>
      <c r="B279" s="40">
        <f>VLOOKUP(Table9[[#This Row],[Date]],'DB Details'!$A:$L,12)</f>
        <v/>
      </c>
      <c r="C279" s="40">
        <f>Table9[[#This Row],[PMI]]-B278</f>
        <v/>
      </c>
      <c r="J279" s="4" t="n"/>
    </row>
    <row r="280">
      <c r="A280" s="39" t="n">
        <v>25873</v>
      </c>
      <c r="B280" s="40">
        <f>VLOOKUP(Table9[[#This Row],[Date]],'DB Details'!$A:$L,12)</f>
        <v/>
      </c>
      <c r="C280" s="40">
        <f>Table9[[#This Row],[PMI]]-B279</f>
        <v/>
      </c>
      <c r="J280" s="4" t="n"/>
    </row>
    <row r="281">
      <c r="A281" s="39" t="n">
        <v>25903</v>
      </c>
      <c r="B281" s="40">
        <f>VLOOKUP(Table9[[#This Row],[Date]],'DB Details'!$A:$L,12)</f>
        <v/>
      </c>
      <c r="C281" s="40">
        <f>Table9[[#This Row],[PMI]]-B280</f>
        <v/>
      </c>
      <c r="J281" s="4" t="n"/>
    </row>
    <row r="282">
      <c r="A282" s="39" t="n">
        <v>25934</v>
      </c>
      <c r="B282" s="40">
        <f>VLOOKUP(Table9[[#This Row],[Date]],'DB Details'!$A:$L,12)</f>
        <v/>
      </c>
      <c r="C282" s="40">
        <f>Table9[[#This Row],[PMI]]-B281</f>
        <v/>
      </c>
      <c r="J282" s="4" t="n"/>
    </row>
    <row r="283">
      <c r="A283" s="39" t="n">
        <v>25965</v>
      </c>
      <c r="B283" s="40">
        <f>VLOOKUP(Table9[[#This Row],[Date]],'DB Details'!$A:$L,12)</f>
        <v/>
      </c>
      <c r="C283" s="40">
        <f>Table9[[#This Row],[PMI]]-B282</f>
        <v/>
      </c>
      <c r="J283" s="4" t="n"/>
    </row>
    <row r="284">
      <c r="A284" s="39" t="n">
        <v>25993</v>
      </c>
      <c r="B284" s="40">
        <f>VLOOKUP(Table9[[#This Row],[Date]],'DB Details'!$A:$L,12)</f>
        <v/>
      </c>
      <c r="C284" s="40">
        <f>Table9[[#This Row],[PMI]]-B283</f>
        <v/>
      </c>
      <c r="J284" s="4" t="n"/>
    </row>
    <row r="285">
      <c r="A285" s="39" t="n">
        <v>26024</v>
      </c>
      <c r="B285" s="40">
        <f>VLOOKUP(Table9[[#This Row],[Date]],'DB Details'!$A:$L,12)</f>
        <v/>
      </c>
      <c r="C285" s="40">
        <f>Table9[[#This Row],[PMI]]-B284</f>
        <v/>
      </c>
      <c r="J285" s="4" t="n"/>
    </row>
    <row r="286">
      <c r="A286" s="39" t="n">
        <v>26054</v>
      </c>
      <c r="B286" s="40">
        <f>VLOOKUP(Table9[[#This Row],[Date]],'DB Details'!$A:$L,12)</f>
        <v/>
      </c>
      <c r="C286" s="40">
        <f>Table9[[#This Row],[PMI]]-B285</f>
        <v/>
      </c>
      <c r="J286" s="4" t="n"/>
    </row>
    <row r="287">
      <c r="A287" s="39" t="n">
        <v>26085</v>
      </c>
      <c r="B287" s="40">
        <f>VLOOKUP(Table9[[#This Row],[Date]],'DB Details'!$A:$L,12)</f>
        <v/>
      </c>
      <c r="C287" s="40">
        <f>Table9[[#This Row],[PMI]]-B286</f>
        <v/>
      </c>
      <c r="J287" s="4" t="n"/>
    </row>
    <row r="288">
      <c r="A288" s="39" t="n">
        <v>26115</v>
      </c>
      <c r="B288" s="40">
        <f>VLOOKUP(Table9[[#This Row],[Date]],'DB Details'!$A:$L,12)</f>
        <v/>
      </c>
      <c r="C288" s="40">
        <f>Table9[[#This Row],[PMI]]-B287</f>
        <v/>
      </c>
      <c r="J288" s="4" t="n"/>
    </row>
    <row r="289">
      <c r="A289" s="39" t="n">
        <v>26146</v>
      </c>
      <c r="B289" s="40">
        <f>VLOOKUP(Table9[[#This Row],[Date]],'DB Details'!$A:$L,12)</f>
        <v/>
      </c>
      <c r="C289" s="40">
        <f>Table9[[#This Row],[PMI]]-B288</f>
        <v/>
      </c>
      <c r="J289" s="4" t="n"/>
    </row>
    <row r="290">
      <c r="A290" s="39" t="n">
        <v>26177</v>
      </c>
      <c r="B290" s="40">
        <f>VLOOKUP(Table9[[#This Row],[Date]],'DB Details'!$A:$L,12)</f>
        <v/>
      </c>
      <c r="C290" s="40">
        <f>Table9[[#This Row],[PMI]]-B289</f>
        <v/>
      </c>
      <c r="J290" s="4" t="n"/>
    </row>
    <row r="291">
      <c r="A291" s="39" t="n">
        <v>26207</v>
      </c>
      <c r="B291" s="40">
        <f>VLOOKUP(Table9[[#This Row],[Date]],'DB Details'!$A:$L,12)</f>
        <v/>
      </c>
      <c r="C291" s="40">
        <f>Table9[[#This Row],[PMI]]-B290</f>
        <v/>
      </c>
      <c r="J291" s="4" t="n"/>
    </row>
    <row r="292">
      <c r="A292" s="39" t="n">
        <v>26238</v>
      </c>
      <c r="B292" s="40">
        <f>VLOOKUP(Table9[[#This Row],[Date]],'DB Details'!$A:$L,12)</f>
        <v/>
      </c>
      <c r="C292" s="40">
        <f>Table9[[#This Row],[PMI]]-B291</f>
        <v/>
      </c>
      <c r="J292" s="4" t="n"/>
    </row>
    <row r="293">
      <c r="A293" s="39" t="n">
        <v>26268</v>
      </c>
      <c r="B293" s="40">
        <f>VLOOKUP(Table9[[#This Row],[Date]],'DB Details'!$A:$L,12)</f>
        <v/>
      </c>
      <c r="C293" s="40">
        <f>Table9[[#This Row],[PMI]]-B292</f>
        <v/>
      </c>
      <c r="J293" s="4" t="n"/>
    </row>
    <row r="294">
      <c r="A294" s="39" t="n">
        <v>26299</v>
      </c>
      <c r="B294" s="40">
        <f>VLOOKUP(Table9[[#This Row],[Date]],'DB Details'!$A:$L,12)</f>
        <v/>
      </c>
      <c r="C294" s="40">
        <f>Table9[[#This Row],[PMI]]-B293</f>
        <v/>
      </c>
      <c r="J294" s="4" t="n"/>
    </row>
    <row r="295">
      <c r="A295" s="39" t="n">
        <v>26330</v>
      </c>
      <c r="B295" s="40">
        <f>VLOOKUP(Table9[[#This Row],[Date]],'DB Details'!$A:$L,12)</f>
        <v/>
      </c>
      <c r="C295" s="40">
        <f>Table9[[#This Row],[PMI]]-B294</f>
        <v/>
      </c>
      <c r="J295" s="4" t="n"/>
    </row>
    <row r="296">
      <c r="A296" s="39" t="n">
        <v>26359</v>
      </c>
      <c r="B296" s="40">
        <f>VLOOKUP(Table9[[#This Row],[Date]],'DB Details'!$A:$L,12)</f>
        <v/>
      </c>
      <c r="C296" s="40">
        <f>Table9[[#This Row],[PMI]]-B295</f>
        <v/>
      </c>
      <c r="J296" s="4" t="n"/>
    </row>
    <row r="297">
      <c r="A297" s="39" t="n">
        <v>26390</v>
      </c>
      <c r="B297" s="40">
        <f>VLOOKUP(Table9[[#This Row],[Date]],'DB Details'!$A:$L,12)</f>
        <v/>
      </c>
      <c r="C297" s="40">
        <f>Table9[[#This Row],[PMI]]-B296</f>
        <v/>
      </c>
      <c r="J297" s="4" t="n"/>
    </row>
    <row r="298">
      <c r="A298" s="39" t="n">
        <v>26420</v>
      </c>
      <c r="B298" s="40">
        <f>VLOOKUP(Table9[[#This Row],[Date]],'DB Details'!$A:$L,12)</f>
        <v/>
      </c>
      <c r="C298" s="40">
        <f>Table9[[#This Row],[PMI]]-B297</f>
        <v/>
      </c>
      <c r="J298" s="4" t="n"/>
    </row>
    <row r="299">
      <c r="A299" s="39" t="n">
        <v>26451</v>
      </c>
      <c r="B299" s="40">
        <f>VLOOKUP(Table9[[#This Row],[Date]],'DB Details'!$A:$L,12)</f>
        <v/>
      </c>
      <c r="C299" s="40">
        <f>Table9[[#This Row],[PMI]]-B298</f>
        <v/>
      </c>
      <c r="J299" s="4" t="n"/>
    </row>
    <row r="300">
      <c r="A300" s="39" t="n">
        <v>26481</v>
      </c>
      <c r="B300" s="40">
        <f>VLOOKUP(Table9[[#This Row],[Date]],'DB Details'!$A:$L,12)</f>
        <v/>
      </c>
      <c r="C300" s="40">
        <f>Table9[[#This Row],[PMI]]-B299</f>
        <v/>
      </c>
      <c r="J300" s="4" t="n"/>
    </row>
    <row r="301">
      <c r="A301" s="39" t="n">
        <v>26512</v>
      </c>
      <c r="B301" s="40">
        <f>VLOOKUP(Table9[[#This Row],[Date]],'DB Details'!$A:$L,12)</f>
        <v/>
      </c>
      <c r="C301" s="40">
        <f>Table9[[#This Row],[PMI]]-B300</f>
        <v/>
      </c>
      <c r="J301" s="4" t="n"/>
    </row>
    <row r="302">
      <c r="A302" s="39" t="n">
        <v>26543</v>
      </c>
      <c r="B302" s="40">
        <f>VLOOKUP(Table9[[#This Row],[Date]],'DB Details'!$A:$L,12)</f>
        <v/>
      </c>
      <c r="C302" s="40">
        <f>Table9[[#This Row],[PMI]]-B301</f>
        <v/>
      </c>
      <c r="J302" s="4" t="n"/>
    </row>
    <row r="303">
      <c r="A303" s="39" t="n">
        <v>26573</v>
      </c>
      <c r="B303" s="40">
        <f>VLOOKUP(Table9[[#This Row],[Date]],'DB Details'!$A:$L,12)</f>
        <v/>
      </c>
      <c r="C303" s="40">
        <f>Table9[[#This Row],[PMI]]-B302</f>
        <v/>
      </c>
      <c r="J303" s="4" t="n"/>
    </row>
    <row r="304">
      <c r="A304" s="39" t="n">
        <v>26604</v>
      </c>
      <c r="B304" s="40">
        <f>VLOOKUP(Table9[[#This Row],[Date]],'DB Details'!$A:$L,12)</f>
        <v/>
      </c>
      <c r="C304" s="40">
        <f>Table9[[#This Row],[PMI]]-B303</f>
        <v/>
      </c>
      <c r="J304" s="4" t="n"/>
    </row>
    <row r="305">
      <c r="A305" s="39" t="n">
        <v>26634</v>
      </c>
      <c r="B305" s="40">
        <f>VLOOKUP(Table9[[#This Row],[Date]],'DB Details'!$A:$L,12)</f>
        <v/>
      </c>
      <c r="C305" s="40">
        <f>Table9[[#This Row],[PMI]]-B304</f>
        <v/>
      </c>
      <c r="J305" s="4" t="n"/>
    </row>
    <row r="306">
      <c r="A306" s="39" t="n">
        <v>26665</v>
      </c>
      <c r="B306" s="40">
        <f>VLOOKUP(Table9[[#This Row],[Date]],'DB Details'!$A:$L,12)</f>
        <v/>
      </c>
      <c r="C306" s="40">
        <f>Table9[[#This Row],[PMI]]-B305</f>
        <v/>
      </c>
      <c r="J306" s="4" t="n"/>
    </row>
    <row r="307">
      <c r="A307" s="39" t="n">
        <v>26696</v>
      </c>
      <c r="B307" s="40">
        <f>VLOOKUP(Table9[[#This Row],[Date]],'DB Details'!$A:$L,12)</f>
        <v/>
      </c>
      <c r="C307" s="40">
        <f>Table9[[#This Row],[PMI]]-B306</f>
        <v/>
      </c>
      <c r="J307" s="4" t="n"/>
    </row>
    <row r="308">
      <c r="A308" s="39" t="n">
        <v>26724</v>
      </c>
      <c r="B308" s="40">
        <f>VLOOKUP(Table9[[#This Row],[Date]],'DB Details'!$A:$L,12)</f>
        <v/>
      </c>
      <c r="C308" s="40">
        <f>Table9[[#This Row],[PMI]]-B307</f>
        <v/>
      </c>
      <c r="J308" s="4" t="n"/>
    </row>
    <row r="309">
      <c r="A309" s="39" t="n">
        <v>26755</v>
      </c>
      <c r="B309" s="40">
        <f>VLOOKUP(Table9[[#This Row],[Date]],'DB Details'!$A:$L,12)</f>
        <v/>
      </c>
      <c r="C309" s="40">
        <f>Table9[[#This Row],[PMI]]-B308</f>
        <v/>
      </c>
      <c r="J309" s="4" t="n"/>
    </row>
    <row r="310">
      <c r="A310" s="39" t="n">
        <v>26785</v>
      </c>
      <c r="B310" s="40">
        <f>VLOOKUP(Table9[[#This Row],[Date]],'DB Details'!$A:$L,12)</f>
        <v/>
      </c>
      <c r="C310" s="40">
        <f>Table9[[#This Row],[PMI]]-B309</f>
        <v/>
      </c>
      <c r="J310" s="4" t="n"/>
    </row>
    <row r="311">
      <c r="A311" s="39" t="n">
        <v>26816</v>
      </c>
      <c r="B311" s="40">
        <f>VLOOKUP(Table9[[#This Row],[Date]],'DB Details'!$A:$L,12)</f>
        <v/>
      </c>
      <c r="C311" s="40">
        <f>Table9[[#This Row],[PMI]]-B310</f>
        <v/>
      </c>
      <c r="J311" s="4" t="n"/>
    </row>
    <row r="312">
      <c r="A312" s="39" t="n">
        <v>26846</v>
      </c>
      <c r="B312" s="40">
        <f>VLOOKUP(Table9[[#This Row],[Date]],'DB Details'!$A:$L,12)</f>
        <v/>
      </c>
      <c r="C312" s="40">
        <f>Table9[[#This Row],[PMI]]-B311</f>
        <v/>
      </c>
      <c r="J312" s="4" t="n"/>
    </row>
    <row r="313">
      <c r="A313" s="39" t="n">
        <v>26877</v>
      </c>
      <c r="B313" s="40">
        <f>VLOOKUP(Table9[[#This Row],[Date]],'DB Details'!$A:$L,12)</f>
        <v/>
      </c>
      <c r="C313" s="40">
        <f>Table9[[#This Row],[PMI]]-B312</f>
        <v/>
      </c>
      <c r="J313" s="4" t="n"/>
    </row>
    <row r="314">
      <c r="A314" s="39" t="n">
        <v>26908</v>
      </c>
      <c r="B314" s="40">
        <f>VLOOKUP(Table9[[#This Row],[Date]],'DB Details'!$A:$L,12)</f>
        <v/>
      </c>
      <c r="C314" s="40">
        <f>Table9[[#This Row],[PMI]]-B313</f>
        <v/>
      </c>
      <c r="J314" s="4" t="n"/>
    </row>
    <row r="315">
      <c r="A315" s="39" t="n">
        <v>26938</v>
      </c>
      <c r="B315" s="40">
        <f>VLOOKUP(Table9[[#This Row],[Date]],'DB Details'!$A:$L,12)</f>
        <v/>
      </c>
      <c r="C315" s="40">
        <f>Table9[[#This Row],[PMI]]-B314</f>
        <v/>
      </c>
      <c r="J315" s="4" t="n"/>
    </row>
    <row r="316">
      <c r="A316" s="39" t="n">
        <v>26969</v>
      </c>
      <c r="B316" s="40">
        <f>VLOOKUP(Table9[[#This Row],[Date]],'DB Details'!$A:$L,12)</f>
        <v/>
      </c>
      <c r="C316" s="40">
        <f>Table9[[#This Row],[PMI]]-B315</f>
        <v/>
      </c>
      <c r="J316" s="4" t="n"/>
    </row>
    <row r="317">
      <c r="A317" s="39" t="n">
        <v>26999</v>
      </c>
      <c r="B317" s="40">
        <f>VLOOKUP(Table9[[#This Row],[Date]],'DB Details'!$A:$L,12)</f>
        <v/>
      </c>
      <c r="C317" s="40">
        <f>Table9[[#This Row],[PMI]]-B316</f>
        <v/>
      </c>
      <c r="J317" s="4" t="n"/>
    </row>
    <row r="318">
      <c r="A318" s="39" t="n">
        <v>27030</v>
      </c>
      <c r="B318" s="40">
        <f>VLOOKUP(Table9[[#This Row],[Date]],'DB Details'!$A:$L,12)</f>
        <v/>
      </c>
      <c r="C318" s="40">
        <f>Table9[[#This Row],[PMI]]-B317</f>
        <v/>
      </c>
      <c r="J318" s="4" t="n"/>
    </row>
    <row r="319">
      <c r="A319" s="39" t="n">
        <v>27061</v>
      </c>
      <c r="B319" s="40">
        <f>VLOOKUP(Table9[[#This Row],[Date]],'DB Details'!$A:$L,12)</f>
        <v/>
      </c>
      <c r="C319" s="40">
        <f>Table9[[#This Row],[PMI]]-B318</f>
        <v/>
      </c>
      <c r="J319" s="4" t="n"/>
    </row>
    <row r="320">
      <c r="A320" s="39" t="n">
        <v>27089</v>
      </c>
      <c r="B320" s="40">
        <f>VLOOKUP(Table9[[#This Row],[Date]],'DB Details'!$A:$L,12)</f>
        <v/>
      </c>
      <c r="C320" s="40">
        <f>Table9[[#This Row],[PMI]]-B319</f>
        <v/>
      </c>
      <c r="J320" s="4" t="n"/>
    </row>
    <row r="321">
      <c r="A321" s="39" t="n">
        <v>27120</v>
      </c>
      <c r="B321" s="40">
        <f>VLOOKUP(Table9[[#This Row],[Date]],'DB Details'!$A:$L,12)</f>
        <v/>
      </c>
      <c r="C321" s="40">
        <f>Table9[[#This Row],[PMI]]-B320</f>
        <v/>
      </c>
      <c r="J321" s="4" t="n"/>
    </row>
    <row r="322">
      <c r="A322" s="39" t="n">
        <v>27150</v>
      </c>
      <c r="B322" s="40">
        <f>VLOOKUP(Table9[[#This Row],[Date]],'DB Details'!$A:$L,12)</f>
        <v/>
      </c>
      <c r="C322" s="40">
        <f>Table9[[#This Row],[PMI]]-B321</f>
        <v/>
      </c>
      <c r="J322" s="4" t="n"/>
    </row>
    <row r="323">
      <c r="A323" s="39" t="n">
        <v>27181</v>
      </c>
      <c r="B323" s="40">
        <f>VLOOKUP(Table9[[#This Row],[Date]],'DB Details'!$A:$L,12)</f>
        <v/>
      </c>
      <c r="C323" s="40">
        <f>Table9[[#This Row],[PMI]]-B322</f>
        <v/>
      </c>
      <c r="J323" s="4" t="n"/>
    </row>
    <row r="324">
      <c r="A324" s="39" t="n">
        <v>27211</v>
      </c>
      <c r="B324" s="40">
        <f>VLOOKUP(Table9[[#This Row],[Date]],'DB Details'!$A:$L,12)</f>
        <v/>
      </c>
      <c r="C324" s="40">
        <f>Table9[[#This Row],[PMI]]-B323</f>
        <v/>
      </c>
      <c r="J324" s="4" t="n"/>
    </row>
    <row r="325">
      <c r="A325" s="39" t="n">
        <v>27242</v>
      </c>
      <c r="B325" s="40">
        <f>VLOOKUP(Table9[[#This Row],[Date]],'DB Details'!$A:$L,12)</f>
        <v/>
      </c>
      <c r="C325" s="40">
        <f>Table9[[#This Row],[PMI]]-B324</f>
        <v/>
      </c>
      <c r="J325" s="4" t="n"/>
    </row>
    <row r="326">
      <c r="A326" s="39" t="n">
        <v>27273</v>
      </c>
      <c r="B326" s="40">
        <f>VLOOKUP(Table9[[#This Row],[Date]],'DB Details'!$A:$L,12)</f>
        <v/>
      </c>
      <c r="C326" s="40">
        <f>Table9[[#This Row],[PMI]]-B325</f>
        <v/>
      </c>
      <c r="J326" s="4" t="n"/>
    </row>
    <row r="327">
      <c r="A327" s="39" t="n">
        <v>27303</v>
      </c>
      <c r="B327" s="40">
        <f>VLOOKUP(Table9[[#This Row],[Date]],'DB Details'!$A:$L,12)</f>
        <v/>
      </c>
      <c r="C327" s="40">
        <f>Table9[[#This Row],[PMI]]-B326</f>
        <v/>
      </c>
      <c r="J327" s="4" t="n"/>
    </row>
    <row r="328">
      <c r="A328" s="39" t="n">
        <v>27334</v>
      </c>
      <c r="B328" s="40">
        <f>VLOOKUP(Table9[[#This Row],[Date]],'DB Details'!$A:$L,12)</f>
        <v/>
      </c>
      <c r="C328" s="40">
        <f>Table9[[#This Row],[PMI]]-B327</f>
        <v/>
      </c>
      <c r="J328" s="4" t="n"/>
    </row>
    <row r="329">
      <c r="A329" s="39" t="n">
        <v>27364</v>
      </c>
      <c r="B329" s="40">
        <f>VLOOKUP(Table9[[#This Row],[Date]],'DB Details'!$A:$L,12)</f>
        <v/>
      </c>
      <c r="C329" s="40">
        <f>Table9[[#This Row],[PMI]]-B328</f>
        <v/>
      </c>
    </row>
    <row r="330">
      <c r="A330" s="39" t="n">
        <v>27395</v>
      </c>
      <c r="B330" s="40">
        <f>VLOOKUP(Table9[[#This Row],[Date]],'DB Details'!$A:$L,12)</f>
        <v/>
      </c>
      <c r="C330" s="40">
        <f>Table9[[#This Row],[PMI]]-B329</f>
        <v/>
      </c>
    </row>
    <row r="331">
      <c r="A331" s="39" t="n">
        <v>27426</v>
      </c>
      <c r="B331" s="40">
        <f>VLOOKUP(Table9[[#This Row],[Date]],'DB Details'!$A:$L,12)</f>
        <v/>
      </c>
      <c r="C331" s="40">
        <f>Table9[[#This Row],[PMI]]-B330</f>
        <v/>
      </c>
    </row>
    <row r="332">
      <c r="A332" s="39" t="n">
        <v>27454</v>
      </c>
      <c r="B332" s="40">
        <f>VLOOKUP(Table9[[#This Row],[Date]],'DB Details'!$A:$L,12)</f>
        <v/>
      </c>
      <c r="C332" s="40">
        <f>Table9[[#This Row],[PMI]]-B331</f>
        <v/>
      </c>
    </row>
    <row r="333">
      <c r="A333" s="39" t="n">
        <v>27485</v>
      </c>
      <c r="B333" s="40">
        <f>VLOOKUP(Table9[[#This Row],[Date]],'DB Details'!$A:$L,12)</f>
        <v/>
      </c>
      <c r="C333" s="40">
        <f>Table9[[#This Row],[PMI]]-B332</f>
        <v/>
      </c>
    </row>
    <row r="334">
      <c r="A334" s="39" t="n">
        <v>27515</v>
      </c>
      <c r="B334" s="40">
        <f>VLOOKUP(Table9[[#This Row],[Date]],'DB Details'!$A:$L,12)</f>
        <v/>
      </c>
      <c r="C334" s="40">
        <f>Table9[[#This Row],[PMI]]-B333</f>
        <v/>
      </c>
    </row>
    <row r="335">
      <c r="A335" s="39" t="n">
        <v>27546</v>
      </c>
      <c r="B335" s="40">
        <f>VLOOKUP(Table9[[#This Row],[Date]],'DB Details'!$A:$L,12)</f>
        <v/>
      </c>
      <c r="C335" s="40">
        <f>Table9[[#This Row],[PMI]]-B334</f>
        <v/>
      </c>
    </row>
    <row r="336">
      <c r="A336" s="39" t="n">
        <v>27576</v>
      </c>
      <c r="B336" s="40">
        <f>VLOOKUP(Table9[[#This Row],[Date]],'DB Details'!$A:$L,12)</f>
        <v/>
      </c>
      <c r="C336" s="40">
        <f>Table9[[#This Row],[PMI]]-B335</f>
        <v/>
      </c>
    </row>
    <row r="337">
      <c r="A337" s="39" t="n">
        <v>27607</v>
      </c>
      <c r="B337" s="40">
        <f>VLOOKUP(Table9[[#This Row],[Date]],'DB Details'!$A:$L,12)</f>
        <v/>
      </c>
      <c r="C337" s="40">
        <f>Table9[[#This Row],[PMI]]-B336</f>
        <v/>
      </c>
    </row>
    <row r="338">
      <c r="A338" s="39" t="n">
        <v>27638</v>
      </c>
      <c r="B338" s="40">
        <f>VLOOKUP(Table9[[#This Row],[Date]],'DB Details'!$A:$L,12)</f>
        <v/>
      </c>
      <c r="C338" s="40">
        <f>Table9[[#This Row],[PMI]]-B337</f>
        <v/>
      </c>
    </row>
    <row r="339">
      <c r="A339" s="39" t="n">
        <v>27668</v>
      </c>
      <c r="B339" s="40">
        <f>VLOOKUP(Table9[[#This Row],[Date]],'DB Details'!$A:$L,12)</f>
        <v/>
      </c>
      <c r="C339" s="40">
        <f>Table9[[#This Row],[PMI]]-B338</f>
        <v/>
      </c>
    </row>
    <row r="340">
      <c r="A340" s="39" t="n">
        <v>27699</v>
      </c>
      <c r="B340" s="40">
        <f>VLOOKUP(Table9[[#This Row],[Date]],'DB Details'!$A:$L,12)</f>
        <v/>
      </c>
      <c r="C340" s="40">
        <f>Table9[[#This Row],[PMI]]-B339</f>
        <v/>
      </c>
    </row>
    <row r="341">
      <c r="A341" s="39" t="n">
        <v>27729</v>
      </c>
      <c r="B341" s="40">
        <f>VLOOKUP(Table9[[#This Row],[Date]],'DB Details'!$A:$L,12)</f>
        <v/>
      </c>
      <c r="C341" s="40">
        <f>Table9[[#This Row],[PMI]]-B340</f>
        <v/>
      </c>
    </row>
    <row r="342">
      <c r="A342" s="39" t="n">
        <v>27760</v>
      </c>
      <c r="B342" s="40">
        <f>VLOOKUP(Table9[[#This Row],[Date]],'DB Details'!$A:$L,12)</f>
        <v/>
      </c>
      <c r="C342" s="40">
        <f>Table9[[#This Row],[PMI]]-B341</f>
        <v/>
      </c>
    </row>
    <row r="343">
      <c r="A343" s="39" t="n">
        <v>27791</v>
      </c>
      <c r="B343" s="40">
        <f>VLOOKUP(Table9[[#This Row],[Date]],'DB Details'!$A:$L,12)</f>
        <v/>
      </c>
      <c r="C343" s="40">
        <f>Table9[[#This Row],[PMI]]-B342</f>
        <v/>
      </c>
    </row>
    <row r="344">
      <c r="A344" s="39" t="n">
        <v>27820</v>
      </c>
      <c r="B344" s="40">
        <f>VLOOKUP(Table9[[#This Row],[Date]],'DB Details'!$A:$L,12)</f>
        <v/>
      </c>
      <c r="C344" s="40">
        <f>Table9[[#This Row],[PMI]]-B343</f>
        <v/>
      </c>
    </row>
    <row r="345">
      <c r="A345" s="39" t="n">
        <v>27851</v>
      </c>
      <c r="B345" s="40">
        <f>VLOOKUP(Table9[[#This Row],[Date]],'DB Details'!$A:$L,12)</f>
        <v/>
      </c>
      <c r="C345" s="40">
        <f>Table9[[#This Row],[PMI]]-B344</f>
        <v/>
      </c>
    </row>
    <row r="346">
      <c r="A346" s="39" t="n">
        <v>27881</v>
      </c>
      <c r="B346" s="40">
        <f>VLOOKUP(Table9[[#This Row],[Date]],'DB Details'!$A:$L,12)</f>
        <v/>
      </c>
      <c r="C346" s="40">
        <f>Table9[[#This Row],[PMI]]-B345</f>
        <v/>
      </c>
    </row>
    <row r="347">
      <c r="A347" s="39" t="n">
        <v>27912</v>
      </c>
      <c r="B347" s="40">
        <f>VLOOKUP(Table9[[#This Row],[Date]],'DB Details'!$A:$L,12)</f>
        <v/>
      </c>
      <c r="C347" s="40">
        <f>Table9[[#This Row],[PMI]]-B346</f>
        <v/>
      </c>
    </row>
    <row r="348">
      <c r="A348" s="39" t="n">
        <v>27942</v>
      </c>
      <c r="B348" s="40">
        <f>VLOOKUP(Table9[[#This Row],[Date]],'DB Details'!$A:$L,12)</f>
        <v/>
      </c>
      <c r="C348" s="40">
        <f>Table9[[#This Row],[PMI]]-B347</f>
        <v/>
      </c>
    </row>
    <row r="349">
      <c r="A349" s="39" t="n">
        <v>27973</v>
      </c>
      <c r="B349" s="40">
        <f>VLOOKUP(Table9[[#This Row],[Date]],'DB Details'!$A:$L,12)</f>
        <v/>
      </c>
      <c r="C349" s="40">
        <f>Table9[[#This Row],[PMI]]-B348</f>
        <v/>
      </c>
    </row>
    <row r="350">
      <c r="A350" s="39" t="n">
        <v>28004</v>
      </c>
      <c r="B350" s="40">
        <f>VLOOKUP(Table9[[#This Row],[Date]],'DB Details'!$A:$L,12)</f>
        <v/>
      </c>
      <c r="C350" s="40">
        <f>Table9[[#This Row],[PMI]]-B349</f>
        <v/>
      </c>
    </row>
    <row r="351">
      <c r="A351" s="39" t="n">
        <v>28034</v>
      </c>
      <c r="B351" s="40">
        <f>VLOOKUP(Table9[[#This Row],[Date]],'DB Details'!$A:$L,12)</f>
        <v/>
      </c>
      <c r="C351" s="40">
        <f>Table9[[#This Row],[PMI]]-B350</f>
        <v/>
      </c>
    </row>
    <row r="352">
      <c r="A352" s="39" t="n">
        <v>28065</v>
      </c>
      <c r="B352" s="40">
        <f>VLOOKUP(Table9[[#This Row],[Date]],'DB Details'!$A:$L,12)</f>
        <v/>
      </c>
      <c r="C352" s="40">
        <f>Table9[[#This Row],[PMI]]-B351</f>
        <v/>
      </c>
    </row>
    <row r="353">
      <c r="A353" s="39" t="n">
        <v>28095</v>
      </c>
      <c r="B353" s="40">
        <f>VLOOKUP(Table9[[#This Row],[Date]],'DB Details'!$A:$L,12)</f>
        <v/>
      </c>
      <c r="C353" s="40">
        <f>Table9[[#This Row],[PMI]]-B352</f>
        <v/>
      </c>
    </row>
    <row r="354">
      <c r="A354" s="39" t="n">
        <v>28126</v>
      </c>
      <c r="B354" s="40">
        <f>VLOOKUP(Table9[[#This Row],[Date]],'DB Details'!$A:$L,12)</f>
        <v/>
      </c>
      <c r="C354" s="40">
        <f>Table9[[#This Row],[PMI]]-B353</f>
        <v/>
      </c>
    </row>
    <row r="355">
      <c r="A355" s="39" t="n">
        <v>28157</v>
      </c>
      <c r="B355" s="40">
        <f>VLOOKUP(Table9[[#This Row],[Date]],'DB Details'!$A:$L,12)</f>
        <v/>
      </c>
      <c r="C355" s="40">
        <f>Table9[[#This Row],[PMI]]-B354</f>
        <v/>
      </c>
    </row>
    <row r="356">
      <c r="A356" s="39" t="n">
        <v>28185</v>
      </c>
      <c r="B356" s="40">
        <f>VLOOKUP(Table9[[#This Row],[Date]],'DB Details'!$A:$L,12)</f>
        <v/>
      </c>
      <c r="C356" s="40">
        <f>Table9[[#This Row],[PMI]]-B355</f>
        <v/>
      </c>
    </row>
    <row r="357">
      <c r="A357" s="39" t="n">
        <v>28216</v>
      </c>
      <c r="B357" s="40">
        <f>VLOOKUP(Table9[[#This Row],[Date]],'DB Details'!$A:$L,12)</f>
        <v/>
      </c>
      <c r="C357" s="40">
        <f>Table9[[#This Row],[PMI]]-B356</f>
        <v/>
      </c>
    </row>
    <row r="358">
      <c r="A358" s="39" t="n">
        <v>28246</v>
      </c>
      <c r="B358" s="40">
        <f>VLOOKUP(Table9[[#This Row],[Date]],'DB Details'!$A:$L,12)</f>
        <v/>
      </c>
      <c r="C358" s="40">
        <f>Table9[[#This Row],[PMI]]-B357</f>
        <v/>
      </c>
    </row>
    <row r="359">
      <c r="A359" s="39" t="n">
        <v>28277</v>
      </c>
      <c r="B359" s="40">
        <f>VLOOKUP(Table9[[#This Row],[Date]],'DB Details'!$A:$L,12)</f>
        <v/>
      </c>
      <c r="C359" s="40">
        <f>Table9[[#This Row],[PMI]]-B358</f>
        <v/>
      </c>
    </row>
    <row r="360">
      <c r="A360" s="39" t="n">
        <v>28307</v>
      </c>
      <c r="B360" s="40">
        <f>VLOOKUP(Table9[[#This Row],[Date]],'DB Details'!$A:$L,12)</f>
        <v/>
      </c>
      <c r="C360" s="40">
        <f>Table9[[#This Row],[PMI]]-B359</f>
        <v/>
      </c>
    </row>
    <row r="361">
      <c r="A361" s="39" t="n">
        <v>28338</v>
      </c>
      <c r="B361" s="40">
        <f>VLOOKUP(Table9[[#This Row],[Date]],'DB Details'!$A:$L,12)</f>
        <v/>
      </c>
      <c r="C361" s="40">
        <f>Table9[[#This Row],[PMI]]-B360</f>
        <v/>
      </c>
    </row>
    <row r="362">
      <c r="A362" s="39" t="n">
        <v>28369</v>
      </c>
      <c r="B362" s="40">
        <f>VLOOKUP(Table9[[#This Row],[Date]],'DB Details'!$A:$L,12)</f>
        <v/>
      </c>
      <c r="C362" s="40">
        <f>Table9[[#This Row],[PMI]]-B361</f>
        <v/>
      </c>
    </row>
    <row r="363">
      <c r="A363" s="39" t="n">
        <v>28399</v>
      </c>
      <c r="B363" s="40">
        <f>VLOOKUP(Table9[[#This Row],[Date]],'DB Details'!$A:$L,12)</f>
        <v/>
      </c>
      <c r="C363" s="40">
        <f>Table9[[#This Row],[PMI]]-B362</f>
        <v/>
      </c>
    </row>
    <row r="364">
      <c r="A364" s="39" t="n">
        <v>28430</v>
      </c>
      <c r="B364" s="40">
        <f>VLOOKUP(Table9[[#This Row],[Date]],'DB Details'!$A:$L,12)</f>
        <v/>
      </c>
      <c r="C364" s="40">
        <f>Table9[[#This Row],[PMI]]-B363</f>
        <v/>
      </c>
    </row>
    <row r="365">
      <c r="A365" s="39" t="n">
        <v>28460</v>
      </c>
      <c r="B365" s="40">
        <f>VLOOKUP(Table9[[#This Row],[Date]],'DB Details'!$A:$L,12)</f>
        <v/>
      </c>
      <c r="C365" s="40">
        <f>Table9[[#This Row],[PMI]]-B364</f>
        <v/>
      </c>
    </row>
    <row r="366">
      <c r="A366" s="39" t="n">
        <v>28491</v>
      </c>
      <c r="B366" s="40">
        <f>VLOOKUP(Table9[[#This Row],[Date]],'DB Details'!$A:$L,12)</f>
        <v/>
      </c>
      <c r="C366" s="40">
        <f>Table9[[#This Row],[PMI]]-B365</f>
        <v/>
      </c>
    </row>
    <row r="367">
      <c r="A367" s="39" t="n">
        <v>28522</v>
      </c>
      <c r="B367" s="40">
        <f>VLOOKUP(Table9[[#This Row],[Date]],'DB Details'!$A:$L,12)</f>
        <v/>
      </c>
      <c r="C367" s="40">
        <f>Table9[[#This Row],[PMI]]-B366</f>
        <v/>
      </c>
    </row>
    <row r="368">
      <c r="A368" s="39" t="n">
        <v>28550</v>
      </c>
      <c r="B368" s="40">
        <f>VLOOKUP(Table9[[#This Row],[Date]],'DB Details'!$A:$L,12)</f>
        <v/>
      </c>
      <c r="C368" s="40">
        <f>Table9[[#This Row],[PMI]]-B367</f>
        <v/>
      </c>
    </row>
    <row r="369">
      <c r="A369" s="39" t="n">
        <v>28581</v>
      </c>
      <c r="B369" s="40">
        <f>VLOOKUP(Table9[[#This Row],[Date]],'DB Details'!$A:$L,12)</f>
        <v/>
      </c>
      <c r="C369" s="40">
        <f>Table9[[#This Row],[PMI]]-B368</f>
        <v/>
      </c>
    </row>
    <row r="370">
      <c r="A370" s="39" t="n">
        <v>28611</v>
      </c>
      <c r="B370" s="40">
        <f>VLOOKUP(Table9[[#This Row],[Date]],'DB Details'!$A:$L,12)</f>
        <v/>
      </c>
      <c r="C370" s="40">
        <f>Table9[[#This Row],[PMI]]-B369</f>
        <v/>
      </c>
    </row>
    <row r="371">
      <c r="A371" s="39" t="n">
        <v>28642</v>
      </c>
      <c r="B371" s="40">
        <f>VLOOKUP(Table9[[#This Row],[Date]],'DB Details'!$A:$L,12)</f>
        <v/>
      </c>
      <c r="C371" s="40">
        <f>Table9[[#This Row],[PMI]]-B370</f>
        <v/>
      </c>
    </row>
    <row r="372">
      <c r="A372" s="39" t="n">
        <v>28672</v>
      </c>
      <c r="B372" s="40">
        <f>VLOOKUP(Table9[[#This Row],[Date]],'DB Details'!$A:$L,12)</f>
        <v/>
      </c>
      <c r="C372" s="40">
        <f>Table9[[#This Row],[PMI]]-B371</f>
        <v/>
      </c>
    </row>
    <row r="373">
      <c r="A373" s="39" t="n">
        <v>28703</v>
      </c>
      <c r="B373" s="40">
        <f>VLOOKUP(Table9[[#This Row],[Date]],'DB Details'!$A:$L,12)</f>
        <v/>
      </c>
      <c r="C373" s="40">
        <f>Table9[[#This Row],[PMI]]-B372</f>
        <v/>
      </c>
    </row>
    <row r="374">
      <c r="A374" s="39" t="n">
        <v>28734</v>
      </c>
      <c r="B374" s="40">
        <f>VLOOKUP(Table9[[#This Row],[Date]],'DB Details'!$A:$L,12)</f>
        <v/>
      </c>
      <c r="C374" s="40">
        <f>Table9[[#This Row],[PMI]]-B373</f>
        <v/>
      </c>
    </row>
    <row r="375">
      <c r="A375" s="39" t="n">
        <v>28764</v>
      </c>
      <c r="B375" s="40">
        <f>VLOOKUP(Table9[[#This Row],[Date]],'DB Details'!$A:$L,12)</f>
        <v/>
      </c>
      <c r="C375" s="40">
        <f>Table9[[#This Row],[PMI]]-B374</f>
        <v/>
      </c>
    </row>
    <row r="376">
      <c r="A376" s="39" t="n">
        <v>28795</v>
      </c>
      <c r="B376" s="40">
        <f>VLOOKUP(Table9[[#This Row],[Date]],'DB Details'!$A:$L,12)</f>
        <v/>
      </c>
      <c r="C376" s="40">
        <f>Table9[[#This Row],[PMI]]-B375</f>
        <v/>
      </c>
    </row>
    <row r="377">
      <c r="A377" s="39" t="n">
        <v>28825</v>
      </c>
      <c r="B377" s="40">
        <f>VLOOKUP(Table9[[#This Row],[Date]],'DB Details'!$A:$L,12)</f>
        <v/>
      </c>
      <c r="C377" s="40">
        <f>Table9[[#This Row],[PMI]]-B376</f>
        <v/>
      </c>
    </row>
    <row r="378">
      <c r="A378" s="39" t="n">
        <v>28856</v>
      </c>
      <c r="B378" s="40">
        <f>VLOOKUP(Table9[[#This Row],[Date]],'DB Details'!$A:$L,12)</f>
        <v/>
      </c>
      <c r="C378" s="40">
        <f>Table9[[#This Row],[PMI]]-B377</f>
        <v/>
      </c>
    </row>
    <row r="379">
      <c r="A379" s="39" t="n">
        <v>28887</v>
      </c>
      <c r="B379" s="40">
        <f>VLOOKUP(Table9[[#This Row],[Date]],'DB Details'!$A:$L,12)</f>
        <v/>
      </c>
      <c r="C379" s="40">
        <f>Table9[[#This Row],[PMI]]-B378</f>
        <v/>
      </c>
    </row>
    <row r="380">
      <c r="A380" s="39" t="n">
        <v>28915</v>
      </c>
      <c r="B380" s="40">
        <f>VLOOKUP(Table9[[#This Row],[Date]],'DB Details'!$A:$L,12)</f>
        <v/>
      </c>
      <c r="C380" s="40">
        <f>Table9[[#This Row],[PMI]]-B379</f>
        <v/>
      </c>
    </row>
    <row r="381">
      <c r="A381" s="39" t="n">
        <v>28946</v>
      </c>
      <c r="B381" s="40">
        <f>VLOOKUP(Table9[[#This Row],[Date]],'DB Details'!$A:$L,12)</f>
        <v/>
      </c>
      <c r="C381" s="40">
        <f>Table9[[#This Row],[PMI]]-B380</f>
        <v/>
      </c>
    </row>
    <row r="382">
      <c r="A382" s="39" t="n">
        <v>28976</v>
      </c>
      <c r="B382" s="40">
        <f>VLOOKUP(Table9[[#This Row],[Date]],'DB Details'!$A:$L,12)</f>
        <v/>
      </c>
      <c r="C382" s="40">
        <f>Table9[[#This Row],[PMI]]-B381</f>
        <v/>
      </c>
    </row>
    <row r="383">
      <c r="A383" s="39" t="n">
        <v>29007</v>
      </c>
      <c r="B383" s="40">
        <f>VLOOKUP(Table9[[#This Row],[Date]],'DB Details'!$A:$L,12)</f>
        <v/>
      </c>
      <c r="C383" s="40">
        <f>Table9[[#This Row],[PMI]]-B382</f>
        <v/>
      </c>
    </row>
    <row r="384">
      <c r="A384" s="39" t="n">
        <v>29037</v>
      </c>
      <c r="B384" s="40">
        <f>VLOOKUP(Table9[[#This Row],[Date]],'DB Details'!$A:$L,12)</f>
        <v/>
      </c>
      <c r="C384" s="40">
        <f>Table9[[#This Row],[PMI]]-B383</f>
        <v/>
      </c>
    </row>
    <row r="385">
      <c r="A385" s="39" t="n">
        <v>29068</v>
      </c>
      <c r="B385" s="40">
        <f>VLOOKUP(Table9[[#This Row],[Date]],'DB Details'!$A:$L,12)</f>
        <v/>
      </c>
      <c r="C385" s="40">
        <f>Table9[[#This Row],[PMI]]-B384</f>
        <v/>
      </c>
    </row>
    <row r="386">
      <c r="A386" s="39" t="n">
        <v>29099</v>
      </c>
      <c r="B386" s="40">
        <f>VLOOKUP(Table9[[#This Row],[Date]],'DB Details'!$A:$L,12)</f>
        <v/>
      </c>
      <c r="C386" s="40">
        <f>Table9[[#This Row],[PMI]]-B385</f>
        <v/>
      </c>
    </row>
    <row r="387">
      <c r="A387" s="39" t="n">
        <v>29129</v>
      </c>
      <c r="B387" s="40">
        <f>VLOOKUP(Table9[[#This Row],[Date]],'DB Details'!$A:$L,12)</f>
        <v/>
      </c>
      <c r="C387" s="40">
        <f>Table9[[#This Row],[PMI]]-B386</f>
        <v/>
      </c>
    </row>
    <row r="388">
      <c r="A388" s="39" t="n">
        <v>29160</v>
      </c>
      <c r="B388" s="40">
        <f>VLOOKUP(Table9[[#This Row],[Date]],'DB Details'!$A:$L,12)</f>
        <v/>
      </c>
      <c r="C388" s="40">
        <f>Table9[[#This Row],[PMI]]-B387</f>
        <v/>
      </c>
    </row>
    <row r="389">
      <c r="A389" s="39" t="n">
        <v>29190</v>
      </c>
      <c r="B389" s="40">
        <f>VLOOKUP(Table9[[#This Row],[Date]],'DB Details'!$A:$L,12)</f>
        <v/>
      </c>
      <c r="C389" s="40">
        <f>Table9[[#This Row],[PMI]]-B388</f>
        <v/>
      </c>
    </row>
    <row r="390">
      <c r="A390" s="39" t="n">
        <v>29221</v>
      </c>
      <c r="B390" s="40">
        <f>VLOOKUP(Table9[[#This Row],[Date]],'DB Details'!$A:$L,12)</f>
        <v/>
      </c>
      <c r="C390" s="40">
        <f>Table9[[#This Row],[PMI]]-B389</f>
        <v/>
      </c>
    </row>
    <row r="391">
      <c r="A391" s="39" t="n">
        <v>29252</v>
      </c>
      <c r="B391" s="40">
        <f>VLOOKUP(Table9[[#This Row],[Date]],'DB Details'!$A:$L,12)</f>
        <v/>
      </c>
      <c r="C391" s="40">
        <f>Table9[[#This Row],[PMI]]-B390</f>
        <v/>
      </c>
    </row>
    <row r="392">
      <c r="A392" s="39" t="n">
        <v>29281</v>
      </c>
      <c r="B392" s="40">
        <f>VLOOKUP(Table9[[#This Row],[Date]],'DB Details'!$A:$L,12)</f>
        <v/>
      </c>
      <c r="C392" s="40">
        <f>Table9[[#This Row],[PMI]]-B391</f>
        <v/>
      </c>
    </row>
    <row r="393">
      <c r="A393" s="39" t="n">
        <v>29312</v>
      </c>
      <c r="B393" s="40">
        <f>VLOOKUP(Table9[[#This Row],[Date]],'DB Details'!$A:$L,12)</f>
        <v/>
      </c>
      <c r="C393" s="40">
        <f>Table9[[#This Row],[PMI]]-B392</f>
        <v/>
      </c>
    </row>
    <row r="394">
      <c r="A394" s="39" t="n">
        <v>29342</v>
      </c>
      <c r="B394" s="40">
        <f>VLOOKUP(Table9[[#This Row],[Date]],'DB Details'!$A:$L,12)</f>
        <v/>
      </c>
      <c r="C394" s="40">
        <f>Table9[[#This Row],[PMI]]-B393</f>
        <v/>
      </c>
    </row>
    <row r="395">
      <c r="A395" s="39" t="n">
        <v>29373</v>
      </c>
      <c r="B395" s="40">
        <f>VLOOKUP(Table9[[#This Row],[Date]],'DB Details'!$A:$L,12)</f>
        <v/>
      </c>
      <c r="C395" s="40">
        <f>Table9[[#This Row],[PMI]]-B394</f>
        <v/>
      </c>
    </row>
    <row r="396">
      <c r="A396" s="39" t="n">
        <v>29403</v>
      </c>
      <c r="B396" s="40">
        <f>VLOOKUP(Table9[[#This Row],[Date]],'DB Details'!$A:$L,12)</f>
        <v/>
      </c>
      <c r="C396" s="40">
        <f>Table9[[#This Row],[PMI]]-B395</f>
        <v/>
      </c>
    </row>
    <row r="397">
      <c r="A397" s="39" t="n">
        <v>29434</v>
      </c>
      <c r="B397" s="40">
        <f>VLOOKUP(Table9[[#This Row],[Date]],'DB Details'!$A:$L,12)</f>
        <v/>
      </c>
      <c r="C397" s="40">
        <f>Table9[[#This Row],[PMI]]-B396</f>
        <v/>
      </c>
    </row>
    <row r="398">
      <c r="A398" s="39" t="n">
        <v>29465</v>
      </c>
      <c r="B398" s="40">
        <f>VLOOKUP(Table9[[#This Row],[Date]],'DB Details'!$A:$L,12)</f>
        <v/>
      </c>
      <c r="C398" s="40">
        <f>Table9[[#This Row],[PMI]]-B397</f>
        <v/>
      </c>
    </row>
    <row r="399">
      <c r="A399" s="39" t="n">
        <v>29495</v>
      </c>
      <c r="B399" s="40">
        <f>VLOOKUP(Table9[[#This Row],[Date]],'DB Details'!$A:$L,12)</f>
        <v/>
      </c>
      <c r="C399" s="40">
        <f>Table9[[#This Row],[PMI]]-B398</f>
        <v/>
      </c>
    </row>
    <row r="400">
      <c r="A400" s="39" t="n">
        <v>29526</v>
      </c>
      <c r="B400" s="40">
        <f>VLOOKUP(Table9[[#This Row],[Date]],'DB Details'!$A:$L,12)</f>
        <v/>
      </c>
      <c r="C400" s="40">
        <f>Table9[[#This Row],[PMI]]-B399</f>
        <v/>
      </c>
    </row>
    <row r="401">
      <c r="A401" s="39" t="n">
        <v>29556</v>
      </c>
      <c r="B401" s="40">
        <f>VLOOKUP(Table9[[#This Row],[Date]],'DB Details'!$A:$L,12)</f>
        <v/>
      </c>
      <c r="C401" s="40">
        <f>Table9[[#This Row],[PMI]]-B400</f>
        <v/>
      </c>
    </row>
    <row r="402">
      <c r="A402" s="39" t="n">
        <v>29587</v>
      </c>
      <c r="B402" s="40">
        <f>VLOOKUP(Table9[[#This Row],[Date]],'DB Details'!$A:$L,12)</f>
        <v/>
      </c>
      <c r="C402" s="40">
        <f>Table9[[#This Row],[PMI]]-B401</f>
        <v/>
      </c>
    </row>
    <row r="403">
      <c r="A403" s="39" t="n">
        <v>29618</v>
      </c>
      <c r="B403" s="40">
        <f>VLOOKUP(Table9[[#This Row],[Date]],'DB Details'!$A:$L,12)</f>
        <v/>
      </c>
      <c r="C403" s="40">
        <f>Table9[[#This Row],[PMI]]-B402</f>
        <v/>
      </c>
    </row>
    <row r="404">
      <c r="A404" s="39" t="n">
        <v>29646</v>
      </c>
      <c r="B404" s="40">
        <f>VLOOKUP(Table9[[#This Row],[Date]],'DB Details'!$A:$L,12)</f>
        <v/>
      </c>
      <c r="C404" s="40">
        <f>Table9[[#This Row],[PMI]]-B403</f>
        <v/>
      </c>
    </row>
    <row r="405">
      <c r="A405" s="39" t="n">
        <v>29677</v>
      </c>
      <c r="B405" s="40">
        <f>VLOOKUP(Table9[[#This Row],[Date]],'DB Details'!$A:$L,12)</f>
        <v/>
      </c>
      <c r="C405" s="40">
        <f>Table9[[#This Row],[PMI]]-B404</f>
        <v/>
      </c>
    </row>
    <row r="406">
      <c r="A406" s="39" t="n">
        <v>29707</v>
      </c>
      <c r="B406" s="40">
        <f>VLOOKUP(Table9[[#This Row],[Date]],'DB Details'!$A:$L,12)</f>
        <v/>
      </c>
      <c r="C406" s="40">
        <f>Table9[[#This Row],[PMI]]-B405</f>
        <v/>
      </c>
    </row>
    <row r="407">
      <c r="A407" s="39" t="n">
        <v>29738</v>
      </c>
      <c r="B407" s="40">
        <f>VLOOKUP(Table9[[#This Row],[Date]],'DB Details'!$A:$L,12)</f>
        <v/>
      </c>
      <c r="C407" s="40">
        <f>Table9[[#This Row],[PMI]]-B406</f>
        <v/>
      </c>
    </row>
    <row r="408">
      <c r="A408" s="39" t="n">
        <v>29768</v>
      </c>
      <c r="B408" s="40">
        <f>VLOOKUP(Table9[[#This Row],[Date]],'DB Details'!$A:$L,12)</f>
        <v/>
      </c>
      <c r="C408" s="40">
        <f>Table9[[#This Row],[PMI]]-B407</f>
        <v/>
      </c>
    </row>
    <row r="409">
      <c r="A409" s="39" t="n">
        <v>29799</v>
      </c>
      <c r="B409" s="40">
        <f>VLOOKUP(Table9[[#This Row],[Date]],'DB Details'!$A:$L,12)</f>
        <v/>
      </c>
      <c r="C409" s="40">
        <f>Table9[[#This Row],[PMI]]-B408</f>
        <v/>
      </c>
    </row>
    <row r="410">
      <c r="A410" s="39" t="n">
        <v>29830</v>
      </c>
      <c r="B410" s="40">
        <f>VLOOKUP(Table9[[#This Row],[Date]],'DB Details'!$A:$L,12)</f>
        <v/>
      </c>
      <c r="C410" s="40">
        <f>Table9[[#This Row],[PMI]]-B409</f>
        <v/>
      </c>
    </row>
    <row r="411">
      <c r="A411" s="39" t="n">
        <v>29860</v>
      </c>
      <c r="B411" s="40">
        <f>VLOOKUP(Table9[[#This Row],[Date]],'DB Details'!$A:$L,12)</f>
        <v/>
      </c>
      <c r="C411" s="40">
        <f>Table9[[#This Row],[PMI]]-B410</f>
        <v/>
      </c>
    </row>
    <row r="412">
      <c r="A412" s="39" t="n">
        <v>29891</v>
      </c>
      <c r="B412" s="40">
        <f>VLOOKUP(Table9[[#This Row],[Date]],'DB Details'!$A:$L,12)</f>
        <v/>
      </c>
      <c r="C412" s="40">
        <f>Table9[[#This Row],[PMI]]-B411</f>
        <v/>
      </c>
    </row>
    <row r="413">
      <c r="A413" s="39" t="n">
        <v>29921</v>
      </c>
      <c r="B413" s="40">
        <f>VLOOKUP(Table9[[#This Row],[Date]],'DB Details'!$A:$L,12)</f>
        <v/>
      </c>
      <c r="C413" s="40">
        <f>Table9[[#This Row],[PMI]]-B412</f>
        <v/>
      </c>
    </row>
    <row r="414">
      <c r="A414" s="39" t="n">
        <v>29952</v>
      </c>
      <c r="B414" s="40">
        <f>VLOOKUP(Table9[[#This Row],[Date]],'DB Details'!$A:$L,12)</f>
        <v/>
      </c>
      <c r="C414" s="40">
        <f>Table9[[#This Row],[PMI]]-B413</f>
        <v/>
      </c>
    </row>
    <row r="415">
      <c r="A415" s="39" t="n">
        <v>29983</v>
      </c>
      <c r="B415" s="40">
        <f>VLOOKUP(Table9[[#This Row],[Date]],'DB Details'!$A:$L,12)</f>
        <v/>
      </c>
      <c r="C415" s="40">
        <f>Table9[[#This Row],[PMI]]-B414</f>
        <v/>
      </c>
    </row>
    <row r="416">
      <c r="A416" s="39" t="n">
        <v>30011</v>
      </c>
      <c r="B416" s="40">
        <f>VLOOKUP(Table9[[#This Row],[Date]],'DB Details'!$A:$L,12)</f>
        <v/>
      </c>
      <c r="C416" s="40">
        <f>Table9[[#This Row],[PMI]]-B415</f>
        <v/>
      </c>
    </row>
    <row r="417">
      <c r="A417" s="39" t="n">
        <v>30042</v>
      </c>
      <c r="B417" s="40">
        <f>VLOOKUP(Table9[[#This Row],[Date]],'DB Details'!$A:$L,12)</f>
        <v/>
      </c>
      <c r="C417" s="40">
        <f>Table9[[#This Row],[PMI]]-B416</f>
        <v/>
      </c>
    </row>
    <row r="418">
      <c r="A418" s="39" t="n">
        <v>30072</v>
      </c>
      <c r="B418" s="40">
        <f>VLOOKUP(Table9[[#This Row],[Date]],'DB Details'!$A:$L,12)</f>
        <v/>
      </c>
      <c r="C418" s="40">
        <f>Table9[[#This Row],[PMI]]-B417</f>
        <v/>
      </c>
    </row>
    <row r="419">
      <c r="A419" s="39" t="n">
        <v>30103</v>
      </c>
      <c r="B419" s="40">
        <f>VLOOKUP(Table9[[#This Row],[Date]],'DB Details'!$A:$L,12)</f>
        <v/>
      </c>
      <c r="C419" s="40">
        <f>Table9[[#This Row],[PMI]]-B418</f>
        <v/>
      </c>
    </row>
    <row r="420">
      <c r="A420" s="39" t="n">
        <v>30133</v>
      </c>
      <c r="B420" s="40">
        <f>VLOOKUP(Table9[[#This Row],[Date]],'DB Details'!$A:$L,12)</f>
        <v/>
      </c>
      <c r="C420" s="40">
        <f>Table9[[#This Row],[PMI]]-B419</f>
        <v/>
      </c>
    </row>
    <row r="421">
      <c r="A421" s="39" t="n">
        <v>30164</v>
      </c>
      <c r="B421" s="40">
        <f>VLOOKUP(Table9[[#This Row],[Date]],'DB Details'!$A:$L,12)</f>
        <v/>
      </c>
      <c r="C421" s="40">
        <f>Table9[[#This Row],[PMI]]-B420</f>
        <v/>
      </c>
    </row>
    <row r="422">
      <c r="A422" s="39" t="n">
        <v>30195</v>
      </c>
      <c r="B422" s="40">
        <f>VLOOKUP(Table9[[#This Row],[Date]],'DB Details'!$A:$L,12)</f>
        <v/>
      </c>
      <c r="C422" s="40">
        <f>Table9[[#This Row],[PMI]]-B421</f>
        <v/>
      </c>
    </row>
    <row r="423">
      <c r="A423" s="39" t="n">
        <v>30225</v>
      </c>
      <c r="B423" s="40">
        <f>VLOOKUP(Table9[[#This Row],[Date]],'DB Details'!$A:$L,12)</f>
        <v/>
      </c>
      <c r="C423" s="40">
        <f>Table9[[#This Row],[PMI]]-B422</f>
        <v/>
      </c>
    </row>
    <row r="424">
      <c r="A424" s="39" t="n">
        <v>30256</v>
      </c>
      <c r="B424" s="40">
        <f>VLOOKUP(Table9[[#This Row],[Date]],'DB Details'!$A:$L,12)</f>
        <v/>
      </c>
      <c r="C424" s="40">
        <f>Table9[[#This Row],[PMI]]-B423</f>
        <v/>
      </c>
    </row>
    <row r="425">
      <c r="A425" s="39" t="n">
        <v>30286</v>
      </c>
      <c r="B425" s="40">
        <f>VLOOKUP(Table9[[#This Row],[Date]],'DB Details'!$A:$L,12)</f>
        <v/>
      </c>
      <c r="C425" s="40">
        <f>Table9[[#This Row],[PMI]]-B424</f>
        <v/>
      </c>
    </row>
    <row r="426">
      <c r="A426" s="39" t="n">
        <v>30317</v>
      </c>
      <c r="B426" s="40">
        <f>VLOOKUP(Table9[[#This Row],[Date]],'DB Details'!$A:$L,12)</f>
        <v/>
      </c>
      <c r="C426" s="40">
        <f>Table9[[#This Row],[PMI]]-B425</f>
        <v/>
      </c>
    </row>
    <row r="427">
      <c r="A427" s="39" t="n">
        <v>30348</v>
      </c>
      <c r="B427" s="40">
        <f>VLOOKUP(Table9[[#This Row],[Date]],'DB Details'!$A:$L,12)</f>
        <v/>
      </c>
      <c r="C427" s="40">
        <f>Table9[[#This Row],[PMI]]-B426</f>
        <v/>
      </c>
    </row>
    <row r="428">
      <c r="A428" s="39" t="n">
        <v>30376</v>
      </c>
      <c r="B428" s="40">
        <f>VLOOKUP(Table9[[#This Row],[Date]],'DB Details'!$A:$L,12)</f>
        <v/>
      </c>
      <c r="C428" s="40">
        <f>Table9[[#This Row],[PMI]]-B427</f>
        <v/>
      </c>
    </row>
    <row r="429">
      <c r="A429" s="39" t="n">
        <v>30407</v>
      </c>
      <c r="B429" s="40">
        <f>VLOOKUP(Table9[[#This Row],[Date]],'DB Details'!$A:$L,12)</f>
        <v/>
      </c>
      <c r="C429" s="40">
        <f>Table9[[#This Row],[PMI]]-B428</f>
        <v/>
      </c>
    </row>
    <row r="430">
      <c r="A430" s="39" t="n">
        <v>30437</v>
      </c>
      <c r="B430" s="40">
        <f>VLOOKUP(Table9[[#This Row],[Date]],'DB Details'!$A:$L,12)</f>
        <v/>
      </c>
      <c r="C430" s="40">
        <f>Table9[[#This Row],[PMI]]-B429</f>
        <v/>
      </c>
    </row>
    <row r="431">
      <c r="A431" s="39" t="n">
        <v>30468</v>
      </c>
      <c r="B431" s="40">
        <f>VLOOKUP(Table9[[#This Row],[Date]],'DB Details'!$A:$L,12)</f>
        <v/>
      </c>
      <c r="C431" s="40">
        <f>Table9[[#This Row],[PMI]]-B430</f>
        <v/>
      </c>
    </row>
    <row r="432">
      <c r="A432" s="39" t="n">
        <v>30498</v>
      </c>
      <c r="B432" s="40">
        <f>VLOOKUP(Table9[[#This Row],[Date]],'DB Details'!$A:$L,12)</f>
        <v/>
      </c>
      <c r="C432" s="40">
        <f>Table9[[#This Row],[PMI]]-B431</f>
        <v/>
      </c>
    </row>
    <row r="433">
      <c r="A433" s="39" t="n">
        <v>30529</v>
      </c>
      <c r="B433" s="40">
        <f>VLOOKUP(Table9[[#This Row],[Date]],'DB Details'!$A:$L,12)</f>
        <v/>
      </c>
      <c r="C433" s="40">
        <f>Table9[[#This Row],[PMI]]-B432</f>
        <v/>
      </c>
    </row>
    <row r="434">
      <c r="A434" s="39" t="n">
        <v>30560</v>
      </c>
      <c r="B434" s="40">
        <f>VLOOKUP(Table9[[#This Row],[Date]],'DB Details'!$A:$L,12)</f>
        <v/>
      </c>
      <c r="C434" s="40">
        <f>Table9[[#This Row],[PMI]]-B433</f>
        <v/>
      </c>
    </row>
    <row r="435">
      <c r="A435" s="39" t="n">
        <v>30590</v>
      </c>
      <c r="B435" s="40">
        <f>VLOOKUP(Table9[[#This Row],[Date]],'DB Details'!$A:$L,12)</f>
        <v/>
      </c>
      <c r="C435" s="40">
        <f>Table9[[#This Row],[PMI]]-B434</f>
        <v/>
      </c>
    </row>
    <row r="436">
      <c r="A436" s="39" t="n">
        <v>30621</v>
      </c>
      <c r="B436" s="40">
        <f>VLOOKUP(Table9[[#This Row],[Date]],'DB Details'!$A:$L,12)</f>
        <v/>
      </c>
      <c r="C436" s="40">
        <f>Table9[[#This Row],[PMI]]-B435</f>
        <v/>
      </c>
    </row>
    <row r="437">
      <c r="A437" s="39" t="n">
        <v>30651</v>
      </c>
      <c r="B437" s="40">
        <f>VLOOKUP(Table9[[#This Row],[Date]],'DB Details'!$A:$L,12)</f>
        <v/>
      </c>
      <c r="C437" s="40">
        <f>Table9[[#This Row],[PMI]]-B436</f>
        <v/>
      </c>
    </row>
    <row r="438">
      <c r="A438" s="39" t="n">
        <v>30682</v>
      </c>
      <c r="B438" s="40">
        <f>VLOOKUP(Table9[[#This Row],[Date]],'DB Details'!$A:$L,12)</f>
        <v/>
      </c>
      <c r="C438" s="40">
        <f>Table9[[#This Row],[PMI]]-B437</f>
        <v/>
      </c>
    </row>
    <row r="439">
      <c r="A439" s="39" t="n">
        <v>30713</v>
      </c>
      <c r="B439" s="40">
        <f>VLOOKUP(Table9[[#This Row],[Date]],'DB Details'!$A:$L,12)</f>
        <v/>
      </c>
      <c r="C439" s="40">
        <f>Table9[[#This Row],[PMI]]-B438</f>
        <v/>
      </c>
    </row>
    <row r="440">
      <c r="A440" s="39" t="n">
        <v>30742</v>
      </c>
      <c r="B440" s="40">
        <f>VLOOKUP(Table9[[#This Row],[Date]],'DB Details'!$A:$L,12)</f>
        <v/>
      </c>
      <c r="C440" s="40">
        <f>Table9[[#This Row],[PMI]]-B439</f>
        <v/>
      </c>
    </row>
    <row r="441">
      <c r="A441" s="39" t="n">
        <v>30773</v>
      </c>
      <c r="B441" s="40">
        <f>VLOOKUP(Table9[[#This Row],[Date]],'DB Details'!$A:$L,12)</f>
        <v/>
      </c>
      <c r="C441" s="40">
        <f>Table9[[#This Row],[PMI]]-B440</f>
        <v/>
      </c>
    </row>
    <row r="442">
      <c r="A442" s="39" t="n">
        <v>30803</v>
      </c>
      <c r="B442" s="40">
        <f>VLOOKUP(Table9[[#This Row],[Date]],'DB Details'!$A:$L,12)</f>
        <v/>
      </c>
      <c r="C442" s="40">
        <f>Table9[[#This Row],[PMI]]-B441</f>
        <v/>
      </c>
    </row>
    <row r="443">
      <c r="A443" s="39" t="n">
        <v>30834</v>
      </c>
      <c r="B443" s="40">
        <f>VLOOKUP(Table9[[#This Row],[Date]],'DB Details'!$A:$L,12)</f>
        <v/>
      </c>
      <c r="C443" s="40">
        <f>Table9[[#This Row],[PMI]]-B442</f>
        <v/>
      </c>
    </row>
    <row r="444">
      <c r="A444" s="39" t="n">
        <v>30864</v>
      </c>
      <c r="B444" s="40">
        <f>VLOOKUP(Table9[[#This Row],[Date]],'DB Details'!$A:$L,12)</f>
        <v/>
      </c>
      <c r="C444" s="40">
        <f>Table9[[#This Row],[PMI]]-B443</f>
        <v/>
      </c>
    </row>
    <row r="445">
      <c r="A445" s="39" t="n">
        <v>30895</v>
      </c>
      <c r="B445" s="40">
        <f>VLOOKUP(Table9[[#This Row],[Date]],'DB Details'!$A:$L,12)</f>
        <v/>
      </c>
      <c r="C445" s="40">
        <f>Table9[[#This Row],[PMI]]-B444</f>
        <v/>
      </c>
    </row>
    <row r="446">
      <c r="A446" s="39" t="n">
        <v>30926</v>
      </c>
      <c r="B446" s="40">
        <f>VLOOKUP(Table9[[#This Row],[Date]],'DB Details'!$A:$L,12)</f>
        <v/>
      </c>
      <c r="C446" s="40">
        <f>Table9[[#This Row],[PMI]]-B445</f>
        <v/>
      </c>
    </row>
    <row r="447">
      <c r="A447" s="39" t="n">
        <v>30956</v>
      </c>
      <c r="B447" s="40">
        <f>VLOOKUP(Table9[[#This Row],[Date]],'DB Details'!$A:$L,12)</f>
        <v/>
      </c>
      <c r="C447" s="40">
        <f>Table9[[#This Row],[PMI]]-B446</f>
        <v/>
      </c>
    </row>
    <row r="448">
      <c r="A448" s="39" t="n">
        <v>30987</v>
      </c>
      <c r="B448" s="40">
        <f>VLOOKUP(Table9[[#This Row],[Date]],'DB Details'!$A:$L,12)</f>
        <v/>
      </c>
      <c r="C448" s="40">
        <f>Table9[[#This Row],[PMI]]-B447</f>
        <v/>
      </c>
    </row>
    <row r="449">
      <c r="A449" s="39" t="n">
        <v>31017</v>
      </c>
      <c r="B449" s="40">
        <f>VLOOKUP(Table9[[#This Row],[Date]],'DB Details'!$A:$L,12)</f>
        <v/>
      </c>
      <c r="C449" s="40">
        <f>Table9[[#This Row],[PMI]]-B448</f>
        <v/>
      </c>
    </row>
    <row r="450">
      <c r="A450" s="39" t="n">
        <v>31048</v>
      </c>
      <c r="B450" s="40">
        <f>VLOOKUP(Table9[[#This Row],[Date]],'DB Details'!$A:$L,12)</f>
        <v/>
      </c>
      <c r="C450" s="40">
        <f>Table9[[#This Row],[PMI]]-B449</f>
        <v/>
      </c>
    </row>
    <row r="451">
      <c r="A451" s="39" t="n">
        <v>31079</v>
      </c>
      <c r="B451" s="40">
        <f>VLOOKUP(Table9[[#This Row],[Date]],'DB Details'!$A:$L,12)</f>
        <v/>
      </c>
      <c r="C451" s="40">
        <f>Table9[[#This Row],[PMI]]-B450</f>
        <v/>
      </c>
    </row>
    <row r="452">
      <c r="A452" s="39" t="n">
        <v>31107</v>
      </c>
      <c r="B452" s="40">
        <f>VLOOKUP(Table9[[#This Row],[Date]],'DB Details'!$A:$L,12)</f>
        <v/>
      </c>
      <c r="C452" s="40">
        <f>Table9[[#This Row],[PMI]]-B451</f>
        <v/>
      </c>
    </row>
    <row r="453">
      <c r="A453" s="39" t="n">
        <v>31138</v>
      </c>
      <c r="B453" s="40">
        <f>VLOOKUP(Table9[[#This Row],[Date]],'DB Details'!$A:$L,12)</f>
        <v/>
      </c>
      <c r="C453" s="40">
        <f>Table9[[#This Row],[PMI]]-B452</f>
        <v/>
      </c>
    </row>
    <row r="454">
      <c r="A454" s="39" t="n">
        <v>31168</v>
      </c>
      <c r="B454" s="40">
        <f>VLOOKUP(Table9[[#This Row],[Date]],'DB Details'!$A:$L,12)</f>
        <v/>
      </c>
      <c r="C454" s="40">
        <f>Table9[[#This Row],[PMI]]-B453</f>
        <v/>
      </c>
    </row>
    <row r="455">
      <c r="A455" s="39" t="n">
        <v>31199</v>
      </c>
      <c r="B455" s="40">
        <f>VLOOKUP(Table9[[#This Row],[Date]],'DB Details'!$A:$L,12)</f>
        <v/>
      </c>
      <c r="C455" s="40">
        <f>Table9[[#This Row],[PMI]]-B454</f>
        <v/>
      </c>
    </row>
    <row r="456">
      <c r="A456" s="39" t="n">
        <v>31229</v>
      </c>
      <c r="B456" s="40">
        <f>VLOOKUP(Table9[[#This Row],[Date]],'DB Details'!$A:$L,12)</f>
        <v/>
      </c>
      <c r="C456" s="40">
        <f>Table9[[#This Row],[PMI]]-B455</f>
        <v/>
      </c>
    </row>
    <row r="457">
      <c r="A457" s="39" t="n">
        <v>31260</v>
      </c>
      <c r="B457" s="40">
        <f>VLOOKUP(Table9[[#This Row],[Date]],'DB Details'!$A:$L,12)</f>
        <v/>
      </c>
      <c r="C457" s="40">
        <f>Table9[[#This Row],[PMI]]-B456</f>
        <v/>
      </c>
    </row>
    <row r="458">
      <c r="A458" s="39" t="n">
        <v>31291</v>
      </c>
      <c r="B458" s="40">
        <f>VLOOKUP(Table9[[#This Row],[Date]],'DB Details'!$A:$L,12)</f>
        <v/>
      </c>
      <c r="C458" s="40">
        <f>Table9[[#This Row],[PMI]]-B457</f>
        <v/>
      </c>
    </row>
    <row r="459">
      <c r="A459" s="39" t="n">
        <v>31321</v>
      </c>
      <c r="B459" s="40">
        <f>VLOOKUP(Table9[[#This Row],[Date]],'DB Details'!$A:$L,12)</f>
        <v/>
      </c>
      <c r="C459" s="40">
        <f>Table9[[#This Row],[PMI]]-B458</f>
        <v/>
      </c>
    </row>
    <row r="460">
      <c r="A460" s="39" t="n">
        <v>31352</v>
      </c>
      <c r="B460" s="40">
        <f>VLOOKUP(Table9[[#This Row],[Date]],'DB Details'!$A:$L,12)</f>
        <v/>
      </c>
      <c r="C460" s="40">
        <f>Table9[[#This Row],[PMI]]-B459</f>
        <v/>
      </c>
    </row>
    <row r="461">
      <c r="A461" s="39" t="n">
        <v>31382</v>
      </c>
      <c r="B461" s="40">
        <f>VLOOKUP(Table9[[#This Row],[Date]],'DB Details'!$A:$L,12)</f>
        <v/>
      </c>
      <c r="C461" s="40">
        <f>Table9[[#This Row],[PMI]]-B460</f>
        <v/>
      </c>
    </row>
    <row r="462">
      <c r="A462" s="39" t="n">
        <v>31413</v>
      </c>
      <c r="B462" s="40">
        <f>VLOOKUP(Table9[[#This Row],[Date]],'DB Details'!$A:$L,12)</f>
        <v/>
      </c>
      <c r="C462" s="40">
        <f>Table9[[#This Row],[PMI]]-B461</f>
        <v/>
      </c>
    </row>
    <row r="463">
      <c r="A463" s="39" t="n">
        <v>31444</v>
      </c>
      <c r="B463" s="40">
        <f>VLOOKUP(Table9[[#This Row],[Date]],'DB Details'!$A:$L,12)</f>
        <v/>
      </c>
      <c r="C463" s="40">
        <f>Table9[[#This Row],[PMI]]-B462</f>
        <v/>
      </c>
    </row>
    <row r="464">
      <c r="A464" s="39" t="n">
        <v>31472</v>
      </c>
      <c r="B464" s="40">
        <f>VLOOKUP(Table9[[#This Row],[Date]],'DB Details'!$A:$L,12)</f>
        <v/>
      </c>
      <c r="C464" s="40">
        <f>Table9[[#This Row],[PMI]]-B463</f>
        <v/>
      </c>
    </row>
    <row r="465">
      <c r="A465" s="39" t="n">
        <v>31503</v>
      </c>
      <c r="B465" s="40">
        <f>VLOOKUP(Table9[[#This Row],[Date]],'DB Details'!$A:$L,12)</f>
        <v/>
      </c>
      <c r="C465" s="40">
        <f>Table9[[#This Row],[PMI]]-B464</f>
        <v/>
      </c>
    </row>
    <row r="466">
      <c r="A466" s="39" t="n">
        <v>31533</v>
      </c>
      <c r="B466" s="40">
        <f>VLOOKUP(Table9[[#This Row],[Date]],'DB Details'!$A:$L,12)</f>
        <v/>
      </c>
      <c r="C466" s="40">
        <f>Table9[[#This Row],[PMI]]-B465</f>
        <v/>
      </c>
    </row>
    <row r="467">
      <c r="A467" s="39" t="n">
        <v>31564</v>
      </c>
      <c r="B467" s="40">
        <f>VLOOKUP(Table9[[#This Row],[Date]],'DB Details'!$A:$L,12)</f>
        <v/>
      </c>
      <c r="C467" s="40">
        <f>Table9[[#This Row],[PMI]]-B466</f>
        <v/>
      </c>
    </row>
    <row r="468">
      <c r="A468" s="39" t="n">
        <v>31594</v>
      </c>
      <c r="B468" s="40">
        <f>VLOOKUP(Table9[[#This Row],[Date]],'DB Details'!$A:$L,12)</f>
        <v/>
      </c>
      <c r="C468" s="40">
        <f>Table9[[#This Row],[PMI]]-B467</f>
        <v/>
      </c>
    </row>
    <row r="469">
      <c r="A469" s="39" t="n">
        <v>31625</v>
      </c>
      <c r="B469" s="40">
        <f>VLOOKUP(Table9[[#This Row],[Date]],'DB Details'!$A:$L,12)</f>
        <v/>
      </c>
      <c r="C469" s="40">
        <f>Table9[[#This Row],[PMI]]-B468</f>
        <v/>
      </c>
    </row>
    <row r="470">
      <c r="A470" s="39" t="n">
        <v>31656</v>
      </c>
      <c r="B470" s="40">
        <f>VLOOKUP(Table9[[#This Row],[Date]],'DB Details'!$A:$L,12)</f>
        <v/>
      </c>
      <c r="C470" s="40">
        <f>Table9[[#This Row],[PMI]]-B469</f>
        <v/>
      </c>
    </row>
    <row r="471">
      <c r="A471" s="39" t="n">
        <v>31686</v>
      </c>
      <c r="B471" s="40">
        <f>VLOOKUP(Table9[[#This Row],[Date]],'DB Details'!$A:$L,12)</f>
        <v/>
      </c>
      <c r="C471" s="40">
        <f>Table9[[#This Row],[PMI]]-B470</f>
        <v/>
      </c>
    </row>
    <row r="472">
      <c r="A472" s="39" t="n">
        <v>31717</v>
      </c>
      <c r="B472" s="40">
        <f>VLOOKUP(Table9[[#This Row],[Date]],'DB Details'!$A:$L,12)</f>
        <v/>
      </c>
      <c r="C472" s="40">
        <f>Table9[[#This Row],[PMI]]-B471</f>
        <v/>
      </c>
    </row>
    <row r="473">
      <c r="A473" s="39" t="n">
        <v>31747</v>
      </c>
      <c r="B473" s="40">
        <f>VLOOKUP(Table9[[#This Row],[Date]],'DB Details'!$A:$L,12)</f>
        <v/>
      </c>
      <c r="C473" s="40">
        <f>Table9[[#This Row],[PMI]]-B472</f>
        <v/>
      </c>
    </row>
    <row r="474">
      <c r="A474" s="39" t="n">
        <v>31778</v>
      </c>
      <c r="B474" s="40">
        <f>VLOOKUP(Table9[[#This Row],[Date]],'DB Details'!$A:$L,12)</f>
        <v/>
      </c>
      <c r="C474" s="40">
        <f>Table9[[#This Row],[PMI]]-B473</f>
        <v/>
      </c>
    </row>
    <row r="475">
      <c r="A475" s="39" t="n">
        <v>31809</v>
      </c>
      <c r="B475" s="40">
        <f>VLOOKUP(Table9[[#This Row],[Date]],'DB Details'!$A:$L,12)</f>
        <v/>
      </c>
      <c r="C475" s="40">
        <f>Table9[[#This Row],[PMI]]-B474</f>
        <v/>
      </c>
    </row>
    <row r="476">
      <c r="A476" s="39" t="n">
        <v>31837</v>
      </c>
      <c r="B476" s="40">
        <f>VLOOKUP(Table9[[#This Row],[Date]],'DB Details'!$A:$L,12)</f>
        <v/>
      </c>
      <c r="C476" s="40">
        <f>Table9[[#This Row],[PMI]]-B475</f>
        <v/>
      </c>
    </row>
    <row r="477">
      <c r="A477" s="39" t="n">
        <v>31868</v>
      </c>
      <c r="B477" s="40">
        <f>VLOOKUP(Table9[[#This Row],[Date]],'DB Details'!$A:$L,12)</f>
        <v/>
      </c>
      <c r="C477" s="40">
        <f>Table9[[#This Row],[PMI]]-B476</f>
        <v/>
      </c>
    </row>
    <row r="478">
      <c r="A478" s="39" t="n">
        <v>31898</v>
      </c>
      <c r="B478" s="40">
        <f>VLOOKUP(Table9[[#This Row],[Date]],'DB Details'!$A:$L,12)</f>
        <v/>
      </c>
      <c r="C478" s="40">
        <f>Table9[[#This Row],[PMI]]-B477</f>
        <v/>
      </c>
    </row>
    <row r="479">
      <c r="A479" s="39" t="n">
        <v>31929</v>
      </c>
      <c r="B479" s="40">
        <f>VLOOKUP(Table9[[#This Row],[Date]],'DB Details'!$A:$L,12)</f>
        <v/>
      </c>
      <c r="C479" s="40">
        <f>Table9[[#This Row],[PMI]]-B478</f>
        <v/>
      </c>
    </row>
    <row r="480">
      <c r="A480" s="39" t="n">
        <v>31959</v>
      </c>
      <c r="B480" s="40">
        <f>VLOOKUP(Table9[[#This Row],[Date]],'DB Details'!$A:$L,12)</f>
        <v/>
      </c>
      <c r="C480" s="40">
        <f>Table9[[#This Row],[PMI]]-B479</f>
        <v/>
      </c>
    </row>
    <row r="481">
      <c r="A481" s="39" t="n">
        <v>31990</v>
      </c>
      <c r="B481" s="40">
        <f>VLOOKUP(Table9[[#This Row],[Date]],'DB Details'!$A:$L,12)</f>
        <v/>
      </c>
      <c r="C481" s="40">
        <f>Table9[[#This Row],[PMI]]-B480</f>
        <v/>
      </c>
    </row>
    <row r="482">
      <c r="A482" s="39" t="n">
        <v>32021</v>
      </c>
      <c r="B482" s="40">
        <f>VLOOKUP(Table9[[#This Row],[Date]],'DB Details'!$A:$L,12)</f>
        <v/>
      </c>
      <c r="C482" s="40">
        <f>Table9[[#This Row],[PMI]]-B481</f>
        <v/>
      </c>
    </row>
    <row r="483">
      <c r="A483" s="39" t="n">
        <v>32051</v>
      </c>
      <c r="B483" s="40">
        <f>VLOOKUP(Table9[[#This Row],[Date]],'DB Details'!$A:$L,12)</f>
        <v/>
      </c>
      <c r="C483" s="40">
        <f>Table9[[#This Row],[PMI]]-B482</f>
        <v/>
      </c>
    </row>
    <row r="484">
      <c r="A484" s="39" t="n">
        <v>32082</v>
      </c>
      <c r="B484" s="40">
        <f>VLOOKUP(Table9[[#This Row],[Date]],'DB Details'!$A:$L,12)</f>
        <v/>
      </c>
      <c r="C484" s="40">
        <f>Table9[[#This Row],[PMI]]-B483</f>
        <v/>
      </c>
    </row>
    <row r="485">
      <c r="A485" s="39" t="n">
        <v>32112</v>
      </c>
      <c r="B485" s="40">
        <f>VLOOKUP(Table9[[#This Row],[Date]],'DB Details'!$A:$L,12)</f>
        <v/>
      </c>
      <c r="C485" s="40">
        <f>Table9[[#This Row],[PMI]]-B484</f>
        <v/>
      </c>
    </row>
    <row r="486">
      <c r="A486" s="39" t="n">
        <v>32143</v>
      </c>
      <c r="B486" s="40">
        <f>VLOOKUP(Table9[[#This Row],[Date]],'DB Details'!$A:$L,12)</f>
        <v/>
      </c>
      <c r="C486" s="40">
        <f>Table9[[#This Row],[PMI]]-B485</f>
        <v/>
      </c>
    </row>
    <row r="487">
      <c r="A487" s="39" t="n">
        <v>32174</v>
      </c>
      <c r="B487" s="40">
        <f>VLOOKUP(Table9[[#This Row],[Date]],'DB Details'!$A:$L,12)</f>
        <v/>
      </c>
      <c r="C487" s="40">
        <f>Table9[[#This Row],[PMI]]-B486</f>
        <v/>
      </c>
    </row>
    <row r="488">
      <c r="A488" s="39" t="n">
        <v>32203</v>
      </c>
      <c r="B488" s="40">
        <f>VLOOKUP(Table9[[#This Row],[Date]],'DB Details'!$A:$L,12)</f>
        <v/>
      </c>
      <c r="C488" s="40">
        <f>Table9[[#This Row],[PMI]]-B487</f>
        <v/>
      </c>
    </row>
    <row r="489">
      <c r="A489" s="39" t="n">
        <v>32234</v>
      </c>
      <c r="B489" s="40">
        <f>VLOOKUP(Table9[[#This Row],[Date]],'DB Details'!$A:$L,12)</f>
        <v/>
      </c>
      <c r="C489" s="40">
        <f>Table9[[#This Row],[PMI]]-B488</f>
        <v/>
      </c>
    </row>
    <row r="490">
      <c r="A490" s="39" t="n">
        <v>32264</v>
      </c>
      <c r="B490" s="40">
        <f>VLOOKUP(Table9[[#This Row],[Date]],'DB Details'!$A:$L,12)</f>
        <v/>
      </c>
      <c r="C490" s="40">
        <f>Table9[[#This Row],[PMI]]-B489</f>
        <v/>
      </c>
    </row>
    <row r="491">
      <c r="A491" s="39" t="n">
        <v>32295</v>
      </c>
      <c r="B491" s="40">
        <f>VLOOKUP(Table9[[#This Row],[Date]],'DB Details'!$A:$L,12)</f>
        <v/>
      </c>
      <c r="C491" s="40">
        <f>Table9[[#This Row],[PMI]]-B490</f>
        <v/>
      </c>
    </row>
    <row r="492">
      <c r="A492" s="39" t="n">
        <v>32325</v>
      </c>
      <c r="B492" s="40">
        <f>VLOOKUP(Table9[[#This Row],[Date]],'DB Details'!$A:$L,12)</f>
        <v/>
      </c>
      <c r="C492" s="40">
        <f>Table9[[#This Row],[PMI]]-B491</f>
        <v/>
      </c>
    </row>
    <row r="493">
      <c r="A493" s="39" t="n">
        <v>32356</v>
      </c>
      <c r="B493" s="40">
        <f>VLOOKUP(Table9[[#This Row],[Date]],'DB Details'!$A:$L,12)</f>
        <v/>
      </c>
      <c r="C493" s="40">
        <f>Table9[[#This Row],[PMI]]-B492</f>
        <v/>
      </c>
    </row>
    <row r="494">
      <c r="A494" s="39" t="n">
        <v>32387</v>
      </c>
      <c r="B494" s="40">
        <f>VLOOKUP(Table9[[#This Row],[Date]],'DB Details'!$A:$L,12)</f>
        <v/>
      </c>
      <c r="C494" s="40">
        <f>Table9[[#This Row],[PMI]]-B493</f>
        <v/>
      </c>
    </row>
    <row r="495">
      <c r="A495" s="39" t="n">
        <v>32417</v>
      </c>
      <c r="B495" s="40">
        <f>VLOOKUP(Table9[[#This Row],[Date]],'DB Details'!$A:$L,12)</f>
        <v/>
      </c>
      <c r="C495" s="40">
        <f>Table9[[#This Row],[PMI]]-B494</f>
        <v/>
      </c>
    </row>
    <row r="496">
      <c r="A496" s="39" t="n">
        <v>32448</v>
      </c>
      <c r="B496" s="40">
        <f>VLOOKUP(Table9[[#This Row],[Date]],'DB Details'!$A:$L,12)</f>
        <v/>
      </c>
      <c r="C496" s="40">
        <f>Table9[[#This Row],[PMI]]-B495</f>
        <v/>
      </c>
    </row>
    <row r="497">
      <c r="A497" s="39" t="n">
        <v>32478</v>
      </c>
      <c r="B497" s="40">
        <f>VLOOKUP(Table9[[#This Row],[Date]],'DB Details'!$A:$L,12)</f>
        <v/>
      </c>
      <c r="C497" s="40">
        <f>Table9[[#This Row],[PMI]]-B496</f>
        <v/>
      </c>
    </row>
    <row r="498">
      <c r="A498" s="39" t="n">
        <v>32509</v>
      </c>
      <c r="B498" s="40">
        <f>VLOOKUP(Table9[[#This Row],[Date]],'DB Details'!$A:$L,12)</f>
        <v/>
      </c>
      <c r="C498" s="40">
        <f>Table9[[#This Row],[PMI]]-B497</f>
        <v/>
      </c>
    </row>
    <row r="499">
      <c r="A499" s="39" t="n">
        <v>32540</v>
      </c>
      <c r="B499" s="40">
        <f>VLOOKUP(Table9[[#This Row],[Date]],'DB Details'!$A:$L,12)</f>
        <v/>
      </c>
      <c r="C499" s="40">
        <f>Table9[[#This Row],[PMI]]-B498</f>
        <v/>
      </c>
    </row>
    <row r="500">
      <c r="A500" s="39" t="n">
        <v>32568</v>
      </c>
      <c r="B500" s="40">
        <f>VLOOKUP(Table9[[#This Row],[Date]],'DB Details'!$A:$L,12)</f>
        <v/>
      </c>
      <c r="C500" s="40">
        <f>Table9[[#This Row],[PMI]]-B499</f>
        <v/>
      </c>
    </row>
    <row r="501">
      <c r="A501" s="39" t="n">
        <v>32599</v>
      </c>
      <c r="B501" s="40">
        <f>VLOOKUP(Table9[[#This Row],[Date]],'DB Details'!$A:$L,12)</f>
        <v/>
      </c>
      <c r="C501" s="40">
        <f>Table9[[#This Row],[PMI]]-B500</f>
        <v/>
      </c>
    </row>
    <row r="502">
      <c r="A502" s="39" t="n">
        <v>32629</v>
      </c>
      <c r="B502" s="40">
        <f>VLOOKUP(Table9[[#This Row],[Date]],'DB Details'!$A:$L,12)</f>
        <v/>
      </c>
      <c r="C502" s="40">
        <f>Table9[[#This Row],[PMI]]-B501</f>
        <v/>
      </c>
    </row>
    <row r="503">
      <c r="A503" s="39" t="n">
        <v>32660</v>
      </c>
      <c r="B503" s="40">
        <f>VLOOKUP(Table9[[#This Row],[Date]],'DB Details'!$A:$L,12)</f>
        <v/>
      </c>
      <c r="C503" s="40">
        <f>Table9[[#This Row],[PMI]]-B502</f>
        <v/>
      </c>
    </row>
    <row r="504">
      <c r="A504" s="39" t="n">
        <v>32690</v>
      </c>
      <c r="B504" s="40">
        <f>VLOOKUP(Table9[[#This Row],[Date]],'DB Details'!$A:$L,12)</f>
        <v/>
      </c>
      <c r="C504" s="40">
        <f>Table9[[#This Row],[PMI]]-B503</f>
        <v/>
      </c>
    </row>
    <row r="505">
      <c r="A505" s="39" t="n">
        <v>32721</v>
      </c>
      <c r="B505" s="40">
        <f>VLOOKUP(Table9[[#This Row],[Date]],'DB Details'!$A:$L,12)</f>
        <v/>
      </c>
      <c r="C505" s="40">
        <f>Table9[[#This Row],[PMI]]-B504</f>
        <v/>
      </c>
    </row>
    <row r="506">
      <c r="A506" s="39" t="n">
        <v>32752</v>
      </c>
      <c r="B506" s="40">
        <f>VLOOKUP(Table9[[#This Row],[Date]],'DB Details'!$A:$L,12)</f>
        <v/>
      </c>
      <c r="C506" s="40">
        <f>Table9[[#This Row],[PMI]]-B505</f>
        <v/>
      </c>
    </row>
    <row r="507">
      <c r="A507" s="39" t="n">
        <v>32782</v>
      </c>
      <c r="B507" s="40">
        <f>VLOOKUP(Table9[[#This Row],[Date]],'DB Details'!$A:$L,12)</f>
        <v/>
      </c>
      <c r="C507" s="40">
        <f>Table9[[#This Row],[PMI]]-B506</f>
        <v/>
      </c>
    </row>
    <row r="508">
      <c r="A508" s="39" t="n">
        <v>32813</v>
      </c>
      <c r="B508" s="40">
        <f>VLOOKUP(Table9[[#This Row],[Date]],'DB Details'!$A:$L,12)</f>
        <v/>
      </c>
      <c r="C508" s="40">
        <f>Table9[[#This Row],[PMI]]-B507</f>
        <v/>
      </c>
    </row>
    <row r="509">
      <c r="A509" s="39" t="n">
        <v>32843</v>
      </c>
      <c r="B509" s="40">
        <f>VLOOKUP(Table9[[#This Row],[Date]],'DB Details'!$A:$L,12)</f>
        <v/>
      </c>
      <c r="C509" s="40">
        <f>Table9[[#This Row],[PMI]]-B508</f>
        <v/>
      </c>
    </row>
    <row r="510">
      <c r="A510" s="39" t="n">
        <v>32874</v>
      </c>
      <c r="B510" s="40">
        <f>VLOOKUP(Table9[[#This Row],[Date]],'DB Details'!$A:$L,12)</f>
        <v/>
      </c>
      <c r="C510" s="40">
        <f>Table9[[#This Row],[PMI]]-B509</f>
        <v/>
      </c>
    </row>
    <row r="511">
      <c r="A511" s="39" t="n">
        <v>32905</v>
      </c>
      <c r="B511" s="40">
        <f>VLOOKUP(Table9[[#This Row],[Date]],'DB Details'!$A:$L,12)</f>
        <v/>
      </c>
      <c r="C511" s="40">
        <f>Table9[[#This Row],[PMI]]-B510</f>
        <v/>
      </c>
    </row>
    <row r="512">
      <c r="A512" s="39" t="n">
        <v>32933</v>
      </c>
      <c r="B512" s="40">
        <f>VLOOKUP(Table9[[#This Row],[Date]],'DB Details'!$A:$L,12)</f>
        <v/>
      </c>
      <c r="C512" s="40">
        <f>Table9[[#This Row],[PMI]]-B511</f>
        <v/>
      </c>
    </row>
    <row r="513">
      <c r="A513" s="39" t="n">
        <v>32964</v>
      </c>
      <c r="B513" s="40">
        <f>VLOOKUP(Table9[[#This Row],[Date]],'DB Details'!$A:$L,12)</f>
        <v/>
      </c>
      <c r="C513" s="40">
        <f>Table9[[#This Row],[PMI]]-B512</f>
        <v/>
      </c>
    </row>
    <row r="514">
      <c r="A514" s="39" t="n">
        <v>32994</v>
      </c>
      <c r="B514" s="40">
        <f>VLOOKUP(Table9[[#This Row],[Date]],'DB Details'!$A:$L,12)</f>
        <v/>
      </c>
      <c r="C514" s="40">
        <f>Table9[[#This Row],[PMI]]-B513</f>
        <v/>
      </c>
    </row>
    <row r="515">
      <c r="A515" s="39" t="n">
        <v>33025</v>
      </c>
      <c r="B515" s="40">
        <f>VLOOKUP(Table9[[#This Row],[Date]],'DB Details'!$A:$L,12)</f>
        <v/>
      </c>
      <c r="C515" s="40">
        <f>Table9[[#This Row],[PMI]]-B514</f>
        <v/>
      </c>
    </row>
    <row r="516">
      <c r="A516" s="39" t="n">
        <v>33055</v>
      </c>
      <c r="B516" s="40">
        <f>VLOOKUP(Table9[[#This Row],[Date]],'DB Details'!$A:$L,12)</f>
        <v/>
      </c>
      <c r="C516" s="40">
        <f>Table9[[#This Row],[PMI]]-B515</f>
        <v/>
      </c>
    </row>
    <row r="517">
      <c r="A517" s="39" t="n">
        <v>33086</v>
      </c>
      <c r="B517" s="40">
        <f>VLOOKUP(Table9[[#This Row],[Date]],'DB Details'!$A:$L,12)</f>
        <v/>
      </c>
      <c r="C517" s="40">
        <f>Table9[[#This Row],[PMI]]-B516</f>
        <v/>
      </c>
    </row>
    <row r="518">
      <c r="A518" s="39" t="n">
        <v>33117</v>
      </c>
      <c r="B518" s="40">
        <f>VLOOKUP(Table9[[#This Row],[Date]],'DB Details'!$A:$L,12)</f>
        <v/>
      </c>
      <c r="C518" s="40">
        <f>Table9[[#This Row],[PMI]]-B517</f>
        <v/>
      </c>
    </row>
    <row r="519">
      <c r="A519" s="39" t="n">
        <v>33147</v>
      </c>
      <c r="B519" s="40">
        <f>VLOOKUP(Table9[[#This Row],[Date]],'DB Details'!$A:$L,12)</f>
        <v/>
      </c>
      <c r="C519" s="40">
        <f>Table9[[#This Row],[PMI]]-B518</f>
        <v/>
      </c>
    </row>
    <row r="520">
      <c r="A520" s="39" t="n">
        <v>33178</v>
      </c>
      <c r="B520" s="40">
        <f>VLOOKUP(Table9[[#This Row],[Date]],'DB Details'!$A:$L,12)</f>
        <v/>
      </c>
      <c r="C520" s="40">
        <f>Table9[[#This Row],[PMI]]-B519</f>
        <v/>
      </c>
    </row>
    <row r="521">
      <c r="A521" s="39" t="n">
        <v>33208</v>
      </c>
      <c r="B521" s="40">
        <f>VLOOKUP(Table9[[#This Row],[Date]],'DB Details'!$A:$L,12)</f>
        <v/>
      </c>
      <c r="C521" s="40">
        <f>Table9[[#This Row],[PMI]]-B520</f>
        <v/>
      </c>
    </row>
    <row r="522">
      <c r="A522" s="39" t="n">
        <v>33239</v>
      </c>
      <c r="B522" s="40">
        <f>VLOOKUP(Table9[[#This Row],[Date]],'DB Details'!$A:$L,12)</f>
        <v/>
      </c>
      <c r="C522" s="40">
        <f>Table9[[#This Row],[PMI]]-B521</f>
        <v/>
      </c>
    </row>
    <row r="523">
      <c r="A523" s="39" t="n">
        <v>33270</v>
      </c>
      <c r="B523" s="40">
        <f>VLOOKUP(Table9[[#This Row],[Date]],'DB Details'!$A:$L,12)</f>
        <v/>
      </c>
      <c r="C523" s="40">
        <f>Table9[[#This Row],[PMI]]-B522</f>
        <v/>
      </c>
    </row>
    <row r="524">
      <c r="A524" s="39" t="n">
        <v>33298</v>
      </c>
      <c r="B524" s="40">
        <f>VLOOKUP(Table9[[#This Row],[Date]],'DB Details'!$A:$L,12)</f>
        <v/>
      </c>
      <c r="C524" s="40">
        <f>Table9[[#This Row],[PMI]]-B523</f>
        <v/>
      </c>
    </row>
    <row r="525">
      <c r="A525" s="39" t="n">
        <v>33329</v>
      </c>
      <c r="B525" s="40">
        <f>VLOOKUP(Table9[[#This Row],[Date]],'DB Details'!$A:$L,12)</f>
        <v/>
      </c>
      <c r="C525" s="40">
        <f>Table9[[#This Row],[PMI]]-B524</f>
        <v/>
      </c>
    </row>
    <row r="526">
      <c r="A526" s="39" t="n">
        <v>33359</v>
      </c>
      <c r="B526" s="40">
        <f>VLOOKUP(Table9[[#This Row],[Date]],'DB Details'!$A:$L,12)</f>
        <v/>
      </c>
      <c r="C526" s="40">
        <f>Table9[[#This Row],[PMI]]-B525</f>
        <v/>
      </c>
    </row>
    <row r="527">
      <c r="A527" s="39" t="n">
        <v>33390</v>
      </c>
      <c r="B527" s="40">
        <f>VLOOKUP(Table9[[#This Row],[Date]],'DB Details'!$A:$L,12)</f>
        <v/>
      </c>
      <c r="C527" s="40">
        <f>Table9[[#This Row],[PMI]]-B526</f>
        <v/>
      </c>
    </row>
    <row r="528">
      <c r="A528" s="39" t="n">
        <v>33420</v>
      </c>
      <c r="B528" s="40">
        <f>VLOOKUP(Table9[[#This Row],[Date]],'DB Details'!$A:$L,12)</f>
        <v/>
      </c>
      <c r="C528" s="40">
        <f>Table9[[#This Row],[PMI]]-B527</f>
        <v/>
      </c>
    </row>
    <row r="529">
      <c r="A529" s="39" t="n">
        <v>33451</v>
      </c>
      <c r="B529" s="40">
        <f>VLOOKUP(Table9[[#This Row],[Date]],'DB Details'!$A:$L,12)</f>
        <v/>
      </c>
      <c r="C529" s="40">
        <f>Table9[[#This Row],[PMI]]-B528</f>
        <v/>
      </c>
    </row>
    <row r="530">
      <c r="A530" s="39" t="n">
        <v>33482</v>
      </c>
      <c r="B530" s="40">
        <f>VLOOKUP(Table9[[#This Row],[Date]],'DB Details'!$A:$L,12)</f>
        <v/>
      </c>
      <c r="C530" s="40">
        <f>Table9[[#This Row],[PMI]]-B529</f>
        <v/>
      </c>
    </row>
    <row r="531">
      <c r="A531" s="39" t="n">
        <v>33512</v>
      </c>
      <c r="B531" s="40">
        <f>VLOOKUP(Table9[[#This Row],[Date]],'DB Details'!$A:$L,12)</f>
        <v/>
      </c>
      <c r="C531" s="40">
        <f>Table9[[#This Row],[PMI]]-B530</f>
        <v/>
      </c>
    </row>
    <row r="532">
      <c r="A532" s="39" t="n">
        <v>33543</v>
      </c>
      <c r="B532" s="40">
        <f>VLOOKUP(Table9[[#This Row],[Date]],'DB Details'!$A:$L,12)</f>
        <v/>
      </c>
      <c r="C532" s="40">
        <f>Table9[[#This Row],[PMI]]-B531</f>
        <v/>
      </c>
    </row>
    <row r="533">
      <c r="A533" s="39" t="n">
        <v>33573</v>
      </c>
      <c r="B533" s="40">
        <f>VLOOKUP(Table9[[#This Row],[Date]],'DB Details'!$A:$L,12)</f>
        <v/>
      </c>
      <c r="C533" s="40">
        <f>Table9[[#This Row],[PMI]]-B532</f>
        <v/>
      </c>
    </row>
    <row r="534">
      <c r="A534" s="39" t="n">
        <v>33604</v>
      </c>
      <c r="B534" s="40">
        <f>VLOOKUP(Table9[[#This Row],[Date]],'DB Details'!$A:$L,12)</f>
        <v/>
      </c>
      <c r="C534" s="40">
        <f>Table9[[#This Row],[PMI]]-B533</f>
        <v/>
      </c>
    </row>
    <row r="535">
      <c r="A535" s="39" t="n">
        <v>33635</v>
      </c>
      <c r="B535" s="40">
        <f>VLOOKUP(Table9[[#This Row],[Date]],'DB Details'!$A:$L,12)</f>
        <v/>
      </c>
      <c r="C535" s="40">
        <f>Table9[[#This Row],[PMI]]-B534</f>
        <v/>
      </c>
    </row>
    <row r="536">
      <c r="A536" s="39" t="n">
        <v>33664</v>
      </c>
      <c r="B536" s="40">
        <f>VLOOKUP(Table9[[#This Row],[Date]],'DB Details'!$A:$L,12)</f>
        <v/>
      </c>
      <c r="C536" s="40">
        <f>Table9[[#This Row],[PMI]]-B535</f>
        <v/>
      </c>
    </row>
    <row r="537">
      <c r="A537" s="39" t="n">
        <v>33695</v>
      </c>
      <c r="B537" s="40">
        <f>VLOOKUP(Table9[[#This Row],[Date]],'DB Details'!$A:$L,12)</f>
        <v/>
      </c>
      <c r="C537" s="40">
        <f>Table9[[#This Row],[PMI]]-B536</f>
        <v/>
      </c>
    </row>
    <row r="538">
      <c r="A538" s="39" t="n">
        <v>33725</v>
      </c>
      <c r="B538" s="40">
        <f>VLOOKUP(Table9[[#This Row],[Date]],'DB Details'!$A:$L,12)</f>
        <v/>
      </c>
      <c r="C538" s="40">
        <f>Table9[[#This Row],[PMI]]-B537</f>
        <v/>
      </c>
    </row>
    <row r="539">
      <c r="A539" s="39" t="n">
        <v>33756</v>
      </c>
      <c r="B539" s="40">
        <f>VLOOKUP(Table9[[#This Row],[Date]],'DB Details'!$A:$L,12)</f>
        <v/>
      </c>
      <c r="C539" s="40">
        <f>Table9[[#This Row],[PMI]]-B538</f>
        <v/>
      </c>
    </row>
    <row r="540">
      <c r="A540" s="39" t="n">
        <v>33786</v>
      </c>
      <c r="B540" s="40">
        <f>VLOOKUP(Table9[[#This Row],[Date]],'DB Details'!$A:$L,12)</f>
        <v/>
      </c>
      <c r="C540" s="40">
        <f>Table9[[#This Row],[PMI]]-B539</f>
        <v/>
      </c>
    </row>
    <row r="541">
      <c r="A541" s="39" t="n">
        <v>33817</v>
      </c>
      <c r="B541" s="40">
        <f>VLOOKUP(Table9[[#This Row],[Date]],'DB Details'!$A:$L,12)</f>
        <v/>
      </c>
      <c r="C541" s="40">
        <f>Table9[[#This Row],[PMI]]-B540</f>
        <v/>
      </c>
    </row>
    <row r="542">
      <c r="A542" s="39" t="n">
        <v>33848</v>
      </c>
      <c r="B542" s="40">
        <f>VLOOKUP(Table9[[#This Row],[Date]],'DB Details'!$A:$L,12)</f>
        <v/>
      </c>
      <c r="C542" s="40">
        <f>Table9[[#This Row],[PMI]]-B541</f>
        <v/>
      </c>
    </row>
    <row r="543">
      <c r="A543" s="39" t="n">
        <v>33878</v>
      </c>
      <c r="B543" s="40">
        <f>VLOOKUP(Table9[[#This Row],[Date]],'DB Details'!$A:$L,12)</f>
        <v/>
      </c>
      <c r="C543" s="40">
        <f>Table9[[#This Row],[PMI]]-B542</f>
        <v/>
      </c>
    </row>
    <row r="544">
      <c r="A544" s="39" t="n">
        <v>33909</v>
      </c>
      <c r="B544" s="40">
        <f>VLOOKUP(Table9[[#This Row],[Date]],'DB Details'!$A:$L,12)</f>
        <v/>
      </c>
      <c r="C544" s="40">
        <f>Table9[[#This Row],[PMI]]-B543</f>
        <v/>
      </c>
    </row>
    <row r="545">
      <c r="A545" s="39" t="n">
        <v>33939</v>
      </c>
      <c r="B545" s="40">
        <f>VLOOKUP(Table9[[#This Row],[Date]],'DB Details'!$A:$L,12)</f>
        <v/>
      </c>
      <c r="C545" s="40">
        <f>Table9[[#This Row],[PMI]]-B544</f>
        <v/>
      </c>
    </row>
    <row r="546">
      <c r="A546" s="39" t="n">
        <v>33970</v>
      </c>
      <c r="B546" s="40">
        <f>VLOOKUP(Table9[[#This Row],[Date]],'DB Details'!$A:$L,12)</f>
        <v/>
      </c>
      <c r="C546" s="40">
        <f>Table9[[#This Row],[PMI]]-B545</f>
        <v/>
      </c>
    </row>
    <row r="547">
      <c r="A547" s="39" t="n">
        <v>34001</v>
      </c>
      <c r="B547" s="40">
        <f>VLOOKUP(Table9[[#This Row],[Date]],'DB Details'!$A:$L,12)</f>
        <v/>
      </c>
      <c r="C547" s="40">
        <f>Table9[[#This Row],[PMI]]-B546</f>
        <v/>
      </c>
    </row>
    <row r="548">
      <c r="A548" s="39" t="n">
        <v>34029</v>
      </c>
      <c r="B548" s="40">
        <f>VLOOKUP(Table9[[#This Row],[Date]],'DB Details'!$A:$L,12)</f>
        <v/>
      </c>
      <c r="C548" s="40">
        <f>Table9[[#This Row],[PMI]]-B547</f>
        <v/>
      </c>
    </row>
    <row r="549">
      <c r="A549" s="39" t="n">
        <v>34060</v>
      </c>
      <c r="B549" s="40">
        <f>VLOOKUP(Table9[[#This Row],[Date]],'DB Details'!$A:$L,12)</f>
        <v/>
      </c>
      <c r="C549" s="40">
        <f>Table9[[#This Row],[PMI]]-B548</f>
        <v/>
      </c>
    </row>
    <row r="550">
      <c r="A550" s="39" t="n">
        <v>34090</v>
      </c>
      <c r="B550" s="40">
        <f>VLOOKUP(Table9[[#This Row],[Date]],'DB Details'!$A:$L,12)</f>
        <v/>
      </c>
      <c r="C550" s="40">
        <f>Table9[[#This Row],[PMI]]-B549</f>
        <v/>
      </c>
    </row>
    <row r="551">
      <c r="A551" s="39" t="n">
        <v>34121</v>
      </c>
      <c r="B551" s="40">
        <f>VLOOKUP(Table9[[#This Row],[Date]],'DB Details'!$A:$L,12)</f>
        <v/>
      </c>
      <c r="C551" s="40">
        <f>Table9[[#This Row],[PMI]]-B550</f>
        <v/>
      </c>
    </row>
    <row r="552">
      <c r="A552" s="39" t="n">
        <v>34151</v>
      </c>
      <c r="B552" s="40">
        <f>VLOOKUP(Table9[[#This Row],[Date]],'DB Details'!$A:$L,12)</f>
        <v/>
      </c>
      <c r="C552" s="40">
        <f>Table9[[#This Row],[PMI]]-B551</f>
        <v/>
      </c>
    </row>
    <row r="553">
      <c r="A553" s="39" t="n">
        <v>34182</v>
      </c>
      <c r="B553" s="40">
        <f>VLOOKUP(Table9[[#This Row],[Date]],'DB Details'!$A:$L,12)</f>
        <v/>
      </c>
      <c r="C553" s="40">
        <f>Table9[[#This Row],[PMI]]-B552</f>
        <v/>
      </c>
    </row>
    <row r="554">
      <c r="A554" s="39" t="n">
        <v>34213</v>
      </c>
      <c r="B554" s="40">
        <f>VLOOKUP(Table9[[#This Row],[Date]],'DB Details'!$A:$L,12)</f>
        <v/>
      </c>
      <c r="C554" s="40">
        <f>Table9[[#This Row],[PMI]]-B553</f>
        <v/>
      </c>
    </row>
    <row r="555">
      <c r="A555" s="39" t="n">
        <v>34243</v>
      </c>
      <c r="B555" s="40">
        <f>VLOOKUP(Table9[[#This Row],[Date]],'DB Details'!$A:$L,12)</f>
        <v/>
      </c>
      <c r="C555" s="40">
        <f>Table9[[#This Row],[PMI]]-B554</f>
        <v/>
      </c>
    </row>
    <row r="556">
      <c r="A556" s="39" t="n">
        <v>34274</v>
      </c>
      <c r="B556" s="40">
        <f>VLOOKUP(Table9[[#This Row],[Date]],'DB Details'!$A:$L,12)</f>
        <v/>
      </c>
      <c r="C556" s="40">
        <f>Table9[[#This Row],[PMI]]-B555</f>
        <v/>
      </c>
    </row>
    <row r="557">
      <c r="A557" s="39" t="n">
        <v>34304</v>
      </c>
      <c r="B557" s="40">
        <f>VLOOKUP(Table9[[#This Row],[Date]],'DB Details'!$A:$L,12)</f>
        <v/>
      </c>
      <c r="C557" s="40">
        <f>Table9[[#This Row],[PMI]]-B556</f>
        <v/>
      </c>
    </row>
    <row r="558">
      <c r="A558" s="39" t="n">
        <v>34335</v>
      </c>
      <c r="B558" s="40">
        <f>VLOOKUP(Table9[[#This Row],[Date]],'DB Details'!$A:$L,12)</f>
        <v/>
      </c>
      <c r="C558" s="40">
        <f>Table9[[#This Row],[PMI]]-B557</f>
        <v/>
      </c>
    </row>
    <row r="559">
      <c r="A559" s="39" t="n">
        <v>34366</v>
      </c>
      <c r="B559" s="40">
        <f>VLOOKUP(Table9[[#This Row],[Date]],'DB Details'!$A:$L,12)</f>
        <v/>
      </c>
      <c r="C559" s="40">
        <f>Table9[[#This Row],[PMI]]-B558</f>
        <v/>
      </c>
    </row>
    <row r="560">
      <c r="A560" s="39" t="n">
        <v>34394</v>
      </c>
      <c r="B560" s="40">
        <f>VLOOKUP(Table9[[#This Row],[Date]],'DB Details'!$A:$L,12)</f>
        <v/>
      </c>
      <c r="C560" s="40">
        <f>Table9[[#This Row],[PMI]]-B559</f>
        <v/>
      </c>
    </row>
    <row r="561">
      <c r="A561" s="39" t="n">
        <v>34425</v>
      </c>
      <c r="B561" s="40">
        <f>VLOOKUP(Table9[[#This Row],[Date]],'DB Details'!$A:$L,12)</f>
        <v/>
      </c>
      <c r="C561" s="40">
        <f>Table9[[#This Row],[PMI]]-B560</f>
        <v/>
      </c>
    </row>
    <row r="562">
      <c r="A562" s="39" t="n">
        <v>34455</v>
      </c>
      <c r="B562" s="40">
        <f>VLOOKUP(Table9[[#This Row],[Date]],'DB Details'!$A:$L,12)</f>
        <v/>
      </c>
      <c r="C562" s="40">
        <f>Table9[[#This Row],[PMI]]-B561</f>
        <v/>
      </c>
    </row>
    <row r="563">
      <c r="A563" s="39" t="n">
        <v>34486</v>
      </c>
      <c r="B563" s="40">
        <f>VLOOKUP(Table9[[#This Row],[Date]],'DB Details'!$A:$L,12)</f>
        <v/>
      </c>
      <c r="C563" s="40">
        <f>Table9[[#This Row],[PMI]]-B562</f>
        <v/>
      </c>
    </row>
    <row r="564">
      <c r="A564" s="39" t="n">
        <v>34516</v>
      </c>
      <c r="B564" s="40">
        <f>VLOOKUP(Table9[[#This Row],[Date]],'DB Details'!$A:$L,12)</f>
        <v/>
      </c>
      <c r="C564" s="40">
        <f>Table9[[#This Row],[PMI]]-B563</f>
        <v/>
      </c>
    </row>
    <row r="565">
      <c r="A565" s="39" t="n">
        <v>34547</v>
      </c>
      <c r="B565" s="40">
        <f>VLOOKUP(Table9[[#This Row],[Date]],'DB Details'!$A:$L,12)</f>
        <v/>
      </c>
      <c r="C565" s="40">
        <f>Table9[[#This Row],[PMI]]-B564</f>
        <v/>
      </c>
    </row>
    <row r="566">
      <c r="A566" s="39" t="n">
        <v>34578</v>
      </c>
      <c r="B566" s="40">
        <f>VLOOKUP(Table9[[#This Row],[Date]],'DB Details'!$A:$L,12)</f>
        <v/>
      </c>
      <c r="C566" s="40">
        <f>Table9[[#This Row],[PMI]]-B565</f>
        <v/>
      </c>
    </row>
    <row r="567">
      <c r="A567" s="39" t="n">
        <v>34608</v>
      </c>
      <c r="B567" s="40">
        <f>VLOOKUP(Table9[[#This Row],[Date]],'DB Details'!$A:$L,12)</f>
        <v/>
      </c>
      <c r="C567" s="40">
        <f>Table9[[#This Row],[PMI]]-B566</f>
        <v/>
      </c>
    </row>
    <row r="568">
      <c r="A568" s="39" t="n">
        <v>34639</v>
      </c>
      <c r="B568" s="40">
        <f>VLOOKUP(Table9[[#This Row],[Date]],'DB Details'!$A:$L,12)</f>
        <v/>
      </c>
      <c r="C568" s="40">
        <f>Table9[[#This Row],[PMI]]-B567</f>
        <v/>
      </c>
    </row>
    <row r="569">
      <c r="A569" s="39" t="n">
        <v>34669</v>
      </c>
      <c r="B569" s="40">
        <f>VLOOKUP(Table9[[#This Row],[Date]],'DB Details'!$A:$L,12)</f>
        <v/>
      </c>
      <c r="C569" s="40">
        <f>Table9[[#This Row],[PMI]]-B568</f>
        <v/>
      </c>
    </row>
    <row r="570">
      <c r="A570" s="39" t="n">
        <v>34700</v>
      </c>
      <c r="B570" s="40">
        <f>VLOOKUP(Table9[[#This Row],[Date]],'DB Details'!$A:$L,12)</f>
        <v/>
      </c>
      <c r="C570" s="40">
        <f>Table9[[#This Row],[PMI]]-B569</f>
        <v/>
      </c>
    </row>
    <row r="571">
      <c r="A571" s="39" t="n">
        <v>34731</v>
      </c>
      <c r="B571" s="40">
        <f>VLOOKUP(Table9[[#This Row],[Date]],'DB Details'!$A:$L,12)</f>
        <v/>
      </c>
      <c r="C571" s="40">
        <f>Table9[[#This Row],[PMI]]-B570</f>
        <v/>
      </c>
    </row>
    <row r="572">
      <c r="A572" s="39" t="n">
        <v>34759</v>
      </c>
      <c r="B572" s="40">
        <f>VLOOKUP(Table9[[#This Row],[Date]],'DB Details'!$A:$L,12)</f>
        <v/>
      </c>
      <c r="C572" s="40">
        <f>Table9[[#This Row],[PMI]]-B571</f>
        <v/>
      </c>
    </row>
    <row r="573">
      <c r="A573" s="39" t="n">
        <v>34790</v>
      </c>
      <c r="B573" s="40">
        <f>VLOOKUP(Table9[[#This Row],[Date]],'DB Details'!$A:$L,12)</f>
        <v/>
      </c>
      <c r="C573" s="40">
        <f>Table9[[#This Row],[PMI]]-B572</f>
        <v/>
      </c>
    </row>
    <row r="574">
      <c r="A574" s="39" t="n">
        <v>34820</v>
      </c>
      <c r="B574" s="40">
        <f>VLOOKUP(Table9[[#This Row],[Date]],'DB Details'!$A:$L,12)</f>
        <v/>
      </c>
      <c r="C574" s="40">
        <f>Table9[[#This Row],[PMI]]-B573</f>
        <v/>
      </c>
    </row>
    <row r="575">
      <c r="A575" s="39" t="n">
        <v>34851</v>
      </c>
      <c r="B575" s="40">
        <f>VLOOKUP(Table9[[#This Row],[Date]],'DB Details'!$A:$L,12)</f>
        <v/>
      </c>
      <c r="C575" s="40">
        <f>Table9[[#This Row],[PMI]]-B574</f>
        <v/>
      </c>
    </row>
    <row r="576">
      <c r="A576" s="39" t="n">
        <v>34881</v>
      </c>
      <c r="B576" s="40">
        <f>VLOOKUP(Table9[[#This Row],[Date]],'DB Details'!$A:$L,12)</f>
        <v/>
      </c>
      <c r="C576" s="40">
        <f>Table9[[#This Row],[PMI]]-B575</f>
        <v/>
      </c>
    </row>
    <row r="577">
      <c r="A577" s="39" t="n">
        <v>34912</v>
      </c>
      <c r="B577" s="40">
        <f>VLOOKUP(Table9[[#This Row],[Date]],'DB Details'!$A:$L,12)</f>
        <v/>
      </c>
      <c r="C577" s="40">
        <f>Table9[[#This Row],[PMI]]-B576</f>
        <v/>
      </c>
    </row>
    <row r="578">
      <c r="A578" s="39" t="n">
        <v>34943</v>
      </c>
      <c r="B578" s="40">
        <f>VLOOKUP(Table9[[#This Row],[Date]],'DB Details'!$A:$L,12)</f>
        <v/>
      </c>
      <c r="C578" s="40">
        <f>Table9[[#This Row],[PMI]]-B577</f>
        <v/>
      </c>
    </row>
    <row r="579">
      <c r="A579" s="39" t="n">
        <v>34973</v>
      </c>
      <c r="B579" s="40">
        <f>VLOOKUP(Table9[[#This Row],[Date]],'DB Details'!$A:$L,12)</f>
        <v/>
      </c>
      <c r="C579" s="40">
        <f>Table9[[#This Row],[PMI]]-B578</f>
        <v/>
      </c>
    </row>
    <row r="580">
      <c r="A580" s="39" t="n">
        <v>35004</v>
      </c>
      <c r="B580" s="40">
        <f>VLOOKUP(Table9[[#This Row],[Date]],'DB Details'!$A:$L,12)</f>
        <v/>
      </c>
      <c r="C580" s="40">
        <f>Table9[[#This Row],[PMI]]-B579</f>
        <v/>
      </c>
    </row>
    <row r="581">
      <c r="A581" s="39" t="n">
        <v>35034</v>
      </c>
      <c r="B581" s="40">
        <f>VLOOKUP(Table9[[#This Row],[Date]],'DB Details'!$A:$L,12)</f>
        <v/>
      </c>
      <c r="C581" s="40">
        <f>Table9[[#This Row],[PMI]]-B580</f>
        <v/>
      </c>
    </row>
    <row r="582">
      <c r="A582" s="39" t="n">
        <v>35065</v>
      </c>
      <c r="B582" s="40">
        <f>VLOOKUP(Table9[[#This Row],[Date]],'DB Details'!$A:$L,12)</f>
        <v/>
      </c>
      <c r="C582" s="40">
        <f>Table9[[#This Row],[PMI]]-B581</f>
        <v/>
      </c>
    </row>
    <row r="583">
      <c r="A583" s="39" t="n">
        <v>35096</v>
      </c>
      <c r="B583" s="40">
        <f>VLOOKUP(Table9[[#This Row],[Date]],'DB Details'!$A:$L,12)</f>
        <v/>
      </c>
      <c r="C583" s="40">
        <f>Table9[[#This Row],[PMI]]-B582</f>
        <v/>
      </c>
    </row>
    <row r="584">
      <c r="A584" s="39" t="n">
        <v>35125</v>
      </c>
      <c r="B584" s="40">
        <f>VLOOKUP(Table9[[#This Row],[Date]],'DB Details'!$A:$L,12)</f>
        <v/>
      </c>
      <c r="C584" s="40">
        <f>Table9[[#This Row],[PMI]]-B583</f>
        <v/>
      </c>
    </row>
    <row r="585">
      <c r="A585" s="39" t="n">
        <v>35156</v>
      </c>
      <c r="B585" s="40">
        <f>VLOOKUP(Table9[[#This Row],[Date]],'DB Details'!$A:$L,12)</f>
        <v/>
      </c>
      <c r="C585" s="40">
        <f>Table9[[#This Row],[PMI]]-B584</f>
        <v/>
      </c>
    </row>
    <row r="586">
      <c r="A586" s="39" t="n">
        <v>35186</v>
      </c>
      <c r="B586" s="40">
        <f>VLOOKUP(Table9[[#This Row],[Date]],'DB Details'!$A:$L,12)</f>
        <v/>
      </c>
      <c r="C586" s="40">
        <f>Table9[[#This Row],[PMI]]-B585</f>
        <v/>
      </c>
    </row>
    <row r="587">
      <c r="A587" s="39" t="n">
        <v>35217</v>
      </c>
      <c r="B587" s="40">
        <f>VLOOKUP(Table9[[#This Row],[Date]],'DB Details'!$A:$L,12)</f>
        <v/>
      </c>
      <c r="C587" s="40">
        <f>Table9[[#This Row],[PMI]]-B586</f>
        <v/>
      </c>
    </row>
    <row r="588">
      <c r="A588" s="39" t="n">
        <v>35247</v>
      </c>
      <c r="B588" s="40">
        <f>VLOOKUP(Table9[[#This Row],[Date]],'DB Details'!$A:$L,12)</f>
        <v/>
      </c>
      <c r="C588" s="40">
        <f>Table9[[#This Row],[PMI]]-B587</f>
        <v/>
      </c>
    </row>
    <row r="589">
      <c r="A589" s="39" t="n">
        <v>35278</v>
      </c>
      <c r="B589" s="40">
        <f>VLOOKUP(Table9[[#This Row],[Date]],'DB Details'!$A:$L,12)</f>
        <v/>
      </c>
      <c r="C589" s="40">
        <f>Table9[[#This Row],[PMI]]-B588</f>
        <v/>
      </c>
    </row>
    <row r="590">
      <c r="A590" s="39" t="n">
        <v>35309</v>
      </c>
      <c r="B590" s="40">
        <f>VLOOKUP(Table9[[#This Row],[Date]],'DB Details'!$A:$L,12)</f>
        <v/>
      </c>
      <c r="C590" s="40">
        <f>Table9[[#This Row],[PMI]]-B589</f>
        <v/>
      </c>
    </row>
    <row r="591">
      <c r="A591" s="39" t="n">
        <v>35339</v>
      </c>
      <c r="B591" s="40">
        <f>VLOOKUP(Table9[[#This Row],[Date]],'DB Details'!$A:$L,12)</f>
        <v/>
      </c>
      <c r="C591" s="40">
        <f>Table9[[#This Row],[PMI]]-B590</f>
        <v/>
      </c>
    </row>
    <row r="592">
      <c r="A592" s="39" t="n">
        <v>35370</v>
      </c>
      <c r="B592" s="40">
        <f>VLOOKUP(Table9[[#This Row],[Date]],'DB Details'!$A:$L,12)</f>
        <v/>
      </c>
      <c r="C592" s="40">
        <f>Table9[[#This Row],[PMI]]-B591</f>
        <v/>
      </c>
    </row>
    <row r="593">
      <c r="A593" s="39" t="n">
        <v>35400</v>
      </c>
      <c r="B593" s="40">
        <f>VLOOKUP(Table9[[#This Row],[Date]],'DB Details'!$A:$L,12)</f>
        <v/>
      </c>
      <c r="C593" s="40">
        <f>Table9[[#This Row],[PMI]]-B592</f>
        <v/>
      </c>
    </row>
    <row r="594">
      <c r="A594" s="39" t="n">
        <v>35431</v>
      </c>
      <c r="B594" s="40">
        <f>VLOOKUP(Table9[[#This Row],[Date]],'DB Details'!$A:$L,12)</f>
        <v/>
      </c>
      <c r="C594" s="40">
        <f>Table9[[#This Row],[PMI]]-B593</f>
        <v/>
      </c>
    </row>
    <row r="595">
      <c r="A595" s="39" t="n">
        <v>35462</v>
      </c>
      <c r="B595" s="40">
        <f>VLOOKUP(Table9[[#This Row],[Date]],'DB Details'!$A:$L,12)</f>
        <v/>
      </c>
      <c r="C595" s="40">
        <f>Table9[[#This Row],[PMI]]-B594</f>
        <v/>
      </c>
    </row>
    <row r="596">
      <c r="A596" s="39" t="n">
        <v>35490</v>
      </c>
      <c r="B596" s="40">
        <f>VLOOKUP(Table9[[#This Row],[Date]],'DB Details'!$A:$L,12)</f>
        <v/>
      </c>
      <c r="C596" s="40">
        <f>Table9[[#This Row],[PMI]]-B595</f>
        <v/>
      </c>
    </row>
    <row r="597">
      <c r="A597" s="39" t="n">
        <v>35521</v>
      </c>
      <c r="B597" s="40">
        <f>VLOOKUP(Table9[[#This Row],[Date]],'DB Details'!$A:$L,12)</f>
        <v/>
      </c>
      <c r="C597" s="40">
        <f>Table9[[#This Row],[PMI]]-B596</f>
        <v/>
      </c>
    </row>
    <row r="598">
      <c r="A598" s="39" t="n">
        <v>35551</v>
      </c>
      <c r="B598" s="40">
        <f>VLOOKUP(Table9[[#This Row],[Date]],'DB Details'!$A:$L,12)</f>
        <v/>
      </c>
      <c r="C598" s="40">
        <f>Table9[[#This Row],[PMI]]-B597</f>
        <v/>
      </c>
    </row>
    <row r="599">
      <c r="A599" s="39" t="n">
        <v>35582</v>
      </c>
      <c r="B599" s="40">
        <f>VLOOKUP(Table9[[#This Row],[Date]],'DB Details'!$A:$L,12)</f>
        <v/>
      </c>
      <c r="C599" s="40">
        <f>Table9[[#This Row],[PMI]]-B598</f>
        <v/>
      </c>
    </row>
    <row r="600">
      <c r="A600" s="39" t="n">
        <v>35612</v>
      </c>
      <c r="B600" s="40">
        <f>VLOOKUP(Table9[[#This Row],[Date]],'DB Details'!$A:$L,12)</f>
        <v/>
      </c>
      <c r="C600" s="40">
        <f>Table9[[#This Row],[PMI]]-B599</f>
        <v/>
      </c>
    </row>
    <row r="601">
      <c r="A601" s="39" t="n">
        <v>35643</v>
      </c>
      <c r="B601" s="40">
        <f>VLOOKUP(Table9[[#This Row],[Date]],'DB Details'!$A:$L,12)</f>
        <v/>
      </c>
      <c r="C601" s="40">
        <f>Table9[[#This Row],[PMI]]-B600</f>
        <v/>
      </c>
    </row>
    <row r="602">
      <c r="A602" s="39" t="n">
        <v>35674</v>
      </c>
      <c r="B602" s="40">
        <f>VLOOKUP(Table9[[#This Row],[Date]],'DB Details'!$A:$L,12)</f>
        <v/>
      </c>
      <c r="C602" s="40">
        <f>Table9[[#This Row],[PMI]]-B601</f>
        <v/>
      </c>
    </row>
    <row r="603">
      <c r="A603" s="39" t="n">
        <v>35704</v>
      </c>
      <c r="B603" s="40">
        <f>VLOOKUP(Table9[[#This Row],[Date]],'DB Details'!$A:$L,12)</f>
        <v/>
      </c>
      <c r="C603" s="40">
        <f>Table9[[#This Row],[PMI]]-B602</f>
        <v/>
      </c>
    </row>
    <row r="604">
      <c r="A604" s="39" t="n">
        <v>35735</v>
      </c>
      <c r="B604" s="40">
        <f>VLOOKUP(Table9[[#This Row],[Date]],'DB Details'!$A:$L,12)</f>
        <v/>
      </c>
      <c r="C604" s="40">
        <f>Table9[[#This Row],[PMI]]-B603</f>
        <v/>
      </c>
    </row>
    <row r="605">
      <c r="A605" s="39" t="n">
        <v>35765</v>
      </c>
      <c r="B605" s="40">
        <f>VLOOKUP(Table9[[#This Row],[Date]],'DB Details'!$A:$L,12)</f>
        <v/>
      </c>
      <c r="C605" s="40">
        <f>Table9[[#This Row],[PMI]]-B604</f>
        <v/>
      </c>
    </row>
    <row r="606">
      <c r="A606" s="39" t="n">
        <v>35796</v>
      </c>
      <c r="B606" s="40">
        <f>VLOOKUP(Table9[[#This Row],[Date]],'DB Details'!$A:$L,12)</f>
        <v/>
      </c>
      <c r="C606" s="40">
        <f>Table9[[#This Row],[PMI]]-B605</f>
        <v/>
      </c>
    </row>
    <row r="607">
      <c r="A607" s="39" t="n">
        <v>35827</v>
      </c>
      <c r="B607" s="40">
        <f>VLOOKUP(Table9[[#This Row],[Date]],'DB Details'!$A:$L,12)</f>
        <v/>
      </c>
      <c r="C607" s="40">
        <f>Table9[[#This Row],[PMI]]-B606</f>
        <v/>
      </c>
    </row>
    <row r="608">
      <c r="A608" s="39" t="n">
        <v>35855</v>
      </c>
      <c r="B608" s="40">
        <f>VLOOKUP(Table9[[#This Row],[Date]],'DB Details'!$A:$L,12)</f>
        <v/>
      </c>
      <c r="C608" s="40">
        <f>Table9[[#This Row],[PMI]]-B607</f>
        <v/>
      </c>
    </row>
    <row r="609">
      <c r="A609" s="39" t="n">
        <v>35886</v>
      </c>
      <c r="B609" s="40">
        <f>VLOOKUP(Table9[[#This Row],[Date]],'DB Details'!$A:$L,12)</f>
        <v/>
      </c>
      <c r="C609" s="40">
        <f>Table9[[#This Row],[PMI]]-B608</f>
        <v/>
      </c>
    </row>
    <row r="610">
      <c r="A610" s="39" t="n">
        <v>35916</v>
      </c>
      <c r="B610" s="40">
        <f>VLOOKUP(Table9[[#This Row],[Date]],'DB Details'!$A:$L,12)</f>
        <v/>
      </c>
      <c r="C610" s="40">
        <f>Table9[[#This Row],[PMI]]-B609</f>
        <v/>
      </c>
    </row>
    <row r="611">
      <c r="A611" s="39" t="n">
        <v>35947</v>
      </c>
      <c r="B611" s="40">
        <f>VLOOKUP(Table9[[#This Row],[Date]],'DB Details'!$A:$L,12)</f>
        <v/>
      </c>
      <c r="C611" s="40">
        <f>Table9[[#This Row],[PMI]]-B610</f>
        <v/>
      </c>
    </row>
    <row r="612">
      <c r="A612" s="39" t="n">
        <v>35977</v>
      </c>
      <c r="B612" s="40">
        <f>VLOOKUP(Table9[[#This Row],[Date]],'DB Details'!$A:$L,12)</f>
        <v/>
      </c>
      <c r="C612" s="40">
        <f>Table9[[#This Row],[PMI]]-B611</f>
        <v/>
      </c>
    </row>
    <row r="613">
      <c r="A613" s="39" t="n">
        <v>36008</v>
      </c>
      <c r="B613" s="40">
        <f>VLOOKUP(Table9[[#This Row],[Date]],'DB Details'!$A:$L,12)</f>
        <v/>
      </c>
      <c r="C613" s="40">
        <f>Table9[[#This Row],[PMI]]-B612</f>
        <v/>
      </c>
    </row>
    <row r="614">
      <c r="A614" s="39" t="n">
        <v>36039</v>
      </c>
      <c r="B614" s="40">
        <f>VLOOKUP(Table9[[#This Row],[Date]],'DB Details'!$A:$L,12)</f>
        <v/>
      </c>
      <c r="C614" s="40">
        <f>Table9[[#This Row],[PMI]]-B613</f>
        <v/>
      </c>
    </row>
    <row r="615">
      <c r="A615" s="39" t="n">
        <v>36069</v>
      </c>
      <c r="B615" s="40">
        <f>VLOOKUP(Table9[[#This Row],[Date]],'DB Details'!$A:$L,12)</f>
        <v/>
      </c>
      <c r="C615" s="40">
        <f>Table9[[#This Row],[PMI]]-B614</f>
        <v/>
      </c>
    </row>
    <row r="616">
      <c r="A616" s="39" t="n">
        <v>36100</v>
      </c>
      <c r="B616" s="40">
        <f>VLOOKUP(Table9[[#This Row],[Date]],'DB Details'!$A:$L,12)</f>
        <v/>
      </c>
      <c r="C616" s="40">
        <f>Table9[[#This Row],[PMI]]-B615</f>
        <v/>
      </c>
    </row>
    <row r="617">
      <c r="A617" s="39" t="n">
        <v>36130</v>
      </c>
      <c r="B617" s="40">
        <f>VLOOKUP(Table9[[#This Row],[Date]],'DB Details'!$A:$L,12)</f>
        <v/>
      </c>
      <c r="C617" s="40">
        <f>Table9[[#This Row],[PMI]]-B616</f>
        <v/>
      </c>
    </row>
    <row r="618">
      <c r="A618" s="39" t="n">
        <v>36161</v>
      </c>
      <c r="B618" s="40">
        <f>VLOOKUP(Table9[[#This Row],[Date]],'DB Details'!$A:$L,12)</f>
        <v/>
      </c>
      <c r="C618" s="40">
        <f>Table9[[#This Row],[PMI]]-B617</f>
        <v/>
      </c>
    </row>
    <row r="619">
      <c r="A619" s="39" t="n">
        <v>36192</v>
      </c>
      <c r="B619" s="40">
        <f>VLOOKUP(Table9[[#This Row],[Date]],'DB Details'!$A:$L,12)</f>
        <v/>
      </c>
      <c r="C619" s="40">
        <f>Table9[[#This Row],[PMI]]-B618</f>
        <v/>
      </c>
    </row>
    <row r="620">
      <c r="A620" s="39" t="n">
        <v>36220</v>
      </c>
      <c r="B620" s="40">
        <f>VLOOKUP(Table9[[#This Row],[Date]],'DB Details'!$A:$L,12)</f>
        <v/>
      </c>
      <c r="C620" s="40">
        <f>Table9[[#This Row],[PMI]]-B619</f>
        <v/>
      </c>
    </row>
    <row r="621">
      <c r="A621" s="39" t="n">
        <v>36251</v>
      </c>
      <c r="B621" s="40">
        <f>VLOOKUP(Table9[[#This Row],[Date]],'DB Details'!$A:$L,12)</f>
        <v/>
      </c>
      <c r="C621" s="40">
        <f>Table9[[#This Row],[PMI]]-B620</f>
        <v/>
      </c>
    </row>
    <row r="622">
      <c r="A622" s="39" t="n">
        <v>36281</v>
      </c>
      <c r="B622" s="40">
        <f>VLOOKUP(Table9[[#This Row],[Date]],'DB Details'!$A:$L,12)</f>
        <v/>
      </c>
      <c r="C622" s="40">
        <f>Table9[[#This Row],[PMI]]-B621</f>
        <v/>
      </c>
    </row>
    <row r="623">
      <c r="A623" s="39" t="n">
        <v>36312</v>
      </c>
      <c r="B623" s="40">
        <f>VLOOKUP(Table9[[#This Row],[Date]],'DB Details'!$A:$L,12)</f>
        <v/>
      </c>
      <c r="C623" s="40">
        <f>Table9[[#This Row],[PMI]]-B622</f>
        <v/>
      </c>
    </row>
    <row r="624">
      <c r="A624" s="39" t="n">
        <v>36342</v>
      </c>
      <c r="B624" s="40">
        <f>VLOOKUP(Table9[[#This Row],[Date]],'DB Details'!$A:$L,12)</f>
        <v/>
      </c>
      <c r="C624" s="40">
        <f>Table9[[#This Row],[PMI]]-B623</f>
        <v/>
      </c>
    </row>
    <row r="625">
      <c r="A625" s="39" t="n">
        <v>36373</v>
      </c>
      <c r="B625" s="40">
        <f>VLOOKUP(Table9[[#This Row],[Date]],'DB Details'!$A:$L,12)</f>
        <v/>
      </c>
      <c r="C625" s="40">
        <f>Table9[[#This Row],[PMI]]-B624</f>
        <v/>
      </c>
    </row>
    <row r="626">
      <c r="A626" s="39" t="n">
        <v>36404</v>
      </c>
      <c r="B626" s="40">
        <f>VLOOKUP(Table9[[#This Row],[Date]],'DB Details'!$A:$L,12)</f>
        <v/>
      </c>
      <c r="C626" s="40">
        <f>Table9[[#This Row],[PMI]]-B625</f>
        <v/>
      </c>
    </row>
    <row r="627">
      <c r="A627" s="39" t="n">
        <v>36434</v>
      </c>
      <c r="B627" s="40">
        <f>VLOOKUP(Table9[[#This Row],[Date]],'DB Details'!$A:$L,12)</f>
        <v/>
      </c>
      <c r="C627" s="40">
        <f>Table9[[#This Row],[PMI]]-B626</f>
        <v/>
      </c>
    </row>
    <row r="628">
      <c r="A628" s="39" t="n">
        <v>36465</v>
      </c>
      <c r="B628" s="40">
        <f>VLOOKUP(Table9[[#This Row],[Date]],'DB Details'!$A:$L,12)</f>
        <v/>
      </c>
      <c r="C628" s="40">
        <f>Table9[[#This Row],[PMI]]-B627</f>
        <v/>
      </c>
    </row>
    <row r="629">
      <c r="A629" s="39" t="n">
        <v>36495</v>
      </c>
      <c r="B629" s="40">
        <f>VLOOKUP(Table9[[#This Row],[Date]],'DB Details'!$A:$L,12)</f>
        <v/>
      </c>
      <c r="C629" s="40">
        <f>Table9[[#This Row],[PMI]]-B628</f>
        <v/>
      </c>
    </row>
    <row r="630">
      <c r="A630" s="39" t="n">
        <v>36526</v>
      </c>
      <c r="B630" s="40">
        <f>VLOOKUP(Table9[[#This Row],[Date]],'DB Details'!$A:$L,12)</f>
        <v/>
      </c>
      <c r="C630" s="40">
        <f>Table9[[#This Row],[PMI]]-B629</f>
        <v/>
      </c>
    </row>
    <row r="631">
      <c r="A631" s="39" t="n">
        <v>36557</v>
      </c>
      <c r="B631" s="40">
        <f>VLOOKUP(Table9[[#This Row],[Date]],'DB Details'!$A:$L,12)</f>
        <v/>
      </c>
      <c r="C631" s="40">
        <f>Table9[[#This Row],[PMI]]-B630</f>
        <v/>
      </c>
    </row>
    <row r="632">
      <c r="A632" s="39" t="n">
        <v>36586</v>
      </c>
      <c r="B632" s="40">
        <f>VLOOKUP(Table9[[#This Row],[Date]],'DB Details'!$A:$L,12)</f>
        <v/>
      </c>
      <c r="C632" s="40">
        <f>Table9[[#This Row],[PMI]]-B631</f>
        <v/>
      </c>
    </row>
    <row r="633">
      <c r="A633" s="39" t="n">
        <v>36617</v>
      </c>
      <c r="B633" s="40">
        <f>VLOOKUP(Table9[[#This Row],[Date]],'DB Details'!$A:$L,12)</f>
        <v/>
      </c>
      <c r="C633" s="40">
        <f>Table9[[#This Row],[PMI]]-B632</f>
        <v/>
      </c>
    </row>
    <row r="634">
      <c r="A634" s="39" t="n">
        <v>36647</v>
      </c>
      <c r="B634" s="40">
        <f>VLOOKUP(Table9[[#This Row],[Date]],'DB Details'!$A:$L,12)</f>
        <v/>
      </c>
      <c r="C634" s="40">
        <f>Table9[[#This Row],[PMI]]-B633</f>
        <v/>
      </c>
    </row>
    <row r="635">
      <c r="A635" s="39" t="n">
        <v>36678</v>
      </c>
      <c r="B635" s="40">
        <f>VLOOKUP(Table9[[#This Row],[Date]],'DB Details'!$A:$L,12)</f>
        <v/>
      </c>
      <c r="C635" s="40">
        <f>Table9[[#This Row],[PMI]]-B634</f>
        <v/>
      </c>
    </row>
    <row r="636">
      <c r="A636" s="39" t="n">
        <v>36708</v>
      </c>
      <c r="B636" s="40">
        <f>VLOOKUP(Table9[[#This Row],[Date]],'DB Details'!$A:$L,12)</f>
        <v/>
      </c>
      <c r="C636" s="40">
        <f>Table9[[#This Row],[PMI]]-B635</f>
        <v/>
      </c>
    </row>
    <row r="637">
      <c r="A637" s="39" t="n">
        <v>36739</v>
      </c>
      <c r="B637" s="40">
        <f>VLOOKUP(Table9[[#This Row],[Date]],'DB Details'!$A:$L,12)</f>
        <v/>
      </c>
      <c r="C637" s="40">
        <f>Table9[[#This Row],[PMI]]-B636</f>
        <v/>
      </c>
    </row>
    <row r="638">
      <c r="A638" s="39" t="n">
        <v>36770</v>
      </c>
      <c r="B638" s="40">
        <f>VLOOKUP(Table9[[#This Row],[Date]],'DB Details'!$A:$L,12)</f>
        <v/>
      </c>
      <c r="C638" s="40">
        <f>Table9[[#This Row],[PMI]]-B637</f>
        <v/>
      </c>
    </row>
    <row r="639">
      <c r="A639" s="39" t="n">
        <v>36800</v>
      </c>
      <c r="B639" s="40">
        <f>VLOOKUP(Table9[[#This Row],[Date]],'DB Details'!$A:$L,12)</f>
        <v/>
      </c>
      <c r="C639" s="40">
        <f>Table9[[#This Row],[PMI]]-B638</f>
        <v/>
      </c>
    </row>
    <row r="640">
      <c r="A640" s="39" t="n">
        <v>36831</v>
      </c>
      <c r="B640" s="40">
        <f>VLOOKUP(Table9[[#This Row],[Date]],'DB Details'!$A:$L,12)</f>
        <v/>
      </c>
      <c r="C640" s="40">
        <f>Table9[[#This Row],[PMI]]-B639</f>
        <v/>
      </c>
    </row>
    <row r="641">
      <c r="A641" s="39" t="n">
        <v>36861</v>
      </c>
      <c r="B641" s="40">
        <f>VLOOKUP(Table9[[#This Row],[Date]],'DB Details'!$A:$L,12)</f>
        <v/>
      </c>
      <c r="C641" s="40">
        <f>Table9[[#This Row],[PMI]]-B640</f>
        <v/>
      </c>
    </row>
    <row r="642">
      <c r="A642" s="39" t="n">
        <v>36892</v>
      </c>
      <c r="B642" s="40">
        <f>VLOOKUP(Table9[[#This Row],[Date]],'DB Details'!$A:$L,12)</f>
        <v/>
      </c>
      <c r="C642" s="40">
        <f>Table9[[#This Row],[PMI]]-B641</f>
        <v/>
      </c>
    </row>
    <row r="643">
      <c r="A643" s="39" t="n">
        <v>36923</v>
      </c>
      <c r="B643" s="40">
        <f>VLOOKUP(Table9[[#This Row],[Date]],'DB Details'!$A:$L,12)</f>
        <v/>
      </c>
      <c r="C643" s="40">
        <f>Table9[[#This Row],[PMI]]-B642</f>
        <v/>
      </c>
    </row>
    <row r="644">
      <c r="A644" s="39" t="n">
        <v>36951</v>
      </c>
      <c r="B644" s="40">
        <f>VLOOKUP(Table9[[#This Row],[Date]],'DB Details'!$A:$L,12)</f>
        <v/>
      </c>
      <c r="C644" s="40">
        <f>Table9[[#This Row],[PMI]]-B643</f>
        <v/>
      </c>
    </row>
    <row r="645">
      <c r="A645" s="39" t="n">
        <v>36982</v>
      </c>
      <c r="B645" s="40">
        <f>VLOOKUP(Table9[[#This Row],[Date]],'DB Details'!$A:$L,12)</f>
        <v/>
      </c>
      <c r="C645" s="40">
        <f>Table9[[#This Row],[PMI]]-B644</f>
        <v/>
      </c>
    </row>
    <row r="646">
      <c r="A646" s="39" t="n">
        <v>37012</v>
      </c>
      <c r="B646" s="40">
        <f>VLOOKUP(Table9[[#This Row],[Date]],'DB Details'!$A:$L,12)</f>
        <v/>
      </c>
      <c r="C646" s="40">
        <f>Table9[[#This Row],[PMI]]-B645</f>
        <v/>
      </c>
    </row>
    <row r="647">
      <c r="A647" s="39" t="n">
        <v>37043</v>
      </c>
      <c r="B647" s="40">
        <f>VLOOKUP(Table9[[#This Row],[Date]],'DB Details'!$A:$L,12)</f>
        <v/>
      </c>
      <c r="C647" s="40">
        <f>Table9[[#This Row],[PMI]]-B646</f>
        <v/>
      </c>
    </row>
    <row r="648">
      <c r="A648" s="39" t="n">
        <v>37073</v>
      </c>
      <c r="B648" s="40">
        <f>VLOOKUP(Table9[[#This Row],[Date]],'DB Details'!$A:$L,12)</f>
        <v/>
      </c>
      <c r="C648" s="40">
        <f>Table9[[#This Row],[PMI]]-B647</f>
        <v/>
      </c>
    </row>
    <row r="649">
      <c r="A649" s="39" t="n">
        <v>37104</v>
      </c>
      <c r="B649" s="40">
        <f>VLOOKUP(Table9[[#This Row],[Date]],'DB Details'!$A:$L,12)</f>
        <v/>
      </c>
      <c r="C649" s="40">
        <f>Table9[[#This Row],[PMI]]-B648</f>
        <v/>
      </c>
    </row>
    <row r="650">
      <c r="A650" s="39" t="n">
        <v>37135</v>
      </c>
      <c r="B650" s="40">
        <f>VLOOKUP(Table9[[#This Row],[Date]],'DB Details'!$A:$L,12)</f>
        <v/>
      </c>
      <c r="C650" s="40">
        <f>Table9[[#This Row],[PMI]]-B649</f>
        <v/>
      </c>
    </row>
    <row r="651">
      <c r="A651" s="39" t="n">
        <v>37165</v>
      </c>
      <c r="B651" s="40">
        <f>VLOOKUP(Table9[[#This Row],[Date]],'DB Details'!$A:$L,12)</f>
        <v/>
      </c>
      <c r="C651" s="40">
        <f>Table9[[#This Row],[PMI]]-B650</f>
        <v/>
      </c>
    </row>
    <row r="652">
      <c r="A652" s="39" t="n">
        <v>37196</v>
      </c>
      <c r="B652" s="40">
        <f>VLOOKUP(Table9[[#This Row],[Date]],'DB Details'!$A:$L,12)</f>
        <v/>
      </c>
      <c r="C652" s="40">
        <f>Table9[[#This Row],[PMI]]-B651</f>
        <v/>
      </c>
    </row>
    <row r="653">
      <c r="A653" s="39" t="n">
        <v>37226</v>
      </c>
      <c r="B653" s="40">
        <f>VLOOKUP(Table9[[#This Row],[Date]],'DB Details'!$A:$L,12)</f>
        <v/>
      </c>
      <c r="C653" s="40">
        <f>Table9[[#This Row],[PMI]]-B652</f>
        <v/>
      </c>
    </row>
    <row r="654">
      <c r="A654" s="39" t="n">
        <v>37257</v>
      </c>
      <c r="B654" s="40">
        <f>VLOOKUP(Table9[[#This Row],[Date]],'DB Details'!$A:$L,12)</f>
        <v/>
      </c>
      <c r="C654" s="40">
        <f>Table9[[#This Row],[PMI]]-B653</f>
        <v/>
      </c>
    </row>
    <row r="655">
      <c r="A655" s="39" t="n">
        <v>37288</v>
      </c>
      <c r="B655" s="40">
        <f>VLOOKUP(Table9[[#This Row],[Date]],'DB Details'!$A:$L,12)</f>
        <v/>
      </c>
      <c r="C655" s="40">
        <f>Table9[[#This Row],[PMI]]-B654</f>
        <v/>
      </c>
    </row>
    <row r="656">
      <c r="A656" s="39" t="n">
        <v>37316</v>
      </c>
      <c r="B656" s="40">
        <f>VLOOKUP(Table9[[#This Row],[Date]],'DB Details'!$A:$L,12)</f>
        <v/>
      </c>
      <c r="C656" s="40">
        <f>Table9[[#This Row],[PMI]]-B655</f>
        <v/>
      </c>
    </row>
    <row r="657">
      <c r="A657" s="39" t="n">
        <v>37347</v>
      </c>
      <c r="B657" s="40">
        <f>VLOOKUP(Table9[[#This Row],[Date]],'DB Details'!$A:$L,12)</f>
        <v/>
      </c>
      <c r="C657" s="40">
        <f>Table9[[#This Row],[PMI]]-B656</f>
        <v/>
      </c>
    </row>
    <row r="658">
      <c r="A658" s="39" t="n">
        <v>37377</v>
      </c>
      <c r="B658" s="40">
        <f>VLOOKUP(Table9[[#This Row],[Date]],'DB Details'!$A:$L,12)</f>
        <v/>
      </c>
      <c r="C658" s="40">
        <f>Table9[[#This Row],[PMI]]-B657</f>
        <v/>
      </c>
    </row>
    <row r="659">
      <c r="A659" s="39" t="n">
        <v>37408</v>
      </c>
      <c r="B659" s="40">
        <f>VLOOKUP(Table9[[#This Row],[Date]],'DB Details'!$A:$L,12)</f>
        <v/>
      </c>
      <c r="C659" s="40">
        <f>Table9[[#This Row],[PMI]]-B658</f>
        <v/>
      </c>
    </row>
    <row r="660">
      <c r="A660" s="39" t="n">
        <v>37438</v>
      </c>
      <c r="B660" s="40">
        <f>VLOOKUP(Table9[[#This Row],[Date]],'DB Details'!$A:$L,12)</f>
        <v/>
      </c>
      <c r="C660" s="40">
        <f>Table9[[#This Row],[PMI]]-B659</f>
        <v/>
      </c>
    </row>
    <row r="661">
      <c r="A661" s="39" t="n">
        <v>37469</v>
      </c>
      <c r="B661" s="40">
        <f>VLOOKUP(Table9[[#This Row],[Date]],'DB Details'!$A:$L,12)</f>
        <v/>
      </c>
      <c r="C661" s="40">
        <f>Table9[[#This Row],[PMI]]-B660</f>
        <v/>
      </c>
    </row>
    <row r="662">
      <c r="A662" s="39" t="n">
        <v>37500</v>
      </c>
      <c r="B662" s="40">
        <f>VLOOKUP(Table9[[#This Row],[Date]],'DB Details'!$A:$L,12)</f>
        <v/>
      </c>
      <c r="C662" s="40">
        <f>Table9[[#This Row],[PMI]]-B661</f>
        <v/>
      </c>
    </row>
    <row r="663">
      <c r="A663" s="39" t="n">
        <v>37530</v>
      </c>
      <c r="B663" s="40">
        <f>VLOOKUP(Table9[[#This Row],[Date]],'DB Details'!$A:$L,12)</f>
        <v/>
      </c>
      <c r="C663" s="40">
        <f>Table9[[#This Row],[PMI]]-B662</f>
        <v/>
      </c>
    </row>
    <row r="664">
      <c r="A664" s="39" t="n">
        <v>37561</v>
      </c>
      <c r="B664" s="40">
        <f>VLOOKUP(Table9[[#This Row],[Date]],'DB Details'!$A:$L,12)</f>
        <v/>
      </c>
      <c r="C664" s="40">
        <f>Table9[[#This Row],[PMI]]-B663</f>
        <v/>
      </c>
    </row>
    <row r="665">
      <c r="A665" s="39" t="n">
        <v>37591</v>
      </c>
      <c r="B665" s="40">
        <f>VLOOKUP(Table9[[#This Row],[Date]],'DB Details'!$A:$L,12)</f>
        <v/>
      </c>
      <c r="C665" s="40">
        <f>Table9[[#This Row],[PMI]]-B664</f>
        <v/>
      </c>
    </row>
    <row r="666">
      <c r="A666" s="39" t="n">
        <v>37622</v>
      </c>
      <c r="B666" s="40">
        <f>VLOOKUP(Table9[[#This Row],[Date]],'DB Details'!$A:$L,12)</f>
        <v/>
      </c>
      <c r="C666" s="40">
        <f>Table9[[#This Row],[PMI]]-B665</f>
        <v/>
      </c>
    </row>
    <row r="667">
      <c r="A667" s="39" t="n">
        <v>37653</v>
      </c>
      <c r="B667" s="40">
        <f>VLOOKUP(Table9[[#This Row],[Date]],'DB Details'!$A:$L,12)</f>
        <v/>
      </c>
      <c r="C667" s="40">
        <f>Table9[[#This Row],[PMI]]-B666</f>
        <v/>
      </c>
    </row>
    <row r="668">
      <c r="A668" s="39" t="n">
        <v>37681</v>
      </c>
      <c r="B668" s="40">
        <f>VLOOKUP(Table9[[#This Row],[Date]],'DB Details'!$A:$L,12)</f>
        <v/>
      </c>
      <c r="C668" s="40">
        <f>Table9[[#This Row],[PMI]]-B667</f>
        <v/>
      </c>
    </row>
    <row r="669">
      <c r="A669" s="39" t="n">
        <v>37712</v>
      </c>
      <c r="B669" s="40">
        <f>VLOOKUP(Table9[[#This Row],[Date]],'DB Details'!$A:$L,12)</f>
        <v/>
      </c>
      <c r="C669" s="40">
        <f>Table9[[#This Row],[PMI]]-B668</f>
        <v/>
      </c>
    </row>
    <row r="670">
      <c r="A670" s="39" t="n">
        <v>37742</v>
      </c>
      <c r="B670" s="40">
        <f>VLOOKUP(Table9[[#This Row],[Date]],'DB Details'!$A:$L,12)</f>
        <v/>
      </c>
      <c r="C670" s="40">
        <f>Table9[[#This Row],[PMI]]-B669</f>
        <v/>
      </c>
    </row>
    <row r="671">
      <c r="A671" s="39" t="n">
        <v>37773</v>
      </c>
      <c r="B671" s="40">
        <f>VLOOKUP(Table9[[#This Row],[Date]],'DB Details'!$A:$L,12)</f>
        <v/>
      </c>
      <c r="C671" s="40">
        <f>Table9[[#This Row],[PMI]]-B670</f>
        <v/>
      </c>
    </row>
    <row r="672">
      <c r="A672" s="39" t="n">
        <v>37803</v>
      </c>
      <c r="B672" s="40">
        <f>VLOOKUP(Table9[[#This Row],[Date]],'DB Details'!$A:$L,12)</f>
        <v/>
      </c>
      <c r="C672" s="40">
        <f>Table9[[#This Row],[PMI]]-B671</f>
        <v/>
      </c>
    </row>
    <row r="673">
      <c r="A673" s="39" t="n">
        <v>37834</v>
      </c>
      <c r="B673" s="40">
        <f>VLOOKUP(Table9[[#This Row],[Date]],'DB Details'!$A:$L,12)</f>
        <v/>
      </c>
      <c r="C673" s="40">
        <f>Table9[[#This Row],[PMI]]-B672</f>
        <v/>
      </c>
    </row>
    <row r="674">
      <c r="A674" s="39" t="n">
        <v>37865</v>
      </c>
      <c r="B674" s="40">
        <f>VLOOKUP(Table9[[#This Row],[Date]],'DB Details'!$A:$L,12)</f>
        <v/>
      </c>
      <c r="C674" s="40">
        <f>Table9[[#This Row],[PMI]]-B673</f>
        <v/>
      </c>
    </row>
    <row r="675">
      <c r="A675" s="39" t="n">
        <v>37895</v>
      </c>
      <c r="B675" s="40">
        <f>VLOOKUP(Table9[[#This Row],[Date]],'DB Details'!$A:$L,12)</f>
        <v/>
      </c>
      <c r="C675" s="40">
        <f>Table9[[#This Row],[PMI]]-B674</f>
        <v/>
      </c>
    </row>
    <row r="676">
      <c r="A676" s="39" t="n">
        <v>37926</v>
      </c>
      <c r="B676" s="40">
        <f>VLOOKUP(Table9[[#This Row],[Date]],'DB Details'!$A:$L,12)</f>
        <v/>
      </c>
      <c r="C676" s="40">
        <f>Table9[[#This Row],[PMI]]-B675</f>
        <v/>
      </c>
    </row>
    <row r="677">
      <c r="A677" s="39" t="n">
        <v>37956</v>
      </c>
      <c r="B677" s="40">
        <f>VLOOKUP(Table9[[#This Row],[Date]],'DB Details'!$A:$L,12)</f>
        <v/>
      </c>
      <c r="C677" s="40">
        <f>Table9[[#This Row],[PMI]]-B676</f>
        <v/>
      </c>
    </row>
    <row r="678">
      <c r="A678" s="39" t="n">
        <v>37987</v>
      </c>
      <c r="B678" s="40">
        <f>VLOOKUP(Table9[[#This Row],[Date]],'DB Details'!$A:$L,12)</f>
        <v/>
      </c>
      <c r="C678" s="40">
        <f>Table9[[#This Row],[PMI]]-B677</f>
        <v/>
      </c>
    </row>
    <row r="679">
      <c r="A679" s="39" t="n">
        <v>38018</v>
      </c>
      <c r="B679" s="40">
        <f>VLOOKUP(Table9[[#This Row],[Date]],'DB Details'!$A:$L,12)</f>
        <v/>
      </c>
      <c r="C679" s="40">
        <f>Table9[[#This Row],[PMI]]-B678</f>
        <v/>
      </c>
    </row>
    <row r="680">
      <c r="A680" s="39" t="n">
        <v>38047</v>
      </c>
      <c r="B680" s="40">
        <f>VLOOKUP(Table9[[#This Row],[Date]],'DB Details'!$A:$L,12)</f>
        <v/>
      </c>
      <c r="C680" s="40">
        <f>Table9[[#This Row],[PMI]]-B679</f>
        <v/>
      </c>
    </row>
    <row r="681">
      <c r="A681" s="39" t="n">
        <v>38078</v>
      </c>
      <c r="B681" s="40">
        <f>VLOOKUP(Table9[[#This Row],[Date]],'DB Details'!$A:$L,12)</f>
        <v/>
      </c>
      <c r="C681" s="40">
        <f>Table9[[#This Row],[PMI]]-B680</f>
        <v/>
      </c>
    </row>
    <row r="682">
      <c r="A682" s="39" t="n">
        <v>38108</v>
      </c>
      <c r="B682" s="40">
        <f>VLOOKUP(Table9[[#This Row],[Date]],'DB Details'!$A:$L,12)</f>
        <v/>
      </c>
      <c r="C682" s="40">
        <f>Table9[[#This Row],[PMI]]-B681</f>
        <v/>
      </c>
    </row>
    <row r="683">
      <c r="A683" s="39" t="n">
        <v>38139</v>
      </c>
      <c r="B683" s="40">
        <f>VLOOKUP(Table9[[#This Row],[Date]],'DB Details'!$A:$L,12)</f>
        <v/>
      </c>
      <c r="C683" s="40">
        <f>Table9[[#This Row],[PMI]]-B682</f>
        <v/>
      </c>
    </row>
    <row r="684">
      <c r="A684" s="39" t="n">
        <v>38169</v>
      </c>
      <c r="B684" s="40">
        <f>VLOOKUP(Table9[[#This Row],[Date]],'DB Details'!$A:$L,12)</f>
        <v/>
      </c>
      <c r="C684" s="40">
        <f>Table9[[#This Row],[PMI]]-B683</f>
        <v/>
      </c>
    </row>
    <row r="685">
      <c r="A685" s="39" t="n">
        <v>38200</v>
      </c>
      <c r="B685" s="40">
        <f>VLOOKUP(Table9[[#This Row],[Date]],'DB Details'!$A:$L,12)</f>
        <v/>
      </c>
      <c r="C685" s="40">
        <f>Table9[[#This Row],[PMI]]-B684</f>
        <v/>
      </c>
    </row>
    <row r="686">
      <c r="A686" s="39" t="n">
        <v>38231</v>
      </c>
      <c r="B686" s="40">
        <f>VLOOKUP(Table9[[#This Row],[Date]],'DB Details'!$A:$L,12)</f>
        <v/>
      </c>
      <c r="C686" s="40">
        <f>Table9[[#This Row],[PMI]]-B685</f>
        <v/>
      </c>
    </row>
    <row r="687">
      <c r="A687" s="39" t="n">
        <v>38261</v>
      </c>
      <c r="B687" s="40">
        <f>VLOOKUP(Table9[[#This Row],[Date]],'DB Details'!$A:$L,12)</f>
        <v/>
      </c>
      <c r="C687" s="40">
        <f>Table9[[#This Row],[PMI]]-B686</f>
        <v/>
      </c>
    </row>
    <row r="688">
      <c r="A688" s="39" t="n">
        <v>38292</v>
      </c>
      <c r="B688" s="40">
        <f>VLOOKUP(Table9[[#This Row],[Date]],'DB Details'!$A:$L,12)</f>
        <v/>
      </c>
      <c r="C688" s="40">
        <f>Table9[[#This Row],[PMI]]-B687</f>
        <v/>
      </c>
    </row>
    <row r="689">
      <c r="A689" s="39" t="n">
        <v>38322</v>
      </c>
      <c r="B689" s="40">
        <f>VLOOKUP(Table9[[#This Row],[Date]],'DB Details'!$A:$L,12)</f>
        <v/>
      </c>
      <c r="C689" s="40">
        <f>Table9[[#This Row],[PMI]]-B688</f>
        <v/>
      </c>
      <c r="G689" s="4" t="n"/>
    </row>
    <row r="690">
      <c r="A690" s="39" t="n">
        <v>38353</v>
      </c>
      <c r="B690" s="40">
        <f>VLOOKUP(Table9[[#This Row],[Date]],'DB Details'!$A:$L,12)</f>
        <v/>
      </c>
      <c r="C690" s="40">
        <f>Table9[[#This Row],[PMI]]-B689</f>
        <v/>
      </c>
      <c r="G690" s="4" t="n"/>
    </row>
    <row r="691">
      <c r="A691" s="39" t="n">
        <v>38384</v>
      </c>
      <c r="B691" s="40">
        <f>VLOOKUP(Table9[[#This Row],[Date]],'DB Details'!$A:$L,12)</f>
        <v/>
      </c>
      <c r="C691" s="40">
        <f>Table9[[#This Row],[PMI]]-B690</f>
        <v/>
      </c>
      <c r="G691" s="4" t="n"/>
    </row>
    <row r="692">
      <c r="A692" s="39" t="n">
        <v>38412</v>
      </c>
      <c r="B692" s="40">
        <f>VLOOKUP(Table9[[#This Row],[Date]],'DB Details'!$A:$L,12)</f>
        <v/>
      </c>
      <c r="C692" s="40">
        <f>Table9[[#This Row],[PMI]]-B691</f>
        <v/>
      </c>
      <c r="G692" s="4" t="n"/>
    </row>
    <row r="693">
      <c r="A693" s="39" t="n">
        <v>38443</v>
      </c>
      <c r="B693" s="40">
        <f>VLOOKUP(Table9[[#This Row],[Date]],'DB Details'!$A:$L,12)</f>
        <v/>
      </c>
      <c r="C693" s="40">
        <f>Table9[[#This Row],[PMI]]-B692</f>
        <v/>
      </c>
      <c r="G693" s="4" t="n"/>
    </row>
    <row r="694">
      <c r="A694" s="39" t="n">
        <v>38473</v>
      </c>
      <c r="B694" s="40">
        <f>VLOOKUP(Table9[[#This Row],[Date]],'DB Details'!$A:$L,12)</f>
        <v/>
      </c>
      <c r="C694" s="40">
        <f>Table9[[#This Row],[PMI]]-B693</f>
        <v/>
      </c>
      <c r="G694" s="4" t="n"/>
    </row>
    <row r="695">
      <c r="A695" s="39" t="n">
        <v>38504</v>
      </c>
      <c r="B695" s="40">
        <f>VLOOKUP(Table9[[#This Row],[Date]],'DB Details'!$A:$L,12)</f>
        <v/>
      </c>
      <c r="C695" s="40">
        <f>Table9[[#This Row],[PMI]]-B694</f>
        <v/>
      </c>
      <c r="G695" s="4" t="n"/>
    </row>
    <row r="696">
      <c r="A696" s="39" t="n">
        <v>38534</v>
      </c>
      <c r="B696" s="40">
        <f>VLOOKUP(Table9[[#This Row],[Date]],'DB Details'!$A:$L,12)</f>
        <v/>
      </c>
      <c r="C696" s="40">
        <f>Table9[[#This Row],[PMI]]-B695</f>
        <v/>
      </c>
      <c r="G696" s="4" t="n"/>
    </row>
    <row r="697">
      <c r="A697" s="39" t="n">
        <v>38565</v>
      </c>
      <c r="B697" s="40">
        <f>VLOOKUP(Table9[[#This Row],[Date]],'DB Details'!$A:$L,12)</f>
        <v/>
      </c>
      <c r="C697" s="40">
        <f>Table9[[#This Row],[PMI]]-B696</f>
        <v/>
      </c>
      <c r="G697" s="4" t="n"/>
    </row>
    <row r="698">
      <c r="A698" s="39" t="n">
        <v>38596</v>
      </c>
      <c r="B698" s="40">
        <f>VLOOKUP(Table9[[#This Row],[Date]],'DB Details'!$A:$L,12)</f>
        <v/>
      </c>
      <c r="C698" s="40">
        <f>Table9[[#This Row],[PMI]]-B697</f>
        <v/>
      </c>
      <c r="G698" s="4" t="n"/>
    </row>
    <row r="699">
      <c r="A699" s="39" t="n">
        <v>38626</v>
      </c>
      <c r="B699" s="40">
        <f>VLOOKUP(Table9[[#This Row],[Date]],'DB Details'!$A:$L,12)</f>
        <v/>
      </c>
      <c r="C699" s="40">
        <f>Table9[[#This Row],[PMI]]-B698</f>
        <v/>
      </c>
      <c r="G699" s="4" t="n"/>
    </row>
    <row r="700">
      <c r="A700" s="39" t="n">
        <v>38657</v>
      </c>
      <c r="B700" s="40">
        <f>VLOOKUP(Table9[[#This Row],[Date]],'DB Details'!$A:$L,12)</f>
        <v/>
      </c>
      <c r="C700" s="40">
        <f>Table9[[#This Row],[PMI]]-B699</f>
        <v/>
      </c>
      <c r="G700" s="4" t="n"/>
    </row>
    <row r="701">
      <c r="A701" s="39" t="n">
        <v>38687</v>
      </c>
      <c r="B701" s="40">
        <f>VLOOKUP(Table9[[#This Row],[Date]],'DB Details'!$A:$L,12)</f>
        <v/>
      </c>
      <c r="C701" s="40">
        <f>Table9[[#This Row],[PMI]]-B700</f>
        <v/>
      </c>
      <c r="G701" s="4" t="n"/>
    </row>
    <row r="702">
      <c r="A702" s="39" t="n">
        <v>38718</v>
      </c>
      <c r="B702" s="40">
        <f>VLOOKUP(Table9[[#This Row],[Date]],'DB Details'!$A:$L,12)</f>
        <v/>
      </c>
      <c r="C702" s="40">
        <f>Table9[[#This Row],[PMI]]-B701</f>
        <v/>
      </c>
      <c r="G702" s="4" t="n"/>
    </row>
    <row r="703">
      <c r="A703" s="39" t="n">
        <v>38749</v>
      </c>
      <c r="B703" s="40">
        <f>VLOOKUP(Table9[[#This Row],[Date]],'DB Details'!$A:$L,12)</f>
        <v/>
      </c>
      <c r="C703" s="40">
        <f>Table9[[#This Row],[PMI]]-B702</f>
        <v/>
      </c>
      <c r="G703" s="4" t="n"/>
    </row>
    <row r="704">
      <c r="A704" s="39" t="n">
        <v>38777</v>
      </c>
      <c r="B704" s="40">
        <f>VLOOKUP(Table9[[#This Row],[Date]],'DB Details'!$A:$L,12)</f>
        <v/>
      </c>
      <c r="C704" s="40">
        <f>Table9[[#This Row],[PMI]]-B703</f>
        <v/>
      </c>
      <c r="G704" s="4" t="n"/>
    </row>
    <row r="705">
      <c r="A705" s="39" t="n">
        <v>38808</v>
      </c>
      <c r="B705" s="40">
        <f>VLOOKUP(Table9[[#This Row],[Date]],'DB Details'!$A:$L,12)</f>
        <v/>
      </c>
      <c r="C705" s="40">
        <f>Table9[[#This Row],[PMI]]-B704</f>
        <v/>
      </c>
      <c r="G705" s="4" t="n"/>
    </row>
    <row r="706">
      <c r="A706" s="39" t="n">
        <v>38838</v>
      </c>
      <c r="B706" s="40">
        <f>VLOOKUP(Table9[[#This Row],[Date]],'DB Details'!$A:$L,12)</f>
        <v/>
      </c>
      <c r="C706" s="40">
        <f>Table9[[#This Row],[PMI]]-B705</f>
        <v/>
      </c>
      <c r="G706" s="4" t="n"/>
    </row>
    <row r="707">
      <c r="A707" s="39" t="n">
        <v>38869</v>
      </c>
      <c r="B707" s="40">
        <f>VLOOKUP(Table9[[#This Row],[Date]],'DB Details'!$A:$L,12)</f>
        <v/>
      </c>
      <c r="C707" s="40">
        <f>Table9[[#This Row],[PMI]]-B706</f>
        <v/>
      </c>
      <c r="G707" s="4" t="n"/>
    </row>
    <row r="708">
      <c r="A708" s="39" t="n">
        <v>38899</v>
      </c>
      <c r="B708" s="40">
        <f>VLOOKUP(Table9[[#This Row],[Date]],'DB Details'!$A:$L,12)</f>
        <v/>
      </c>
      <c r="C708" s="40">
        <f>Table9[[#This Row],[PMI]]-B707</f>
        <v/>
      </c>
      <c r="G708" s="4" t="n"/>
    </row>
    <row r="709">
      <c r="A709" s="39" t="n">
        <v>38930</v>
      </c>
      <c r="B709" s="40">
        <f>VLOOKUP(Table9[[#This Row],[Date]],'DB Details'!$A:$L,12)</f>
        <v/>
      </c>
      <c r="C709" s="40">
        <f>Table9[[#This Row],[PMI]]-B708</f>
        <v/>
      </c>
      <c r="G709" s="4" t="n"/>
    </row>
    <row r="710">
      <c r="A710" s="39" t="n">
        <v>38961</v>
      </c>
      <c r="B710" s="40">
        <f>VLOOKUP(Table9[[#This Row],[Date]],'DB Details'!$A:$L,12)</f>
        <v/>
      </c>
      <c r="C710" s="40">
        <f>Table9[[#This Row],[PMI]]-B709</f>
        <v/>
      </c>
      <c r="G710" s="4" t="n"/>
    </row>
    <row r="711">
      <c r="A711" s="39" t="n">
        <v>38991</v>
      </c>
      <c r="B711" s="40">
        <f>VLOOKUP(Table9[[#This Row],[Date]],'DB Details'!$A:$L,12)</f>
        <v/>
      </c>
      <c r="C711" s="40">
        <f>Table9[[#This Row],[PMI]]-B710</f>
        <v/>
      </c>
      <c r="G711" s="4" t="n"/>
    </row>
    <row r="712">
      <c r="A712" s="39" t="n">
        <v>39022</v>
      </c>
      <c r="B712" s="40">
        <f>VLOOKUP(Table9[[#This Row],[Date]],'DB Details'!$A:$L,12)</f>
        <v/>
      </c>
      <c r="C712" s="40">
        <f>Table9[[#This Row],[PMI]]-B711</f>
        <v/>
      </c>
      <c r="G712" s="4" t="n"/>
    </row>
    <row r="713">
      <c r="A713" s="39" t="n">
        <v>39052</v>
      </c>
      <c r="B713" s="40">
        <f>VLOOKUP(Table9[[#This Row],[Date]],'DB Details'!$A:$L,12)</f>
        <v/>
      </c>
      <c r="C713" s="40">
        <f>Table9[[#This Row],[PMI]]-B712</f>
        <v/>
      </c>
      <c r="G713" s="4" t="n"/>
    </row>
    <row r="714">
      <c r="A714" s="39" t="n">
        <v>39083</v>
      </c>
      <c r="B714" s="40">
        <f>VLOOKUP(Table9[[#This Row],[Date]],'DB Details'!$A:$L,12)</f>
        <v/>
      </c>
      <c r="C714" s="40">
        <f>Table9[[#This Row],[PMI]]-B713</f>
        <v/>
      </c>
      <c r="G714" s="4" t="n"/>
    </row>
    <row r="715">
      <c r="A715" s="39" t="n">
        <v>39114</v>
      </c>
      <c r="B715" s="40">
        <f>VLOOKUP(Table9[[#This Row],[Date]],'DB Details'!$A:$L,12)</f>
        <v/>
      </c>
      <c r="C715" s="40">
        <f>Table9[[#This Row],[PMI]]-B714</f>
        <v/>
      </c>
      <c r="G715" s="4" t="n"/>
    </row>
    <row r="716">
      <c r="A716" s="39" t="n">
        <v>39142</v>
      </c>
      <c r="B716" s="40">
        <f>VLOOKUP(Table9[[#This Row],[Date]],'DB Details'!$A:$L,12)</f>
        <v/>
      </c>
      <c r="C716" s="40">
        <f>Table9[[#This Row],[PMI]]-B715</f>
        <v/>
      </c>
      <c r="G716" s="4" t="n"/>
    </row>
    <row r="717">
      <c r="A717" s="39" t="n">
        <v>39173</v>
      </c>
      <c r="B717" s="40">
        <f>VLOOKUP(Table9[[#This Row],[Date]],'DB Details'!$A:$L,12)</f>
        <v/>
      </c>
      <c r="C717" s="40">
        <f>Table9[[#This Row],[PMI]]-B716</f>
        <v/>
      </c>
      <c r="G717" s="4" t="n"/>
    </row>
    <row r="718">
      <c r="A718" s="39" t="n">
        <v>39203</v>
      </c>
      <c r="B718" s="40">
        <f>VLOOKUP(Table9[[#This Row],[Date]],'DB Details'!$A:$L,12)</f>
        <v/>
      </c>
      <c r="C718" s="40">
        <f>Table9[[#This Row],[PMI]]-B717</f>
        <v/>
      </c>
      <c r="G718" s="4" t="n"/>
    </row>
    <row r="719">
      <c r="A719" s="39" t="n">
        <v>39234</v>
      </c>
      <c r="B719" s="40">
        <f>VLOOKUP(Table9[[#This Row],[Date]],'DB Details'!$A:$L,12)</f>
        <v/>
      </c>
      <c r="C719" s="40">
        <f>Table9[[#This Row],[PMI]]-B718</f>
        <v/>
      </c>
      <c r="G719" s="4" t="n"/>
    </row>
    <row r="720">
      <c r="A720" s="39" t="n">
        <v>39264</v>
      </c>
      <c r="B720" s="40">
        <f>VLOOKUP(Table9[[#This Row],[Date]],'DB Details'!$A:$L,12)</f>
        <v/>
      </c>
      <c r="C720" s="40">
        <f>Table9[[#This Row],[PMI]]-B719</f>
        <v/>
      </c>
      <c r="G720" s="4" t="n"/>
    </row>
    <row r="721">
      <c r="A721" s="39" t="n">
        <v>39295</v>
      </c>
      <c r="B721" s="40">
        <f>VLOOKUP(Table9[[#This Row],[Date]],'DB Details'!$A:$L,12)</f>
        <v/>
      </c>
      <c r="C721" s="40">
        <f>Table9[[#This Row],[PMI]]-B720</f>
        <v/>
      </c>
      <c r="G721" s="4" t="n"/>
    </row>
    <row r="722">
      <c r="A722" s="39" t="n">
        <v>39326</v>
      </c>
      <c r="B722" s="40">
        <f>VLOOKUP(Table9[[#This Row],[Date]],'DB Details'!$A:$L,12)</f>
        <v/>
      </c>
      <c r="C722" s="40">
        <f>Table9[[#This Row],[PMI]]-B721</f>
        <v/>
      </c>
      <c r="G722" s="4" t="n"/>
    </row>
    <row r="723">
      <c r="A723" s="39" t="n">
        <v>39356</v>
      </c>
      <c r="B723" s="40">
        <f>VLOOKUP(Table9[[#This Row],[Date]],'DB Details'!$A:$L,12)</f>
        <v/>
      </c>
      <c r="C723" s="40">
        <f>Table9[[#This Row],[PMI]]-B722</f>
        <v/>
      </c>
      <c r="G723" s="4" t="n"/>
    </row>
    <row r="724">
      <c r="A724" s="39" t="n">
        <v>39387</v>
      </c>
      <c r="B724" s="40">
        <f>VLOOKUP(Table9[[#This Row],[Date]],'DB Details'!$A:$L,12)</f>
        <v/>
      </c>
      <c r="C724" s="40">
        <f>Table9[[#This Row],[PMI]]-B723</f>
        <v/>
      </c>
      <c r="G724" s="4" t="n"/>
    </row>
    <row r="725">
      <c r="A725" s="39" t="n">
        <v>39417</v>
      </c>
      <c r="B725" s="40">
        <f>VLOOKUP(Table9[[#This Row],[Date]],'DB Details'!$A:$L,12)</f>
        <v/>
      </c>
      <c r="C725" s="40">
        <f>Table9[[#This Row],[PMI]]-B724</f>
        <v/>
      </c>
      <c r="G725" s="4" t="n"/>
    </row>
    <row r="726">
      <c r="A726" s="39" t="n">
        <v>39448</v>
      </c>
      <c r="B726" s="40">
        <f>VLOOKUP(Table9[[#This Row],[Date]],'DB Details'!$A:$L,12)</f>
        <v/>
      </c>
      <c r="C726" s="40">
        <f>Table9[[#This Row],[PMI]]-B725</f>
        <v/>
      </c>
      <c r="G726" s="4" t="n"/>
    </row>
    <row r="727">
      <c r="A727" s="39" t="n">
        <v>39479</v>
      </c>
      <c r="B727" s="40">
        <f>VLOOKUP(Table9[[#This Row],[Date]],'DB Details'!$A:$L,12)</f>
        <v/>
      </c>
      <c r="C727" s="40">
        <f>Table9[[#This Row],[PMI]]-B726</f>
        <v/>
      </c>
      <c r="G727" s="4" t="n"/>
    </row>
    <row r="728">
      <c r="A728" s="39" t="n">
        <v>39508</v>
      </c>
      <c r="B728" s="40">
        <f>VLOOKUP(Table9[[#This Row],[Date]],'DB Details'!$A:$L,12)</f>
        <v/>
      </c>
      <c r="C728" s="40">
        <f>Table9[[#This Row],[PMI]]-B727</f>
        <v/>
      </c>
      <c r="G728" s="4" t="n"/>
    </row>
    <row r="729">
      <c r="A729" s="39" t="n">
        <v>39539</v>
      </c>
      <c r="B729" s="40">
        <f>VLOOKUP(Table9[[#This Row],[Date]],'DB Details'!$A:$L,12)</f>
        <v/>
      </c>
      <c r="C729" s="40">
        <f>Table9[[#This Row],[PMI]]-B728</f>
        <v/>
      </c>
      <c r="G729" s="4" t="n"/>
    </row>
    <row r="730">
      <c r="A730" s="39" t="n">
        <v>39569</v>
      </c>
      <c r="B730" s="40">
        <f>VLOOKUP(Table9[[#This Row],[Date]],'DB Details'!$A:$L,12)</f>
        <v/>
      </c>
      <c r="C730" s="40">
        <f>Table9[[#This Row],[PMI]]-B729</f>
        <v/>
      </c>
      <c r="G730" s="4" t="n"/>
    </row>
    <row r="731">
      <c r="A731" s="39" t="n">
        <v>39600</v>
      </c>
      <c r="B731" s="40">
        <f>VLOOKUP(Table9[[#This Row],[Date]],'DB Details'!$A:$L,12)</f>
        <v/>
      </c>
      <c r="C731" s="40">
        <f>Table9[[#This Row],[PMI]]-B730</f>
        <v/>
      </c>
      <c r="G731" s="4" t="n"/>
    </row>
    <row r="732">
      <c r="A732" s="39" t="n">
        <v>39630</v>
      </c>
      <c r="B732" s="40">
        <f>VLOOKUP(Table9[[#This Row],[Date]],'DB Details'!$A:$L,12)</f>
        <v/>
      </c>
      <c r="C732" s="40">
        <f>Table9[[#This Row],[PMI]]-B731</f>
        <v/>
      </c>
      <c r="G732" s="4" t="n"/>
    </row>
    <row r="733">
      <c r="A733" s="39" t="n">
        <v>39661</v>
      </c>
      <c r="B733" s="40">
        <f>VLOOKUP(Table9[[#This Row],[Date]],'DB Details'!$A:$L,12)</f>
        <v/>
      </c>
      <c r="C733" s="40">
        <f>Table9[[#This Row],[PMI]]-B732</f>
        <v/>
      </c>
      <c r="G733" s="4" t="n"/>
    </row>
    <row r="734">
      <c r="A734" s="39" t="n">
        <v>39692</v>
      </c>
      <c r="B734" s="40">
        <f>VLOOKUP(Table9[[#This Row],[Date]],'DB Details'!$A:$L,12)</f>
        <v/>
      </c>
      <c r="C734" s="40">
        <f>Table9[[#This Row],[PMI]]-B733</f>
        <v/>
      </c>
      <c r="G734" s="4" t="n"/>
    </row>
    <row r="735">
      <c r="A735" s="39" t="n">
        <v>39722</v>
      </c>
      <c r="B735" s="40">
        <f>VLOOKUP(Table9[[#This Row],[Date]],'DB Details'!$A:$L,12)</f>
        <v/>
      </c>
      <c r="C735" s="40">
        <f>Table9[[#This Row],[PMI]]-B734</f>
        <v/>
      </c>
      <c r="G735" s="4" t="n"/>
    </row>
    <row r="736">
      <c r="A736" s="39" t="n">
        <v>39753</v>
      </c>
      <c r="B736" s="40">
        <f>VLOOKUP(Table9[[#This Row],[Date]],'DB Details'!$A:$L,12)</f>
        <v/>
      </c>
      <c r="C736" s="40">
        <f>Table9[[#This Row],[PMI]]-B735</f>
        <v/>
      </c>
      <c r="G736" s="4" t="n"/>
    </row>
    <row r="737">
      <c r="A737" s="39" t="n">
        <v>39783</v>
      </c>
      <c r="B737" s="40">
        <f>VLOOKUP(Table9[[#This Row],[Date]],'DB Details'!$A:$L,12)</f>
        <v/>
      </c>
      <c r="C737" s="40">
        <f>Table9[[#This Row],[PMI]]-B736</f>
        <v/>
      </c>
      <c r="G737" s="4" t="n"/>
    </row>
    <row r="738">
      <c r="A738" s="39" t="n">
        <v>39814</v>
      </c>
      <c r="B738" s="40">
        <f>VLOOKUP(Table9[[#This Row],[Date]],'DB Details'!$A:$L,12)</f>
        <v/>
      </c>
      <c r="C738" s="40">
        <f>Table9[[#This Row],[PMI]]-B737</f>
        <v/>
      </c>
      <c r="G738" s="4" t="n"/>
    </row>
    <row r="739">
      <c r="A739" s="39" t="n">
        <v>39845</v>
      </c>
      <c r="B739" s="40">
        <f>VLOOKUP(Table9[[#This Row],[Date]],'DB Details'!$A:$L,12)</f>
        <v/>
      </c>
      <c r="C739" s="40">
        <f>Table9[[#This Row],[PMI]]-B738</f>
        <v/>
      </c>
      <c r="G739" s="4" t="n"/>
    </row>
    <row r="740">
      <c r="A740" s="39" t="n">
        <v>39873</v>
      </c>
      <c r="B740" s="40">
        <f>VLOOKUP(Table9[[#This Row],[Date]],'DB Details'!$A:$L,12)</f>
        <v/>
      </c>
      <c r="C740" s="40">
        <f>Table9[[#This Row],[PMI]]-B739</f>
        <v/>
      </c>
      <c r="G740" s="4" t="n"/>
    </row>
    <row r="741">
      <c r="A741" s="39" t="n">
        <v>39904</v>
      </c>
      <c r="B741" s="40">
        <f>VLOOKUP(Table9[[#This Row],[Date]],'DB Details'!$A:$L,12)</f>
        <v/>
      </c>
      <c r="C741" s="40">
        <f>Table9[[#This Row],[PMI]]-B740</f>
        <v/>
      </c>
      <c r="G741" s="4" t="n"/>
    </row>
    <row r="742">
      <c r="A742" s="39" t="n">
        <v>39934</v>
      </c>
      <c r="B742" s="40">
        <f>VLOOKUP(Table9[[#This Row],[Date]],'DB Details'!$A:$L,12)</f>
        <v/>
      </c>
      <c r="C742" s="40">
        <f>Table9[[#This Row],[PMI]]-B741</f>
        <v/>
      </c>
      <c r="G742" s="4" t="n"/>
    </row>
    <row r="743">
      <c r="A743" s="39" t="n">
        <v>39965</v>
      </c>
      <c r="B743" s="40">
        <f>VLOOKUP(Table9[[#This Row],[Date]],'DB Details'!$A:$L,12)</f>
        <v/>
      </c>
      <c r="C743" s="40">
        <f>Table9[[#This Row],[PMI]]-B742</f>
        <v/>
      </c>
      <c r="G743" s="4" t="n"/>
    </row>
    <row r="744">
      <c r="A744" s="39" t="n">
        <v>39995</v>
      </c>
      <c r="B744" s="40">
        <f>VLOOKUP(Table9[[#This Row],[Date]],'DB Details'!$A:$L,12)</f>
        <v/>
      </c>
      <c r="C744" s="40">
        <f>Table9[[#This Row],[PMI]]-B743</f>
        <v/>
      </c>
      <c r="G744" s="4" t="n"/>
    </row>
    <row r="745">
      <c r="A745" s="39" t="n">
        <v>40026</v>
      </c>
      <c r="B745" s="40">
        <f>VLOOKUP(Table9[[#This Row],[Date]],'DB Details'!$A:$L,12)</f>
        <v/>
      </c>
      <c r="C745" s="40">
        <f>Table9[[#This Row],[PMI]]-B744</f>
        <v/>
      </c>
      <c r="G745" s="4" t="n"/>
    </row>
    <row r="746">
      <c r="A746" s="39" t="n">
        <v>40057</v>
      </c>
      <c r="B746" s="40">
        <f>VLOOKUP(Table9[[#This Row],[Date]],'DB Details'!$A:$L,12)</f>
        <v/>
      </c>
      <c r="C746" s="40">
        <f>Table9[[#This Row],[PMI]]-B745</f>
        <v/>
      </c>
      <c r="G746" s="4" t="n"/>
    </row>
    <row r="747">
      <c r="A747" s="39" t="n">
        <v>40087</v>
      </c>
      <c r="B747" s="40">
        <f>VLOOKUP(Table9[[#This Row],[Date]],'DB Details'!$A:$L,12)</f>
        <v/>
      </c>
      <c r="C747" s="40">
        <f>Table9[[#This Row],[PMI]]-B746</f>
        <v/>
      </c>
      <c r="G747" s="4" t="n"/>
    </row>
    <row r="748">
      <c r="A748" s="39" t="n">
        <v>40118</v>
      </c>
      <c r="B748" s="40">
        <f>VLOOKUP(Table9[[#This Row],[Date]],'DB Details'!$A:$L,12)</f>
        <v/>
      </c>
      <c r="C748" s="40">
        <f>Table9[[#This Row],[PMI]]-B747</f>
        <v/>
      </c>
      <c r="G748" s="4" t="n"/>
    </row>
    <row r="749">
      <c r="A749" s="39" t="n">
        <v>40148</v>
      </c>
      <c r="B749" s="40">
        <f>VLOOKUP(Table9[[#This Row],[Date]],'DB Details'!$A:$L,12)</f>
        <v/>
      </c>
      <c r="C749" s="40">
        <f>Table9[[#This Row],[PMI]]-B748</f>
        <v/>
      </c>
      <c r="G749" s="4" t="n"/>
    </row>
    <row r="750">
      <c r="A750" s="39" t="n">
        <v>40179</v>
      </c>
      <c r="B750" s="40">
        <f>VLOOKUP(Table9[[#This Row],[Date]],'DB Details'!$A:$L,12)</f>
        <v/>
      </c>
      <c r="C750" s="40">
        <f>Table9[[#This Row],[PMI]]-B749</f>
        <v/>
      </c>
      <c r="G750" s="4" t="n"/>
    </row>
    <row r="751">
      <c r="A751" s="39" t="n">
        <v>40210</v>
      </c>
      <c r="B751" s="40">
        <f>VLOOKUP(Table9[[#This Row],[Date]],'DB Details'!$A:$L,12)</f>
        <v/>
      </c>
      <c r="C751" s="40">
        <f>Table9[[#This Row],[PMI]]-B750</f>
        <v/>
      </c>
      <c r="G751" s="4" t="n"/>
    </row>
    <row r="752">
      <c r="A752" s="39" t="n">
        <v>40238</v>
      </c>
      <c r="B752" s="40">
        <f>VLOOKUP(Table9[[#This Row],[Date]],'DB Details'!$A:$L,12)</f>
        <v/>
      </c>
      <c r="C752" s="40">
        <f>Table9[[#This Row],[PMI]]-B751</f>
        <v/>
      </c>
      <c r="G752" s="4" t="n"/>
    </row>
    <row r="753">
      <c r="A753" s="39" t="n">
        <v>40269</v>
      </c>
      <c r="B753" s="40">
        <f>VLOOKUP(Table9[[#This Row],[Date]],'DB Details'!$A:$L,12)</f>
        <v/>
      </c>
      <c r="C753" s="40">
        <f>Table9[[#This Row],[PMI]]-B752</f>
        <v/>
      </c>
      <c r="G753" s="4" t="n"/>
    </row>
    <row r="754">
      <c r="A754" s="39" t="n">
        <v>40299</v>
      </c>
      <c r="B754" s="40">
        <f>VLOOKUP(Table9[[#This Row],[Date]],'DB Details'!$A:$L,12)</f>
        <v/>
      </c>
      <c r="C754" s="40">
        <f>Table9[[#This Row],[PMI]]-B753</f>
        <v/>
      </c>
      <c r="G754" s="4" t="n"/>
    </row>
    <row r="755">
      <c r="A755" s="39" t="n">
        <v>40330</v>
      </c>
      <c r="B755" s="40">
        <f>VLOOKUP(Table9[[#This Row],[Date]],'DB Details'!$A:$L,12)</f>
        <v/>
      </c>
      <c r="C755" s="40">
        <f>Table9[[#This Row],[PMI]]-B754</f>
        <v/>
      </c>
      <c r="G755" s="4" t="n"/>
    </row>
    <row r="756">
      <c r="A756" s="39" t="n">
        <v>40360</v>
      </c>
      <c r="B756" s="40">
        <f>VLOOKUP(Table9[[#This Row],[Date]],'DB Details'!$A:$L,12)</f>
        <v/>
      </c>
      <c r="C756" s="40">
        <f>Table9[[#This Row],[PMI]]-B755</f>
        <v/>
      </c>
      <c r="G756" s="4" t="n"/>
    </row>
    <row r="757">
      <c r="A757" s="39" t="n">
        <v>40391</v>
      </c>
      <c r="B757" s="40">
        <f>VLOOKUP(Table9[[#This Row],[Date]],'DB Details'!$A:$L,12)</f>
        <v/>
      </c>
      <c r="C757" s="40">
        <f>Table9[[#This Row],[PMI]]-B756</f>
        <v/>
      </c>
      <c r="G757" s="4" t="n"/>
    </row>
    <row r="758">
      <c r="A758" s="39" t="n">
        <v>40422</v>
      </c>
      <c r="B758" s="40">
        <f>VLOOKUP(Table9[[#This Row],[Date]],'DB Details'!$A:$L,12)</f>
        <v/>
      </c>
      <c r="C758" s="40">
        <f>Table9[[#This Row],[PMI]]-B757</f>
        <v/>
      </c>
      <c r="G758" s="4" t="n"/>
    </row>
    <row r="759">
      <c r="A759" s="39" t="n">
        <v>40452</v>
      </c>
      <c r="B759" s="40">
        <f>VLOOKUP(Table9[[#This Row],[Date]],'DB Details'!$A:$L,12)</f>
        <v/>
      </c>
      <c r="C759" s="40">
        <f>Table9[[#This Row],[PMI]]-B758</f>
        <v/>
      </c>
      <c r="G759" s="4" t="n"/>
    </row>
    <row r="760">
      <c r="A760" s="39" t="n">
        <v>40483</v>
      </c>
      <c r="B760" s="40">
        <f>VLOOKUP(Table9[[#This Row],[Date]],'DB Details'!$A:$L,12)</f>
        <v/>
      </c>
      <c r="C760" s="40">
        <f>Table9[[#This Row],[PMI]]-B759</f>
        <v/>
      </c>
      <c r="G760" s="4" t="n"/>
    </row>
    <row r="761">
      <c r="A761" s="39" t="n">
        <v>40513</v>
      </c>
      <c r="B761" s="40">
        <f>VLOOKUP(Table9[[#This Row],[Date]],'DB Details'!$A:$L,12)</f>
        <v/>
      </c>
      <c r="C761" s="40">
        <f>Table9[[#This Row],[PMI]]-B760</f>
        <v/>
      </c>
      <c r="G761" s="4" t="n"/>
    </row>
    <row r="762">
      <c r="A762" s="39" t="n">
        <v>40544</v>
      </c>
      <c r="B762" s="40">
        <f>VLOOKUP(Table9[[#This Row],[Date]],'DB Details'!$A:$L,12)</f>
        <v/>
      </c>
      <c r="C762" s="40">
        <f>Table9[[#This Row],[PMI]]-B761</f>
        <v/>
      </c>
      <c r="G762" s="4" t="n"/>
    </row>
    <row r="763">
      <c r="A763" s="39" t="n">
        <v>40575</v>
      </c>
      <c r="B763" s="40">
        <f>VLOOKUP(Table9[[#This Row],[Date]],'DB Details'!$A:$L,12)</f>
        <v/>
      </c>
      <c r="C763" s="40">
        <f>Table9[[#This Row],[PMI]]-B762</f>
        <v/>
      </c>
      <c r="G763" s="4" t="n"/>
    </row>
    <row r="764">
      <c r="A764" s="39" t="n">
        <v>40603</v>
      </c>
      <c r="B764" s="40">
        <f>VLOOKUP(Table9[[#This Row],[Date]],'DB Details'!$A:$L,12)</f>
        <v/>
      </c>
      <c r="C764" s="40">
        <f>Table9[[#This Row],[PMI]]-B763</f>
        <v/>
      </c>
      <c r="G764" s="4" t="n"/>
    </row>
    <row r="765">
      <c r="A765" s="39" t="n">
        <v>40634</v>
      </c>
      <c r="B765" s="40">
        <f>VLOOKUP(Table9[[#This Row],[Date]],'DB Details'!$A:$L,12)</f>
        <v/>
      </c>
      <c r="C765" s="40">
        <f>Table9[[#This Row],[PMI]]-B764</f>
        <v/>
      </c>
      <c r="G765" s="4" t="n"/>
    </row>
    <row r="766">
      <c r="A766" s="39" t="n">
        <v>40664</v>
      </c>
      <c r="B766" s="40">
        <f>VLOOKUP(Table9[[#This Row],[Date]],'DB Details'!$A:$L,12)</f>
        <v/>
      </c>
      <c r="C766" s="40">
        <f>Table9[[#This Row],[PMI]]-B765</f>
        <v/>
      </c>
      <c r="G766" s="4" t="n"/>
    </row>
    <row r="767">
      <c r="A767" s="39" t="n">
        <v>40695</v>
      </c>
      <c r="B767" s="40">
        <f>VLOOKUP(Table9[[#This Row],[Date]],'DB Details'!$A:$L,12)</f>
        <v/>
      </c>
      <c r="C767" s="40">
        <f>Table9[[#This Row],[PMI]]-B766</f>
        <v/>
      </c>
      <c r="G767" s="4" t="n"/>
    </row>
    <row r="768">
      <c r="A768" s="39" t="n">
        <v>40725</v>
      </c>
      <c r="B768" s="40">
        <f>VLOOKUP(Table9[[#This Row],[Date]],'DB Details'!$A:$L,12)</f>
        <v/>
      </c>
      <c r="C768" s="40">
        <f>Table9[[#This Row],[PMI]]-B767</f>
        <v/>
      </c>
      <c r="G768" s="4" t="n"/>
    </row>
    <row r="769">
      <c r="A769" s="39" t="n">
        <v>40756</v>
      </c>
      <c r="B769" s="40">
        <f>VLOOKUP(Table9[[#This Row],[Date]],'DB Details'!$A:$L,12)</f>
        <v/>
      </c>
      <c r="C769" s="40">
        <f>Table9[[#This Row],[PMI]]-B768</f>
        <v/>
      </c>
      <c r="G769" s="4" t="n"/>
    </row>
    <row r="770">
      <c r="A770" s="39" t="n">
        <v>40787</v>
      </c>
      <c r="B770" s="40">
        <f>VLOOKUP(Table9[[#This Row],[Date]],'DB Details'!$A:$L,12)</f>
        <v/>
      </c>
      <c r="C770" s="40">
        <f>Table9[[#This Row],[PMI]]-B769</f>
        <v/>
      </c>
      <c r="G770" s="4" t="n"/>
    </row>
    <row r="771">
      <c r="A771" s="39" t="n">
        <v>40817</v>
      </c>
      <c r="B771" s="40">
        <f>VLOOKUP(Table9[[#This Row],[Date]],'DB Details'!$A:$L,12)</f>
        <v/>
      </c>
      <c r="C771" s="40">
        <f>Table9[[#This Row],[PMI]]-B770</f>
        <v/>
      </c>
      <c r="G771" s="4" t="n"/>
    </row>
    <row r="772">
      <c r="A772" s="39" t="n">
        <v>40848</v>
      </c>
      <c r="B772" s="40">
        <f>VLOOKUP(Table9[[#This Row],[Date]],'DB Details'!$A:$L,12)</f>
        <v/>
      </c>
      <c r="C772" s="40">
        <f>Table9[[#This Row],[PMI]]-B771</f>
        <v/>
      </c>
      <c r="G772" s="4" t="n"/>
    </row>
    <row r="773">
      <c r="A773" s="39" t="n">
        <v>40878</v>
      </c>
      <c r="B773" s="40">
        <f>VLOOKUP(Table9[[#This Row],[Date]],'DB Details'!$A:$L,12)</f>
        <v/>
      </c>
      <c r="C773" s="40">
        <f>Table9[[#This Row],[PMI]]-B772</f>
        <v/>
      </c>
      <c r="G773" s="4" t="n"/>
    </row>
    <row r="774">
      <c r="A774" s="39" t="n">
        <v>40909</v>
      </c>
      <c r="B774" s="40">
        <f>VLOOKUP(Table9[[#This Row],[Date]],'DB Details'!$A:$L,12)</f>
        <v/>
      </c>
      <c r="C774" s="40">
        <f>Table9[[#This Row],[PMI]]-B773</f>
        <v/>
      </c>
      <c r="G774" s="4" t="n"/>
    </row>
    <row r="775">
      <c r="A775" s="39" t="n">
        <v>40940</v>
      </c>
      <c r="B775" s="40">
        <f>VLOOKUP(Table9[[#This Row],[Date]],'DB Details'!$A:$L,12)</f>
        <v/>
      </c>
      <c r="C775" s="40">
        <f>Table9[[#This Row],[PMI]]-B774</f>
        <v/>
      </c>
      <c r="G775" s="4" t="n"/>
    </row>
    <row r="776">
      <c r="A776" s="39" t="n">
        <v>40969</v>
      </c>
      <c r="B776" s="40">
        <f>VLOOKUP(Table9[[#This Row],[Date]],'DB Details'!$A:$L,12)</f>
        <v/>
      </c>
      <c r="C776" s="40">
        <f>Table9[[#This Row],[PMI]]-B775</f>
        <v/>
      </c>
      <c r="G776" s="4" t="n"/>
    </row>
    <row r="777">
      <c r="A777" s="39" t="n">
        <v>41000</v>
      </c>
      <c r="B777" s="40">
        <f>VLOOKUP(Table9[[#This Row],[Date]],'DB Details'!$A:$L,12)</f>
        <v/>
      </c>
      <c r="C777" s="40">
        <f>Table9[[#This Row],[PMI]]-B776</f>
        <v/>
      </c>
      <c r="G777" s="4" t="n"/>
    </row>
    <row r="778">
      <c r="A778" s="39" t="n">
        <v>41030</v>
      </c>
      <c r="B778" s="40">
        <f>VLOOKUP(Table9[[#This Row],[Date]],'DB Details'!$A:$L,12)</f>
        <v/>
      </c>
      <c r="C778" s="40">
        <f>Table9[[#This Row],[PMI]]-B777</f>
        <v/>
      </c>
      <c r="G778" s="4" t="n"/>
    </row>
    <row r="779">
      <c r="A779" s="39" t="n">
        <v>41061</v>
      </c>
      <c r="B779" s="40">
        <f>VLOOKUP(Table9[[#This Row],[Date]],'DB Details'!$A:$L,12)</f>
        <v/>
      </c>
      <c r="C779" s="40">
        <f>Table9[[#This Row],[PMI]]-B778</f>
        <v/>
      </c>
      <c r="G779" s="4" t="n"/>
    </row>
    <row r="780">
      <c r="A780" s="39" t="n">
        <v>41091</v>
      </c>
      <c r="B780" s="40">
        <f>VLOOKUP(Table9[[#This Row],[Date]],'DB Details'!$A:$L,12)</f>
        <v/>
      </c>
      <c r="C780" s="40">
        <f>Table9[[#This Row],[PMI]]-B779</f>
        <v/>
      </c>
      <c r="G780" s="4" t="n"/>
    </row>
    <row r="781">
      <c r="A781" s="39" t="n">
        <v>41122</v>
      </c>
      <c r="B781" s="40">
        <f>VLOOKUP(Table9[[#This Row],[Date]],'DB Details'!$A:$L,12)</f>
        <v/>
      </c>
      <c r="C781" s="40">
        <f>Table9[[#This Row],[PMI]]-B780</f>
        <v/>
      </c>
      <c r="G781" s="4" t="n"/>
    </row>
    <row r="782">
      <c r="A782" s="39" t="n">
        <v>41153</v>
      </c>
      <c r="B782" s="40">
        <f>VLOOKUP(Table9[[#This Row],[Date]],'DB Details'!$A:$L,12)</f>
        <v/>
      </c>
      <c r="C782" s="40">
        <f>Table9[[#This Row],[PMI]]-B781</f>
        <v/>
      </c>
      <c r="G782" s="4" t="n"/>
    </row>
    <row r="783">
      <c r="A783" s="39" t="n">
        <v>41183</v>
      </c>
      <c r="B783" s="40">
        <f>VLOOKUP(Table9[[#This Row],[Date]],'DB Details'!$A:$L,12)</f>
        <v/>
      </c>
      <c r="C783" s="40">
        <f>Table9[[#This Row],[PMI]]-B782</f>
        <v/>
      </c>
      <c r="G783" s="4" t="n"/>
    </row>
    <row r="784">
      <c r="A784" s="39" t="n">
        <v>41214</v>
      </c>
      <c r="B784" s="40">
        <f>VLOOKUP(Table9[[#This Row],[Date]],'DB Details'!$A:$L,12)</f>
        <v/>
      </c>
      <c r="C784" s="40">
        <f>Table9[[#This Row],[PMI]]-B783</f>
        <v/>
      </c>
      <c r="G784" s="4" t="n"/>
    </row>
    <row r="785">
      <c r="A785" s="39" t="n">
        <v>41244</v>
      </c>
      <c r="B785" s="40">
        <f>VLOOKUP(Table9[[#This Row],[Date]],'DB Details'!$A:$L,12)</f>
        <v/>
      </c>
      <c r="C785" s="40">
        <f>Table9[[#This Row],[PMI]]-B784</f>
        <v/>
      </c>
      <c r="G785" s="4" t="n"/>
    </row>
    <row r="786">
      <c r="A786" s="39" t="n">
        <v>41275</v>
      </c>
      <c r="B786" s="40">
        <f>VLOOKUP(Table9[[#This Row],[Date]],'DB Details'!$A:$L,12)</f>
        <v/>
      </c>
      <c r="C786" s="40">
        <f>Table9[[#This Row],[PMI]]-B785</f>
        <v/>
      </c>
      <c r="G786" s="4" t="n"/>
    </row>
    <row r="787">
      <c r="A787" s="39" t="n">
        <v>41306</v>
      </c>
      <c r="B787" s="40">
        <f>VLOOKUP(Table9[[#This Row],[Date]],'DB Details'!$A:$L,12)</f>
        <v/>
      </c>
      <c r="C787" s="40">
        <f>Table9[[#This Row],[PMI]]-B786</f>
        <v/>
      </c>
      <c r="G787" s="4" t="n"/>
    </row>
    <row r="788">
      <c r="A788" s="39" t="n">
        <v>41334</v>
      </c>
      <c r="B788" s="40">
        <f>VLOOKUP(Table9[[#This Row],[Date]],'DB Details'!$A:$L,12)</f>
        <v/>
      </c>
      <c r="C788" s="40">
        <f>Table9[[#This Row],[PMI]]-B787</f>
        <v/>
      </c>
      <c r="G788" s="4" t="n"/>
    </row>
    <row r="789">
      <c r="A789" s="39" t="n">
        <v>41365</v>
      </c>
      <c r="B789" s="40">
        <f>VLOOKUP(Table9[[#This Row],[Date]],'DB Details'!$A:$L,12)</f>
        <v/>
      </c>
      <c r="C789" s="40">
        <f>Table9[[#This Row],[PMI]]-B788</f>
        <v/>
      </c>
      <c r="G789" s="4" t="n"/>
    </row>
    <row r="790">
      <c r="A790" s="39" t="n">
        <v>41395</v>
      </c>
      <c r="B790" s="40">
        <f>VLOOKUP(Table9[[#This Row],[Date]],'DB Details'!$A:$L,12)</f>
        <v/>
      </c>
      <c r="C790" s="40">
        <f>Table9[[#This Row],[PMI]]-B789</f>
        <v/>
      </c>
      <c r="G790" s="4" t="n"/>
    </row>
    <row r="791">
      <c r="A791" s="39" t="n">
        <v>41426</v>
      </c>
      <c r="B791" s="40">
        <f>VLOOKUP(Table9[[#This Row],[Date]],'DB Details'!$A:$L,12)</f>
        <v/>
      </c>
      <c r="C791" s="40">
        <f>Table9[[#This Row],[PMI]]-B790</f>
        <v/>
      </c>
      <c r="G791" s="4" t="n"/>
    </row>
    <row r="792">
      <c r="A792" s="39" t="n">
        <v>41456</v>
      </c>
      <c r="B792" s="40">
        <f>VLOOKUP(Table9[[#This Row],[Date]],'DB Details'!$A:$L,12)</f>
        <v/>
      </c>
      <c r="C792" s="40">
        <f>Table9[[#This Row],[PMI]]-B791</f>
        <v/>
      </c>
      <c r="G792" s="4" t="n"/>
    </row>
    <row r="793">
      <c r="A793" s="39" t="n">
        <v>41487</v>
      </c>
      <c r="B793" s="40">
        <f>VLOOKUP(Table9[[#This Row],[Date]],'DB Details'!$A:$L,12)</f>
        <v/>
      </c>
      <c r="C793" s="40">
        <f>Table9[[#This Row],[PMI]]-B792</f>
        <v/>
      </c>
      <c r="G793" s="4" t="n"/>
    </row>
    <row r="794">
      <c r="A794" s="39" t="n">
        <v>41518</v>
      </c>
      <c r="B794" s="40">
        <f>VLOOKUP(Table9[[#This Row],[Date]],'DB Details'!$A:$L,12)</f>
        <v/>
      </c>
      <c r="C794" s="40">
        <f>Table9[[#This Row],[PMI]]-B793</f>
        <v/>
      </c>
      <c r="G794" s="4" t="n"/>
    </row>
    <row r="795">
      <c r="A795" s="39" t="n">
        <v>41548</v>
      </c>
      <c r="B795" s="40">
        <f>VLOOKUP(Table9[[#This Row],[Date]],'DB Details'!$A:$L,12)</f>
        <v/>
      </c>
      <c r="C795" s="40">
        <f>Table9[[#This Row],[PMI]]-B794</f>
        <v/>
      </c>
      <c r="G795" s="4" t="n"/>
    </row>
    <row r="796">
      <c r="A796" s="39" t="n">
        <v>41579</v>
      </c>
      <c r="B796" s="40">
        <f>VLOOKUP(Table9[[#This Row],[Date]],'DB Details'!$A:$L,12)</f>
        <v/>
      </c>
      <c r="C796" s="40">
        <f>Table9[[#This Row],[PMI]]-B795</f>
        <v/>
      </c>
      <c r="G796" s="4" t="n"/>
    </row>
    <row r="797">
      <c r="A797" s="39" t="n">
        <v>41609</v>
      </c>
      <c r="B797" s="40">
        <f>VLOOKUP(Table9[[#This Row],[Date]],'DB Details'!$A:$L,12)</f>
        <v/>
      </c>
      <c r="C797" s="40">
        <f>Table9[[#This Row],[PMI]]-B796</f>
        <v/>
      </c>
      <c r="G797" s="4" t="n"/>
    </row>
    <row r="798">
      <c r="A798" s="39" t="n">
        <v>41640</v>
      </c>
      <c r="B798" s="40">
        <f>VLOOKUP(Table9[[#This Row],[Date]],'DB Details'!$A:$L,12)</f>
        <v/>
      </c>
      <c r="C798" s="40">
        <f>Table9[[#This Row],[PMI]]-B797</f>
        <v/>
      </c>
      <c r="G798" s="4" t="n"/>
    </row>
    <row r="799">
      <c r="A799" s="39" t="n">
        <v>41671</v>
      </c>
      <c r="B799" s="40">
        <f>VLOOKUP(Table9[[#This Row],[Date]],'DB Details'!$A:$L,12)</f>
        <v/>
      </c>
      <c r="C799" s="40">
        <f>Table9[[#This Row],[PMI]]-B798</f>
        <v/>
      </c>
      <c r="G799" s="4" t="n"/>
    </row>
    <row r="800">
      <c r="A800" s="39" t="n">
        <v>41699</v>
      </c>
      <c r="B800" s="40">
        <f>VLOOKUP(Table9[[#This Row],[Date]],'DB Details'!$A:$L,12)</f>
        <v/>
      </c>
      <c r="C800" s="40">
        <f>Table9[[#This Row],[PMI]]-B799</f>
        <v/>
      </c>
      <c r="G800" s="4" t="n"/>
    </row>
    <row r="801">
      <c r="A801" s="39" t="n">
        <v>41730</v>
      </c>
      <c r="B801" s="40">
        <f>VLOOKUP(Table9[[#This Row],[Date]],'DB Details'!$A:$L,12)</f>
        <v/>
      </c>
      <c r="C801" s="40">
        <f>Table9[[#This Row],[PMI]]-B800</f>
        <v/>
      </c>
      <c r="G801" s="4" t="n"/>
    </row>
    <row r="802">
      <c r="A802" s="39" t="n">
        <v>41760</v>
      </c>
      <c r="B802" s="40">
        <f>VLOOKUP(Table9[[#This Row],[Date]],'DB Details'!$A:$L,12)</f>
        <v/>
      </c>
      <c r="C802" s="40">
        <f>Table9[[#This Row],[PMI]]-B801</f>
        <v/>
      </c>
      <c r="G802" s="4" t="n"/>
    </row>
    <row r="803">
      <c r="A803" s="39" t="n">
        <v>41791</v>
      </c>
      <c r="B803" s="40">
        <f>VLOOKUP(Table9[[#This Row],[Date]],'DB Details'!$A:$L,12)</f>
        <v/>
      </c>
      <c r="C803" s="40">
        <f>Table9[[#This Row],[PMI]]-B802</f>
        <v/>
      </c>
      <c r="G803" s="4" t="n"/>
    </row>
    <row r="804">
      <c r="A804" s="39" t="n">
        <v>41821</v>
      </c>
      <c r="B804" s="40">
        <f>VLOOKUP(Table9[[#This Row],[Date]],'DB Details'!$A:$L,12)</f>
        <v/>
      </c>
      <c r="C804" s="40">
        <f>Table9[[#This Row],[PMI]]-B803</f>
        <v/>
      </c>
      <c r="G804" s="4" t="n"/>
    </row>
    <row r="805">
      <c r="A805" s="39" t="n">
        <v>41852</v>
      </c>
      <c r="B805" s="40">
        <f>VLOOKUP(Table9[[#This Row],[Date]],'DB Details'!$A:$L,12)</f>
        <v/>
      </c>
      <c r="C805" s="40">
        <f>Table9[[#This Row],[PMI]]-B804</f>
        <v/>
      </c>
      <c r="G805" s="4" t="n"/>
    </row>
    <row r="806">
      <c r="A806" s="39" t="n">
        <v>41883</v>
      </c>
      <c r="B806" s="40">
        <f>VLOOKUP(Table9[[#This Row],[Date]],'DB Details'!$A:$L,12)</f>
        <v/>
      </c>
      <c r="C806" s="40">
        <f>Table9[[#This Row],[PMI]]-B805</f>
        <v/>
      </c>
      <c r="G806" s="4" t="n"/>
    </row>
    <row r="807">
      <c r="A807" s="39" t="n">
        <v>41913</v>
      </c>
      <c r="B807" s="40">
        <f>VLOOKUP(Table9[[#This Row],[Date]],'DB Details'!$A:$L,12)</f>
        <v/>
      </c>
      <c r="C807" s="40">
        <f>Table9[[#This Row],[PMI]]-B806</f>
        <v/>
      </c>
      <c r="G807" s="4" t="n"/>
    </row>
    <row r="808">
      <c r="A808" s="39" t="n">
        <v>41944</v>
      </c>
      <c r="B808" s="40">
        <f>VLOOKUP(Table9[[#This Row],[Date]],'DB Details'!$A:$L,12)</f>
        <v/>
      </c>
      <c r="C808" s="40">
        <f>Table9[[#This Row],[PMI]]-B807</f>
        <v/>
      </c>
      <c r="G808" s="4" t="n"/>
    </row>
    <row r="809">
      <c r="A809" s="39" t="n">
        <v>41974</v>
      </c>
      <c r="B809" s="40">
        <f>VLOOKUP(Table9[[#This Row],[Date]],'DB Details'!$A:$L,12)</f>
        <v/>
      </c>
      <c r="C809" s="40">
        <f>Table9[[#This Row],[PMI]]-B808</f>
        <v/>
      </c>
      <c r="G809" s="4" t="n"/>
    </row>
    <row r="810">
      <c r="A810" s="39" t="n">
        <v>42005</v>
      </c>
      <c r="B810" s="40">
        <f>VLOOKUP(Table9[[#This Row],[Date]],'DB Details'!$A:$L,12)</f>
        <v/>
      </c>
      <c r="C810" s="40">
        <f>Table9[[#This Row],[PMI]]-B809</f>
        <v/>
      </c>
      <c r="G810" s="4" t="n"/>
    </row>
    <row r="811">
      <c r="A811" s="39" t="n">
        <v>42036</v>
      </c>
      <c r="B811" s="40">
        <f>VLOOKUP(Table9[[#This Row],[Date]],'DB Details'!$A:$L,12)</f>
        <v/>
      </c>
      <c r="C811" s="40">
        <f>Table9[[#This Row],[PMI]]-B810</f>
        <v/>
      </c>
      <c r="G811" s="4" t="n"/>
    </row>
    <row r="812">
      <c r="A812" s="39" t="n">
        <v>42064</v>
      </c>
      <c r="B812" s="40">
        <f>VLOOKUP(Table9[[#This Row],[Date]],'DB Details'!$A:$L,12)</f>
        <v/>
      </c>
      <c r="C812" s="40">
        <f>Table9[[#This Row],[PMI]]-B811</f>
        <v/>
      </c>
      <c r="G812" s="4" t="n"/>
    </row>
    <row r="813">
      <c r="A813" s="39" t="n">
        <v>42095</v>
      </c>
      <c r="B813" s="40">
        <f>VLOOKUP(Table9[[#This Row],[Date]],'DB Details'!$A:$L,12)</f>
        <v/>
      </c>
      <c r="C813" s="40">
        <f>Table9[[#This Row],[PMI]]-B812</f>
        <v/>
      </c>
      <c r="G813" s="4" t="n"/>
    </row>
    <row r="814">
      <c r="A814" s="39" t="n">
        <v>42125</v>
      </c>
      <c r="B814" s="40">
        <f>VLOOKUP(Table9[[#This Row],[Date]],'DB Details'!$A:$L,12)</f>
        <v/>
      </c>
      <c r="C814" s="40">
        <f>Table9[[#This Row],[PMI]]-B813</f>
        <v/>
      </c>
      <c r="G814" s="4" t="n"/>
    </row>
    <row r="815">
      <c r="A815" s="39" t="n">
        <v>42156</v>
      </c>
      <c r="B815" s="40">
        <f>VLOOKUP(Table9[[#This Row],[Date]],'DB Details'!$A:$L,12)</f>
        <v/>
      </c>
      <c r="C815" s="40">
        <f>Table9[[#This Row],[PMI]]-B814</f>
        <v/>
      </c>
      <c r="G815" s="4" t="n"/>
    </row>
    <row r="816">
      <c r="A816" s="39" t="n">
        <v>42186</v>
      </c>
      <c r="B816" s="40">
        <f>VLOOKUP(Table9[[#This Row],[Date]],'DB Details'!$A:$L,12)</f>
        <v/>
      </c>
      <c r="C816" s="40">
        <f>Table9[[#This Row],[PMI]]-B815</f>
        <v/>
      </c>
      <c r="G816" s="4" t="n"/>
    </row>
    <row r="817">
      <c r="A817" s="39" t="n">
        <v>42217</v>
      </c>
      <c r="B817" s="40">
        <f>VLOOKUP(Table9[[#This Row],[Date]],'DB Details'!$A:$L,12)</f>
        <v/>
      </c>
      <c r="C817" s="40">
        <f>Table9[[#This Row],[PMI]]-B816</f>
        <v/>
      </c>
      <c r="G817" s="4" t="n"/>
    </row>
    <row r="818">
      <c r="A818" s="39" t="n">
        <v>42248</v>
      </c>
      <c r="B818" s="40">
        <f>VLOOKUP(Table9[[#This Row],[Date]],'DB Details'!$A:$L,12)</f>
        <v/>
      </c>
      <c r="C818" s="40">
        <f>Table9[[#This Row],[PMI]]-B817</f>
        <v/>
      </c>
      <c r="G818" s="4" t="n"/>
    </row>
    <row r="819">
      <c r="A819" s="39" t="n">
        <v>42278</v>
      </c>
      <c r="B819" s="40">
        <f>VLOOKUP(Table9[[#This Row],[Date]],'DB Details'!$A:$L,12)</f>
        <v/>
      </c>
      <c r="C819" s="40">
        <f>Table9[[#This Row],[PMI]]-B818</f>
        <v/>
      </c>
      <c r="G819" s="4" t="n"/>
    </row>
    <row r="820">
      <c r="A820" s="39" t="n">
        <v>42309</v>
      </c>
      <c r="B820" s="40">
        <f>VLOOKUP(Table9[[#This Row],[Date]],'DB Details'!$A:$L,12)</f>
        <v/>
      </c>
      <c r="C820" s="40">
        <f>Table9[[#This Row],[PMI]]-B819</f>
        <v/>
      </c>
      <c r="G820" s="4" t="n"/>
    </row>
    <row r="821">
      <c r="A821" s="39" t="n">
        <v>42339</v>
      </c>
      <c r="B821" s="40">
        <f>VLOOKUP(Table9[[#This Row],[Date]],'DB Details'!$A:$L,12)</f>
        <v/>
      </c>
      <c r="C821" s="40">
        <f>Table9[[#This Row],[PMI]]-B820</f>
        <v/>
      </c>
      <c r="G821" s="4" t="n"/>
    </row>
    <row r="822">
      <c r="A822" s="39" t="n">
        <v>42370</v>
      </c>
      <c r="B822" s="40">
        <f>VLOOKUP(Table9[[#This Row],[Date]],'DB Details'!$A:$L,12)</f>
        <v/>
      </c>
      <c r="C822" s="40">
        <f>Table9[[#This Row],[PMI]]-B821</f>
        <v/>
      </c>
      <c r="G822" s="4" t="n"/>
    </row>
    <row r="823">
      <c r="A823" s="39" t="n">
        <v>42401</v>
      </c>
      <c r="B823" s="40">
        <f>VLOOKUP(Table9[[#This Row],[Date]],'DB Details'!$A:$L,12)</f>
        <v/>
      </c>
      <c r="C823" s="40">
        <f>Table9[[#This Row],[PMI]]-B822</f>
        <v/>
      </c>
      <c r="G823" s="4" t="n"/>
    </row>
    <row r="824">
      <c r="A824" s="39" t="n">
        <v>42430</v>
      </c>
      <c r="B824" s="40">
        <f>VLOOKUP(Table9[[#This Row],[Date]],'DB Details'!$A:$L,12)</f>
        <v/>
      </c>
      <c r="C824" s="40">
        <f>Table9[[#This Row],[PMI]]-B823</f>
        <v/>
      </c>
      <c r="G824" s="4" t="n"/>
    </row>
    <row r="825">
      <c r="A825" s="39" t="n">
        <v>42461</v>
      </c>
      <c r="B825" s="40">
        <f>VLOOKUP(Table9[[#This Row],[Date]],'DB Details'!$A:$L,12)</f>
        <v/>
      </c>
      <c r="C825" s="40">
        <f>Table9[[#This Row],[PMI]]-B824</f>
        <v/>
      </c>
      <c r="G825" s="4" t="n"/>
    </row>
    <row r="826">
      <c r="A826" s="39" t="n">
        <v>42491</v>
      </c>
      <c r="B826" s="40">
        <f>VLOOKUP(Table9[[#This Row],[Date]],'DB Details'!$A:$L,12)</f>
        <v/>
      </c>
      <c r="C826" s="40">
        <f>Table9[[#This Row],[PMI]]-B825</f>
        <v/>
      </c>
      <c r="G826" s="4" t="n"/>
    </row>
    <row r="827">
      <c r="A827" s="39" t="n">
        <v>42522</v>
      </c>
      <c r="B827" s="40">
        <f>VLOOKUP(Table9[[#This Row],[Date]],'DB Details'!$A:$L,12)</f>
        <v/>
      </c>
      <c r="C827" s="40">
        <f>Table9[[#This Row],[PMI]]-B826</f>
        <v/>
      </c>
      <c r="G827" s="4" t="n"/>
    </row>
    <row r="828">
      <c r="A828" s="39" t="n">
        <v>42552</v>
      </c>
      <c r="B828" s="40">
        <f>VLOOKUP(Table9[[#This Row],[Date]],'DB Details'!$A:$L,12)</f>
        <v/>
      </c>
      <c r="C828" s="40">
        <f>Table9[[#This Row],[PMI]]-B827</f>
        <v/>
      </c>
      <c r="G828" s="4" t="n"/>
    </row>
    <row r="829">
      <c r="A829" s="39" t="n">
        <v>42583</v>
      </c>
      <c r="B829" s="40">
        <f>VLOOKUP(Table9[[#This Row],[Date]],'DB Details'!$A:$L,12)</f>
        <v/>
      </c>
      <c r="C829" s="40">
        <f>Table9[[#This Row],[PMI]]-B828</f>
        <v/>
      </c>
      <c r="G829" s="4" t="n"/>
    </row>
    <row r="830">
      <c r="A830" s="39" t="n">
        <v>42614</v>
      </c>
      <c r="B830" s="40">
        <f>VLOOKUP(Table9[[#This Row],[Date]],'DB Details'!$A:$L,12)</f>
        <v/>
      </c>
      <c r="C830" s="40">
        <f>Table9[[#This Row],[PMI]]-B829</f>
        <v/>
      </c>
      <c r="G830" s="4" t="n"/>
    </row>
    <row r="831">
      <c r="A831" s="39" t="n">
        <v>42644</v>
      </c>
      <c r="B831" s="40">
        <f>VLOOKUP(Table9[[#This Row],[Date]],'DB Details'!$A:$L,12)</f>
        <v/>
      </c>
      <c r="C831" s="40">
        <f>Table9[[#This Row],[PMI]]-B830</f>
        <v/>
      </c>
      <c r="G831" s="4" t="n"/>
    </row>
    <row r="832">
      <c r="A832" s="39" t="n">
        <v>42675</v>
      </c>
      <c r="B832" s="40">
        <f>VLOOKUP(Table9[[#This Row],[Date]],'DB Details'!$A:$L,12)</f>
        <v/>
      </c>
      <c r="C832" s="40">
        <f>Table9[[#This Row],[PMI]]-B831</f>
        <v/>
      </c>
      <c r="G832" s="4" t="n"/>
    </row>
    <row r="833">
      <c r="A833" s="39" t="n">
        <v>42705</v>
      </c>
      <c r="B833" s="40">
        <f>VLOOKUP(Table9[[#This Row],[Date]],'DB Details'!$A:$L,12)</f>
        <v/>
      </c>
      <c r="C833" s="40">
        <f>Table9[[#This Row],[PMI]]-B832</f>
        <v/>
      </c>
      <c r="G833" s="4" t="n"/>
    </row>
    <row r="834">
      <c r="A834" s="39" t="n">
        <v>42736</v>
      </c>
      <c r="B834" s="40">
        <f>VLOOKUP(Table9[[#This Row],[Date]],'DB Details'!$A:$L,12)</f>
        <v/>
      </c>
      <c r="C834" s="40">
        <f>Table9[[#This Row],[PMI]]-B833</f>
        <v/>
      </c>
      <c r="G834" s="4" t="n"/>
    </row>
    <row r="835">
      <c r="A835" s="39" t="n">
        <v>42767</v>
      </c>
      <c r="B835" s="40">
        <f>VLOOKUP(Table9[[#This Row],[Date]],'DB Details'!$A:$L,12)</f>
        <v/>
      </c>
      <c r="C835" s="40">
        <f>Table9[[#This Row],[PMI]]-B834</f>
        <v/>
      </c>
      <c r="G835" s="4" t="n"/>
    </row>
    <row r="836">
      <c r="A836" s="39" t="n">
        <v>42795</v>
      </c>
      <c r="B836" s="40">
        <f>VLOOKUP(Table9[[#This Row],[Date]],'DB Details'!$A:$L,12)</f>
        <v/>
      </c>
      <c r="C836" s="40">
        <f>Table9[[#This Row],[PMI]]-B835</f>
        <v/>
      </c>
      <c r="G836" s="4" t="n"/>
    </row>
    <row r="837">
      <c r="A837" s="39" t="n">
        <v>42826</v>
      </c>
      <c r="B837" s="40">
        <f>VLOOKUP(Table9[[#This Row],[Date]],'DB Details'!$A:$L,12)</f>
        <v/>
      </c>
      <c r="C837" s="40">
        <f>Table9[[#This Row],[PMI]]-B836</f>
        <v/>
      </c>
      <c r="G837" s="4" t="n"/>
    </row>
    <row r="838">
      <c r="A838" s="39" t="n">
        <v>42856</v>
      </c>
      <c r="B838" s="40">
        <f>VLOOKUP(Table9[[#This Row],[Date]],'DB Details'!$A:$L,12)</f>
        <v/>
      </c>
      <c r="C838" s="40">
        <f>Table9[[#This Row],[PMI]]-B837</f>
        <v/>
      </c>
      <c r="G838" s="4" t="n"/>
    </row>
    <row r="839">
      <c r="A839" s="39" t="n">
        <v>42887</v>
      </c>
      <c r="B839" s="40">
        <f>VLOOKUP(Table9[[#This Row],[Date]],'DB Details'!$A:$L,12)</f>
        <v/>
      </c>
      <c r="C839" s="40">
        <f>Table9[[#This Row],[PMI]]-B838</f>
        <v/>
      </c>
      <c r="G839" s="4" t="n"/>
    </row>
    <row r="840">
      <c r="A840" s="39" t="n">
        <v>42917</v>
      </c>
      <c r="B840" s="40">
        <f>VLOOKUP(Table9[[#This Row],[Date]],'DB Details'!$A:$L,12)</f>
        <v/>
      </c>
      <c r="C840" s="40">
        <f>Table9[[#This Row],[PMI]]-B839</f>
        <v/>
      </c>
      <c r="G840" s="4" t="n"/>
    </row>
    <row r="841">
      <c r="A841" s="39" t="n">
        <v>42948</v>
      </c>
      <c r="B841" s="40">
        <f>VLOOKUP(Table9[[#This Row],[Date]],'DB Details'!$A:$L,12)</f>
        <v/>
      </c>
      <c r="C841" s="40">
        <f>Table9[[#This Row],[PMI]]-B840</f>
        <v/>
      </c>
      <c r="G841" s="4" t="n"/>
    </row>
    <row r="842">
      <c r="A842" s="39" t="n">
        <v>42979</v>
      </c>
      <c r="B842" s="40">
        <f>VLOOKUP(Table9[[#This Row],[Date]],'DB Details'!$A:$L,12)</f>
        <v/>
      </c>
      <c r="C842" s="40">
        <f>Table9[[#This Row],[PMI]]-B841</f>
        <v/>
      </c>
      <c r="G842" s="4" t="n"/>
    </row>
    <row r="843">
      <c r="A843" s="39" t="n">
        <v>43009</v>
      </c>
      <c r="B843" s="40">
        <f>VLOOKUP(Table9[[#This Row],[Date]],'DB Details'!$A:$L,12)</f>
        <v/>
      </c>
      <c r="C843" s="40">
        <f>Table9[[#This Row],[PMI]]-B842</f>
        <v/>
      </c>
      <c r="G843" s="4" t="n"/>
    </row>
    <row r="844">
      <c r="A844" s="39" t="n">
        <v>43040</v>
      </c>
      <c r="B844" s="40">
        <f>VLOOKUP(Table9[[#This Row],[Date]],'DB Details'!$A:$L,12)</f>
        <v/>
      </c>
      <c r="C844" s="40">
        <f>Table9[[#This Row],[PMI]]-B843</f>
        <v/>
      </c>
      <c r="G844" s="4" t="n"/>
    </row>
    <row r="845">
      <c r="A845" s="39" t="n">
        <v>43070</v>
      </c>
      <c r="B845" s="40">
        <f>VLOOKUP(Table9[[#This Row],[Date]],'DB Details'!$A:$L,12)</f>
        <v/>
      </c>
      <c r="C845" s="40">
        <f>Table9[[#This Row],[PMI]]-B844</f>
        <v/>
      </c>
      <c r="G845" s="4" t="n"/>
    </row>
    <row r="846">
      <c r="A846" s="39" t="n">
        <v>43101</v>
      </c>
      <c r="B846" s="40">
        <f>VLOOKUP(Table9[[#This Row],[Date]],'DB Details'!$A:$L,12)</f>
        <v/>
      </c>
      <c r="C846" s="40">
        <f>Table9[[#This Row],[PMI]]-B845</f>
        <v/>
      </c>
      <c r="G846" s="4" t="n"/>
    </row>
    <row r="847">
      <c r="A847" s="45" t="n">
        <v>43132</v>
      </c>
      <c r="B847" s="40">
        <f>VLOOKUP(Table9[[#This Row],[Date]],'DB Details'!$A:$L,12)</f>
        <v/>
      </c>
      <c r="C847" s="40">
        <f>Table9[[#This Row],[PMI]]-B846</f>
        <v/>
      </c>
      <c r="G847" s="4" t="n"/>
    </row>
    <row r="848">
      <c r="A848" s="39" t="n">
        <v>43160</v>
      </c>
      <c r="B848" s="40">
        <f>VLOOKUP(Table9[[#This Row],[Date]],'DB Details'!$A:$L,12)</f>
        <v/>
      </c>
      <c r="C848" s="40">
        <f>Table9[[#This Row],[PMI]]-B847</f>
        <v/>
      </c>
    </row>
    <row r="849">
      <c r="A849" s="45" t="n">
        <v>43191</v>
      </c>
      <c r="B849" s="40">
        <f>VLOOKUP(Table9[[#This Row],[Date]],'DB Details'!$A:$L,12)</f>
        <v/>
      </c>
      <c r="C849" s="40">
        <f>Table9[[#This Row],[PMI]]-B848</f>
        <v/>
      </c>
    </row>
    <row r="850">
      <c r="A850" s="39" t="n">
        <v>43221</v>
      </c>
      <c r="B850" s="40">
        <f>VLOOKUP(Table9[[#This Row],[Date]],'DB Details'!$A:$L,12)</f>
        <v/>
      </c>
      <c r="C850" s="40">
        <f>Table9[[#This Row],[PMI]]-B849</f>
        <v/>
      </c>
    </row>
    <row r="851">
      <c r="A851" s="45" t="n">
        <v>43252</v>
      </c>
      <c r="B851" s="40">
        <f>VLOOKUP(Table9[[#This Row],[Date]],'DB Details'!$A:$L,12)</f>
        <v/>
      </c>
      <c r="C851" s="40">
        <f>Table9[[#This Row],[PMI]]-B850</f>
        <v/>
      </c>
    </row>
    <row r="852">
      <c r="A852" s="39" t="n">
        <v>43282</v>
      </c>
      <c r="B852" s="40">
        <f>VLOOKUP(Table9[[#This Row],[Date]],'DB Details'!$A:$L,12)</f>
        <v/>
      </c>
      <c r="C852" s="40">
        <f>Table9[[#This Row],[PMI]]-B851</f>
        <v/>
      </c>
    </row>
    <row r="853">
      <c r="A853" s="45" t="n">
        <v>43313</v>
      </c>
      <c r="B853" s="40">
        <f>VLOOKUP(Table9[[#This Row],[Date]],'DB Details'!$A:$L,12)</f>
        <v/>
      </c>
      <c r="C853" s="40">
        <f>Table9[[#This Row],[PMI]]-B852</f>
        <v/>
      </c>
    </row>
    <row r="854">
      <c r="A854" s="39" t="n">
        <v>43344</v>
      </c>
      <c r="B854" s="40">
        <f>VLOOKUP(Table9[[#This Row],[Date]],'DB Details'!$A:$L,12)</f>
        <v/>
      </c>
      <c r="C854" s="40">
        <f>Table9[[#This Row],[PMI]]-B853</f>
        <v/>
      </c>
    </row>
    <row r="855">
      <c r="A855" s="45" t="n">
        <v>43374</v>
      </c>
      <c r="B855" s="40">
        <f>VLOOKUP(Table9[[#This Row],[Date]],'DB Details'!$A:$L,12)</f>
        <v/>
      </c>
      <c r="C855" s="40">
        <f>Table9[[#This Row],[PMI]]-B854</f>
        <v/>
      </c>
    </row>
    <row r="856">
      <c r="A856" s="39" t="n">
        <v>43405</v>
      </c>
      <c r="B856" s="40">
        <f>VLOOKUP(Table9[[#This Row],[Date]],'DB Details'!$A:$L,12)</f>
        <v/>
      </c>
      <c r="C856" s="40">
        <f>Table9[[#This Row],[PMI]]-B855</f>
        <v/>
      </c>
    </row>
    <row r="857">
      <c r="A857" s="45" t="n">
        <v>43435</v>
      </c>
      <c r="B857" s="40">
        <f>VLOOKUP(Table9[[#This Row],[Date]],'DB Details'!$A:$L,12)</f>
        <v/>
      </c>
      <c r="C857" s="40">
        <f>Table9[[#This Row],[PMI]]-B856</f>
        <v/>
      </c>
    </row>
    <row r="858">
      <c r="A858" s="39" t="n">
        <v>43466</v>
      </c>
      <c r="B858" s="40">
        <f>VLOOKUP(Table9[[#This Row],[Date]],'DB Details'!$A:$L,12)</f>
        <v/>
      </c>
      <c r="C858" s="40">
        <f>Table9[[#This Row],[PMI]]-B857</f>
        <v/>
      </c>
    </row>
    <row r="859">
      <c r="A859" s="45" t="n">
        <v>43497</v>
      </c>
      <c r="B859" s="40">
        <f>VLOOKUP(Table9[[#This Row],[Date]],'DB Details'!$A:$L,12)</f>
        <v/>
      </c>
      <c r="C859" s="40">
        <f>Table9[[#This Row],[PMI]]-B858</f>
        <v/>
      </c>
    </row>
    <row r="860">
      <c r="A860" s="39" t="n">
        <v>43525</v>
      </c>
      <c r="B860" s="40">
        <f>VLOOKUP(Table9[[#This Row],[Date]],'DB Details'!$A:$L,12)</f>
        <v/>
      </c>
      <c r="C860" s="40">
        <f>Table9[[#This Row],[PMI]]-B859</f>
        <v/>
      </c>
    </row>
    <row r="861">
      <c r="A861" s="45" t="n">
        <v>43556</v>
      </c>
      <c r="B861" s="40">
        <f>VLOOKUP(Table9[[#This Row],[Date]],'DB Details'!$A:$L,12)</f>
        <v/>
      </c>
      <c r="C861" s="40">
        <f>Table9[[#This Row],[PMI]]-B860</f>
        <v/>
      </c>
    </row>
    <row r="862">
      <c r="A862" s="39" t="n">
        <v>43586</v>
      </c>
      <c r="B862" s="40">
        <f>VLOOKUP(Table9[[#This Row],[Date]],'DB Details'!$A:$L,12)</f>
        <v/>
      </c>
      <c r="C862" s="40">
        <f>Table9[[#This Row],[PMI]]-B861</f>
        <v/>
      </c>
    </row>
    <row r="863">
      <c r="A863" s="45" t="n">
        <v>43617</v>
      </c>
      <c r="B863" s="40">
        <f>VLOOKUP(Table9[[#This Row],[Date]],'DB Details'!$A:$L,12)</f>
        <v/>
      </c>
      <c r="C863" s="40">
        <f>Table9[[#This Row],[PMI]]-B862</f>
        <v/>
      </c>
    </row>
    <row r="864">
      <c r="A864" s="39" t="n">
        <v>43647</v>
      </c>
      <c r="B864" s="40">
        <f>VLOOKUP(Table9[[#This Row],[Date]],'DB Details'!$A:$L,12)</f>
        <v/>
      </c>
      <c r="C864" s="40">
        <f>Table9[[#This Row],[PMI]]-B863</f>
        <v/>
      </c>
    </row>
    <row r="865">
      <c r="A865" s="45" t="n">
        <v>43678</v>
      </c>
      <c r="B865" s="40">
        <f>VLOOKUP(Table9[[#This Row],[Date]],'DB Details'!$A:$L,12)</f>
        <v/>
      </c>
      <c r="C865" s="40">
        <f>Table9[[#This Row],[PMI]]-B864</f>
        <v/>
      </c>
    </row>
    <row r="866">
      <c r="A866" s="39" t="n">
        <v>43709</v>
      </c>
      <c r="B866" s="40">
        <f>VLOOKUP(Table9[[#This Row],[Date]],'DB Details'!$A:$L,12)</f>
        <v/>
      </c>
      <c r="C866" s="40">
        <f>Table9[[#This Row],[PMI]]-B865</f>
        <v/>
      </c>
    </row>
    <row r="867">
      <c r="A867" s="45" t="n">
        <v>43739</v>
      </c>
      <c r="B867" s="40">
        <f>VLOOKUP(Table9[[#This Row],[Date]],'DB Details'!$A:$L,12)</f>
        <v/>
      </c>
      <c r="C867" s="40">
        <f>Table9[[#This Row],[PMI]]-B866</f>
        <v/>
      </c>
    </row>
    <row r="868">
      <c r="A868" s="39" t="n">
        <v>43770</v>
      </c>
      <c r="B868" s="40">
        <f>VLOOKUP(Table9[[#This Row],[Date]],'DB Details'!$A:$L,12)</f>
        <v/>
      </c>
      <c r="C868" s="40">
        <f>Table9[[#This Row],[PMI]]-B867</f>
        <v/>
      </c>
    </row>
    <row r="869">
      <c r="A869" s="45" t="n">
        <v>43800</v>
      </c>
      <c r="B869" s="40">
        <f>VLOOKUP(Table9[[#This Row],[Date]],'DB Details'!$A:$L,12)</f>
        <v/>
      </c>
      <c r="C869" s="40">
        <f>Table9[[#This Row],[PMI]]-B868</f>
        <v/>
      </c>
    </row>
    <row r="870">
      <c r="A870" s="39" t="n">
        <v>43831</v>
      </c>
      <c r="B870" s="40">
        <f>VLOOKUP(Table9[[#This Row],[Date]],'DB Details'!$A:$L,12)</f>
        <v/>
      </c>
      <c r="C870" s="40">
        <f>Table9[[#This Row],[PMI]]-B869</f>
        <v/>
      </c>
    </row>
    <row r="871">
      <c r="A871" s="45" t="n">
        <v>43862</v>
      </c>
      <c r="B871" s="40">
        <f>VLOOKUP(Table9[[#This Row],[Date]],'DB Details'!$A:$L,12)</f>
        <v/>
      </c>
      <c r="C871" s="40">
        <f>Table9[[#This Row],[PMI]]-B870</f>
        <v/>
      </c>
    </row>
    <row r="872">
      <c r="A872" s="39" t="n">
        <v>43891</v>
      </c>
      <c r="B872" s="40">
        <f>VLOOKUP(Table9[[#This Row],[Date]],'DB Details'!$A:$L,12)</f>
        <v/>
      </c>
      <c r="C872" s="40">
        <f>Table9[[#This Row],[PMI]]-B871</f>
        <v/>
      </c>
    </row>
    <row r="873">
      <c r="A873" s="45" t="n">
        <v>43922</v>
      </c>
      <c r="B873" s="40">
        <f>VLOOKUP(Table9[[#This Row],[Date]],'DB Details'!$A:$L,12)</f>
        <v/>
      </c>
      <c r="C873" s="40">
        <f>Table9[[#This Row],[PMI]]-B872</f>
        <v/>
      </c>
    </row>
    <row r="874">
      <c r="A874" s="39" t="n">
        <v>43952</v>
      </c>
      <c r="B874" s="40">
        <f>VLOOKUP(Table9[[#This Row],[Date]],'DB Details'!$A:$L,12)</f>
        <v/>
      </c>
      <c r="C874" s="40">
        <f>Table9[[#This Row],[PMI]]-B873</f>
        <v/>
      </c>
    </row>
    <row r="875">
      <c r="A875" s="45" t="n">
        <v>43983</v>
      </c>
      <c r="B875" s="40">
        <f>VLOOKUP(Table9[[#This Row],[Date]],'DB Details'!$A:$L,12)</f>
        <v/>
      </c>
      <c r="C875" s="40">
        <f>Table9[[#This Row],[PMI]]-B874</f>
        <v/>
      </c>
    </row>
    <row r="876">
      <c r="A876" s="39" t="n">
        <v>44013</v>
      </c>
      <c r="B876" s="40">
        <f>VLOOKUP(Table9[[#This Row],[Date]],'DB Details'!$A:$L,12)</f>
        <v/>
      </c>
      <c r="C876" s="40">
        <f>Table9[[#This Row],[PMI]]-B875</f>
        <v/>
      </c>
    </row>
    <row r="877">
      <c r="A877" s="45" t="n">
        <v>44044</v>
      </c>
      <c r="B877" s="40">
        <f>VLOOKUP(Table9[[#This Row],[Date]],'DB Details'!$A:$L,12)</f>
        <v/>
      </c>
      <c r="C877" s="40">
        <f>Table9[[#This Row],[PMI]]-B876</f>
        <v/>
      </c>
    </row>
    <row r="878">
      <c r="A878" s="39" t="n">
        <v>44075</v>
      </c>
      <c r="B878" s="40">
        <f>VLOOKUP(Table9[[#This Row],[Date]],'DB Details'!$A:$L,12)</f>
        <v/>
      </c>
      <c r="C878" s="40">
        <f>Table9[[#This Row],[PMI]]-B877</f>
        <v/>
      </c>
    </row>
    <row r="879">
      <c r="A879" s="45" t="n">
        <v>44105</v>
      </c>
      <c r="B879" s="40">
        <f>VLOOKUP(Table9[[#This Row],[Date]],'DB Details'!$A:$L,12)</f>
        <v/>
      </c>
      <c r="C879" s="40">
        <f>Table9[[#This Row],[PMI]]-B878</f>
        <v/>
      </c>
    </row>
    <row r="880">
      <c r="A880" s="39" t="n">
        <v>44136</v>
      </c>
      <c r="B880" s="40">
        <f>VLOOKUP(Table9[[#This Row],[Date]],'DB Details'!$A:$L,12)</f>
        <v/>
      </c>
      <c r="C880" s="40">
        <f>Table9[[#This Row],[PMI]]-B879</f>
        <v/>
      </c>
    </row>
    <row r="881">
      <c r="A881" s="45" t="n">
        <v>44166</v>
      </c>
      <c r="B881" s="40">
        <f>VLOOKUP(Table9[[#This Row],[Date]],'DB Details'!$A:$L,12)</f>
        <v/>
      </c>
      <c r="C881" s="40">
        <f>Table9[[#This Row],[PMI]]-B880</f>
        <v/>
      </c>
    </row>
    <row r="882">
      <c r="A882" s="39" t="n">
        <v>44197</v>
      </c>
      <c r="B882" s="40">
        <f>VLOOKUP(Table9[[#This Row],[Date]],'DB Details'!$A:$L,12)</f>
        <v/>
      </c>
      <c r="C882" s="40">
        <f>Table9[[#This Row],[PMI]]-B881</f>
        <v/>
      </c>
    </row>
    <row r="883">
      <c r="A883" s="45" t="n">
        <v>44228</v>
      </c>
      <c r="B883" s="40">
        <f>VLOOKUP(Table9[[#This Row],[Date]],'DB Details'!$A:$L,12)</f>
        <v/>
      </c>
      <c r="C883" s="40">
        <f>Table9[[#This Row],[PMI]]-B882</f>
        <v/>
      </c>
    </row>
    <row r="884">
      <c r="A884" s="39" t="n">
        <v>44256</v>
      </c>
      <c r="B884" s="40">
        <f>VLOOKUP(Table9[[#This Row],[Date]],'DB Details'!$A:$L,12)</f>
        <v/>
      </c>
      <c r="C884" s="40">
        <f>Table9[[#This Row],[PMI]]-B883</f>
        <v/>
      </c>
    </row>
    <row r="885">
      <c r="A885" s="45" t="n">
        <v>44287</v>
      </c>
      <c r="B885" s="40">
        <f>VLOOKUP(Table9[[#This Row],[Date]],'DB Details'!$A:$L,12)</f>
        <v/>
      </c>
      <c r="C885" s="40">
        <f>Table9[[#This Row],[PMI]]-B884</f>
        <v/>
      </c>
    </row>
    <row r="886">
      <c r="A886" s="39" t="n">
        <v>44317</v>
      </c>
      <c r="B886" s="40">
        <f>VLOOKUP(Table9[[#This Row],[Date]],'DB Details'!$A:$L,12)</f>
        <v/>
      </c>
      <c r="C886" s="40">
        <f>Table9[[#This Row],[PMI]]-B885</f>
        <v/>
      </c>
    </row>
    <row r="887">
      <c r="A887" s="45" t="n">
        <v>44348</v>
      </c>
      <c r="B887" s="40">
        <f>VLOOKUP(Table9[[#This Row],[Date]],'DB Details'!$A:$L,12)</f>
        <v/>
      </c>
      <c r="C887" s="40">
        <f>Table9[[#This Row],[PMI]]-B886</f>
        <v/>
      </c>
    </row>
    <row r="888">
      <c r="A888" s="39" t="n">
        <v>44378</v>
      </c>
      <c r="B888" s="40">
        <f>VLOOKUP(Table9[[#This Row],[Date]],'DB Details'!$A:$L,12)</f>
        <v/>
      </c>
      <c r="C888" s="40">
        <f>Table9[[#This Row],[PMI]]-B887</f>
        <v/>
      </c>
    </row>
    <row r="889">
      <c r="A889" s="45" t="n">
        <v>44409</v>
      </c>
      <c r="B889" s="40">
        <f>VLOOKUP(Table9[[#This Row],[Date]],'DB Details'!$A:$L,12)</f>
        <v/>
      </c>
      <c r="C889" s="40">
        <f>Table9[[#This Row],[PMI]]-B888</f>
        <v/>
      </c>
    </row>
    <row r="890">
      <c r="A890" s="39" t="n">
        <v>44440</v>
      </c>
      <c r="B890" s="40">
        <f>VLOOKUP(Table9[[#This Row],[Date]],'DB Details'!$A:$L,12)</f>
        <v/>
      </c>
      <c r="C890" s="40">
        <f>Table9[[#This Row],[PMI]]-B889</f>
        <v/>
      </c>
    </row>
    <row r="891">
      <c r="A891" s="45" t="n">
        <v>44470</v>
      </c>
      <c r="B891" s="40">
        <f>VLOOKUP(Table9[[#This Row],[Date]],'DB Details'!$A:$L,12)</f>
        <v/>
      </c>
      <c r="C891" s="40">
        <f>Table9[[#This Row],[PMI]]-B890</f>
        <v/>
      </c>
    </row>
    <row r="892">
      <c r="A892" s="39" t="n">
        <v>44501</v>
      </c>
      <c r="B892" s="40">
        <f>VLOOKUP(Table9[[#This Row],[Date]],'DB Details'!$A:$L,12)</f>
        <v/>
      </c>
      <c r="C892" s="40">
        <f>Table9[[#This Row],[PMI]]-B891</f>
        <v/>
      </c>
    </row>
    <row r="893">
      <c r="A893" s="45" t="n">
        <v>44531</v>
      </c>
      <c r="B893" s="40">
        <f>VLOOKUP(Table9[[#This Row],[Date]],'DB Details'!$A:$L,12)</f>
        <v/>
      </c>
      <c r="C893" s="40">
        <f>Table9[[#This Row],[PMI]]-B892</f>
        <v/>
      </c>
    </row>
    <row r="894">
      <c r="A894" s="39" t="n">
        <v>44562</v>
      </c>
      <c r="B894" s="40">
        <f>VLOOKUP(Table9[[#This Row],[Date]],'DB Details'!$A:$L,12)</f>
        <v/>
      </c>
      <c r="C894" s="40">
        <f>Table9[[#This Row],[PMI]]-B893</f>
        <v/>
      </c>
    </row>
    <row r="895">
      <c r="A895" s="39" t="n">
        <v>44593</v>
      </c>
      <c r="B895" s="40">
        <f>VLOOKUP(Table9[[#This Row],[Date]],'DB Details'!$A:$L,12)</f>
        <v/>
      </c>
      <c r="C895" s="40">
        <f>Table9[[#This Row],[PMI]]-B894</f>
        <v/>
      </c>
    </row>
    <row r="896">
      <c r="A896" s="45" t="n">
        <v>44621</v>
      </c>
      <c r="B896" s="40">
        <f>VLOOKUP(Table9[[#This Row],[Date]],'DB Details'!$A:$L,12)</f>
        <v/>
      </c>
      <c r="C896" s="40">
        <f>Table9[[#This Row],[PMI]]-B895</f>
        <v/>
      </c>
    </row>
    <row r="897">
      <c r="A897" s="39" t="n">
        <v>44652</v>
      </c>
      <c r="B897" s="40">
        <f>VLOOKUP(Table9[[#This Row],[Date]],'DB Details'!$A:$L,12)</f>
        <v/>
      </c>
      <c r="C897" s="40">
        <f>Table9[[#This Row],[PMI]]-B896</f>
        <v/>
      </c>
    </row>
    <row r="898">
      <c r="A898" s="45" t="n">
        <v>44682</v>
      </c>
      <c r="B898" s="40">
        <f>VLOOKUP(Table9[[#This Row],[Date]],'DB Details'!$A:$L,12)</f>
        <v/>
      </c>
      <c r="C898" s="40">
        <f>Table9[[#This Row],[PMI]]-B897</f>
        <v/>
      </c>
    </row>
    <row r="899">
      <c r="A899" s="39" t="n">
        <v>44713</v>
      </c>
      <c r="B899" s="40">
        <f>VLOOKUP(Table9[[#This Row],[Date]],'DB Details'!$A:$L,12)</f>
        <v/>
      </c>
      <c r="C899" s="40">
        <f>Table9[[#This Row],[PMI]]-B898</f>
        <v/>
      </c>
    </row>
    <row r="900">
      <c r="A900" s="39" t="n">
        <v>44743</v>
      </c>
      <c r="B900" s="40">
        <f>VLOOKUP(Table9[[#This Row],[Date]],'DB Details'!$A:$L,12)</f>
        <v/>
      </c>
      <c r="C900" s="40">
        <f>Table9[[#This Row],[PMI]]-B899</f>
        <v/>
      </c>
    </row>
    <row r="901">
      <c r="A901" s="39" t="n">
        <v>44774</v>
      </c>
      <c r="B901" s="40">
        <f>VLOOKUP(Table9[[#This Row],[Date]],'DB Details'!$A:$L,12)</f>
        <v/>
      </c>
      <c r="C901" s="40">
        <f>Table9[[#This Row],[PMI]]-B900</f>
        <v/>
      </c>
    </row>
    <row r="902">
      <c r="A902" s="39" t="n">
        <v>44805</v>
      </c>
      <c r="B902" s="40">
        <f>VLOOKUP(Table9[[#This Row],[Date]],'DB Details'!$A:$L,12)</f>
        <v/>
      </c>
      <c r="C902" s="40">
        <f>Table9[[#This Row],[PMI]]-B901</f>
        <v/>
      </c>
    </row>
    <row r="903">
      <c r="A903" s="39" t="n">
        <v>44835</v>
      </c>
      <c r="B903" s="40">
        <f>VLOOKUP(Table9[[#This Row],[Date]],'DB Details'!$A:$L,12)</f>
        <v/>
      </c>
      <c r="C903" s="40">
        <f>Table9[[#This Row],[PMI]]-B902</f>
        <v/>
      </c>
    </row>
    <row r="904">
      <c r="A904" s="39" t="n">
        <v>44866</v>
      </c>
      <c r="B904" s="40">
        <f>VLOOKUP(Table9[[#This Row],[Date]],'DB Details'!$A:$L,12)</f>
        <v/>
      </c>
      <c r="C904" s="40">
        <f>Table9[[#This Row],[PMI]]-B903</f>
        <v/>
      </c>
    </row>
    <row r="905">
      <c r="A905" s="39" t="n">
        <v>44896</v>
      </c>
      <c r="B905" s="40">
        <f>VLOOKUP(Table9[[#This Row],[Date]],'DB Details'!$A:$L,12)</f>
        <v/>
      </c>
      <c r="C905" s="40">
        <f>Table9[[#This Row],[PMI]]-B904</f>
        <v/>
      </c>
    </row>
    <row r="906">
      <c r="A906" s="45" t="n">
        <v>44927</v>
      </c>
      <c r="B906" s="40">
        <f>VLOOKUP(Table9[[#This Row],[Date]],'DB Details'!$A:$L,12)</f>
        <v/>
      </c>
      <c r="C906" s="40">
        <f>Table9[[#This Row],[PMI]]-B905</f>
        <v/>
      </c>
    </row>
  </sheetData>
  <conditionalFormatting sqref="B750:B9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C460"/>
  <sheetViews>
    <sheetView zoomScaleNormal="100" workbookViewId="0">
      <pane ySplit="1" topLeftCell="A2" activePane="bottomLeft" state="frozen"/>
      <selection pane="bottomLeft" activeCell="C255" sqref="C255"/>
    </sheetView>
  </sheetViews>
  <sheetFormatPr baseColWidth="8" defaultColWidth="10.90625" defaultRowHeight="14.5"/>
  <cols>
    <col width="29" customWidth="1" min="1" max="1"/>
    <col width="12.81640625" customWidth="1" style="34" min="2" max="2"/>
    <col width="193.6328125" customWidth="1" min="3" max="3"/>
  </cols>
  <sheetData>
    <row r="1" ht="17" customHeight="1">
      <c r="A1" t="inlineStr">
        <is>
          <t>Sector</t>
        </is>
      </c>
      <c r="B1" t="inlineStr">
        <is>
          <t>Date</t>
        </is>
      </c>
      <c r="C1" t="inlineStr">
        <is>
          <t>Comments</t>
        </is>
      </c>
    </row>
    <row r="2" ht="32" customHeight="1">
      <c r="A2" t="inlineStr">
        <is>
          <t>Apparel, Leather &amp; Allied Products</t>
        </is>
      </c>
      <c r="B2" s="123" t="n">
        <v>44713</v>
      </c>
      <c r="C2" t="inlineStr">
        <is>
          <t>“We are hearing from customers that their inventories are high, and sales are coming down. We expect orders to decline in the coming months until inventories are leveled properly against demand.”</t>
        </is>
      </c>
    </row>
    <row r="3" ht="17" customHeight="1">
      <c r="A3" t="inlineStr">
        <is>
          <t>Apparel, Leather &amp; Allied Products</t>
        </is>
      </c>
      <c r="B3" s="123" t="n">
        <v>43922</v>
      </c>
      <c r="C3"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32" customHeight="1">
      <c r="A4" t="inlineStr">
        <is>
          <t>Apparel, Leather &amp; Allied Products</t>
        </is>
      </c>
      <c r="B4" s="123" t="n">
        <v>43525</v>
      </c>
      <c r="C4" t="inlineStr">
        <is>
          <t>“Skilled labor is still tough to find.” (Apparel, Leather &amp; Allied Products)</t>
        </is>
      </c>
    </row>
    <row r="5" ht="32" customHeight="1">
      <c r="A5" t="inlineStr">
        <is>
          <t>Chemical Products</t>
        </is>
      </c>
      <c r="B5" s="123" t="n">
        <v>44927</v>
      </c>
      <c r="C5" t="inlineStr">
        <is>
          <t>“Conditions are reasonable. Sales are a little better than planned. Cost pressures are easing for most products. There have been a lot fewer supply disruptions so far this year, and few expected in the short term. The crystal ball remains a little blurry for the rest of 2023.”</t>
        </is>
      </c>
    </row>
    <row r="6" ht="32" customHeight="1">
      <c r="A6" t="inlineStr">
        <is>
          <t>Chemical Products</t>
        </is>
      </c>
      <c r="B6" s="123" t="n">
        <v>44896</v>
      </c>
      <c r="C6" t="inlineStr">
        <is>
          <t>“Customer demand continues to be depressed. While 2023 pipeline is looking very positive, current demand is significantly down.”</t>
        </is>
      </c>
    </row>
    <row r="7" ht="32" customHeight="1">
      <c r="A7" t="inlineStr">
        <is>
          <t>Chemical Products</t>
        </is>
      </c>
      <c r="B7" s="123" t="n">
        <v>44866</v>
      </c>
      <c r="C7" t="inlineStr">
        <is>
          <t>“Future volumes are on a downward trend for the next 60 days.”</t>
        </is>
      </c>
    </row>
    <row r="8" ht="16" customHeight="1">
      <c r="A8" t="inlineStr">
        <is>
          <t>Chemical Products</t>
        </is>
      </c>
      <c r="B8" s="123" t="n">
        <v>44835</v>
      </c>
      <c r="C8" t="inlineStr">
        <is>
          <t>“Customers are canceling some orders. Inventories of finished goods increasing. Expect some bounce back as some customers may be waiting for commodity prices to decline (further).”</t>
        </is>
      </c>
    </row>
    <row r="9" ht="32" customHeight="1">
      <c r="A9" t="inlineStr">
        <is>
          <t>Chemical Products</t>
        </is>
      </c>
      <c r="B9" s="123" t="n">
        <v>44805</v>
      </c>
      <c r="C9" t="inlineStr">
        <is>
          <t>“Concerns of global economic slowdown are growing, and (we are) experiencing some customers pulling back orders.”</t>
        </is>
      </c>
    </row>
    <row r="10" ht="16" customHeight="1">
      <c r="A10" t="inlineStr">
        <is>
          <t>Chemical Products</t>
        </is>
      </c>
      <c r="B10" s="123" t="n">
        <v>44774</v>
      </c>
      <c r="C10" t="inlineStr">
        <is>
          <t>“Sales in target business softening month-over-month, down 12 percent by revenue. Inventory days are increasing.”</t>
        </is>
      </c>
    </row>
    <row r="11" ht="16" customHeight="1">
      <c r="A11" t="inlineStr">
        <is>
          <t>Chemical Products</t>
        </is>
      </c>
      <c r="B11" s="123" t="n">
        <v>44743</v>
      </c>
      <c r="C11" t="inlineStr">
        <is>
          <t>“Inflation is slowing down business. Overstock of raw materials due to prior supply chain issues and slowing orders.”</t>
        </is>
      </c>
    </row>
    <row r="12" ht="16" customHeight="1">
      <c r="A12" t="inlineStr">
        <is>
          <t>Chemical Products</t>
        </is>
      </c>
      <c r="B12" s="123" t="n">
        <v>44713</v>
      </c>
      <c r="C12" t="inlineStr">
        <is>
          <t>“New orders have stabilized and not increased.”</t>
        </is>
      </c>
    </row>
    <row r="13" ht="16" customHeight="1">
      <c r="A13" t="inlineStr">
        <is>
          <t>Chemical Products</t>
        </is>
      </c>
      <c r="B13" s="123" t="n">
        <v>44682</v>
      </c>
      <c r="C13" t="inlineStr">
        <is>
          <t>“While orders remain strong and backlogs exist, there’s a softening in forecasted orders for leading indicator-type customers and business units.”</t>
        </is>
      </c>
    </row>
    <row r="14" ht="16" customHeight="1">
      <c r="A14" t="inlineStr">
        <is>
          <t>Chemical Products</t>
        </is>
      </c>
      <c r="B14" s="123" t="n">
        <v>44652</v>
      </c>
      <c r="C14" t="inlineStr">
        <is>
          <t>“Tier-2 supplier shutdowns in Shanghai are causing a ripple effect for our suppliers in other parts of China. Long delays at ports, including in the U.S., are still providing supply challenges. Inflation is out of control. Fuel costs, and therefore freight costs, are leading the upward cycle. At some point, the economy must give way; it will be tough to have real growth with such pressure on costs. Despite the issues and poor outlook, business remains brisk.”</t>
        </is>
      </c>
    </row>
    <row r="15" ht="32" customHeight="1">
      <c r="A15" t="inlineStr">
        <is>
          <t>Chemical Products</t>
        </is>
      </c>
      <c r="B15" s="123" t="n">
        <v>44621</v>
      </c>
      <c r="C15" t="inlineStr">
        <is>
          <t>“Customer orders are brisk in the face of significant price increases, while we continue to struggle with inbound supplier service and raw material availability issues.”</t>
        </is>
      </c>
    </row>
    <row r="16" ht="16" customHeight="1">
      <c r="A16" t="inlineStr">
        <is>
          <t>Chemical Products</t>
        </is>
      </c>
      <c r="B16" s="123" t="n">
        <v>44593</v>
      </c>
      <c r="C16" t="inlineStr">
        <is>
          <t>“Strong sales growth as retail continues to return.”</t>
        </is>
      </c>
    </row>
    <row r="17" ht="16" customHeight="1">
      <c r="A17" t="inlineStr">
        <is>
          <t>Chemical Products</t>
        </is>
      </c>
      <c r="B17" s="123" t="n">
        <v>44562</v>
      </c>
      <c r="C17" t="inlineStr">
        <is>
          <t>“We are experiencing massive interruptions to our production due to supplier COVID-19 problems limiting their manufacturing of key raw (materials) like steel cans and chemicals.”</t>
        </is>
      </c>
    </row>
    <row r="18" ht="16" customHeight="1">
      <c r="A18" t="inlineStr">
        <is>
          <t>Chemical Products</t>
        </is>
      </c>
      <c r="B18" s="123" t="n">
        <v>44531</v>
      </c>
      <c r="C18" t="inlineStr">
        <is>
          <t>“Chemical supply chains are filling very slowly. Still not full, but (my) gut feeling says it’s getting easier to source chemical raw materials.”</t>
        </is>
      </c>
    </row>
    <row r="19" ht="16" customHeight="1">
      <c r="A19" t="inlineStr">
        <is>
          <t>Chemical Products</t>
        </is>
      </c>
      <c r="B19" s="123" t="n">
        <v>44470</v>
      </c>
      <c r="C19" t="inlineStr">
        <is>
          <t>“Business is getting stronger, but the supply chain is getting worse every day.” [Chemical Products]</t>
        </is>
      </c>
    </row>
    <row r="20" ht="16" customHeight="1">
      <c r="A20" t="inlineStr">
        <is>
          <t>Chemical Products</t>
        </is>
      </c>
      <c r="B20" s="123" t="n">
        <v>44440</v>
      </c>
      <c r="C20"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21" ht="16" customHeight="1">
      <c r="A21" t="inlineStr">
        <is>
          <t>Chemical Products</t>
        </is>
      </c>
      <c r="B21" s="123" t="n">
        <v>44409</v>
      </c>
      <c r="C21"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22" ht="16" customHeight="1">
      <c r="A22" t="inlineStr">
        <is>
          <t>Chemical Products</t>
        </is>
      </c>
      <c r="B22" s="123" t="n">
        <v>44348</v>
      </c>
      <c r="C22"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23" ht="32" customHeight="1">
      <c r="A23" t="inlineStr">
        <is>
          <t>Chemical Products</t>
        </is>
      </c>
      <c r="B23" s="123" t="n">
        <v>44317</v>
      </c>
      <c r="C23" t="inlineStr">
        <is>
          <t>“Changes in currency exchange rates favorably contributed to our quarterly performance. Continued strong consumer demand for our high-quality products also provided increased sales.” [Chemical Products]</t>
        </is>
      </c>
    </row>
    <row r="24" ht="16" customHeight="1">
      <c r="A24" t="inlineStr">
        <is>
          <t>Chemical Products</t>
        </is>
      </c>
      <c r="B24" s="123" t="n">
        <v>44287</v>
      </c>
      <c r="C24"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25" ht="16" customHeight="1">
      <c r="A25" t="inlineStr">
        <is>
          <t>Chemical Products</t>
        </is>
      </c>
      <c r="B25" s="123" t="n">
        <v>44256</v>
      </c>
      <c r="C25" t="inlineStr">
        <is>
          <t>“Demand remains strong. Significant supply impacts on raw materials due to the Texas freeze. All major raw-material and suppliers on force majeure.” (Chemical Products)</t>
        </is>
      </c>
    </row>
    <row r="26" ht="16" customHeight="1">
      <c r="A26" t="inlineStr">
        <is>
          <t>Chemical Products</t>
        </is>
      </c>
      <c r="B26" s="123" t="n">
        <v>44228</v>
      </c>
      <c r="C26" t="inlineStr">
        <is>
          <t>“Supply chains are depleted; inventories up and down the supply chain are empty. Lead times increasing, prices increasing, [and] demand increasing. Deep freeze in the Gulf Coast expected to extend duration of shortages.” (Chemical Products)</t>
        </is>
      </c>
    </row>
    <row r="27" ht="16" customHeight="1">
      <c r="A27" t="inlineStr">
        <is>
          <t>Chemical Products</t>
        </is>
      </c>
      <c r="B27" s="123" t="n">
        <v>44197</v>
      </c>
      <c r="C27" t="inlineStr">
        <is>
          <t>“Business remains strong. Manufacturing running at full capacity.” (Chemical Products)</t>
        </is>
      </c>
    </row>
    <row r="28" ht="16" customHeight="1">
      <c r="A28" t="inlineStr">
        <is>
          <t>Chemical Products</t>
        </is>
      </c>
      <c r="B28" s="123" t="n">
        <v>44166</v>
      </c>
      <c r="C28" t="inlineStr">
        <is>
          <t>“Continued to survive COVID-19 shutdowns, customer restrictions and personnel issues (work from home and COVID-19 outbreaks) and managed to maintain slight growth over 2019.” (Chemical Products)</t>
        </is>
      </c>
    </row>
    <row r="29" ht="16" customHeight="1">
      <c r="A29" t="inlineStr">
        <is>
          <t>Chemical Products</t>
        </is>
      </c>
      <c r="B29" s="123" t="n">
        <v>44136</v>
      </c>
      <c r="C29" t="inlineStr">
        <is>
          <t>“Production issues for petrochemicals are getting resolved after a very active hurricane season. That is helping balance supply and demand.” (Chemical Products)</t>
        </is>
      </c>
    </row>
    <row r="30" ht="16" customHeight="1">
      <c r="A30" t="inlineStr">
        <is>
          <t>Chemical Products</t>
        </is>
      </c>
      <c r="B30" s="123" t="n">
        <v>44105</v>
      </c>
      <c r="C30"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31" ht="16" customHeight="1">
      <c r="A31" t="inlineStr">
        <is>
          <t>Chemical Products</t>
        </is>
      </c>
      <c r="B31" s="123" t="n">
        <v>44075</v>
      </c>
      <c r="C31" t="inlineStr">
        <is>
          <t>“Volume remains lower than one year ago but has steadily improved over the past two periods.” (Chemical Products)</t>
        </is>
      </c>
    </row>
    <row r="32" ht="16" customHeight="1">
      <c r="A32" t="inlineStr">
        <is>
          <t>Chemical Products</t>
        </is>
      </c>
      <c r="B32" s="123" t="n">
        <v>44044</v>
      </c>
      <c r="C32" t="inlineStr">
        <is>
          <t>"Business is very good. Production cannot keep up with demand. Some upstream supply chains are starting to have issues with raw material and/or transportation availability. "(Chemical Products)</t>
        </is>
      </c>
    </row>
    <row r="33" ht="16" customHeight="1">
      <c r="A33" t="inlineStr">
        <is>
          <t>Chemical Products</t>
        </is>
      </c>
      <c r="B33" s="123" t="n">
        <v>44013</v>
      </c>
      <c r="C33" t="inlineStr">
        <is>
          <t>“Orders starting to pick up. [An] increase of about 35 percent to 40 percent.” (Chemical Products)</t>
        </is>
      </c>
    </row>
    <row r="34" ht="16" customHeight="1">
      <c r="A34" t="inlineStr">
        <is>
          <t>Chemical Products</t>
        </is>
      </c>
      <c r="B34" s="123" t="n">
        <v>43983</v>
      </c>
      <c r="C34" t="inlineStr">
        <is>
          <t>“While we are seeing signs of an uptick in business activity, it is a slow recovery at this point.” (Chemical Products)</t>
        </is>
      </c>
    </row>
    <row r="35" ht="16" customHeight="1">
      <c r="A35" t="inlineStr">
        <is>
          <t>Chemical Products</t>
        </is>
      </c>
      <c r="B35" s="123" t="n">
        <v>43952</v>
      </c>
      <c r="C35" t="inlineStr">
        <is>
          <t>“Current conditions in the automotive, construction, oil and gas, agriculture equipment, and tube/pipe markets are all adversely impacting our business results.” (Chemical Products)</t>
        </is>
      </c>
    </row>
    <row r="36" ht="17" customHeight="1">
      <c r="A36" t="inlineStr">
        <is>
          <t>Chemical Products</t>
        </is>
      </c>
      <c r="B36" s="123" t="n">
        <v>43922</v>
      </c>
      <c r="C36" t="inlineStr">
        <is>
          <t>“Production stopped, other than to make hand sanitizer for those in need.” (Chemical Products)</t>
        </is>
      </c>
    </row>
    <row r="37" ht="32" customHeight="1" thickBot="1">
      <c r="A37" t="inlineStr">
        <is>
          <t>Chemical Products</t>
        </is>
      </c>
      <c r="B37" s="123" t="n">
        <v>43891</v>
      </c>
      <c r="C37" t="inlineStr">
        <is>
          <t>“The two main issues affecting our business [are] COVID-19 and the oil-price war. We are in daily discussions and meeting constantly, updating tracking logs to document high risk concerns.” (Chemical Products)</t>
        </is>
      </c>
    </row>
    <row r="38" ht="16" customHeight="1">
      <c r="A38" t="inlineStr">
        <is>
          <t>Chemical Products</t>
        </is>
      </c>
      <c r="B38" s="123" t="n">
        <v>43862</v>
      </c>
      <c r="C38"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39" ht="16" customHeight="1">
      <c r="A39" t="inlineStr">
        <is>
          <t>Chemical Products</t>
        </is>
      </c>
      <c r="B39" s="123" t="n">
        <v>43831</v>
      </c>
      <c r="C39" t="inlineStr">
        <is>
          <t>"Small signs of increased global demand in the chemical segment." (Chemical Products)</t>
        </is>
      </c>
    </row>
    <row r="40" ht="32" customHeight="1">
      <c r="A40" t="inlineStr">
        <is>
          <t>Chemical Products</t>
        </is>
      </c>
      <c r="B40" s="123" t="n">
        <v>43800</v>
      </c>
      <c r="C40" t="inlineStr">
        <is>
          <t>"Due to sluggish sales, we have introduced promotions to generate increased sales." (Chemical Products)</t>
        </is>
      </c>
    </row>
    <row r="41" ht="48" customHeight="1">
      <c r="A41" t="inlineStr">
        <is>
          <t>Chemical Products</t>
        </is>
      </c>
      <c r="B41" s="123" t="n">
        <v>43770</v>
      </c>
      <c r="C41" t="inlineStr">
        <is>
          <t>“Chemical industry has been slow globally, but the curve seems to be flattening.” (Chemical Products)</t>
        </is>
      </c>
    </row>
    <row r="42" ht="16" customHeight="1">
      <c r="A42" t="inlineStr">
        <is>
          <t>Chemical Products</t>
        </is>
      </c>
      <c r="B42" s="123" t="n">
        <v>43739</v>
      </c>
      <c r="C42" t="inlineStr">
        <is>
          <t>“The chemical manufacturing industry is depressed; demand across many markets globally is down, and pricing is as a result.” (Chemical Products)</t>
        </is>
      </c>
    </row>
    <row r="43" ht="16" customHeight="1">
      <c r="A43" t="inlineStr">
        <is>
          <t>Chemical Products</t>
        </is>
      </c>
      <c r="B43" s="123" t="n">
        <v>43709</v>
      </c>
      <c r="C43" t="inlineStr">
        <is>
          <t>“Continued softening in the global automotive market. Trade-war impacts also have localized effects, particularly in select export markets. Seeing warehouses filling again after what appeared to be a short reduction of demand.” (Chemical Products)</t>
        </is>
      </c>
    </row>
    <row r="44" ht="48" customHeight="1">
      <c r="A44" t="inlineStr">
        <is>
          <t>Chemical Products</t>
        </is>
      </c>
      <c r="B44" s="123" t="n">
        <v>43678</v>
      </c>
      <c r="C44" t="inlineStr">
        <is>
          <t>"While business is strong, there is an undercurrent of fear and alarm regarding the trade wars and a potential recession." (Chemical Products)</t>
        </is>
      </c>
    </row>
    <row r="45" ht="32" customHeight="1">
      <c r="A45" t="inlineStr">
        <is>
          <t>Chemical Products</t>
        </is>
      </c>
      <c r="B45" s="123" t="n">
        <v>43647</v>
      </c>
      <c r="C45" t="inlineStr">
        <is>
          <t>“Weakness in end markets accelerating rapidly. Continuing to reduce production based on weakening demand and declining current orders.” (Chemical Products)</t>
        </is>
      </c>
    </row>
    <row r="46" ht="16" customHeight="1">
      <c r="A46" t="inlineStr">
        <is>
          <t>Chemical Products</t>
        </is>
      </c>
      <c r="B46" s="123" t="n">
        <v>43617</v>
      </c>
      <c r="C46" t="inlineStr">
        <is>
          <t>“Tariffs are causing an increase in cost of goods, meaning U.S. consumers are paying more for products.” (Chemical Products)</t>
        </is>
      </c>
    </row>
    <row r="47" ht="32" customHeight="1">
      <c r="A47" t="inlineStr">
        <is>
          <t>Chemical Products</t>
        </is>
      </c>
      <c r="B47" s="123" t="n">
        <v>43586</v>
      </c>
      <c r="C47" t="inlineStr">
        <is>
          <t>“The threat of additional tariffs has forced a change in our supply chain strategy; we are shifting business from China to Mexico, which will not increase the number of U.S. jobs.” (Chemical Products)</t>
        </is>
      </c>
    </row>
    <row r="48" ht="16" customHeight="1">
      <c r="A48" t="inlineStr">
        <is>
          <t>Chemical Products</t>
        </is>
      </c>
      <c r="B48" s="123" t="n">
        <v>43556</v>
      </c>
      <c r="C48" t="inlineStr">
        <is>
          <t>"January and February were strong months. March softened significantly, eroding some of the [previous months'] gains." (Chemical Products)</t>
        </is>
      </c>
    </row>
    <row r="49" ht="16" customHeight="1">
      <c r="A49" t="inlineStr">
        <is>
          <t>Chemical Products</t>
        </is>
      </c>
      <c r="B49" s="123" t="n">
        <v>43525</v>
      </c>
      <c r="C49" t="inlineStr">
        <is>
          <t>“Brexit continues to be a concern, despite the fact that our organization has already rolled out a plan to minimize its impact.” (Chemical Products)</t>
        </is>
      </c>
    </row>
    <row r="50" ht="16" customHeight="1">
      <c r="A50" t="inlineStr">
        <is>
          <t>Chemical Products</t>
        </is>
      </c>
      <c r="B50" s="123" t="n">
        <v>43497</v>
      </c>
      <c r="C50" t="inlineStr">
        <is>
          <t>“Strong start to the year, though weather has been a challenge.” (Chemical Products)</t>
        </is>
      </c>
    </row>
    <row r="51" ht="16" customHeight="1">
      <c r="A51" t="inlineStr">
        <is>
          <t>Chemical Products</t>
        </is>
      </c>
      <c r="B51" s="123" t="n">
        <v>43466</v>
      </c>
      <c r="C51" t="inlineStr">
        <is>
          <t>“Concerns about oil prices are fueling questions of how strong the economy will be the first half of 2019.” (Chemical Products)</t>
        </is>
      </c>
    </row>
    <row r="52" ht="16" customHeight="1">
      <c r="A52" t="inlineStr">
        <is>
          <t>Computer &amp; Electronic Products</t>
        </is>
      </c>
      <c r="B52" s="123" t="n">
        <v>44927</v>
      </c>
      <c r="C52" t="inlineStr">
        <is>
          <t>“Business is still strong, but we have begun to see softening in some pricing, and lead times seem to be improving.”</t>
        </is>
      </c>
    </row>
    <row r="53" ht="16" customHeight="1">
      <c r="A53" t="inlineStr">
        <is>
          <t>Computer &amp; Electronic Products</t>
        </is>
      </c>
      <c r="B53" s="123" t="n">
        <v>44896</v>
      </c>
      <c r="C53" t="inlineStr">
        <is>
          <t>“Skilled labor shortages are huge, putting a lot of pressure on existing personnel. Electronic components still a major supply chain issue, particularly if the component you need is not the current hot technology.”</t>
        </is>
      </c>
    </row>
    <row r="54" ht="16" customHeight="1">
      <c r="A54" t="inlineStr">
        <is>
          <t>Computer &amp; Electronic Products</t>
        </is>
      </c>
      <c r="B54" s="123" t="n">
        <v>44866</v>
      </c>
      <c r="C54" t="inlineStr">
        <is>
          <t>“Customer demand is softening, yet suppliers are maintaining high prices and record profits. Pushing for cost reductions based on market evidence has been surprisingly successful.”</t>
        </is>
      </c>
    </row>
    <row r="55" ht="16" customHeight="1">
      <c r="A55" t="inlineStr">
        <is>
          <t>Computer &amp; Electronic Products</t>
        </is>
      </c>
      <c r="B55" s="123" t="n">
        <v>44835</v>
      </c>
      <c r="C55" t="inlineStr">
        <is>
          <t>“Flat business activity; continued electronics market challenges.”</t>
        </is>
      </c>
    </row>
    <row r="56" ht="32" customHeight="1">
      <c r="A56" t="inlineStr">
        <is>
          <t>Computer &amp; Electronic Products</t>
        </is>
      </c>
      <c r="B56" s="123" t="n">
        <v>44805</v>
      </c>
      <c r="C56" t="inlineStr">
        <is>
          <t>“Supply chain issues for all electronic components and custom build-to-print materials are in short supply due to capacity and skilled labor shortages. Energy cost continues to negatively impact freight cost.”</t>
        </is>
      </c>
    </row>
    <row r="57" ht="32" customHeight="1">
      <c r="A57" t="inlineStr">
        <is>
          <t>Computer &amp; Electronic Products</t>
        </is>
      </c>
      <c r="B57" s="123" t="n">
        <v>44774</v>
      </c>
      <c r="C57" t="inlineStr">
        <is>
          <t>“Demand from customers is still strong, but much of that is because there is still fear of not getting product due to constraints. They are stocking up. There will be a reckoning in the market when the music stops, and everyone’s inventories are bloated.”</t>
        </is>
      </c>
    </row>
    <row r="58" ht="16" customHeight="1">
      <c r="A58" t="inlineStr">
        <is>
          <t>Computer &amp; Electronic Products</t>
        </is>
      </c>
      <c r="B58" s="123" t="n">
        <v>44743</v>
      </c>
      <c r="C58" t="inlineStr">
        <is>
          <t>“Material extended lead times still affecting business, and the challenging labor market is a huge factor too. Backlog is healthy; we just cannot deliver to customers due to material issues.”</t>
        </is>
      </c>
    </row>
    <row r="59" ht="16" customHeight="1">
      <c r="A59" t="inlineStr">
        <is>
          <t>Computer &amp; Electronic Products</t>
        </is>
      </c>
      <c r="B59" s="123" t="n">
        <v>44713</v>
      </c>
      <c r="C59" t="inlineStr">
        <is>
          <t>“Backlog is high, but incoming orders slowing this month.”</t>
        </is>
      </c>
    </row>
    <row r="60" ht="32" customHeight="1">
      <c r="A60" t="inlineStr">
        <is>
          <t>Computer &amp; Electronic Products</t>
        </is>
      </c>
      <c r="B60" s="123" t="n">
        <v>44682</v>
      </c>
      <c r="C60" t="inlineStr">
        <is>
          <t>“Suppliers are seeing a light at the end of the tunnel for restoration of (semiconductor) component supply. Second-quarter and Q3 supply appears to be loosening.”</t>
        </is>
      </c>
    </row>
    <row r="61" ht="16" customHeight="1">
      <c r="A61" t="inlineStr">
        <is>
          <t>Computer &amp; Electronic Products</t>
        </is>
      </c>
      <c r="B61" s="123" t="n">
        <v>44621</v>
      </c>
      <c r="C61" t="inlineStr">
        <is>
          <t>“No letup yet in supply chain challenges, especially electronic components. Relying more and more on the broker market.”</t>
        </is>
      </c>
    </row>
    <row r="62" ht="32" customHeight="1">
      <c r="A62" t="inlineStr">
        <is>
          <t>Computer &amp; Electronic Products</t>
        </is>
      </c>
      <c r="B62" s="123" t="n">
        <v>44593</v>
      </c>
      <c r="C62" t="inlineStr">
        <is>
          <t>“Electronic supply chain is still a mess.”</t>
        </is>
      </c>
    </row>
    <row r="63" ht="16" customHeight="1">
      <c r="A63" t="inlineStr">
        <is>
          <t>Computer &amp; Electronic Products</t>
        </is>
      </c>
      <c r="B63" s="123" t="n">
        <v>44562</v>
      </c>
      <c r="C63" t="inlineStr">
        <is>
          <t>“While there has been some improvement in materials making it to our factories and logistics centers, we are still constrained by (a lack of) qualified labor. Orders so far are not being cancelled, but we are concerned that customers may be losing patience.”</t>
        </is>
      </c>
    </row>
    <row r="64" ht="16" customHeight="1">
      <c r="A64" t="inlineStr">
        <is>
          <t>Computer &amp; Electronic Products</t>
        </is>
      </c>
      <c r="B64" s="123" t="n">
        <v>44470</v>
      </c>
      <c r="C64" t="inlineStr">
        <is>
          <t>“Global supply chain issues continue. Getting anything from China is near impossible — extreme delays. Microchip and circuit breaker shortages continue and are expected to continue into 2022.” [Computer &amp; Electronic Products]</t>
        </is>
      </c>
    </row>
    <row r="65" ht="16" customHeight="1">
      <c r="A65" t="inlineStr">
        <is>
          <t>Computer &amp; Electronic Products</t>
        </is>
      </c>
      <c r="B65" s="123" t="n">
        <v>44440</v>
      </c>
      <c r="C65"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66" ht="32" customHeight="1">
      <c r="A66" t="inlineStr">
        <is>
          <t>Computer &amp; Electronic Products</t>
        </is>
      </c>
      <c r="B66" s="123" t="n">
        <v>44409</v>
      </c>
      <c r="C66" t="inlineStr">
        <is>
          <t>“Some factories have been impacted by COVID-19 cases. Malaysian government says factories can operate at only 60 percent of capacity.” [Computer &amp; Electronic Products]</t>
        </is>
      </c>
    </row>
    <row r="67" ht="16" customHeight="1">
      <c r="A67" t="inlineStr">
        <is>
          <t>Computer &amp; Electronic Products</t>
        </is>
      </c>
      <c r="B67" s="123" t="n">
        <v>44378</v>
      </c>
      <c r="C67"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68" ht="32" customHeight="1">
      <c r="A68" t="inlineStr">
        <is>
          <t>Computer &amp; Electronic Products</t>
        </is>
      </c>
      <c r="B68" s="123" t="n">
        <v>44348</v>
      </c>
      <c r="C68"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69" ht="17" customHeight="1">
      <c r="A69" t="inlineStr">
        <is>
          <t>Computer &amp; Electronic Products</t>
        </is>
      </c>
      <c r="B69" s="123" t="n">
        <v>44317</v>
      </c>
      <c r="C69" t="inlineStr">
        <is>
          <t>“Supplier performance — deliveries, quality, it’s all suffering. Demand is high, and we are struggling to find employees to help us keep up.” [Computer &amp; Electronic Products]</t>
        </is>
      </c>
    </row>
    <row r="70" ht="32" customHeight="1">
      <c r="A70" t="inlineStr">
        <is>
          <t>Computer &amp; Electronic Products</t>
        </is>
      </c>
      <c r="B70" s="123" t="n">
        <v>44287</v>
      </c>
      <c r="C70" t="inlineStr">
        <is>
          <t>“The current electronics/semiconductor shortage is having tremendous impacts on lead times and pricing. Additionally, there appears to be a general inflation of prices across most, if not all, supply lines.” (Computer &amp; Electronic Products)</t>
        </is>
      </c>
    </row>
    <row r="71" ht="32" customHeight="1" thickBot="1">
      <c r="A71" t="inlineStr">
        <is>
          <t>Computer &amp; Electronic Products</t>
        </is>
      </c>
      <c r="B71" s="123" t="n">
        <v>44256</v>
      </c>
      <c r="C71"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72" ht="16" customHeight="1">
      <c r="A72" t="inlineStr">
        <is>
          <t>Computer &amp; Electronic Products</t>
        </is>
      </c>
      <c r="B72" s="123" t="n">
        <v>44228</v>
      </c>
      <c r="C72"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73" ht="16" customHeight="1">
      <c r="A73" t="inlineStr">
        <is>
          <t>Computer &amp; Electronic Products</t>
        </is>
      </c>
      <c r="B73" s="123" t="n">
        <v>44197</v>
      </c>
      <c r="C73" t="inlineStr">
        <is>
          <t>“Supplier factory capacity is well utilized. Increased demand, labor constraints and upstream supply delays are pushing lead times. This is more prevalent with international than U.S.-based suppliers.” (Computer &amp; Electronic Products)</t>
        </is>
      </c>
    </row>
    <row r="74" ht="16" customHeight="1">
      <c r="A74" t="inlineStr">
        <is>
          <t>Computer &amp; Electronic Products</t>
        </is>
      </c>
      <c r="B74" s="123" t="n">
        <v>44166</v>
      </c>
      <c r="C74"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75" ht="16" customHeight="1">
      <c r="A75" t="inlineStr">
        <is>
          <t>Computer &amp; Electronic Products</t>
        </is>
      </c>
      <c r="B75" s="123" t="n">
        <v>44136</v>
      </c>
      <c r="C75" t="inlineStr">
        <is>
          <t>“Suppliers are still experiencing labor shortages resulting in component constraints. However, we're seeing life from customers, so there's a positive outlook moving into the first quarter of 2021.” (Computer &amp; Electronic Products)</t>
        </is>
      </c>
    </row>
    <row r="76" ht="16" customHeight="1">
      <c r="A76" t="inlineStr">
        <is>
          <t>Computer &amp; Electronic Products</t>
        </is>
      </c>
      <c r="B76" s="123" t="n">
        <v>44105</v>
      </c>
      <c r="C76" t="inlineStr">
        <is>
          <t>“COVID-19 continues to have an effect on supplier support and operations, more from a decreased labor perspective rather than unavailable material.” (Computer &amp; Electronic Products)</t>
        </is>
      </c>
    </row>
    <row r="77" ht="32" customHeight="1">
      <c r="A77" t="inlineStr">
        <is>
          <t>Computer &amp; Electronic Products</t>
        </is>
      </c>
      <c r="B77" s="123" t="n">
        <v>44075</v>
      </c>
      <c r="C77" t="inlineStr">
        <is>
          <t>“Still struggling with long lead times for components coming from China [contract manufacturers].” (Computer &amp; Electronic Products)</t>
        </is>
      </c>
    </row>
    <row r="78" ht="16" customHeight="1">
      <c r="A78" t="inlineStr">
        <is>
          <t>Computer &amp; Electronic Products</t>
        </is>
      </c>
      <c r="B78" s="123" t="n">
        <v>44044</v>
      </c>
      <c r="C78" t="inlineStr">
        <is>
          <t xml:space="preserve">Watching COVID-19 situations in Mexico, Brazil, Philippines [and] Hong Kong. High rates of COVID-19 surging. Currently, lines of supply no longer impacted by COVID-19 related events. (Computer &amp; Electronic Products) </t>
        </is>
      </c>
    </row>
    <row r="79" ht="32" customHeight="1">
      <c r="A79" t="inlineStr">
        <is>
          <t>Computer &amp; Electronic Products</t>
        </is>
      </c>
      <c r="B79" s="123" t="n">
        <v>44013</v>
      </c>
      <c r="C79" t="inlineStr">
        <is>
          <t>“Manufacturing outlook has improved greatly in June, as business has resumed at nearly 100 percent. We have implemented a number of safeguards that are costing extra money, but we are running.” (Computer &amp; Electronic Products)</t>
        </is>
      </c>
    </row>
    <row r="80" ht="32" customHeight="1">
      <c r="A80" t="inlineStr">
        <is>
          <t>Computer &amp; Electronic Products</t>
        </is>
      </c>
      <c r="B80" s="123" t="n">
        <v>43952</v>
      </c>
      <c r="C80" t="inlineStr">
        <is>
          <t>“Despite the COVID-19 issues, we are seeing an increase of quoting activity. This has not turned into orders yet, but it is a positive sign.” (Computer &amp; Electronic Products)</t>
        </is>
      </c>
    </row>
    <row r="81" ht="16" customHeight="1">
      <c r="A81" t="inlineStr">
        <is>
          <t>Computer &amp; Electronic Products</t>
        </is>
      </c>
      <c r="B81" s="123" t="n">
        <v>43922</v>
      </c>
      <c r="C81" t="inlineStr">
        <is>
          <t>“Thirty-percent decrease for April due to COVID-19 impact on both customers and suppliers.” (Computer &amp; Electronic Products)</t>
        </is>
      </c>
    </row>
    <row r="82" ht="32" customHeight="1">
      <c r="A82" t="inlineStr">
        <is>
          <t>Computer &amp; Electronic Products</t>
        </is>
      </c>
      <c r="B82" s="123" t="n">
        <v>43891</v>
      </c>
      <c r="C82" t="inlineStr">
        <is>
          <t>“COVID-19 is impacting China’s raw material supply chain. We are now seeing revenue impact in that region. Our operations team is reviewing plans for spread of the virus.” (Computer &amp; Electronic Products)</t>
        </is>
      </c>
    </row>
    <row r="83" ht="16" customHeight="1">
      <c r="A83" t="inlineStr">
        <is>
          <t>Computer &amp; Electronic Products</t>
        </is>
      </c>
      <c r="B83" s="123" t="n">
        <v>43862</v>
      </c>
      <c r="C83"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84" ht="16" customHeight="1">
      <c r="A84" t="inlineStr">
        <is>
          <t>Computer &amp; Electronic Products</t>
        </is>
      </c>
      <c r="B84" s="123" t="n">
        <v>43831</v>
      </c>
      <c r="C84"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85" ht="33" customHeight="1">
      <c r="A85" t="inlineStr">
        <is>
          <t>Computer &amp; Electronic Products</t>
        </is>
      </c>
      <c r="B85" s="123" t="n">
        <v>43800</v>
      </c>
      <c r="C85" t="inlineStr">
        <is>
          <t>"Backlog of orders is shrinking due to new order pace continuing to fall." (Computer &amp; Electronic Products)</t>
        </is>
      </c>
    </row>
    <row r="86" ht="32" customHeight="1">
      <c r="A86" t="inlineStr">
        <is>
          <t>Computer &amp; Electronic Products</t>
        </is>
      </c>
      <c r="B86" s="123" t="n">
        <v>43770</v>
      </c>
      <c r="C86" t="inlineStr">
        <is>
          <t>“Business level is similar to October.” (Computer &amp; Electronic Products)</t>
        </is>
      </c>
    </row>
    <row r="87" ht="32" customHeight="1">
      <c r="A87" t="inlineStr">
        <is>
          <t>Computer &amp; Electronic Products</t>
        </is>
      </c>
      <c r="B87" s="123" t="n">
        <v>43739</v>
      </c>
      <c r="C87"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88" ht="32" customHeight="1" thickBot="1">
      <c r="A88" t="inlineStr">
        <is>
          <t>Computer &amp; Electronic Products</t>
        </is>
      </c>
      <c r="B88" s="123" t="n">
        <v>43709</v>
      </c>
      <c r="C88" t="inlineStr">
        <is>
          <t>“Second month in a row in which shipments have outpaced new orders.” (Computer &amp; Electronic Products)</t>
        </is>
      </c>
    </row>
    <row r="89" ht="32" customHeight="1">
      <c r="A89" t="inlineStr">
        <is>
          <t>Computer &amp; Electronic Products</t>
        </is>
      </c>
      <c r="B89" s="123" t="n">
        <v>43678</v>
      </c>
      <c r="C89"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90" ht="32" customHeight="1">
      <c r="A90" t="inlineStr">
        <is>
          <t>Computer &amp; Electronic Products</t>
        </is>
      </c>
      <c r="B90" s="123" t="n">
        <v>43617</v>
      </c>
      <c r="C90" t="inlineStr">
        <is>
          <t>“China tariffs continue to be a concern. The uncertainty of future tariffs involving China, Canada, and Mexico is also a concern. China tariffs for electronic parts are averaging 17 percent.” (Computer &amp; Electronic Products)</t>
        </is>
      </c>
    </row>
    <row r="91" ht="16" customHeight="1">
      <c r="A91" t="inlineStr">
        <is>
          <t>Computer &amp; Electronic Products</t>
        </is>
      </c>
      <c r="B91" s="123" t="n">
        <v>43586</v>
      </c>
      <c r="C91" t="inlineStr">
        <is>
          <t>“Ongoing tariffs [issue is] impacting costs and influencing supplier realignment on country of origin. Border issue is causing delays in imports from Mexico.” (Computer &amp; Electronic Products)</t>
        </is>
      </c>
    </row>
    <row r="92" ht="32" customHeight="1">
      <c r="A92" t="inlineStr">
        <is>
          <t>Computer &amp; Electronic Products</t>
        </is>
      </c>
      <c r="B92" s="123" t="n">
        <v>43556</v>
      </c>
      <c r="C92"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93" ht="16" customHeight="1">
      <c r="A93" t="inlineStr">
        <is>
          <t>Computer &amp; Electronic Products</t>
        </is>
      </c>
      <c r="B93" s="123" t="n">
        <v>43525</v>
      </c>
      <c r="C93" t="inlineStr">
        <is>
          <t>“The electronics industry seems to be slowly coming out of crisis mode. Lead times and costs have leveled out in some commodities, and dynamic random access memory (DRAM) prices are actually coming down.” (Computer &amp; Electronic Products)</t>
        </is>
      </c>
    </row>
    <row r="94" ht="16" customHeight="1">
      <c r="A94" t="inlineStr">
        <is>
          <t>Computer &amp; Electronic Products</t>
        </is>
      </c>
      <c r="B94" s="123" t="n">
        <v>43497</v>
      </c>
      <c r="C94"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95" ht="16" customHeight="1">
      <c r="A95" t="inlineStr">
        <is>
          <t>Computer &amp; Electronic Products</t>
        </is>
      </c>
      <c r="B95" s="123" t="n">
        <v>43466</v>
      </c>
      <c r="C95" t="inlineStr">
        <is>
          <t>“Steady supply and production environment.” (Computer &amp; Electronic Products)</t>
        </is>
      </c>
    </row>
    <row r="96" ht="16" customHeight="1">
      <c r="A96" t="inlineStr">
        <is>
          <t>Electrical Equipment, Appliances &amp; Components</t>
        </is>
      </c>
      <c r="B96" s="123" t="n">
        <v>44927</v>
      </c>
      <c r="C96" t="inlineStr">
        <is>
          <t>“Some business segments showing demand softening globally. Many materials showing improved lead times as well as cost deflation.”</t>
        </is>
      </c>
    </row>
    <row r="97" ht="16" customHeight="1">
      <c r="A97" t="inlineStr">
        <is>
          <t>Electrical Equipment, Appliances &amp; Components</t>
        </is>
      </c>
      <c r="B97" s="123" t="n">
        <v>44896</v>
      </c>
      <c r="C97" t="inlineStr">
        <is>
          <t>“New China technology trade restrictions have impacted our business and plans going forward.”</t>
        </is>
      </c>
    </row>
    <row r="98" ht="16" customHeight="1">
      <c r="A98" t="inlineStr">
        <is>
          <t>Electrical Equipment, Appliances &amp; Components</t>
        </is>
      </c>
      <c r="B98" s="123" t="n">
        <v>44866</v>
      </c>
      <c r="C98" t="inlineStr">
        <is>
          <t>“Overall, things are worsening. Housing starts are down. We’re doing well against our competitors, but the industry overall is down. We’re sitting on cash (that is) tied up in inventory.”</t>
        </is>
      </c>
    </row>
    <row r="99" ht="32" customHeight="1">
      <c r="A99" t="inlineStr">
        <is>
          <t>Electrical Equipment, Appliances &amp; Components</t>
        </is>
      </c>
      <c r="B99" s="123" t="n">
        <v>44835</v>
      </c>
      <c r="C99" t="inlineStr">
        <is>
          <t>“Housing market is down, so our business is affected. Capacity has increased over the last two years due to high orders of consumer goods and appliances, so now we’re trying promotions to get our orders up to where we can use all our capacity.”</t>
        </is>
      </c>
    </row>
    <row r="100" ht="32" customHeight="1">
      <c r="A100" t="inlineStr">
        <is>
          <t>Electrical Equipment, Appliances &amp; Components</t>
        </is>
      </c>
      <c r="B100" s="123" t="n">
        <v>44805</v>
      </c>
      <c r="C100" t="inlineStr">
        <is>
          <t>“Business continues to be strong. Some commodities within the supply chain are starting to stabilize, while others are still causing disruption for production. Electrical and wiring components continue to cause significant issues. (We) cannot run as consistently as we would like.”</t>
        </is>
      </c>
    </row>
    <row r="101" ht="16" customHeight="1">
      <c r="A101" t="inlineStr">
        <is>
          <t>Electrical Equipment, Appliances &amp; Components</t>
        </is>
      </c>
      <c r="B101" s="123" t="n">
        <v>44713</v>
      </c>
      <c r="C101" t="inlineStr">
        <is>
          <t>“Orders and production continue to be strong, but material availability is holding us back. Cannot run enough hours to eat into the backlog.”</t>
        </is>
      </c>
    </row>
    <row r="102" ht="16" customHeight="1">
      <c r="A102" t="inlineStr">
        <is>
          <t>Electrical Equipment, Appliances &amp; Components</t>
        </is>
      </c>
      <c r="B102" s="123" t="n">
        <v>44652</v>
      </c>
      <c r="C102" t="inlineStr">
        <is>
          <t>“Business is strong. Backlog continues to grow due to new orders and inconsistent supply chain conditions. Shortages of components are the main factor limiting our production.”</t>
        </is>
      </c>
    </row>
    <row r="103" ht="16" customHeight="1">
      <c r="A103" t="inlineStr">
        <is>
          <t>Electrical Equipment, Appliances &amp; Components</t>
        </is>
      </c>
      <c r="B103" s="123" t="n">
        <v>44593</v>
      </c>
      <c r="C103" t="inlineStr">
        <is>
          <t>“Demand continues to be strong, increasing our backlog. Production has been more consistent due to availability of parts, but we are not able to increase builds to cut into the backlog.”</t>
        </is>
      </c>
    </row>
    <row r="104" ht="16" customHeight="1">
      <c r="A104" t="inlineStr">
        <is>
          <t>Electrical Equipment, Appliances &amp; Components</t>
        </is>
      </c>
      <c r="B104" s="123" t="n">
        <v>44562</v>
      </c>
      <c r="C104" t="inlineStr">
        <is>
          <t>“Strong backlog of orders coming into the new year. Potential to beat target revenue, depending on availability of purchased product.”</t>
        </is>
      </c>
    </row>
    <row r="105" ht="16" customHeight="1">
      <c r="A105" t="inlineStr">
        <is>
          <t>Electrical Equipment, Appliances &amp; Components</t>
        </is>
      </c>
      <c r="B105" s="123" t="n">
        <v>44470</v>
      </c>
      <c r="C105" t="inlineStr">
        <is>
          <t>“Demand continues to be strong, but we continue to be held back by supply chain issues — logistics delays, as well as capacity and labor issues at suppliers.” [Electrical Equipment, Appliances &amp; Components]</t>
        </is>
      </c>
    </row>
    <row r="106" ht="16" customHeight="1">
      <c r="A106" t="inlineStr">
        <is>
          <t>Electrical Equipment, Appliances &amp; Components</t>
        </is>
      </c>
      <c r="B106" s="123" t="n">
        <v>44440</v>
      </c>
      <c r="C106"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107" ht="32" customHeight="1">
      <c r="A107" t="inlineStr">
        <is>
          <t>Electrical Equipment, Appliances &amp; Components</t>
        </is>
      </c>
      <c r="B107" s="123" t="n">
        <v>44409</v>
      </c>
      <c r="C107"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108" ht="16" customHeight="1">
      <c r="A108" t="inlineStr">
        <is>
          <t>Electrical Equipment, Appliances &amp; Components</t>
        </is>
      </c>
      <c r="B108" s="123" t="n">
        <v>44378</v>
      </c>
      <c r="C108"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109" ht="16" customHeight="1">
      <c r="A109" t="inlineStr">
        <is>
          <t>Electrical Equipment, Appliances &amp; Components</t>
        </is>
      </c>
      <c r="B109" s="123" t="n">
        <v>44348</v>
      </c>
      <c r="C109" t="inlineStr">
        <is>
          <t>“Higher prices, inflation and lack of available labor are impacting all organizations in our supply chain.” [Electrical Equipment, Appliances &amp; Components]</t>
        </is>
      </c>
    </row>
    <row r="110" ht="16" customHeight="1">
      <c r="A110" t="inlineStr">
        <is>
          <t>Electrical Equipment, Appliances &amp; Components</t>
        </is>
      </c>
      <c r="B110" s="123" t="n">
        <v>44317</v>
      </c>
      <c r="C110" t="inlineStr">
        <is>
          <t>“Labor shortages impacting internal and supplier production. Logistics performance is terrible.” [Electrical Equipment, Appliances &amp; Components]</t>
        </is>
      </c>
    </row>
    <row r="111" ht="16" customHeight="1">
      <c r="A111" t="inlineStr">
        <is>
          <t>Electrical Equipment, Appliances &amp; Components</t>
        </is>
      </c>
      <c r="B111" s="123" t="n">
        <v>44287</v>
      </c>
      <c r="C111" t="inlineStr">
        <is>
          <t>“It’s getting much more difficult to supply production with materials that are made with copper or steel. Lots of work on the floor, but I am worried about getting the materials to support.” (Electrical Equipment, Appliances &amp; Components)</t>
        </is>
      </c>
    </row>
    <row r="112" ht="16" customHeight="1">
      <c r="A112" t="inlineStr">
        <is>
          <t>Electrical Equipment, Appliances &amp; Components</t>
        </is>
      </c>
      <c r="B112" s="123" t="n">
        <v>44256</v>
      </c>
      <c r="C112" t="inlineStr">
        <is>
          <t>“Business is even stronger for us this year through the third quarter, and we expect a very healthy growth of our manufacturing sales.” (Electrical Equipment, Appliances &amp; Components)</t>
        </is>
      </c>
    </row>
    <row r="113" ht="16" customHeight="1">
      <c r="A113" t="inlineStr">
        <is>
          <t>Electrical Equipment, Appliances &amp; Components</t>
        </is>
      </c>
      <c r="B113" s="123" t="n">
        <v>44228</v>
      </c>
      <c r="C113" t="inlineStr">
        <is>
          <t>“Things are now out of control. Everything is a mess, and we are seeing wide-scale shortages.” (Electrical Equipment, Appliances &amp; Components)</t>
        </is>
      </c>
    </row>
    <row r="114" ht="32" customHeight="1">
      <c r="A114" t="inlineStr">
        <is>
          <t>Electrical Equipment, Appliances &amp; Components</t>
        </is>
      </c>
      <c r="B114" s="123" t="n">
        <v>44197</v>
      </c>
      <c r="C114"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115" ht="16" customHeight="1">
      <c r="A115" t="inlineStr">
        <is>
          <t>Electrical Equipment, Appliances &amp; Components</t>
        </is>
      </c>
      <c r="B115" s="123" t="n">
        <v>44166</v>
      </c>
      <c r="C115" t="inlineStr">
        <is>
          <t>“Business is stronger than expected, with higher demand for many products. Volatility continues due to the very persistent pandemic and associated risks.” (Electrical Equipment, Appliances &amp; Components)</t>
        </is>
      </c>
    </row>
    <row r="116" ht="17" customHeight="1">
      <c r="A116" t="inlineStr">
        <is>
          <t>Electrical Equipment, Appliances &amp; Components</t>
        </is>
      </c>
      <c r="B116" s="123" t="n">
        <v>44136</v>
      </c>
      <c r="C116" t="inlineStr">
        <is>
          <t>“We will finish out the fourth quarter very strong. Customers have increased demand and 2021 is expected to continue to grow.” (Fabricated Metal Products)</t>
        </is>
      </c>
    </row>
    <row r="117" ht="30" customHeight="1">
      <c r="A117" t="inlineStr">
        <is>
          <t>Electrical Equipment, Appliances &amp; Components</t>
        </is>
      </c>
      <c r="B117" s="123" t="n">
        <v>44105</v>
      </c>
      <c r="C117" t="inlineStr">
        <is>
          <t>“Continue to see increases in customer demand. We still are not back to pre-COVID-19 levels but are continually improving.” (Fabricated Metal Products)</t>
        </is>
      </c>
    </row>
    <row r="118" ht="32" customHeight="1">
      <c r="A118" t="inlineStr">
        <is>
          <t>Electrical Equipment, Appliances &amp; Components</t>
        </is>
      </c>
      <c r="B118" s="123" t="n">
        <v>44075</v>
      </c>
      <c r="C118"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119" ht="16" customHeight="1">
      <c r="A119" t="inlineStr">
        <is>
          <t>Electrical Equipment, Appliances &amp; Components</t>
        </is>
      </c>
      <c r="B119" s="123" t="n">
        <v>44044</v>
      </c>
      <c r="C119"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20" ht="16" customHeight="1" thickBot="1">
      <c r="A120" t="inlineStr">
        <is>
          <t>Electrical Equipment, Appliances &amp; Components</t>
        </is>
      </c>
      <c r="B120" s="123" t="n">
        <v>44013</v>
      </c>
      <c r="C120"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21" ht="32" customHeight="1">
      <c r="A121" t="inlineStr">
        <is>
          <t>Electrical Equipment, Appliances &amp; Components</t>
        </is>
      </c>
      <c r="B121" s="123" t="n">
        <v>43983</v>
      </c>
      <c r="C121" t="inlineStr">
        <is>
          <t>“Thankfully, we are in quite a few industries, so impact wasn't as harsh on us and more stable. However, during the last two weeks, our bookings have grown, and supply seems to be more readily available.” (Fabricated Metal Products)</t>
        </is>
      </c>
    </row>
    <row r="122" ht="16" customHeight="1">
      <c r="A122" t="inlineStr">
        <is>
          <t>Electrical Equipment, Appliances &amp; Components</t>
        </is>
      </c>
      <c r="B122" s="123" t="n">
        <v>43952</v>
      </c>
      <c r="C122" t="inlineStr">
        <is>
          <t>“Returning to full production for automotive, ramp-up will still depend on speed of automotive start-ups. We have built up inventory to stock. Ready to ship.” (Fabricated Metal Products)</t>
        </is>
      </c>
    </row>
    <row r="123" ht="16" customHeight="1">
      <c r="A123" t="inlineStr">
        <is>
          <t>Electrical Equipment, Appliances &amp; Components</t>
        </is>
      </c>
      <c r="B123" s="123" t="n">
        <v>43891</v>
      </c>
      <c r="C123" t="inlineStr">
        <is>
          <t>“COVID-19’s spread in the U.S. may start impacting our domestic business. As for Asian suppliers, they are starting to get back up to speed.” (Fabricated Metal Products)</t>
        </is>
      </c>
    </row>
    <row r="124" ht="32" customHeight="1">
      <c r="A124" t="inlineStr">
        <is>
          <t>Electrical Equipment, Appliances &amp; Components</t>
        </is>
      </c>
      <c r="B124" s="123" t="n">
        <v>43862</v>
      </c>
      <c r="C124" t="inlineStr">
        <is>
          <t>“Coronavirus continues to be front and center as a major supply chain risk to our company. Access to information in China — from our supply base and customers — is slow to come by.” (Fabricated Metal Products)</t>
        </is>
      </c>
    </row>
    <row r="125" ht="16" customHeight="1">
      <c r="A125" t="inlineStr">
        <is>
          <t>Electrical Equipment, Appliances &amp; Components</t>
        </is>
      </c>
      <c r="B125" s="123" t="n">
        <v>43831</v>
      </c>
      <c r="C125" t="inlineStr">
        <is>
          <t>"Our business is starting 2020 stronger than we finished 2019, as we saw a dramatic downturn in orders over the last four months of 2019. Orders are up to start the year, but slightly behind where they were one year ago." (Fabricated Metal Products)</t>
        </is>
      </c>
    </row>
    <row r="126" ht="32" customHeight="1">
      <c r="A126" t="inlineStr">
        <is>
          <t>Electrical Equipment, Appliances &amp; Components</t>
        </is>
      </c>
      <c r="B126" s="123" t="n">
        <v>43800</v>
      </c>
      <c r="C126" t="inlineStr">
        <is>
          <t>"Anticipated large export orders did not materialize. As a result, expected U.S. production has decreased." (Fabricated Metal Products)</t>
        </is>
      </c>
    </row>
    <row r="127" ht="32" customHeight="1">
      <c r="A127" t="inlineStr">
        <is>
          <t>Electrical Equipment, Appliances &amp; Components</t>
        </is>
      </c>
      <c r="B127" s="123" t="n">
        <v>43739</v>
      </c>
      <c r="C127" t="inlineStr">
        <is>
          <t>"The annual holiday slowdown was slightly more significant compared to the previous three years, heightening concerns over the 2020 first-quarter forecast." (Electrical Equipment, Appliances &amp; Components)</t>
        </is>
      </c>
    </row>
    <row r="128" ht="16" customHeight="1">
      <c r="A128" t="inlineStr">
        <is>
          <t>Electrical Equipment, Appliances &amp; Components</t>
        </is>
      </c>
      <c r="B128" s="123" t="n">
        <v>43709</v>
      </c>
      <c r="C128" t="inlineStr">
        <is>
          <t>“Economy seems to be softening. The tariffs have caused much confusion in the industry.” (Electrical Equipment, Appliances &amp; Components)</t>
        </is>
      </c>
    </row>
    <row r="129" ht="32" customHeight="1">
      <c r="A129" t="inlineStr">
        <is>
          <t>Electrical Equipment, Appliances &amp; Components</t>
        </is>
      </c>
      <c r="B129" s="123" t="n">
        <v>43678</v>
      </c>
      <c r="C129"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130" ht="32" customHeight="1">
      <c r="A130" t="inlineStr">
        <is>
          <t>Electrical Equipment, Appliances &amp; Components</t>
        </is>
      </c>
      <c r="B130" s="123" t="n">
        <v>43647</v>
      </c>
      <c r="C130" t="inlineStr">
        <is>
          <t>“General business trends are continuing to show signs of weakness resulting from tariffs and cost impacts of importing and exporting.” (Electrical Equipment, Appliances &amp; Components)</t>
        </is>
      </c>
    </row>
    <row r="131" ht="32" customHeight="1">
      <c r="A131" t="inlineStr">
        <is>
          <t>Electrical Equipment, Appliances &amp; Components</t>
        </is>
      </c>
      <c r="B131" s="123" t="n">
        <v>43617</v>
      </c>
      <c r="C131" t="inlineStr">
        <is>
          <t>“Tariffs continue to adversely impact decisions and forecasting. Our increasing fear is that current trends will weaken the global economy, influencing our ability to grow in 2020 and beyond.” (Fabricated Metal Products)</t>
        </is>
      </c>
    </row>
    <row r="132" ht="32" customHeight="1">
      <c r="A132" t="inlineStr">
        <is>
          <t>Electrical Equipment, Appliances &amp; Components</t>
        </is>
      </c>
      <c r="B132" s="123" t="n">
        <v>43556</v>
      </c>
      <c r="C132"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133" ht="16" customHeight="1">
      <c r="A133" t="inlineStr">
        <is>
          <t>Electrical Equipment, Appliances &amp; Components</t>
        </is>
      </c>
      <c r="B133" s="123" t="n">
        <v>43525</v>
      </c>
      <c r="C133"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34" ht="32" customHeight="1">
      <c r="A134" t="inlineStr">
        <is>
          <t>Electrical Equipment, Appliances &amp; Components</t>
        </is>
      </c>
      <c r="B134" s="123" t="n">
        <v>43497</v>
      </c>
      <c r="C134" t="inlineStr">
        <is>
          <t>“Business so far this year is meeting, but not exceeding, our forecast. We are concerned about indicators showing a slight recession for the second half of the calendar year.” (Fabricated Metal Products)</t>
        </is>
      </c>
    </row>
    <row r="135" ht="16" customHeight="1">
      <c r="A135" t="inlineStr">
        <is>
          <t>Electrical Equipment, Appliances &amp; Components</t>
        </is>
      </c>
      <c r="B135" s="123" t="n">
        <v>43466</v>
      </c>
      <c r="C135"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36" ht="16" customHeight="1">
      <c r="A136" t="inlineStr">
        <is>
          <t>Fabricated Metal Products</t>
        </is>
      </c>
      <c r="B136" s="123" t="n">
        <v>44927</v>
      </c>
      <c r="C136" t="inlineStr">
        <is>
          <t>“Thus far, the outlook for the first half of 2023 looks very soft. Demand for our products has taken a sharp downward turn. Our inventories are high, as well as our customers’. It seems everyone is bracing for a recession.”</t>
        </is>
      </c>
    </row>
    <row r="137" ht="16" customHeight="1">
      <c r="A137" t="inlineStr">
        <is>
          <t>Fabricated Metal Products</t>
        </is>
      </c>
      <c r="B137" s="123" t="n">
        <v>44896</v>
      </c>
      <c r="C137" t="inlineStr">
        <is>
          <t>“Business is slowing down and forecast to decrease by the end of the first quarter or second quarter.”</t>
        </is>
      </c>
    </row>
    <row r="138" ht="16" customHeight="1">
      <c r="A138" t="inlineStr">
        <is>
          <t>Fabricated Metal Products</t>
        </is>
      </c>
      <c r="B138" s="123" t="n">
        <v>44835</v>
      </c>
      <c r="C138" t="inlineStr">
        <is>
          <t>“Customer demand has been slower for two months. Production is decreasing our inventory and (we are) implementing forecasts carefully. The headwind seems to be very strong, so we need to be prepared for that.”</t>
        </is>
      </c>
    </row>
    <row r="139" ht="16" customHeight="1">
      <c r="A139" t="inlineStr">
        <is>
          <t>Fabricated Metal Products</t>
        </is>
      </c>
      <c r="B139" s="123" t="n">
        <v>44805</v>
      </c>
      <c r="C139" t="inlineStr">
        <is>
          <t>“Business is flat to down due to inflation and interest rates. Hard to find and keep employees due to wage increases by competitors.”</t>
        </is>
      </c>
    </row>
    <row r="140" ht="16" customHeight="1">
      <c r="A140" t="inlineStr">
        <is>
          <t>Fabricated Metal Products</t>
        </is>
      </c>
      <c r="B140" s="123" t="n">
        <v>44743</v>
      </c>
      <c r="C140" t="inlineStr">
        <is>
          <t>“Our markets are still holding up; however, I believe a slowdown is coming. We are cautious about going out too far with orders. Also, I believe the general market is in the beginnings of a recession.”</t>
        </is>
      </c>
    </row>
    <row r="141" ht="16" customHeight="1">
      <c r="A141" t="inlineStr">
        <is>
          <t>Fabricated Metal Products</t>
        </is>
      </c>
      <c r="B141" s="123" t="n">
        <v>44713</v>
      </c>
      <c r="C141" t="inlineStr">
        <is>
          <t>“Business is still steady. Some customers are pushing orders out because they have too much inventory. We are able to backfill the pushed orders from customers that want theirs earlier, so we aren’t losing capacity.”</t>
        </is>
      </c>
    </row>
    <row r="142" ht="32" customHeight="1">
      <c r="A142" t="inlineStr">
        <is>
          <t>Fabricated Metal Products</t>
        </is>
      </c>
      <c r="B142" s="123" t="n">
        <v>44682</v>
      </c>
      <c r="C142" t="inlineStr">
        <is>
          <t>“Shanghai has been shut down since mid-March. All of the (population) is in lockdown, with no production or port activities. Steel remains in allocation. Electronics lead times are more than 12 months.”</t>
        </is>
      </c>
    </row>
    <row r="143" ht="16" customHeight="1">
      <c r="A143" t="inlineStr">
        <is>
          <t>Fabricated Metal Products</t>
        </is>
      </c>
      <c r="B143" s="123" t="n">
        <v>44652</v>
      </c>
      <c r="C143" t="inlineStr">
        <is>
          <t>“Due to electronic component supply chain issues, production output has been lower than normal. Backlog is growing due to the supply chain issues. New order sales are steady, except international orders are lower.”</t>
        </is>
      </c>
    </row>
    <row r="144" ht="16" customHeight="1">
      <c r="A144" t="inlineStr">
        <is>
          <t>Fabricated Metal Products</t>
        </is>
      </c>
      <c r="B144" s="123" t="n">
        <v>44621</v>
      </c>
      <c r="C144" t="inlineStr">
        <is>
          <t>“Backlog continues to be strong as we ship delinquent orders resulting from COVID-19 slowdowns.”</t>
        </is>
      </c>
    </row>
    <row r="145" ht="16" customHeight="1">
      <c r="A145" t="inlineStr">
        <is>
          <t>Fabricated Metal Products</t>
        </is>
      </c>
      <c r="B145" s="123" t="n">
        <v>44593</v>
      </c>
      <c r="C145" t="inlineStr">
        <is>
          <t>“Demand for steel products has increased to historic levels, driven by the automotive and energy industries.”</t>
        </is>
      </c>
    </row>
    <row r="146" ht="16" customHeight="1">
      <c r="A146" t="inlineStr">
        <is>
          <t>Fabricated Metal Products</t>
        </is>
      </c>
      <c r="B146" s="123" t="n">
        <v>44562</v>
      </c>
      <c r="C146" t="inlineStr">
        <is>
          <t>“Lack of skilled production personnel, either from missing work due to (COVID-19) variants or leaving for better opportunities, making it more difficult to complete work. Working off a backlog.”</t>
        </is>
      </c>
    </row>
    <row r="147" ht="32" customHeight="1">
      <c r="A147" t="inlineStr">
        <is>
          <t>Fabricated Metal Products</t>
        </is>
      </c>
      <c r="B147" s="123" t="n">
        <v>44531</v>
      </c>
      <c r="C147" t="inlineStr">
        <is>
          <t>“Price increases appear to be slowing. Lead times are shrinking slowly, and inventories are growing. I hope we have reached the top of the hill to start down a gentle slope that lets us get back to something that resembles normal.”</t>
        </is>
      </c>
    </row>
    <row r="148" ht="17" customHeight="1">
      <c r="A148" t="inlineStr">
        <is>
          <t>Food, Beverage &amp; Tobacco Products</t>
        </is>
      </c>
      <c r="B148" s="123" t="n">
        <v>44927</v>
      </c>
      <c r="C148" t="inlineStr">
        <is>
          <t>“Sales have dropped (as expected) at the beginning of the year. Forecast from the sales department is showing even lower sales then we expected. If this holds true, inventory levels will rise slightly over next month and a half.”</t>
        </is>
      </c>
    </row>
    <row r="149" ht="30" customHeight="1">
      <c r="A149" t="inlineStr">
        <is>
          <t>Food, Beverage &amp; Tobacco Products</t>
        </is>
      </c>
      <c r="B149" s="123" t="n">
        <v>44896</v>
      </c>
      <c r="C149" t="inlineStr">
        <is>
          <t>“Lead times are returning to normal for most of our suppliers, while some of our smaller suppliers are struggling to remain staffed up enough to keep up with orders.”</t>
        </is>
      </c>
    </row>
    <row r="150" ht="32" customHeight="1">
      <c r="A150" t="inlineStr">
        <is>
          <t>Food, Beverage &amp; Tobacco Products</t>
        </is>
      </c>
      <c r="B150" s="123" t="n">
        <v>44866</v>
      </c>
      <c r="C150" t="inlineStr">
        <is>
          <t>“Consumer goods are slowing down in several of our markets, although the U.S. economy seems decent. Cannot say the same for the European economy.”</t>
        </is>
      </c>
    </row>
    <row r="151" ht="16" customHeight="1">
      <c r="A151" t="inlineStr">
        <is>
          <t>Food, Beverage &amp; Tobacco Products</t>
        </is>
      </c>
      <c r="B151" s="123" t="n">
        <v>44835</v>
      </c>
      <c r="C151" t="inlineStr">
        <is>
          <t>“Growing threat of recession is making many customers slow orders substantially. Additionally, global uncertainty about the Russia-Ukraine (war) is influencing global commodity markets.”</t>
        </is>
      </c>
    </row>
    <row r="152" ht="32" customHeight="1">
      <c r="A152" t="inlineStr">
        <is>
          <t>Food, Beverage &amp; Tobacco Products</t>
        </is>
      </c>
      <c r="B152" s="123" t="n">
        <v>44805</v>
      </c>
      <c r="C152" t="inlineStr">
        <is>
          <t>“Almost all suppliers are experiencing lead times growth. It seems no one wants to keep inventory on hand anymore.”</t>
        </is>
      </c>
    </row>
    <row r="153" ht="16" customHeight="1" thickBot="1">
      <c r="A153" t="inlineStr">
        <is>
          <t>Food, Beverage &amp; Tobacco Products</t>
        </is>
      </c>
      <c r="B153" s="123" t="n">
        <v>44774</v>
      </c>
      <c r="C153" t="inlineStr">
        <is>
          <t>“Inventories are far too high, and we are on pins and needles to see how quickly and at what magnitude our busy season begins. We will start seeing that in the next few weeks.”</t>
        </is>
      </c>
    </row>
    <row r="154" ht="16" customHeight="1">
      <c r="A154" t="inlineStr">
        <is>
          <t>Food, Beverage &amp; Tobacco Products</t>
        </is>
      </c>
      <c r="B154" s="123" t="n">
        <v>44743</v>
      </c>
      <c r="C154" t="inlineStr">
        <is>
          <t>“Growing inflation is pushing a stronger narrative around pending recession concerns. Many customers appear to be pulling back on orders in an effort to reduce inventories.”</t>
        </is>
      </c>
    </row>
    <row r="155" ht="16" customHeight="1">
      <c r="A155" t="inlineStr">
        <is>
          <t>Food, Beverage &amp; Tobacco Products</t>
        </is>
      </c>
      <c r="B155" s="123" t="n">
        <v>44713</v>
      </c>
      <c r="C155" t="inlineStr">
        <is>
          <t>“Business is slower than expected in volume, but revenue is on pace with our budget. Ocean freight costs are finally beginning to fall a bit. We are already receiving large orders for the fall, which is encouraging.”</t>
        </is>
      </c>
    </row>
    <row r="156" ht="16" customHeight="1">
      <c r="A156" t="inlineStr">
        <is>
          <t>Food, Beverage &amp; Tobacco Products</t>
        </is>
      </c>
      <c r="B156" s="123" t="n">
        <v>44682</v>
      </c>
      <c r="C156" t="inlineStr">
        <is>
          <t>“Input costs, particularly grain, oil, dairy and protein, are rising faster than can be passed along at retail and food service, with no relief in sight.”</t>
        </is>
      </c>
    </row>
    <row r="157" ht="32" customHeight="1">
      <c r="A157" t="inlineStr">
        <is>
          <t>Food, Beverage &amp; Tobacco Products</t>
        </is>
      </c>
      <c r="B157" s="123" t="n">
        <v>44652</v>
      </c>
      <c r="C157" t="inlineStr">
        <is>
          <t>“Supply chain is still constrained, and prices continue to rise. We are focusing on ways to stay profitable while continuing to fill customer orders. Relationship management and strong negotiation skills are extremely important right now.”</t>
        </is>
      </c>
    </row>
    <row r="158" ht="16" customHeight="1">
      <c r="A158" t="inlineStr">
        <is>
          <t>Food, Beverage &amp; Tobacco Products</t>
        </is>
      </c>
      <c r="B158" s="123" t="n">
        <v>44621</v>
      </c>
      <c r="C158" t="inlineStr">
        <is>
          <t>“Overall business conditions are challenging in both domestic and international transportation. The Russian invasion of Ukraine has created uncertainty in the grain markets, causing upward pricing pressure. In addition, inflationary pressures across all categories have made it challenging to manage cost and profitability.”</t>
        </is>
      </c>
    </row>
    <row r="159" ht="16" customHeight="1">
      <c r="A159" t="inlineStr">
        <is>
          <t>Food, Beverage &amp; Tobacco Products</t>
        </is>
      </c>
      <c r="B159" s="123" t="n">
        <v>44593</v>
      </c>
      <c r="C159" t="inlineStr">
        <is>
          <t>“Strong demand has continued beyond our traditional seasonality curves. Coupled with the continuing difficulties in procurement of ocean freight, operational planning and managing costs are our biggest challenges.”</t>
        </is>
      </c>
    </row>
    <row r="160" ht="16" customHeight="1">
      <c r="A160" t="inlineStr">
        <is>
          <t>Food, Beverage &amp; Tobacco Products</t>
        </is>
      </c>
      <c r="B160" s="123" t="n">
        <v>44562</v>
      </c>
      <c r="C160" t="inlineStr">
        <is>
          <t>“Our suppliers are having difficulty meeting scheduled releases as their suppliers experience delays and shortages, so lead times and inventories are struggling, resulting in lost production.”</t>
        </is>
      </c>
    </row>
    <row r="161" ht="16" customHeight="1">
      <c r="A161" t="inlineStr">
        <is>
          <t>Food, Beverage &amp; Tobacco Products</t>
        </is>
      </c>
      <c r="B161" s="123" t="n">
        <v>44531</v>
      </c>
      <c r="C161" t="inlineStr">
        <is>
          <t>“Labor is still tight, and turnover continues. Supply chain issues are is still causing customer order cuts. Trucks are scarce, and the teams are burned out from working long hours and dealing with supply constraints daily.”</t>
        </is>
      </c>
    </row>
    <row r="162" ht="16" customHeight="1">
      <c r="A162" t="inlineStr">
        <is>
          <t>Food, Beverage &amp; Tobacco Products</t>
        </is>
      </c>
      <c r="B162" s="123" t="n">
        <v>44470</v>
      </c>
      <c r="C162" t="inlineStr">
        <is>
          <t>“Import costs and delays hurting business, requiring more safety stock for uncertainty. Rolling blackouts in China starting to hurt shipments even more.” [Food, Beverage &amp; Tobacco Products]</t>
        </is>
      </c>
    </row>
    <row r="163" ht="16" customHeight="1">
      <c r="A163" t="inlineStr">
        <is>
          <t>Food, Beverage &amp; Tobacco Products</t>
        </is>
      </c>
      <c r="B163" s="123" t="n">
        <v>44440</v>
      </c>
      <c r="C163" t="inlineStr">
        <is>
          <t>“Lack of labor and escalating costs from every direction are very concerning.” [Food, Beverage &amp; Tobacco Products]</t>
        </is>
      </c>
    </row>
    <row r="164" ht="16" customHeight="1">
      <c r="A164" t="inlineStr">
        <is>
          <t>Food, Beverage &amp; Tobacco Products</t>
        </is>
      </c>
      <c r="B164" s="123" t="n">
        <v>44409</v>
      </c>
      <c r="C164"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65" ht="16" customHeight="1">
      <c r="A165" t="inlineStr">
        <is>
          <t>Food, Beverage &amp; Tobacco Products</t>
        </is>
      </c>
      <c r="B165" s="123" t="n">
        <v>44378</v>
      </c>
      <c r="C165" t="inlineStr">
        <is>
          <t>Still dealing with price increases from force majeure issues as well as overseas shipping premiums and higher costs of items like fuel. Customer demand still high; pushing plant to max production rates. [Food, Beverage &amp; Tobacco Products]</t>
        </is>
      </c>
    </row>
    <row r="166" ht="16" customHeight="1">
      <c r="A166" t="inlineStr">
        <is>
          <t>Food, Beverage &amp; Tobacco Products</t>
        </is>
      </c>
      <c r="B166" s="123" t="n">
        <v>44348</v>
      </c>
      <c r="C166" t="inlineStr">
        <is>
          <t>“Poultry markets are higher, as demand for chicken has been very strong. Higher costs are starting to be passed along to customers.” [Food, Beverage &amp; Tobacco Products]</t>
        </is>
      </c>
    </row>
    <row r="167" ht="16" customHeight="1">
      <c r="A167" t="inlineStr">
        <is>
          <t>Food, Beverage &amp; Tobacco Products</t>
        </is>
      </c>
      <c r="B167" s="123" t="n">
        <v>44317</v>
      </c>
      <c r="C167"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68" ht="17" customHeight="1">
      <c r="A168" t="inlineStr">
        <is>
          <t>Food, Beverage &amp; Tobacco Products</t>
        </is>
      </c>
      <c r="B168" s="123" t="n">
        <v>44287</v>
      </c>
      <c r="C168" t="inlineStr">
        <is>
          <t>“Business is picking up as restaurants open.” (Food, Beverage &amp; Tobacco Products)</t>
        </is>
      </c>
    </row>
    <row r="169" ht="48" customHeight="1">
      <c r="A169" t="inlineStr">
        <is>
          <t>Food, Beverage &amp; Tobacco Products</t>
        </is>
      </c>
      <c r="B169" s="123" t="n">
        <v>44256</v>
      </c>
      <c r="C169" t="inlineStr">
        <is>
          <t>“Winter Storm Uri has made daily life in supply chain quite a challenge. Everything from plastic substrates to adhesives have been significantly impacted by the production interruptions.” (Food, Beverage &amp; Tobacco Products)</t>
        </is>
      </c>
    </row>
    <row r="170" ht="32" customHeight="1">
      <c r="A170" t="inlineStr">
        <is>
          <t>Food, Beverage &amp; Tobacco Products</t>
        </is>
      </c>
      <c r="B170" s="123" t="n">
        <v>44228</v>
      </c>
      <c r="C170"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71" ht="16" customHeight="1">
      <c r="A171" t="inlineStr">
        <is>
          <t>Food, Beverage &amp; Tobacco Products</t>
        </is>
      </c>
      <c r="B171" s="123" t="n">
        <v>44197</v>
      </c>
      <c r="C171" t="inlineStr">
        <is>
          <t>“Labor continues to be one of our largest challenges.” (Food, Beverage &amp; Tobacco Products)</t>
        </is>
      </c>
    </row>
    <row r="172" ht="16" customHeight="1">
      <c r="A172" t="inlineStr">
        <is>
          <t>Food, Beverage &amp; Tobacco Products</t>
        </is>
      </c>
      <c r="B172" s="123" t="n">
        <v>44166</v>
      </c>
      <c r="C172"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73" ht="16" customHeight="1">
      <c r="A173" t="inlineStr">
        <is>
          <t>Food, Beverage &amp; Tobacco Products</t>
        </is>
      </c>
      <c r="B173" s="123" t="n">
        <v>44136</v>
      </c>
      <c r="C173"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74" ht="16" customHeight="1" thickBot="1">
      <c r="A174" t="inlineStr">
        <is>
          <t>Food, Beverage &amp; Tobacco Products</t>
        </is>
      </c>
      <c r="B174" s="123" t="n">
        <v>44105</v>
      </c>
      <c r="C174" t="inlineStr">
        <is>
          <t>“Increased production due to stores stocking up for the second wave of COVID-19.” (Food, Beverage &amp; Tobacco Products)</t>
        </is>
      </c>
    </row>
    <row r="175" ht="16" customHeight="1">
      <c r="A175" t="inlineStr">
        <is>
          <t>Food, Beverage &amp; Tobacco Products</t>
        </is>
      </c>
      <c r="B175" s="123" t="n">
        <v>44075</v>
      </c>
      <c r="C175"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76" ht="32" customHeight="1">
      <c r="A176" t="inlineStr">
        <is>
          <t>Food, Beverage &amp; Tobacco Products</t>
        </is>
      </c>
      <c r="B176" s="123" t="n">
        <v>44044</v>
      </c>
      <c r="C176"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77" ht="16" customHeight="1">
      <c r="A177" t="inlineStr">
        <is>
          <t>Food, Beverage &amp; Tobacco Products</t>
        </is>
      </c>
      <c r="B177" s="123" t="n">
        <v>44013</v>
      </c>
      <c r="C177"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78" ht="32" customHeight="1">
      <c r="A178" t="inlineStr">
        <is>
          <t>Food, Beverage &amp; Tobacco Products</t>
        </is>
      </c>
      <c r="B178" s="123" t="n">
        <v>43983</v>
      </c>
      <c r="C178"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79" ht="16" customHeight="1">
      <c r="A179" t="inlineStr">
        <is>
          <t>Food, Beverage &amp; Tobacco Products</t>
        </is>
      </c>
      <c r="B179" s="123" t="n">
        <v>43952</v>
      </c>
      <c r="C179" t="inlineStr">
        <is>
          <t>"Increased COVID-19 sales in the food business has really stressed our production capabilities.” (Food, Beverage &amp; Tobacco Products)</t>
        </is>
      </c>
    </row>
    <row r="180" ht="16" customHeight="1">
      <c r="A180" t="inlineStr">
        <is>
          <t>Food, Beverage &amp; Tobacco Products</t>
        </is>
      </c>
      <c r="B180" s="123" t="n">
        <v>43922</v>
      </c>
      <c r="C180"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81" ht="16" customHeight="1">
      <c r="A181" t="inlineStr">
        <is>
          <t>Food, Beverage &amp; Tobacco Products</t>
        </is>
      </c>
      <c r="B181" s="123" t="n">
        <v>43891</v>
      </c>
      <c r="C181" t="inlineStr">
        <is>
          <t>“We are experiencing a record number of orders due to COVID-19.” (Food, Beverage &amp; Tobacco Products)</t>
        </is>
      </c>
    </row>
    <row r="182" ht="16" customHeight="1">
      <c r="A182" t="inlineStr">
        <is>
          <t>Food, Beverage &amp; Tobacco Products</t>
        </is>
      </c>
      <c r="B182" s="123" t="n">
        <v>43862</v>
      </c>
      <c r="C182" t="inlineStr">
        <is>
          <t>“Coronavirus and its impact on the supply chain: We will see some softness in demand, but also [experience] havoc on items sourced from China that may cause significant delays to production.” (Food, Beverage &amp; Tobacco Products)</t>
        </is>
      </c>
    </row>
    <row r="183" ht="16" customHeight="1">
      <c r="A183" t="inlineStr">
        <is>
          <t>Food, Beverage &amp; Tobacco Products</t>
        </is>
      </c>
      <c r="B183" s="123" t="n">
        <v>43831</v>
      </c>
      <c r="C183" t="inlineStr">
        <is>
          <t>"Demand for prepared frozen food continues to be strong, but margins compressing as inputs rise with price elasticity preventing accompanying increases." (Food, Beverage &amp; Tobacco Products)</t>
        </is>
      </c>
    </row>
    <row r="184" ht="16" customHeight="1">
      <c r="A184" t="inlineStr">
        <is>
          <t>Food, Beverage &amp; Tobacco Products</t>
        </is>
      </c>
      <c r="B184" s="123" t="n">
        <v>43800</v>
      </c>
      <c r="C184" t="inlineStr">
        <is>
          <t>"Starting to see suppliers try to pass on costs associated with tariffs. Uncertainty on the trade front continues to keep agricultural markets on the defensive." (Food, Beverage &amp; Tobacco Products)</t>
        </is>
      </c>
    </row>
    <row r="185" ht="16" customHeight="1">
      <c r="A185" t="inlineStr">
        <is>
          <t>Food, Beverage &amp; Tobacco Products</t>
        </is>
      </c>
      <c r="B185" s="123" t="n">
        <v>43739</v>
      </c>
      <c r="C185" t="inlineStr">
        <is>
          <t>“Economy is showing slight signs of weakening. The same business headwinds on trade, tariffs, and currency uncertainty are making the environment challenging.” (Food, Beverage &amp; Tobacco Products)</t>
        </is>
      </c>
    </row>
    <row r="186" ht="32" customHeight="1">
      <c r="A186" t="inlineStr">
        <is>
          <t>Food, Beverage &amp; Tobacco Products</t>
        </is>
      </c>
      <c r="B186" s="123" t="n">
        <v>43709</v>
      </c>
      <c r="C186" t="inlineStr">
        <is>
          <t>“Chinese tariffs going up are hurting our business. Most of the materials are not made in the U.S. and made only in China.” (Food, Beverage &amp; Tobacco Products)</t>
        </is>
      </c>
    </row>
    <row r="187" ht="16" customHeight="1">
      <c r="A187" t="inlineStr">
        <is>
          <t>Food, Beverage &amp; Tobacco Products</t>
        </is>
      </c>
      <c r="B187" s="123" t="n">
        <v>43678</v>
      </c>
      <c r="C187" t="inlineStr">
        <is>
          <t>"Late planting of the corn and soybean crops has increased uncertainty over the final acres and yields. This is leading to volatile markets." (Food, Beverage &amp; Tobacco Products)</t>
        </is>
      </c>
    </row>
    <row r="188" ht="16" customHeight="1">
      <c r="A188" t="inlineStr">
        <is>
          <t>Food, Beverage &amp; Tobacco Products</t>
        </is>
      </c>
      <c r="B188" s="123" t="n">
        <v>43647</v>
      </c>
      <c r="C188"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89" ht="16" customHeight="1">
      <c r="A189" t="inlineStr">
        <is>
          <t>Food, Beverage &amp; Tobacco Products</t>
        </is>
      </c>
      <c r="B189" s="123" t="n">
        <v>43617</v>
      </c>
      <c r="C189" t="inlineStr">
        <is>
          <t>“Global demand remains very strong. [We] shifted shipments to China from our U.S. plants to our Canadian and European plants because of tariffs.” (Food, Beverage &amp; Tobacco Products)</t>
        </is>
      </c>
    </row>
    <row r="190" ht="16" customHeight="1">
      <c r="A190" t="inlineStr">
        <is>
          <t>Food, Beverage &amp; Tobacco Products</t>
        </is>
      </c>
      <c r="B190" s="123" t="n">
        <v>43586</v>
      </c>
      <c r="C190" t="inlineStr">
        <is>
          <t>"Sales remain strong. Labor remains tight. Tariffs are having a significant impact on cost of goods. No impact on where we buy our goods." (Food, Beverage &amp; Tobacco Products)</t>
        </is>
      </c>
    </row>
    <row r="191" ht="16" customHeight="1">
      <c r="A191" t="inlineStr">
        <is>
          <t>Food, Beverage &amp; Tobacco Products</t>
        </is>
      </c>
      <c r="B191" s="123" t="n">
        <v>43556</v>
      </c>
      <c r="C191" t="inlineStr">
        <is>
          <t>"Economy is holding steady, and so are prices. Supply availability is generally OK, yet risk remains in chemicals and some longer lead-time packaging." (Food, Beverage &amp; Tobacco Products)</t>
        </is>
      </c>
    </row>
    <row r="192" ht="16" customHeight="1">
      <c r="A192" t="inlineStr">
        <is>
          <t>Food, Beverage &amp; Tobacco Products</t>
        </is>
      </c>
      <c r="B192" s="123" t="n">
        <v>43525</v>
      </c>
      <c r="C192" t="inlineStr">
        <is>
          <t>“Strong customer orders continue.” (Food, Beverage &amp; Tobacco Products)</t>
        </is>
      </c>
    </row>
    <row r="193" ht="16" customHeight="1">
      <c r="A193" t="inlineStr">
        <is>
          <t>Food, Beverage &amp; Tobacco Products</t>
        </is>
      </c>
      <c r="B193" s="123" t="n">
        <v>43466</v>
      </c>
      <c r="C193" t="inlineStr">
        <is>
          <t>“Economy showing general strength, especially in manufacturing. Cost pressures and tariff challenges persist but are manageable. General outlook is for stability and potential improvement in the second half of 2019.” (Food, Beverage &amp; Tobacco Products)</t>
        </is>
      </c>
    </row>
    <row r="194" ht="16" customHeight="1">
      <c r="A194" t="inlineStr">
        <is>
          <t>Furniture &amp; Related Products</t>
        </is>
      </c>
      <c r="B194" s="123" t="n">
        <v>44621</v>
      </c>
      <c r="C194" t="inlineStr">
        <is>
          <t>“Business continues to be strong, with incoming sales higher but still combating labor and material issues like availability and inflation. Still determining impact of the Russian invasion of Ukraine.”</t>
        </is>
      </c>
    </row>
    <row r="195" ht="32" customHeight="1">
      <c r="A195" t="inlineStr">
        <is>
          <t>Furniture &amp; Related Products</t>
        </is>
      </c>
      <c r="B195" s="123" t="n">
        <v>44562</v>
      </c>
      <c r="C195" t="inlineStr">
        <is>
          <t>“Bookings continue to increase as we are still dealing with a shortage of labor and supply chain issues.”</t>
        </is>
      </c>
    </row>
    <row r="196" ht="32" customHeight="1">
      <c r="A196" t="inlineStr">
        <is>
          <t>Furniture &amp; Related Products</t>
        </is>
      </c>
      <c r="B196" s="123" t="n">
        <v>44531</v>
      </c>
      <c r="C196" t="inlineStr">
        <is>
          <t>“Business continues to be good, with strong incoming orders from customers. Continue to battle labor, material and transportation pressures.”</t>
        </is>
      </c>
    </row>
    <row r="197" ht="16" customHeight="1">
      <c r="A197" t="inlineStr">
        <is>
          <t>Furniture &amp; Related Products</t>
        </is>
      </c>
      <c r="B197" s="123" t="n">
        <v>44470</v>
      </c>
      <c r="C197" t="inlineStr">
        <is>
          <t>“Business remains strong, with brisk incoming orders. We have become much more supply driven versus demand driven, due to shortages of labor, materials and freight. Costs continue to increase on all fronts, and we are considering our third price increase of the year for our customers.” [Furniture &amp; Related Products]</t>
        </is>
      </c>
    </row>
    <row r="198" ht="16" customHeight="1">
      <c r="A198" t="inlineStr">
        <is>
          <t>Furniture &amp; Related Products</t>
        </is>
      </c>
      <c r="B198" s="123" t="n">
        <v>44440</v>
      </c>
      <c r="C198" t="inlineStr">
        <is>
          <t>“Ocean freight delays creating disruptions in many areas. Southeast Asia supply continues to be challenged due to COVID-19 outbreaks.” [Furniture &amp; Related Products]</t>
        </is>
      </c>
    </row>
    <row r="199" ht="17" customHeight="1">
      <c r="A199" t="inlineStr">
        <is>
          <t>Furniture &amp; Related Products</t>
        </is>
      </c>
      <c r="B199" s="123" t="n">
        <v>44409</v>
      </c>
      <c r="C199"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200" ht="30" customHeight="1">
      <c r="A200" t="inlineStr">
        <is>
          <t>Furniture &amp; Related Products</t>
        </is>
      </c>
      <c r="B200" s="123" t="n">
        <v>44378</v>
      </c>
      <c r="C200" t="inlineStr">
        <is>
          <t>Incoming bookings continue to be strong, and economy continues to return. Still struggling with inflation and availability (of materials, labor and freight). [Furniture &amp; Related Products]</t>
        </is>
      </c>
    </row>
    <row r="201" ht="32" customHeight="1">
      <c r="A201" t="inlineStr">
        <is>
          <t>Furniture &amp; Related Products</t>
        </is>
      </c>
      <c r="B201" s="123" t="n">
        <v>44348</v>
      </c>
      <c r="C201"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202" ht="16" customHeight="1">
      <c r="A202" t="inlineStr">
        <is>
          <t>Furniture &amp; Related Products</t>
        </is>
      </c>
      <c r="B202" s="123" t="n">
        <v>44317</v>
      </c>
      <c r="C202" t="inlineStr">
        <is>
          <t>“Business is good, but labor and raw materials are becoming very problematic, driving increases in costs.” [Furniture &amp; Related Products]</t>
        </is>
      </c>
    </row>
    <row r="203" ht="16" customHeight="1">
      <c r="A203" t="inlineStr">
        <is>
          <t>Furniture &amp; Related Products</t>
        </is>
      </c>
      <c r="B203" s="123" t="n">
        <v>44287</v>
      </c>
      <c r="C203" t="inlineStr">
        <is>
          <t>“Market capacity in most areas is oversold, with no realistic improvement on the horizon. In fact, it appears that demand will continue to strengthen, leading to more significant disruptions.” (Furniture &amp; Related Products)</t>
        </is>
      </c>
    </row>
    <row r="204" ht="32" customHeight="1">
      <c r="A204" t="inlineStr">
        <is>
          <t>Furniture &amp; Related Products</t>
        </is>
      </c>
      <c r="B204" s="123" t="n">
        <v>44256</v>
      </c>
      <c r="C204" t="inlineStr">
        <is>
          <t>“Business bottomed out in February; we are expecting steady improvement through the end of the year. Inflation and material availability, along with logistics, are major concerns.” (Furniture &amp; Related Products)</t>
        </is>
      </c>
    </row>
    <row r="205" ht="16" customHeight="1">
      <c r="A205" t="inlineStr">
        <is>
          <t>Furniture &amp; Related Products</t>
        </is>
      </c>
      <c r="B205" s="123" t="n">
        <v>44136</v>
      </c>
      <c r="C205" t="inlineStr">
        <is>
          <t>“Sales have been steady, but down 30 percent year over year. Work hours for production are going up, but still have several on lay-off. Starting to see some inflationary pressure on materials.” (Furniture &amp; Related Products)</t>
        </is>
      </c>
    </row>
    <row r="206" ht="16" customHeight="1" thickBot="1">
      <c r="A206" t="inlineStr">
        <is>
          <t>Furniture &amp; Related Products</t>
        </is>
      </c>
      <c r="B206" s="123" t="n">
        <v>44105</v>
      </c>
      <c r="C206"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207" ht="16" customHeight="1">
      <c r="A207" t="inlineStr">
        <is>
          <t>Furniture &amp; Related Products</t>
        </is>
      </c>
      <c r="B207" s="123" t="n">
        <v>44013</v>
      </c>
      <c r="C207" t="inlineStr">
        <is>
          <t>“Incoming orders are slow. This is usually our busiest time of the year, but production is reduced due to lack of demand. Additional layoffs expected.” (Furniture &amp; Related Products)</t>
        </is>
      </c>
    </row>
    <row r="208" ht="16" customHeight="1">
      <c r="A208" t="inlineStr">
        <is>
          <t>Furniture &amp; Related Products</t>
        </is>
      </c>
      <c r="B208" s="123" t="n">
        <v>43922</v>
      </c>
      <c r="C208" t="inlineStr">
        <is>
          <t>“Dealing with the effects of coronavirus and having 65 percent of our operations down.” (Furniture &amp; Related Products)</t>
        </is>
      </c>
    </row>
    <row r="209" ht="16" customHeight="1">
      <c r="A209" t="inlineStr">
        <is>
          <t>Furniture &amp; Related Products</t>
        </is>
      </c>
      <c r="B209" s="123" t="n">
        <v>43891</v>
      </c>
      <c r="C209" t="inlineStr">
        <is>
          <t>“Volumes are down 4.3 percent, and some areas of the supply chain are being affected by the coronavirus.” (Furniture &amp; Related Products)</t>
        </is>
      </c>
    </row>
    <row r="210" ht="16" customHeight="1">
      <c r="A210" t="inlineStr">
        <is>
          <t>Furniture &amp; Related Products</t>
        </is>
      </c>
      <c r="B210" s="123" t="n">
        <v>43862</v>
      </c>
      <c r="C210" t="inlineStr">
        <is>
          <t>“We have seen an increase of sales for our products.” (Furniture &amp; Related Products)</t>
        </is>
      </c>
    </row>
    <row r="211" ht="16" customHeight="1">
      <c r="A211" t="inlineStr">
        <is>
          <t>Furniture &amp; Related Products</t>
        </is>
      </c>
      <c r="B211" s="123" t="n">
        <v>43831</v>
      </c>
      <c r="C211" t="inlineStr">
        <is>
          <t>"Business is good — above last year, though a little below plan." (Furniture &amp; Related Products)</t>
        </is>
      </c>
    </row>
    <row r="212" ht="16" customHeight="1">
      <c r="A212" t="inlineStr">
        <is>
          <t>Furniture &amp; Related Products</t>
        </is>
      </c>
      <c r="B212" s="123" t="n">
        <v>43770</v>
      </c>
      <c r="C212" t="inlineStr">
        <is>
          <t>“Incoming orders and production have ticked back up. Tariffs are still a question.” (Furniture &amp; Related Products)</t>
        </is>
      </c>
    </row>
    <row r="213" ht="16" customHeight="1">
      <c r="A213" t="inlineStr">
        <is>
          <t>Furniture &amp; Related Products</t>
        </is>
      </c>
      <c r="B213" s="123" t="n">
        <v>43709</v>
      </c>
      <c r="C213" t="inlineStr">
        <is>
          <t>“Incoming sales are sluggish for this time of year.” (Furniture &amp; Related Products)</t>
        </is>
      </c>
    </row>
    <row r="214" ht="16" customHeight="1">
      <c r="A214" t="inlineStr">
        <is>
          <t>Furniture &amp; Related Products</t>
        </is>
      </c>
      <c r="B214" s="123" t="n">
        <v>43678</v>
      </c>
      <c r="C214" t="inlineStr">
        <is>
          <t>"Incoming sales seem to be slowing down, and this is usually our busiest season. Concerns about the economy and tariffs." (Furniture &amp; Related Products)</t>
        </is>
      </c>
    </row>
    <row r="215" ht="16" customHeight="1">
      <c r="A215" t="inlineStr">
        <is>
          <t>Furniture &amp; Related Products</t>
        </is>
      </c>
      <c r="B215" s="123" t="n">
        <v>43647</v>
      </c>
      <c r="C215" t="inlineStr">
        <is>
          <t>“Business is strong mostly due to seasonality. Tariffs surcharges are now being passed through to all customers. Labor is tight, putting pressure on wages costs.” (Furniture &amp; Related Products)</t>
        </is>
      </c>
    </row>
    <row r="216" ht="17" customHeight="1">
      <c r="A216" t="inlineStr">
        <is>
          <t>Furniture &amp; Related Products</t>
        </is>
      </c>
      <c r="B216" s="123" t="n">
        <v>43525</v>
      </c>
      <c r="C216" t="inlineStr">
        <is>
          <t>“Business is very strong and has been for over two years.” (Furniture &amp; Related Products)</t>
        </is>
      </c>
    </row>
    <row r="217" ht="30" customHeight="1">
      <c r="A217" t="inlineStr">
        <is>
          <t>Furniture &amp; Related Products</t>
        </is>
      </c>
      <c r="B217" s="123" t="n">
        <v>43466</v>
      </c>
      <c r="C217" t="inlineStr">
        <is>
          <t>“Incoming orders have been steady, but we’re starting to see signs of slowing going into February and March.” (Furniture &amp; Related Products)</t>
        </is>
      </c>
    </row>
    <row r="218" ht="16" customHeight="1">
      <c r="A218" t="inlineStr">
        <is>
          <t>Machinery</t>
        </is>
      </c>
      <c r="B218" s="123" t="n">
        <v>44896</v>
      </c>
      <c r="C218" t="inlineStr">
        <is>
          <t>“The continued uncertainty in the economy has resulted in customers delaying their commitments for capital purchases, which is impacting our fourth quarter sales and lowering our forecast for the first quarter of 2023.”</t>
        </is>
      </c>
    </row>
    <row r="219" ht="32" customHeight="1">
      <c r="A219" t="inlineStr">
        <is>
          <t>Machinery</t>
        </is>
      </c>
      <c r="B219" s="123" t="n">
        <v>44866</v>
      </c>
      <c r="C219" t="inlineStr">
        <is>
          <t>“General economic uncertainty has created a slowdown in orders as we approach the end of the year, and many of our key customers are reducing their capital expenditures spend.”</t>
        </is>
      </c>
    </row>
    <row r="220" ht="32" customHeight="1">
      <c r="A220" t="inlineStr">
        <is>
          <t>Machinery</t>
        </is>
      </c>
      <c r="B220" s="123" t="n">
        <v>44835</v>
      </c>
      <c r="C220" t="inlineStr">
        <is>
          <t>“We have seen a general pullback in available capital budgets from our customers, and that is having a significant impact on our sales in the fourth quarter.”</t>
        </is>
      </c>
    </row>
    <row r="221" ht="16" customHeight="1">
      <c r="A221" t="inlineStr">
        <is>
          <t>Machinery</t>
        </is>
      </c>
      <c r="B221" s="123" t="n">
        <v>44774</v>
      </c>
      <c r="C221" t="inlineStr">
        <is>
          <t>“Continue to struggle with electronic component shortages. Several smaller machine shops are (manufacturing) the pacing item for our production due to lack of direct labor machinists.”</t>
        </is>
      </c>
    </row>
    <row r="222" ht="16" customHeight="1">
      <c r="A222" t="inlineStr">
        <is>
          <t>Machinery</t>
        </is>
      </c>
      <c r="B222" s="123" t="n">
        <v>44743</v>
      </c>
      <c r="C222" t="inlineStr">
        <is>
          <t>“New order entry has slowed down slightly; however, logistical issues have yet to improve. Long lead times for materials and labor shortages are still a major problem.”</t>
        </is>
      </c>
    </row>
    <row r="223" ht="16" customHeight="1">
      <c r="A223" t="inlineStr">
        <is>
          <t>Machinery</t>
        </is>
      </c>
      <c r="B223" s="123" t="n">
        <v>44713</v>
      </c>
      <c r="C223" t="inlineStr">
        <is>
          <t>“Our suppliers are experiencing a softening of orders. We are still running at the same high level we did throughout 2021 and in early 2022.”</t>
        </is>
      </c>
    </row>
    <row r="224" ht="16" customHeight="1" thickBot="1">
      <c r="A224" t="inlineStr">
        <is>
          <t>Machinery</t>
        </is>
      </c>
      <c r="B224" s="123" t="n">
        <v>44682</v>
      </c>
      <c r="C224" t="inlineStr">
        <is>
          <t>“Our order books are still strong. Material prices continue to rise, with energy and freight noted as the underlying influences on increased costs.”</t>
        </is>
      </c>
    </row>
    <row r="225" ht="16" customHeight="1">
      <c r="A225" t="inlineStr">
        <is>
          <t>Machinery</t>
        </is>
      </c>
      <c r="B225" s="123" t="n">
        <v>44652</v>
      </c>
      <c r="C225" t="inlineStr">
        <is>
          <t>“New order entries are still very strong. Unfortunately, logistics issues have (not) yet improved, so lead times remain extended.”</t>
        </is>
      </c>
    </row>
    <row r="226" ht="16" customHeight="1">
      <c r="A226" t="inlineStr">
        <is>
          <t>Machinery</t>
        </is>
      </c>
      <c r="B226" s="123" t="n">
        <v>44621</v>
      </c>
      <c r="C226" t="inlineStr">
        <is>
          <t>“Prices are increasing on steel and steel products after a slight decrease from highs last month. Transportation costs are going up significantly with the increase in fuel prices.”</t>
        </is>
      </c>
    </row>
    <row r="227" ht="16" customHeight="1">
      <c r="A227" t="inlineStr">
        <is>
          <t>Machinery</t>
        </is>
      </c>
      <c r="B227" s="123" t="n">
        <v>44593</v>
      </c>
      <c r="C227" t="inlineStr">
        <is>
          <t>“We have seen year-over-year revenue growth of about 10 percent due to markets coming back. However, in the automotive area, the microchip shortage is causing slowness in growth.”</t>
        </is>
      </c>
    </row>
    <row r="228" ht="17" customHeight="1">
      <c r="A228" t="inlineStr">
        <is>
          <t>Machinery</t>
        </is>
      </c>
      <c r="B228" s="123" t="n">
        <v>44562</v>
      </c>
      <c r="C228" t="inlineStr">
        <is>
          <t>“Transportation restrictions and a lack of supplier manpower continue to create significant shortages that limit our production. This, in turn, limits what we can supply to customers, as well as on-time delivery.”</t>
        </is>
      </c>
    </row>
    <row r="229" ht="16" customHeight="1">
      <c r="A229" t="inlineStr">
        <is>
          <t>Machinery</t>
        </is>
      </c>
      <c r="B229" s="123" t="n">
        <v>44531</v>
      </c>
      <c r="C229" t="inlineStr">
        <is>
          <t>“Costs for steel seem to be coming down some. We have seen a little relief on steel prices, but they are still very high. Overall performance by suppliers has improved. On-time deliveries have improved.”</t>
        </is>
      </c>
    </row>
    <row r="230" ht="16" customHeight="1">
      <c r="A230" t="inlineStr">
        <is>
          <t>Machinery</t>
        </is>
      </c>
      <c r="B230" s="123" t="n">
        <v>44470</v>
      </c>
      <c r="C230" t="inlineStr">
        <is>
          <t>“Customer demand remains high. COVID-19 related supply chain issues still hamper our ability to meet demand. Labor is still difficult for our suppliers to obtain, and labor costs are rising.” [Machinery]</t>
        </is>
      </c>
    </row>
    <row r="231" ht="16" customHeight="1">
      <c r="A231" t="inlineStr">
        <is>
          <t>Machinery</t>
        </is>
      </c>
      <c r="B231" s="123" t="n">
        <v>44440</v>
      </c>
      <c r="C231"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232" ht="16" customHeight="1">
      <c r="A232" t="inlineStr">
        <is>
          <t>Machinery</t>
        </is>
      </c>
      <c r="B232" s="123" t="n">
        <v>44409</v>
      </c>
      <c r="C232"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233" ht="16" customHeight="1">
      <c r="A233" t="inlineStr">
        <is>
          <t>Machinery</t>
        </is>
      </c>
      <c r="B233" s="123" t="n">
        <v>44378</v>
      </c>
      <c r="C233" t="inlineStr">
        <is>
          <t>Supply chain continues to be extremely challenging in a variety of categories. Having to place orders months ahead of time just to get a place in line. [Machinery]</t>
        </is>
      </c>
    </row>
    <row r="234" ht="16" customHeight="1">
      <c r="A234" t="inlineStr">
        <is>
          <t>Machinery</t>
        </is>
      </c>
      <c r="B234" s="123" t="n">
        <v>44348</v>
      </c>
      <c r="C234" t="inlineStr">
        <is>
          <t>“Customer demand remains strong. Supply chain issues continue to hamper materials availability and impact production scheduling. Supplier costs continue to rise due to increasing materials, labor and shipping costs.” [Machinery]</t>
        </is>
      </c>
    </row>
    <row r="235" ht="16" customHeight="1">
      <c r="A235" t="inlineStr">
        <is>
          <t>Machinery</t>
        </is>
      </c>
      <c r="B235" s="123" t="n">
        <v>44287</v>
      </c>
      <c r="C235" t="inlineStr">
        <is>
          <t>“Demand continues to be very strong. Supply chain delays hamper our availability and ability to sell more.” (Machinery)</t>
        </is>
      </c>
    </row>
    <row r="236" ht="17" customHeight="1" thickBot="1">
      <c r="A236" t="inlineStr">
        <is>
          <t>Machinery</t>
        </is>
      </c>
      <c r="B236" s="123" t="n">
        <v>44256</v>
      </c>
      <c r="C236" t="inlineStr">
        <is>
          <t>“Widespread supply chain issues. Suppliers are struggling to manage demand and capacity in the face of chronic logistics and labor issues. No end in sight.” (Machinery)</t>
        </is>
      </c>
    </row>
    <row r="237" ht="16" customHeight="1">
      <c r="A237" t="inlineStr">
        <is>
          <t>Machinery</t>
        </is>
      </c>
      <c r="B237" s="123" t="n">
        <v>44228</v>
      </c>
      <c r="C237" t="inlineStr">
        <is>
          <t>“Prices are going up, and lead times are growing longer by the day. While business and backlog remain strong, the supply chain is going to be stretched very [thin] to keep up.” (Machinery)</t>
        </is>
      </c>
    </row>
    <row r="238" ht="32" customHeight="1">
      <c r="A238" t="inlineStr">
        <is>
          <t>Machinery</t>
        </is>
      </c>
      <c r="B238" s="123" t="n">
        <v>44197</v>
      </c>
      <c r="C238"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239" ht="16" customHeight="1">
      <c r="A239" t="inlineStr">
        <is>
          <t>Machinery</t>
        </is>
      </c>
      <c r="B239" s="123" t="n">
        <v>44166</v>
      </c>
      <c r="C239" t="inlineStr">
        <is>
          <t>“Sales are now slightly above pre-COVID-19 sales.” (Machinery)</t>
        </is>
      </c>
    </row>
    <row r="240" ht="16" customHeight="1">
      <c r="A240" t="inlineStr">
        <is>
          <t>Machinery</t>
        </is>
      </c>
      <c r="B240" s="123" t="n">
        <v>44136</v>
      </c>
      <c r="C240"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241" ht="16" customHeight="1">
      <c r="A241" t="inlineStr">
        <is>
          <t>Machinery</t>
        </is>
      </c>
      <c r="B241" s="123" t="n">
        <v>44105</v>
      </c>
      <c r="C241" t="inlineStr">
        <is>
          <t>“Business is almost back to normal levels; however, customers are still cautious with capital spending.” (Machinery)</t>
        </is>
      </c>
    </row>
    <row r="242" ht="16" customHeight="1">
      <c r="A242" t="inlineStr">
        <is>
          <t>Machinery</t>
        </is>
      </c>
      <c r="B242" s="123" t="n">
        <v>44075</v>
      </c>
      <c r="C242" t="inlineStr">
        <is>
          <t>“Our customer order intake is increasing significantly for deliveries in the first half of 2021. Outlook is generally positive.” (Machinery)</t>
        </is>
      </c>
    </row>
    <row r="243" ht="16" customHeight="1">
      <c r="A243" t="inlineStr">
        <is>
          <t>Machinery</t>
        </is>
      </c>
      <c r="B243" s="123" t="n">
        <v>44044</v>
      </c>
      <c r="C243" t="inlineStr">
        <is>
          <t>"Capital equipment new orders have slowed again. Quoting is active. Many customers waiting for the fourth quarter to make any commitments." (Machinery)</t>
        </is>
      </c>
    </row>
    <row r="244" ht="16" customHeight="1" thickBot="1">
      <c r="A244" t="inlineStr">
        <is>
          <t>Machinery</t>
        </is>
      </c>
      <c r="B244" s="123" t="n">
        <v>44013</v>
      </c>
      <c r="C244" t="inlineStr">
        <is>
          <t>“General business climate continues to be subdued, driving highly conservative forecasting due to variability in the ongoing pandemic-driven conditions and economic response.” (Machinery)</t>
        </is>
      </c>
    </row>
    <row r="245" ht="16" customHeight="1">
      <c r="A245" t="inlineStr">
        <is>
          <t>Machinery</t>
        </is>
      </c>
      <c r="B245" s="123" t="n">
        <v>43983</v>
      </c>
      <c r="C245" t="inlineStr">
        <is>
          <t>“Looks like May was the bottom in terms of orders. June is stronger, and our order books are rebuilding.” (Machinery)</t>
        </is>
      </c>
    </row>
    <row r="246" ht="16" customHeight="1">
      <c r="A246" t="inlineStr">
        <is>
          <t>Machinery</t>
        </is>
      </c>
      <c r="B246" s="123" t="n">
        <v>43952</v>
      </c>
      <c r="C246" t="inlineStr">
        <is>
          <t>“Getting out from under several suppliers being closed worldwide. Also, looking at what really needs to be in China.” (Machinery)</t>
        </is>
      </c>
    </row>
    <row r="247" ht="16" customHeight="1">
      <c r="A247" t="inlineStr">
        <is>
          <t>Machinery</t>
        </is>
      </c>
      <c r="B247" s="123" t="n">
        <v>43891</v>
      </c>
      <c r="C247" t="inlineStr">
        <is>
          <t>“COVID-19 has caused a 30-percent reduction in productivity in our factory.” (Machinery)</t>
        </is>
      </c>
    </row>
    <row r="248" ht="16" customHeight="1">
      <c r="A248" t="inlineStr">
        <is>
          <t>Machinery</t>
        </is>
      </c>
      <c r="B248" s="123" t="n">
        <v>43862</v>
      </c>
      <c r="C248"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249" ht="16" customHeight="1">
      <c r="A249" t="inlineStr">
        <is>
          <t>Machinery</t>
        </is>
      </c>
      <c r="B249" s="123" t="n">
        <v>43831</v>
      </c>
      <c r="C249" t="inlineStr">
        <is>
          <t>"The lack of faith in the economy seems to be why we cannot sell capital projects." (Machinery)</t>
        </is>
      </c>
    </row>
    <row r="250" ht="16" customHeight="1">
      <c r="A250" t="inlineStr">
        <is>
          <t>Machinery</t>
        </is>
      </c>
      <c r="B250" s="123" t="n">
        <v>43800</v>
      </c>
      <c r="C250" t="inlineStr">
        <is>
          <t>"Dealer inventories have rebounded, and overall customer market has softened, resulting in corrections to near-term production schedules and a tentative forecast outlook." (Machinery)</t>
        </is>
      </c>
    </row>
    <row r="251" ht="16" customHeight="1">
      <c r="A251" t="inlineStr">
        <is>
          <t>Machinery</t>
        </is>
      </c>
      <c r="B251" s="123" t="n">
        <v>43770</v>
      </c>
      <c r="C251" t="inlineStr">
        <is>
          <t>“Demand has stabilized for the last half of [the fourth quarter], and production will be stable for the rest of this year.” (Machinery)</t>
        </is>
      </c>
    </row>
    <row r="252" ht="32" customHeight="1">
      <c r="A252" t="inlineStr">
        <is>
          <t>Machinery</t>
        </is>
      </c>
      <c r="B252" s="123" t="n">
        <v>43739</v>
      </c>
      <c r="C252" t="inlineStr">
        <is>
          <t>“Production demand is softening; some [of it is] due to seasonality, [but] much [is] due to customer order rate declining and dealer inventory stabilizing.” (Machinery)</t>
        </is>
      </c>
    </row>
    <row r="253" ht="32" customHeight="1">
      <c r="A253" t="inlineStr">
        <is>
          <t>Machinery</t>
        </is>
      </c>
      <c r="B253" s="123" t="n">
        <v>43709</v>
      </c>
      <c r="C253" t="inlineStr">
        <is>
          <t>“Demand softening on some product lines, backlogs have reduced, and dealer inventories are growing.” (Machinery)</t>
        </is>
      </c>
    </row>
    <row r="254" ht="16" customHeight="1">
      <c r="A254" t="inlineStr">
        <is>
          <t>Machinery</t>
        </is>
      </c>
      <c r="B254" s="123" t="n">
        <v>43678</v>
      </c>
      <c r="C254" t="inlineStr">
        <is>
          <t>"Business is starting to show signs of a broad slowdown." (Machinery)</t>
        </is>
      </c>
    </row>
    <row r="255" ht="17" customHeight="1">
      <c r="A255" t="inlineStr">
        <is>
          <t>Machinery</t>
        </is>
      </c>
      <c r="B255" s="123" t="n">
        <v>43647</v>
      </c>
      <c r="C255" t="inlineStr">
        <is>
          <t>“Business has slowed, but it is still steady and expected to pick up next month.” (Machinery)</t>
        </is>
      </c>
    </row>
    <row r="256" ht="16" customHeight="1">
      <c r="A256" t="inlineStr">
        <is>
          <t>Machinery</t>
        </is>
      </c>
      <c r="B256" s="123" t="n">
        <v>43617</v>
      </c>
      <c r="C256" t="inlineStr">
        <is>
          <t>“A late planting season has caused a slowdown in our agricultural business. Seeing higher prices due to tariffs and tariff-related supply chain issues.” (Machinery)</t>
        </is>
      </c>
    </row>
    <row r="257" ht="16" customHeight="1">
      <c r="A257" t="inlineStr">
        <is>
          <t>Machinery</t>
        </is>
      </c>
      <c r="B257" s="123" t="n">
        <v>43586</v>
      </c>
      <c r="C257"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258" ht="32" customHeight="1">
      <c r="A258" t="inlineStr">
        <is>
          <t>Machinery</t>
        </is>
      </c>
      <c r="B258" s="123" t="n">
        <v>43556</v>
      </c>
      <c r="C258"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259" ht="16" customHeight="1">
      <c r="A259" t="inlineStr">
        <is>
          <t>Machinery</t>
        </is>
      </c>
      <c r="B259" s="123" t="n">
        <v>43525</v>
      </c>
      <c r="C259" t="inlineStr">
        <is>
          <t>“Current weather conditions causing significant delivery delays [and] diminishing our production capabilities.” (Machinery)</t>
        </is>
      </c>
    </row>
    <row r="260" ht="16" customHeight="1">
      <c r="A260" t="inlineStr">
        <is>
          <t>Machinery</t>
        </is>
      </c>
      <c r="B260" s="123" t="n">
        <v>43497</v>
      </c>
      <c r="C260" t="inlineStr">
        <is>
          <t>“Orders remain strong. Supplier delivery continues to be challenged on some commodities.” (Machinery)</t>
        </is>
      </c>
    </row>
    <row r="261" ht="32" customHeight="1">
      <c r="A261" t="inlineStr">
        <is>
          <t>Machinery</t>
        </is>
      </c>
      <c r="B261" s="123" t="n">
        <v>43466</v>
      </c>
      <c r="C261" t="inlineStr">
        <is>
          <t>“We continue to enjoy the benefits of a strong general economy. We are busy and maintain a backlog of sales orders.” (Machinery)</t>
        </is>
      </c>
    </row>
    <row r="262" ht="16" customHeight="1">
      <c r="A262" t="inlineStr">
        <is>
          <t>Miscellaneous Manufacturing</t>
        </is>
      </c>
      <c r="B262" s="123" t="n">
        <v>44927</v>
      </c>
      <c r="C262" t="inlineStr">
        <is>
          <t>“Customers are being quite aggressive in pursuing price decreases, far beyond the price relief we are actually receiving from our suppliers.”</t>
        </is>
      </c>
    </row>
    <row r="263" ht="16" customHeight="1" thickBot="1">
      <c r="A263" t="inlineStr">
        <is>
          <t>Miscellaneous Manufacturing</t>
        </is>
      </c>
      <c r="B263" s="123" t="n">
        <v>44896</v>
      </c>
      <c r="C263" t="inlineStr">
        <is>
          <t>“Overall, supply chain conditions have stabilized tremendously since the fourth quarter of 2021. Issues remain, but the list is quite a bit shorter. Customer demand is very strong, and the outlook is positive for 2023. There is large focus on margin recovery after this period of high inflation.”</t>
        </is>
      </c>
    </row>
    <row r="264" ht="16" customHeight="1">
      <c r="A264" t="inlineStr">
        <is>
          <t>Miscellaneous Manufacturing</t>
        </is>
      </c>
      <c r="B264" s="123" t="n">
        <v>44835</v>
      </c>
      <c r="C264" t="inlineStr">
        <is>
          <t>“Prices are continuing a slight decline. Suppliers are trying to hold off decreases, but competition is increasing.”</t>
        </is>
      </c>
    </row>
    <row r="265" ht="16" customHeight="1">
      <c r="A265" t="inlineStr">
        <is>
          <t>Miscellaneous Manufacturing</t>
        </is>
      </c>
      <c r="B265" s="123" t="n">
        <v>44805</v>
      </c>
      <c r="C265" t="inlineStr">
        <is>
          <t>“Quotes and orders still strong; however, we are not able to accept any new orders for shipment (for the rest of) 2022 due to motor and electronic component shortages.”</t>
        </is>
      </c>
    </row>
    <row r="266" ht="16" customHeight="1">
      <c r="A266" t="inlineStr">
        <is>
          <t>Miscellaneous Manufacturing</t>
        </is>
      </c>
      <c r="B266" s="123" t="n">
        <v>44774</v>
      </c>
      <c r="C266" t="inlineStr">
        <is>
          <t>“Business conditions are good, and demand is strong. Securing enough raw material supply to keep up is still a challenge.”</t>
        </is>
      </c>
    </row>
    <row r="267" ht="16" customHeight="1">
      <c r="A267" t="inlineStr">
        <is>
          <t>Miscellaneous Manufacturing</t>
        </is>
      </c>
      <c r="B267" s="123" t="n">
        <v>44682</v>
      </c>
      <c r="C267" t="inlineStr">
        <is>
          <t>“Supply chain issues are causing us to dramatically extend our lead times. Our production lines have (run) low on or out of parts needed to complete rates every week this month.”</t>
        </is>
      </c>
    </row>
    <row r="268" ht="16" customHeight="1">
      <c r="A268" t="inlineStr">
        <is>
          <t>Miscellaneous Manufacturing</t>
        </is>
      </c>
      <c r="B268" s="123" t="n">
        <v>44652</v>
      </c>
      <c r="C268" t="inlineStr">
        <is>
          <t>“The shutdowns in China due to a new COVID-19 wave are causing supply concerns for late second quarter and early third quarter. We have extended lead times to customers and are ordering product from China to cover demand through Q4 and early 1Q 2023.”</t>
        </is>
      </c>
    </row>
    <row r="269" ht="16" customHeight="1">
      <c r="A269" t="inlineStr">
        <is>
          <t>Miscellaneous Manufacturing</t>
        </is>
      </c>
      <c r="B269" s="123" t="n">
        <v>44621</v>
      </c>
      <c r="C269" t="inlineStr">
        <is>
          <t>“The supply situation is getting worse, with lead times extending over 12 months, material not available, and suppliers not quoting or taking orders. Prices on the rise daily.”</t>
        </is>
      </c>
    </row>
    <row r="270" ht="16" customHeight="1">
      <c r="A270" t="inlineStr">
        <is>
          <t>Miscellaneous Manufacturing</t>
        </is>
      </c>
      <c r="B270" s="123" t="n">
        <v>44593</v>
      </c>
      <c r="C270" t="inlineStr">
        <is>
          <t>“Business conditions are good, demand remains strong, and we continue to be challenged to keep up with demand.”</t>
        </is>
      </c>
    </row>
    <row r="271" ht="16" customHeight="1">
      <c r="A271" t="inlineStr">
        <is>
          <t>Miscellaneous Manufacturing</t>
        </is>
      </c>
      <c r="B271" s="123" t="n">
        <v>44562</v>
      </c>
      <c r="C271" t="inlineStr">
        <is>
          <t>“Integrated circuit availability is really causing issues. Shortages of raw materials and other electronic materials continue to hamper deliveries to our customers.”</t>
        </is>
      </c>
    </row>
    <row r="272" ht="16" customHeight="1">
      <c r="A272" t="inlineStr">
        <is>
          <t>Miscellaneous Manufacturing</t>
        </is>
      </c>
      <c r="B272" s="123" t="n">
        <v>44531</v>
      </c>
      <c r="C272" t="inlineStr">
        <is>
          <t>“Supply chain interruptions have dramatically increased in the fourth quarter. Many of our suppliers are unable to deliver product until January or February 2022 or later.”</t>
        </is>
      </c>
    </row>
    <row r="273" ht="16" customHeight="1">
      <c r="A273" t="inlineStr">
        <is>
          <t>Miscellaneous Manufacturing</t>
        </is>
      </c>
      <c r="B273" s="123" t="n">
        <v>44470</v>
      </c>
      <c r="C273" t="inlineStr">
        <is>
          <t>“Demand for our products remains strong, but we continue to struggle to secure enough raw material to keep our manufacturing lines running.” [Miscellaneous Manufacturing]</t>
        </is>
      </c>
    </row>
    <row r="274" ht="16" customHeight="1">
      <c r="A274" t="inlineStr">
        <is>
          <t>Miscellaneous Manufacturing</t>
        </is>
      </c>
      <c r="B274" s="123" t="n">
        <v>44440</v>
      </c>
      <c r="C274" t="inlineStr">
        <is>
          <t>“Global supply chain constraints are still a major concern and focus. Inventory builds continue to compensate for potential supply disruption.” [Miscellaneous Manufacturing]</t>
        </is>
      </c>
    </row>
    <row r="275" ht="16" customHeight="1">
      <c r="A275" t="inlineStr">
        <is>
          <t>Miscellaneous Manufacturing</t>
        </is>
      </c>
      <c r="B275" s="123" t="n">
        <v>44378</v>
      </c>
      <c r="C275"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76" ht="16" customHeight="1">
      <c r="A276" t="inlineStr">
        <is>
          <t>Miscellaneous Manufacturing</t>
        </is>
      </c>
      <c r="B276" s="123" t="n">
        <v>44197</v>
      </c>
      <c r="C276" t="inlineStr">
        <is>
          <t>“We have had an increase in employees testing positive for COVID-19, negatively impacting manufacturing.” (Miscellaneous Manufacturing)</t>
        </is>
      </c>
    </row>
    <row r="277" ht="16" customHeight="1">
      <c r="A277" t="inlineStr">
        <is>
          <t>Miscellaneous Manufacturing</t>
        </is>
      </c>
      <c r="B277" s="123" t="n">
        <v>44166</v>
      </c>
      <c r="C277" t="inlineStr">
        <is>
          <t>“Sales are now exceeding pre-COVID-19 levels, but uncertainty remains through the winter months while COVID-19 is still rampant.” (Miscellaneous Manufacturing)</t>
        </is>
      </c>
    </row>
    <row r="278" ht="16" customHeight="1">
      <c r="A278" t="inlineStr">
        <is>
          <t>Miscellaneous Manufacturing</t>
        </is>
      </c>
      <c r="B278" s="123" t="n">
        <v>44105</v>
      </c>
      <c r="C278" t="inlineStr">
        <is>
          <t>“Business levels have just about returned to pre-COVID-19 levels. Our company is remaining conservative with fixed-cost spending, knowing the uncertainties that lie ahead with COVID-19 and its potential impact globally.” (Miscellaneous Manufacturing)</t>
        </is>
      </c>
    </row>
    <row r="279" ht="16" customHeight="1">
      <c r="A279" t="inlineStr">
        <is>
          <t>Miscellaneous Manufacturing</t>
        </is>
      </c>
      <c r="B279" s="123" t="n">
        <v>44013</v>
      </c>
      <c r="C279" t="inlineStr">
        <is>
          <t>“We are still seeing our customers shut down or effected by COVID-19. We are hoping for a bounce back in September.” (Miscellaneous Manufacturing)</t>
        </is>
      </c>
    </row>
    <row r="280" ht="16" customHeight="1">
      <c r="A280" t="inlineStr">
        <is>
          <t>Miscellaneous Manufacturing</t>
        </is>
      </c>
      <c r="B280" s="123" t="n">
        <v>43983</v>
      </c>
      <c r="C280" t="inlineStr">
        <is>
          <t>“Demand is down significantly due to COVID-19 but is starting to stabilize. We are hopeful for recovery in the second half of the year.” (Miscellaneous Manufacturing)</t>
        </is>
      </c>
    </row>
    <row r="281" ht="16" customHeight="1">
      <c r="A281" t="inlineStr">
        <is>
          <t>Miscellaneous Manufacturing</t>
        </is>
      </c>
      <c r="B281" s="123" t="n">
        <v>43891</v>
      </c>
      <c r="C281" t="inlineStr">
        <is>
          <t>“A big part of our business is hospitality, and we are seeing demand drop and an increase in cancellations.” (Nonmetallic Mineral Products)</t>
        </is>
      </c>
    </row>
    <row r="282" ht="16" customHeight="1">
      <c r="A282" t="inlineStr">
        <is>
          <t>Miscellaneous Manufacturing</t>
        </is>
      </c>
      <c r="B282" s="123" t="n">
        <v>43800</v>
      </c>
      <c r="C282" t="inlineStr">
        <is>
          <t>"Down month-to-month, but up over last year." (Miscellaneous Manufacturing)</t>
        </is>
      </c>
    </row>
    <row r="283" ht="17" customHeight="1">
      <c r="A283" t="inlineStr">
        <is>
          <t>Miscellaneous Manufacturing</t>
        </is>
      </c>
      <c r="B283" s="123" t="n">
        <v>43709</v>
      </c>
      <c r="C283" t="inlineStr">
        <is>
          <t>“Business has been flat for us. Year-over-year growth has slowed dramatically.” (Miscellaneous Manufacturing)</t>
        </is>
      </c>
    </row>
    <row r="284" ht="16" customHeight="1">
      <c r="A284" t="inlineStr">
        <is>
          <t>Miscellaneous Manufacturing</t>
        </is>
      </c>
      <c r="B284" s="123" t="n">
        <v>43678</v>
      </c>
      <c r="C284" t="inlineStr">
        <is>
          <t>"Generally, business remains steady. However, we continue to plan for a hard Brexit and a long trade war between the U.S. and China." (Miscellaneous Manufacturing)</t>
        </is>
      </c>
    </row>
    <row r="285" ht="16" customHeight="1">
      <c r="A285" t="inlineStr">
        <is>
          <t>Miscellaneous Manufacturing</t>
        </is>
      </c>
      <c r="B285" s="123" t="n">
        <v>43647</v>
      </c>
      <c r="C285" t="inlineStr">
        <is>
          <t>“We are a third-tier supplier to [a major aircraft manufacturer], and it appears its production slowdown of [an aircraft] is having a direct effect on our slowing orders.” (Miscellaneous Manufacturing)</t>
        </is>
      </c>
    </row>
    <row r="286" ht="16" customHeight="1">
      <c r="A286" t="inlineStr">
        <is>
          <t>Miscellaneous Manufacturing</t>
        </is>
      </c>
      <c r="B286" s="123" t="n">
        <v>43617</v>
      </c>
      <c r="C286" t="inlineStr">
        <is>
          <t>“Business has slowed in the last 30 to 60 days. The last 30 days have tracked 4 percent below plan, but still 6 to 8 percent above the previous year to date.” (Miscellaneous Manufacturing)</t>
        </is>
      </c>
    </row>
    <row r="287" ht="16" customHeight="1">
      <c r="A287" t="inlineStr">
        <is>
          <t>Miscellaneous Manufacturing</t>
        </is>
      </c>
      <c r="B287" s="123" t="n">
        <v>43586</v>
      </c>
      <c r="C287" t="inlineStr">
        <is>
          <t>“Business is continuing to grow and expand. The pressure for driving out costs has increased significantly, and my company is facing major changes over the next several years to remain cost competitive.” (Miscellaneous Manufacturing)</t>
        </is>
      </c>
    </row>
    <row r="288" ht="16" customHeight="1">
      <c r="A288" t="inlineStr">
        <is>
          <t>Miscellaneous Manufacturing</t>
        </is>
      </c>
      <c r="B288" s="123" t="n">
        <v>43525</v>
      </c>
      <c r="C288" t="inlineStr">
        <is>
          <t>“Strong business momentum coming into January and early February has slowed to typical seasonal business conditions for our industry.” (Miscellaneous Manufacturing)</t>
        </is>
      </c>
    </row>
    <row r="289" ht="16" customHeight="1">
      <c r="A289" t="inlineStr">
        <is>
          <t>Miscellaneous Manufacturing</t>
        </is>
      </c>
      <c r="B289" s="123" t="n">
        <v>43497</v>
      </c>
      <c r="C289" t="inlineStr">
        <is>
          <t>“Aerospace engine-related business continues to be strong. Energy and general industry-related business is flat to down.” (Miscellaneous Manufacturing)</t>
        </is>
      </c>
    </row>
    <row r="290" ht="16" customHeight="1">
      <c r="A290" t="inlineStr">
        <is>
          <t>Miscellaneous Manufacturing</t>
        </is>
      </c>
      <c r="B290" s="123" t="n">
        <v>43466</v>
      </c>
      <c r="C290" t="inlineStr">
        <is>
          <t>“Business conditions are good, and our demand and production are tracking to our forecasted growth levels for the year.” (Miscellaneous Manufacturing)</t>
        </is>
      </c>
    </row>
    <row r="291" ht="16" customHeight="1">
      <c r="A291" t="inlineStr">
        <is>
          <t>Nonmetallic Mineral Products</t>
        </is>
      </c>
      <c r="B291" s="123" t="n">
        <v>44927</v>
      </c>
      <c r="C291" t="inlineStr">
        <is>
          <t>“Industrial construction is strong. Commercial construction is slower.”</t>
        </is>
      </c>
    </row>
    <row r="292" ht="16" customHeight="1" thickBot="1">
      <c r="A292" t="inlineStr">
        <is>
          <t>Nonmetallic Mineral Products</t>
        </is>
      </c>
      <c r="B292" s="123" t="n">
        <v>44896</v>
      </c>
      <c r="C292" t="inlineStr">
        <is>
          <t>“Trying hard to keep the wheels moving to close out the year strong. The manufacturing plants are nearing their annual outage periods, and some TLC is needed to keep things running.”</t>
        </is>
      </c>
    </row>
    <row r="293" ht="16" customHeight="1">
      <c r="A293" t="inlineStr">
        <is>
          <t>Nonmetallic Mineral Products</t>
        </is>
      </c>
      <c r="B293" s="123" t="n">
        <v>44866</v>
      </c>
      <c r="C293" t="inlineStr">
        <is>
          <t>“There is caution going into 2023, but the commercial section of construction seems to still be going strong.”</t>
        </is>
      </c>
    </row>
    <row r="294" ht="16" customHeight="1">
      <c r="A294" t="inlineStr">
        <is>
          <t>Nonmetallic Mineral Products</t>
        </is>
      </c>
      <c r="B294" s="123" t="n">
        <v>44835</v>
      </c>
      <c r="C294" t="inlineStr">
        <is>
          <t>“International conditions loom large and seem very foreboding. Overall, we still think 2023 will be a positive year, with at least some moderate growth.”</t>
        </is>
      </c>
    </row>
    <row r="295" ht="16" customHeight="1">
      <c r="A295" t="inlineStr">
        <is>
          <t>Nonmetallic Mineral Products</t>
        </is>
      </c>
      <c r="B295" s="123" t="n">
        <v>44805</v>
      </c>
      <c r="C295" t="inlineStr">
        <is>
          <t>“The supply chain is still stressed, and it challenges our manufacturing plants for uptime. We have strong demand and need to run.”</t>
        </is>
      </c>
    </row>
    <row r="296" ht="32" customHeight="1">
      <c r="A296" t="inlineStr">
        <is>
          <t>Nonmetallic Mineral Products</t>
        </is>
      </c>
      <c r="B296" s="123" t="n">
        <v>44743</v>
      </c>
      <c r="C296" t="inlineStr">
        <is>
          <t>“All markets are extremely busy but face headwinds that will eventually take a toll. Lead times and costs make large projects very challenging to budget, plan and execute. Routine work is also very difficult.”</t>
        </is>
      </c>
    </row>
    <row r="297" ht="16" customHeight="1">
      <c r="A297" t="inlineStr">
        <is>
          <t>Nonmetallic Mineral Products</t>
        </is>
      </c>
      <c r="B297" s="123" t="n">
        <v>44652</v>
      </c>
      <c r="C297" t="inlineStr">
        <is>
          <t>“Overall, improvements in supply chain are occurring on larger scale items, but we see suppliers that sell us low-volume items struggling in some cases with getting feed stocks and raw materials they need. Freight continues to plague things as well.”</t>
        </is>
      </c>
    </row>
    <row r="298" ht="16" customHeight="1">
      <c r="A298" t="inlineStr">
        <is>
          <t>Nonmetallic Mineral Products</t>
        </is>
      </c>
      <c r="B298" s="123" t="n">
        <v>44562</v>
      </c>
      <c r="C298" t="inlineStr">
        <is>
          <t>“The supply chain crunch may be loosening a bit; however, specific original equipment manufacturer (OEM) parts and equipment now have lead times that we have not experienced before.”</t>
        </is>
      </c>
    </row>
    <row r="299" ht="17" customHeight="1">
      <c r="A299" t="inlineStr">
        <is>
          <t>Nonmetallic Mineral Products</t>
        </is>
      </c>
      <c r="B299" s="123" t="n">
        <v>44531</v>
      </c>
      <c r="C299" t="inlineStr">
        <is>
          <t>“Construction projects for 2022 and 2023 look very strong for us.”</t>
        </is>
      </c>
    </row>
    <row r="300" ht="31" customHeight="1">
      <c r="A300" t="inlineStr">
        <is>
          <t>Nonmetallic Mineral Products</t>
        </is>
      </c>
      <c r="B300" s="123" t="n">
        <v>44378</v>
      </c>
      <c r="C300" t="inlineStr">
        <is>
          <t>Sales are above last year by a good percentage, but meeting demand is just not possible due to force majeure situations, logistics, and labor shortages. We don't anticipate this ending until well into 2022. [Nonmetallic Mineral Products]</t>
        </is>
      </c>
    </row>
    <row r="301" ht="16" customHeight="1">
      <c r="A301" t="inlineStr">
        <is>
          <t>Nonmetallic Mineral Products</t>
        </is>
      </c>
      <c r="B301" s="123" t="n">
        <v>44348</v>
      </c>
      <c r="C301" t="inlineStr">
        <is>
          <t>“Supply disruptions continue, with no end in sight!” [Nonmetallic Mineral Products]</t>
        </is>
      </c>
    </row>
    <row r="302" ht="16" customHeight="1">
      <c r="A302" t="inlineStr">
        <is>
          <t>Nonmetallic Mineral Products</t>
        </is>
      </c>
      <c r="B302" s="123" t="n">
        <v>44317</v>
      </c>
      <c r="C302"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303" ht="17" customHeight="1">
      <c r="A303" t="inlineStr">
        <is>
          <t>Nonmetallic Mineral Products</t>
        </is>
      </c>
      <c r="B303" s="123" t="n">
        <v>44013</v>
      </c>
      <c r="C303"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304" ht="32" customHeight="1">
      <c r="A304" t="inlineStr">
        <is>
          <t>Nonmetallic Mineral Products</t>
        </is>
      </c>
      <c r="B304" s="123" t="n">
        <v>43952</v>
      </c>
      <c r="C304" t="inlineStr">
        <is>
          <t>“We see a lot of positive signs, despite what's going on. People seem to continue to be building and looking to projects for fall of 2020 and beyond. There is good optimism out there.” (Nonmetallic Mineral Products)</t>
        </is>
      </c>
    </row>
    <row r="305" ht="16" customHeight="1">
      <c r="A305" t="inlineStr">
        <is>
          <t>Nonmetallic Mineral Products</t>
        </is>
      </c>
      <c r="B305" s="123" t="n">
        <v>43922</v>
      </c>
      <c r="C305" t="inlineStr">
        <is>
          <t>“COVID-19 has destroyed our market and our company. Without a full recovery very soon, and some assistance, I fear for our ability to continue operations.” (Nonmetallic Mineral Products)</t>
        </is>
      </c>
    </row>
    <row r="306" ht="16" customHeight="1">
      <c r="A306" t="inlineStr">
        <is>
          <t>Nonmetallic Mineral Products</t>
        </is>
      </c>
      <c r="B306" s="123" t="n">
        <v>43800</v>
      </c>
      <c r="C306" t="inlineStr">
        <is>
          <t>"The construction market seems to have slowed for end of year. Overall, it’s marginally up." (Nonmetallic Mineral Products)</t>
        </is>
      </c>
    </row>
    <row r="307" ht="32" customHeight="1">
      <c r="A307" t="inlineStr">
        <is>
          <t>Nonmetallic Mineral Products</t>
        </is>
      </c>
      <c r="B307" s="123" t="n">
        <v>43678</v>
      </c>
      <c r="C307" t="inlineStr">
        <is>
          <t>"The market for large building structures is slowing." (Nonmetallic Mineral Products)</t>
        </is>
      </c>
    </row>
    <row r="308" ht="16" customHeight="1" thickBot="1">
      <c r="A308" t="inlineStr">
        <is>
          <t>Nonmetallic Mineral Products</t>
        </is>
      </c>
      <c r="B308" s="123" t="n">
        <v>43586</v>
      </c>
      <c r="C308" t="inlineStr">
        <is>
          <t>“Weather in the middle of the country has slowed construction and infrastructure projects.” (Nonmetallic Mineral Products)</t>
        </is>
      </c>
    </row>
    <row r="309" ht="32" customHeight="1">
      <c r="A309" t="inlineStr">
        <is>
          <t>Nonmetallic Mineral Products</t>
        </is>
      </c>
      <c r="B309" s="123" t="n">
        <v>43556</v>
      </c>
      <c r="C309" t="inlineStr">
        <is>
          <t>"Orders continue to be strong, especially from the steel industry." (Nonmetallic Mineral Products)</t>
        </is>
      </c>
    </row>
    <row r="310" ht="32" customHeight="1">
      <c r="A310" t="inlineStr">
        <is>
          <t>Nonmetallic Mineral Products</t>
        </is>
      </c>
      <c r="B310" s="123" t="n">
        <v>43525</v>
      </c>
      <c r="C310" t="inlineStr">
        <is>
          <t>“Steel in U.S. remains strong, driving numerous product lines.” (Nonmetallic Mineral Products)</t>
        </is>
      </c>
    </row>
    <row r="311" ht="32" customHeight="1" thickBot="1">
      <c r="A311" t="inlineStr">
        <is>
          <t>Nonmetallic Mineral Products</t>
        </is>
      </c>
      <c r="B311" s="123" t="n">
        <v>43466</v>
      </c>
      <c r="C311" t="inlineStr">
        <is>
          <t>“Sales nationally appear to be on target for 2019 and slightly ahead of 2018.” (Nonmetallic Mineral Products)</t>
        </is>
      </c>
    </row>
    <row r="312" ht="16" customHeight="1">
      <c r="A312" t="inlineStr">
        <is>
          <t>Paper Products</t>
        </is>
      </c>
      <c r="B312" s="123" t="n">
        <v>44682</v>
      </c>
      <c r="C312" t="inlineStr">
        <is>
          <t>“We’ve continued to transition to North American sales to avoid ocean vessels, and we are apprehensive about the West Coast ports’ labor contract negotiations. A challenge of doing more business by rail is the backlog of rail cars and embargos.”</t>
        </is>
      </c>
    </row>
    <row r="313" ht="32" customHeight="1">
      <c r="A313" t="inlineStr">
        <is>
          <t>Paper Products</t>
        </is>
      </c>
      <c r="B313" s="123" t="n">
        <v>44105</v>
      </c>
      <c r="C313" t="inlineStr">
        <is>
          <t>“We are still amazed by the labor market. We used to have 100 applicants for an opening; we are now seeing about 10 — and often, the applicant does not show for the interview.” [Paper Products]</t>
        </is>
      </c>
    </row>
    <row r="314" ht="32" customHeight="1">
      <c r="A314" t="inlineStr">
        <is>
          <t>Paper Products</t>
        </is>
      </c>
      <c r="B314" s="123" t="n">
        <v>44075</v>
      </c>
      <c r="C314" t="inlineStr">
        <is>
          <t>“We are seeing a marked increase in international demand in Q4 compared to Q2 and Q3. Still not at historical levels; however, a positive outlook.” (Paper Products)</t>
        </is>
      </c>
    </row>
    <row r="315" ht="32" customHeight="1">
      <c r="A315" t="inlineStr">
        <is>
          <t>Paper Products</t>
        </is>
      </c>
      <c r="B315" s="123" t="n">
        <v>44044</v>
      </c>
      <c r="C315" t="inlineStr">
        <is>
          <t>"We are starting to see parts of our business rebound in August, while other parts remained weak. Some of our export business has come back for the first time since the start of COVID-19; however, domestic portfolios remain mixed." (Paper Products)</t>
        </is>
      </c>
    </row>
    <row r="316" ht="32" customHeight="1">
      <c r="A316" t="inlineStr">
        <is>
          <t>Paper Products</t>
        </is>
      </c>
      <c r="B316" s="123" t="n">
        <v>43922</v>
      </c>
      <c r="C316" t="inlineStr">
        <is>
          <t>“Our packaging business is starting to see signs of a slowdown in May after two strong months into COVID-19.” (Paper Products)</t>
        </is>
      </c>
    </row>
    <row r="317" ht="16" customHeight="1">
      <c r="A317" t="inlineStr">
        <is>
          <t>Paper Products</t>
        </is>
      </c>
      <c r="B317" s="123" t="n">
        <v>43739</v>
      </c>
      <c r="C317" t="inlineStr">
        <is>
          <t>“Trade cost pressures continue to be a headwind in our business.” (Paper Products)</t>
        </is>
      </c>
    </row>
    <row r="318" ht="16" customHeight="1">
      <c r="A318" t="inlineStr">
        <is>
          <t>Paper Products</t>
        </is>
      </c>
      <c r="B318" s="123" t="n">
        <v>43497</v>
      </c>
      <c r="C318" t="inlineStr">
        <is>
          <t>“Strong domestics market. Slow export markets.” (Paper Products)</t>
        </is>
      </c>
    </row>
    <row r="319" ht="16" customHeight="1">
      <c r="A319" t="inlineStr">
        <is>
          <t>Paper Products</t>
        </is>
      </c>
      <c r="B319" s="123" t="n">
        <v>43466</v>
      </c>
      <c r="C319" t="inlineStr">
        <is>
          <t>“Unlike in the last few years, we are experiencing a first quarter slowdown.” (Paper Products)</t>
        </is>
      </c>
    </row>
    <row r="320" ht="16" customHeight="1">
      <c r="A320" t="inlineStr">
        <is>
          <t>Petroleum &amp; Coal Products</t>
        </is>
      </c>
      <c r="B320" s="123" t="n">
        <v>44531</v>
      </c>
      <c r="C320" t="inlineStr">
        <is>
          <t>“Lowered oil prices due to (the) omicron variant has caused concern around production and capital spend in 2022.”</t>
        </is>
      </c>
    </row>
    <row r="321" ht="16" customHeight="1">
      <c r="A321" t="inlineStr">
        <is>
          <t>Petroleum &amp; Coal Products</t>
        </is>
      </c>
      <c r="B321" s="123" t="n">
        <v>44409</v>
      </c>
      <c r="C321" t="inlineStr">
        <is>
          <t>“Oil prices have remained higher than planned and is helping to secure capital funds and project sanctions for 2021-22 projects.” [Petroleum &amp; Coal Products]</t>
        </is>
      </c>
    </row>
    <row r="322" ht="32" customHeight="1">
      <c r="A322" t="inlineStr">
        <is>
          <t>Petroleum &amp; Coal Products</t>
        </is>
      </c>
      <c r="B322" s="123" t="n">
        <v>44348</v>
      </c>
      <c r="C322"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323" ht="16" customHeight="1">
      <c r="A323" t="inlineStr">
        <is>
          <t>Petroleum &amp; Coal Products</t>
        </is>
      </c>
      <c r="B323" s="123" t="n">
        <v>44287</v>
      </c>
      <c r="C323" t="inlineStr">
        <is>
          <t>“Oil production has been steady, along with market prices and capital expenditures.” (Petroleum &amp; Coal Products)</t>
        </is>
      </c>
    </row>
    <row r="324" ht="16" customHeight="1">
      <c r="A324" t="inlineStr">
        <is>
          <t>Petroleum &amp; Coal Products</t>
        </is>
      </c>
      <c r="B324" s="123" t="n">
        <v>44256</v>
      </c>
      <c r="C324" t="inlineStr">
        <is>
          <t>“The spring and summer months look great for the national oil markets.” (Petroleum &amp; Coal Products)</t>
        </is>
      </c>
    </row>
    <row r="325" ht="16" customHeight="1">
      <c r="A325" t="inlineStr">
        <is>
          <t>Petroleum &amp; Coal Products</t>
        </is>
      </c>
      <c r="B325" s="123" t="n">
        <v>44136</v>
      </c>
      <c r="C325" t="inlineStr">
        <is>
          <t>“Jet fuel being down in consumption really hurts the refining market.” (Petroleum &amp; Coal Products)</t>
        </is>
      </c>
    </row>
    <row r="326" ht="16" customHeight="1">
      <c r="A326" t="inlineStr">
        <is>
          <t>Petroleum &amp; Coal Products</t>
        </is>
      </c>
      <c r="B326" s="123" t="n">
        <v>44075</v>
      </c>
      <c r="C326" t="inlineStr">
        <is>
          <t>“Our business has not begun to recover.” (Petroleum &amp; Coal Products)</t>
        </is>
      </c>
    </row>
    <row r="327" ht="16" customHeight="1">
      <c r="A327" t="inlineStr">
        <is>
          <t>Petroleum &amp; Coal Products</t>
        </is>
      </c>
      <c r="B327" s="123" t="n">
        <v>44013</v>
      </c>
      <c r="C327" t="inlineStr">
        <is>
          <t>“Uncertainty regarding our industry and business has not improved. We are developing the 2021 budget around multiple scenarios.” (Petroleum &amp; Coal Products)</t>
        </is>
      </c>
    </row>
    <row r="328" ht="16" customHeight="1">
      <c r="A328" t="inlineStr">
        <is>
          <t>Petroleum &amp; Coal Products</t>
        </is>
      </c>
      <c r="B328" s="123" t="n">
        <v>43983</v>
      </c>
      <c r="C328" t="inlineStr">
        <is>
          <t>“Market demand for refined products has increased as statewide quarantines have been lifted, but it is still below normal volumes.” (Petroleum &amp; Coal Products)</t>
        </is>
      </c>
    </row>
    <row r="329" ht="16" customHeight="1">
      <c r="A329" t="inlineStr">
        <is>
          <t>Petroleum &amp; Coal Products</t>
        </is>
      </c>
      <c r="B329" s="123" t="n">
        <v>43952</v>
      </c>
      <c r="C329" t="inlineStr">
        <is>
          <t>“Fuel sales demand are beginning to rebound in May as stay-at-home orders are lifted across the country.” (Petroleum &amp; Coal Products)</t>
        </is>
      </c>
    </row>
    <row r="330" ht="32" customHeight="1">
      <c r="A330" t="inlineStr">
        <is>
          <t>Petroleum &amp; Coal Products</t>
        </is>
      </c>
      <c r="B330" s="123" t="n">
        <v>43922</v>
      </c>
      <c r="C330" t="inlineStr">
        <is>
          <t>“Our refinery is losing money making gasoline due to the falling demand.” (Petroleum &amp; Coal Products)</t>
        </is>
      </c>
    </row>
    <row r="331" ht="16" customHeight="1">
      <c r="A331" t="inlineStr">
        <is>
          <t>Petroleum &amp; Coal Products</t>
        </is>
      </c>
      <c r="B331" s="123" t="n">
        <v>43891</v>
      </c>
      <c r="C331" t="inlineStr">
        <is>
          <t>“World demand for petroleum products is declining, while supply is ramping up. We have lost supply chain visibility to certain locations.” (Petroleum &amp; Coal Products)</t>
        </is>
      </c>
    </row>
    <row r="332" ht="16" customHeight="1">
      <c r="A332" t="inlineStr">
        <is>
          <t>Petroleum &amp; Coal Products</t>
        </is>
      </c>
      <c r="B332" s="123" t="n">
        <v>43862</v>
      </c>
      <c r="C332" t="inlineStr">
        <is>
          <t>“Energy markets seem to be responding to a potential drop in demand that may be related to responses [to] the coronavirus.” (Petroleum &amp; Coal Products)</t>
        </is>
      </c>
    </row>
    <row r="333" ht="16" customHeight="1">
      <c r="A333" t="inlineStr">
        <is>
          <t>Petroleum &amp; Coal Products</t>
        </is>
      </c>
      <c r="B333" s="123" t="n">
        <v>43831</v>
      </c>
      <c r="C333" t="inlineStr">
        <is>
          <t>"Our customer slowdown has not reached the bottom." (Petroleum &amp; Coal Products)</t>
        </is>
      </c>
    </row>
    <row r="334" ht="16" customHeight="1">
      <c r="A334" t="inlineStr">
        <is>
          <t>Petroleum &amp; Coal Products</t>
        </is>
      </c>
      <c r="B334" s="123" t="n">
        <v>43770</v>
      </c>
      <c r="C334" t="inlineStr">
        <is>
          <t>“Slowdown in business has us revising our 2020-21 capital spend.” (Petroleum &amp; Coal Products)</t>
        </is>
      </c>
    </row>
    <row r="335" ht="17" customHeight="1">
      <c r="A335" t="inlineStr">
        <is>
          <t>Petroleum &amp; Coal Products</t>
        </is>
      </c>
      <c r="B335" s="123" t="n">
        <v>43617</v>
      </c>
      <c r="C335" t="inlineStr">
        <is>
          <t>“Tariffs continue to be a challenge. We are concerned about the implementation of Mexican tariffs and the cost pressures it will have on our Latin American business.” (Petroleum &amp; Coal Products)</t>
        </is>
      </c>
    </row>
    <row r="336" ht="16" customHeight="1">
      <c r="A336" t="inlineStr">
        <is>
          <t>Petroleum &amp; Coal Products</t>
        </is>
      </c>
      <c r="B336" s="123" t="n">
        <v>43586</v>
      </c>
      <c r="C336"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337" ht="16" customHeight="1">
      <c r="A337" t="inlineStr">
        <is>
          <t>Petroleum &amp; Coal Products</t>
        </is>
      </c>
      <c r="B337" s="123" t="n">
        <v>43556</v>
      </c>
      <c r="C337"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338" ht="16" customHeight="1">
      <c r="A338" t="inlineStr">
        <is>
          <t>Petroleum &amp; Coal Products</t>
        </is>
      </c>
      <c r="B338" s="123" t="n">
        <v>43525</v>
      </c>
      <c r="C338" t="inlineStr">
        <is>
          <t>“Steel tariffs continue to put upward pressure on our input costs. The government shutdown delayed the process of gaining exemptions to the tariffs.” (Petroleum &amp; Coal Products)</t>
        </is>
      </c>
    </row>
    <row r="339" ht="32" customHeight="1">
      <c r="A339" t="inlineStr">
        <is>
          <t>Petroleum &amp; Coal Products</t>
        </is>
      </c>
      <c r="B339" s="123" t="n">
        <v>43497</v>
      </c>
      <c r="C339" t="inlineStr">
        <is>
          <t>"Uncertainty of steel prices due to Section 232 tariffs on imported steel and lack of resolution of the anti-dumping trade cases.” (Petroleum &amp; Coal Products)</t>
        </is>
      </c>
    </row>
    <row r="340" ht="16" customHeight="1">
      <c r="A340" t="inlineStr">
        <is>
          <t>Plastics &amp; Rubber Products</t>
        </is>
      </c>
      <c r="B340" s="123" t="n">
        <v>44866</v>
      </c>
      <c r="C340" t="inlineStr">
        <is>
          <t>“Looking into December and the first quarter of 2023, business is softening as uncertain economic conditions lie ahead.”</t>
        </is>
      </c>
    </row>
    <row r="341" ht="16" customHeight="1">
      <c r="A341" t="inlineStr">
        <is>
          <t>Plastics &amp; Rubber Products</t>
        </is>
      </c>
      <c r="B341" s="123" t="n">
        <v>44835</v>
      </c>
      <c r="C341" t="inlineStr">
        <is>
          <t>“Lead times are improving. Plastic prices are coming down.”</t>
        </is>
      </c>
    </row>
    <row r="342" ht="33" customHeight="1">
      <c r="A342" t="inlineStr">
        <is>
          <t>Plastics &amp; Rubber Products</t>
        </is>
      </c>
      <c r="B342" s="123" t="n">
        <v>44805</v>
      </c>
      <c r="C342" t="inlineStr">
        <is>
          <t>“Business is still strong; raw materials are becoming more available, and some raw materials prices are falling.”</t>
        </is>
      </c>
    </row>
    <row r="343">
      <c r="A343" t="inlineStr">
        <is>
          <t>Plastics &amp; Rubber Products</t>
        </is>
      </c>
      <c r="B343" s="123" t="n">
        <v>44774</v>
      </c>
      <c r="C343" t="inlineStr">
        <is>
          <t>“Orders are still strong through the end of the year, but there is a feeling that customers may start pulling back on orders, either cancelling them or pushing them into 2023.”</t>
        </is>
      </c>
    </row>
    <row r="344" ht="16" customHeight="1" thickBot="1">
      <c r="A344" t="inlineStr">
        <is>
          <t>Plastics &amp; Rubber Products</t>
        </is>
      </c>
      <c r="B344" s="123" t="n">
        <v>44743</v>
      </c>
      <c r="C344" t="inlineStr">
        <is>
          <t>“Current order books are full, but there have been signs of a slowdown beginning in the fourth quarter.”</t>
        </is>
      </c>
    </row>
    <row r="345">
      <c r="A345" t="inlineStr">
        <is>
          <t>Plastics &amp; Rubber Products</t>
        </is>
      </c>
      <c r="B345" s="123" t="n">
        <v>44682</v>
      </c>
      <c r="C345" t="inlineStr">
        <is>
          <t>“Price increases haven’t let up. I thought 2022 was going to be better, but it hasn’t been. Shortages (among other issues) are still disrupting the supply chain.”</t>
        </is>
      </c>
    </row>
    <row r="346">
      <c r="A346" t="inlineStr">
        <is>
          <t>Plastics &amp; Rubber Products</t>
        </is>
      </c>
      <c r="B346" s="123" t="n">
        <v>44652</v>
      </c>
      <c r="C346" t="inlineStr">
        <is>
          <t>“Business is still very robust. Material price increases continue to be passed on (to customers) based on costs of raw materials, logistics and labor to produce products.”</t>
        </is>
      </c>
    </row>
    <row r="347">
      <c r="A347" t="inlineStr">
        <is>
          <t>Plastics &amp; Rubber Products</t>
        </is>
      </c>
      <c r="B347" s="123" t="n">
        <v>44593</v>
      </c>
      <c r="C347" t="inlineStr">
        <is>
          <t>“Business is still strong. Facing logistics and raw material supply chain issues with some products.”</t>
        </is>
      </c>
    </row>
    <row r="348">
      <c r="A348" t="inlineStr">
        <is>
          <t>Plastics &amp; Rubber Products</t>
        </is>
      </c>
      <c r="B348" s="123" t="n">
        <v>44531</v>
      </c>
      <c r="C348" t="inlineStr">
        <is>
          <t>“Very robust order activity. Backlog increased. Plastic raw material shortages impact orders.”</t>
        </is>
      </c>
    </row>
    <row r="349">
      <c r="A349" t="inlineStr">
        <is>
          <t>Plastics &amp; Rubber Products</t>
        </is>
      </c>
      <c r="B349" s="123" t="n">
        <v>44470</v>
      </c>
      <c r="C349" t="inlineStr">
        <is>
          <t>“My prediction is that 2022 will be very similar to 2021 — similar demand, constrained supply, restricted logistics and rampant inflation.” [Plastics &amp; Rubber Products]</t>
        </is>
      </c>
    </row>
    <row r="350">
      <c r="A350" t="inlineStr">
        <is>
          <t>Plastics &amp; Rubber Products</t>
        </is>
      </c>
      <c r="B350" s="123" t="n">
        <v>44409</v>
      </c>
      <c r="C350" t="inlineStr">
        <is>
          <t>“Business is going strong, but raw material prices still under increasing price pressure. Labor is still an issue.” [Plastics &amp; Rubber Products]</t>
        </is>
      </c>
    </row>
    <row r="351" ht="16" customHeight="1" thickBot="1">
      <c r="A351" t="inlineStr">
        <is>
          <t>Plastics &amp; Rubber Products</t>
        </is>
      </c>
      <c r="B351" s="123" t="n">
        <v>44317</v>
      </c>
      <c r="C351" t="inlineStr">
        <is>
          <t>“Seeing a high demand and backlog of orders.” [Plastics &amp; Rubber Products]</t>
        </is>
      </c>
    </row>
    <row r="352">
      <c r="A352" t="inlineStr">
        <is>
          <t>Plastics &amp; Rubber Products</t>
        </is>
      </c>
      <c r="B352" s="123" t="n">
        <v>44287</v>
      </c>
      <c r="C352"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353">
      <c r="A353" t="inlineStr">
        <is>
          <t>Plastics &amp; Rubber Products</t>
        </is>
      </c>
      <c r="B353" s="123" t="n">
        <v>44256</v>
      </c>
      <c r="C353" t="inlineStr">
        <is>
          <t>“Tremendous stress on the supply chain since the winter storm in Texas. Chemicals are on allocations or unavailable. Resin is on allocation and unavailable.” (Plastics &amp; Rubber Products)</t>
        </is>
      </c>
    </row>
    <row r="354">
      <c r="A354" t="inlineStr">
        <is>
          <t>Plastics &amp; Rubber Products</t>
        </is>
      </c>
      <c r="B354" s="123" t="n">
        <v>44228</v>
      </c>
      <c r="C354" t="inlineStr">
        <is>
          <t>“Labor shortages at suppliers are affecting material deliveries and prices.” (Plastics &amp; Rubber Products)</t>
        </is>
      </c>
    </row>
    <row r="355">
      <c r="A355" t="inlineStr">
        <is>
          <t>Plastics &amp; Rubber Products</t>
        </is>
      </c>
      <c r="B355" s="123" t="n">
        <v>44197</v>
      </c>
      <c r="C355"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356">
      <c r="A356" t="inlineStr">
        <is>
          <t>Plastics &amp; Rubber Products</t>
        </is>
      </c>
      <c r="B356" s="123" t="n">
        <v>44166</v>
      </c>
      <c r="C356" t="inlineStr">
        <is>
          <t>“Suppliers are having difficulty finding and retaining labor leading to supply constraints.” (Plastics &amp; Rubber Products)</t>
        </is>
      </c>
    </row>
    <row r="357">
      <c r="A357" t="inlineStr">
        <is>
          <t>Plastics &amp; Rubber Products</t>
        </is>
      </c>
      <c r="B357" s="123" t="n">
        <v>44136</v>
      </c>
      <c r="C357" t="inlineStr">
        <is>
          <t>“Customer order volumes are very strong, but our suppliers are having issues meeting our orders due to people shortages.” (Plastics &amp; Rubber Products)</t>
        </is>
      </c>
    </row>
    <row r="358">
      <c r="A358" t="inlineStr">
        <is>
          <t>Plastics &amp; Rubber Products</t>
        </is>
      </c>
      <c r="B358" s="123" t="n">
        <v>44105</v>
      </c>
      <c r="C358" t="inlineStr">
        <is>
          <t>“We continue to see stronger month-over-month orders in plastic injection molding.” (Plastics &amp; Rubber Products)</t>
        </is>
      </c>
    </row>
    <row r="359">
      <c r="A359" t="inlineStr">
        <is>
          <t>Plastics &amp; Rubber Products</t>
        </is>
      </c>
      <c r="B359" s="123" t="n">
        <v>44075</v>
      </c>
      <c r="C359" t="inlineStr">
        <is>
          <t>“Business has continued to be strong, with September following August. October is also shaping up to be a good sales month as well.” (Plastics &amp; Rubber Products)</t>
        </is>
      </c>
    </row>
    <row r="360">
      <c r="A360" t="inlineStr">
        <is>
          <t>Plastics &amp; Rubber Products</t>
        </is>
      </c>
      <c r="B360" s="123" t="n">
        <v>44044</v>
      </c>
      <c r="C360" t="inlineStr">
        <is>
          <t>"We are seeing solid month-over-month order improvement in all manufacturing sectors such as electrical, auto and industrial goods. Looking to add a few factory operators." (Plastics &amp; Rubber Products)</t>
        </is>
      </c>
    </row>
    <row r="361">
      <c r="A361" t="inlineStr">
        <is>
          <t>Plastics &amp; Rubber Products</t>
        </is>
      </c>
      <c r="B361" s="123" t="n">
        <v>43983</v>
      </c>
      <c r="C361" t="inlineStr">
        <is>
          <t>“Orders have picked up and are trending toward normal production requirements [volume similar to 2019 production].” (Plastics &amp; Rubber Products)</t>
        </is>
      </c>
    </row>
    <row r="362">
      <c r="A362" t="inlineStr">
        <is>
          <t>Plastics &amp; Rubber Products</t>
        </is>
      </c>
      <c r="B362" s="123" t="n">
        <v>43952</v>
      </c>
      <c r="C362" t="inlineStr">
        <is>
          <t>“Business activity remains strong for consumable applications and very weak in durable segments.” (Plastics &amp; Rubber Products)</t>
        </is>
      </c>
    </row>
    <row r="363">
      <c r="A363" t="inlineStr">
        <is>
          <t>Plastics &amp; Rubber Products</t>
        </is>
      </c>
      <c r="B363" s="123" t="n">
        <v>43891</v>
      </c>
      <c r="C363" t="inlineStr">
        <is>
          <t>“All North American manufacturing plants have ceased operations or drastically scaled back as a result of customer plant closings and other responses to COVID-19.” (Plastics &amp; Rubber Products)</t>
        </is>
      </c>
    </row>
    <row r="364">
      <c r="A364" t="inlineStr">
        <is>
          <t>Plastics &amp; Rubber Products</t>
        </is>
      </c>
      <c r="B364" s="123" t="n">
        <v>43862</v>
      </c>
      <c r="C364" t="inlineStr">
        <is>
          <t>“Business continues to be strong. We had a little January slowdown, but February has been fantastic.” (Plastics &amp; Rubber Products)</t>
        </is>
      </c>
    </row>
    <row r="365">
      <c r="A365" t="inlineStr">
        <is>
          <t>Plastics &amp; Rubber Products</t>
        </is>
      </c>
      <c r="B365" s="123" t="n">
        <v>43831</v>
      </c>
      <c r="C365" t="inlineStr">
        <is>
          <t>"Tariffs on injection molds will impact selection of mold builder for future jobs. We are more likely to choose domestic rather than offshore." (Plastics &amp; Rubber Products)</t>
        </is>
      </c>
    </row>
    <row r="366">
      <c r="A366" t="inlineStr">
        <is>
          <t>Plastics &amp; Rubber Products</t>
        </is>
      </c>
      <c r="B366" s="123" t="n">
        <v>43800</v>
      </c>
      <c r="C366" t="inlineStr">
        <is>
          <t>"Export markets continue to weaken for plastic resins — Mexican producers are actually trying to sell product back into the U.S. due to weak in-country demand." (Plastics &amp; Rubber Products)</t>
        </is>
      </c>
    </row>
    <row r="367">
      <c r="A367" t="inlineStr">
        <is>
          <t>Plastics &amp; Rubber Products</t>
        </is>
      </c>
      <c r="B367" s="123" t="n">
        <v>43770</v>
      </c>
      <c r="C367" t="inlineStr">
        <is>
          <t>“Heading into the holiday season, we are seeing the backlog decrease as new orders for 2020 seem lighter than in past years.” (Plastics &amp; Rubber Products)</t>
        </is>
      </c>
    </row>
    <row r="368">
      <c r="A368" t="inlineStr">
        <is>
          <t>Plastics &amp; Rubber Products</t>
        </is>
      </c>
      <c r="B368" s="123" t="n">
        <v>43739</v>
      </c>
      <c r="C368" t="inlineStr">
        <is>
          <t>“Business for thermoplastic resins is very strong, but margins continue to be under pressure due to tariffs and global economy uncertainty.” (Plastics &amp; Rubber Products)</t>
        </is>
      </c>
    </row>
    <row r="369">
      <c r="A369" t="inlineStr">
        <is>
          <t>Plastics &amp; Rubber Products</t>
        </is>
      </c>
      <c r="B369" s="123" t="n">
        <v>43709</v>
      </c>
      <c r="C369" t="inlineStr">
        <is>
          <t>“We have seen a reduction in sales orders and, therefore, a lower demand for products we order. We have also reduced our workforce by 10 percent.” (Plastics &amp; Rubber Products)</t>
        </is>
      </c>
    </row>
    <row r="370">
      <c r="A370" t="inlineStr">
        <is>
          <t>Plastics &amp; Rubber Products</t>
        </is>
      </c>
      <c r="B370" s="123" t="n">
        <v>43678</v>
      </c>
      <c r="C370" t="inlineStr">
        <is>
          <t>"Current business is OK, nothing to brag about. Under projections and slightly below last year, [but] margins are hanging in there." (Plastics &amp; Rubber Products)</t>
        </is>
      </c>
    </row>
    <row r="371">
      <c r="A371" t="inlineStr">
        <is>
          <t>Plastics &amp; Rubber Products</t>
        </is>
      </c>
      <c r="B371" s="123" t="n">
        <v>43647</v>
      </c>
      <c r="C371" t="inlineStr">
        <is>
          <t>“All aspects of business remain strong, but we’re starting to see the frictional effect of tariffs on exports.” (Plastics &amp; Rubber Products)</t>
        </is>
      </c>
    </row>
    <row r="372">
      <c r="A372" t="inlineStr">
        <is>
          <t>Plastics &amp; Rubber Products</t>
        </is>
      </c>
      <c r="B372" s="123" t="n">
        <v>43617</v>
      </c>
      <c r="C372" t="inlineStr">
        <is>
          <t>“Business is still strong. Pricing on raw materials has stabilized.” (Plastics &amp; Rubber Products)</t>
        </is>
      </c>
    </row>
    <row r="373">
      <c r="A373" t="inlineStr">
        <is>
          <t>Plastics &amp; Rubber Products</t>
        </is>
      </c>
      <c r="B373" s="123" t="n">
        <v>43586</v>
      </c>
      <c r="C373" t="inlineStr">
        <is>
          <t>“Newly increased tariffs on Chinese imports pose an issue on a number of chemicals and materials that are solely produced in China. We are expecting increases in raw materials starting June 1.” (Plastics &amp; Rubber Products)</t>
        </is>
      </c>
    </row>
    <row r="374">
      <c r="A374" t="inlineStr">
        <is>
          <t>Plastics &amp; Rubber Products</t>
        </is>
      </c>
      <c r="B374" s="123" t="n">
        <v>43556</v>
      </c>
      <c r="C374" t="inlineStr">
        <is>
          <t>"Business seems to keep humming along." (Plastics &amp; Rubber Products)</t>
        </is>
      </c>
    </row>
    <row r="375">
      <c r="A375" t="inlineStr">
        <is>
          <t>Plastics &amp; Rubber Products</t>
        </is>
      </c>
      <c r="B375" s="123" t="n">
        <v>43525</v>
      </c>
      <c r="C375" t="inlineStr">
        <is>
          <t>“Awaiting with anticipation the outcome of the U.S.-China trade deal.” (Plastics and Rubber Products)</t>
        </is>
      </c>
    </row>
    <row r="376">
      <c r="A376" t="inlineStr">
        <is>
          <t>Plastics &amp; Rubber Products</t>
        </is>
      </c>
      <c r="B376" s="123" t="n">
        <v>43497</v>
      </c>
      <c r="C376" t="inlineStr">
        <is>
          <t>“General business conditions started to slow at the end of January, continuing through February.” (Plastics and Rubber Products)</t>
        </is>
      </c>
    </row>
    <row r="377">
      <c r="A377" t="inlineStr">
        <is>
          <t>Plastics &amp; Rubber Products</t>
        </is>
      </c>
      <c r="B377" s="123" t="n">
        <v>43466</v>
      </c>
      <c r="C377" t="inlineStr">
        <is>
          <t>“January is off to a good start versus a lower November and December. We are ahead of both plan and January 2018 performance.” (Plastics and Rubber Products)</t>
        </is>
      </c>
    </row>
    <row r="378">
      <c r="A378" t="inlineStr">
        <is>
          <t>Primary Metals</t>
        </is>
      </c>
      <c r="B378" s="123" t="n">
        <v>44927</v>
      </c>
      <c r="C378" t="inlineStr">
        <is>
          <t>“In the past two weeks, we are seeing a slowing of new orders.”</t>
        </is>
      </c>
    </row>
    <row r="379">
      <c r="A379" t="inlineStr">
        <is>
          <t>Primary Metals</t>
        </is>
      </c>
      <c r="B379" s="123" t="n">
        <v>44896</v>
      </c>
      <c r="C379" t="inlineStr">
        <is>
          <t>“Finished the year strong, and we are pleased with how the year shaped up.”</t>
        </is>
      </c>
    </row>
    <row r="380">
      <c r="A380" t="inlineStr">
        <is>
          <t>Primary Metals</t>
        </is>
      </c>
      <c r="B380" s="123" t="n">
        <v>44866</v>
      </c>
      <c r="C380" t="inlineStr">
        <is>
          <t>“Slight improvement on overall business conditions from the previous month.”</t>
        </is>
      </c>
    </row>
    <row r="381">
      <c r="A381" t="inlineStr">
        <is>
          <t>Primary Metals</t>
        </is>
      </c>
      <c r="B381" s="123" t="n">
        <v>44774</v>
      </c>
      <c r="C381" t="inlineStr">
        <is>
          <t>“Demand is softening; however, we are continuing to produce to replenish inventory.”</t>
        </is>
      </c>
    </row>
    <row r="382">
      <c r="A382" t="inlineStr">
        <is>
          <t>Primary Metals</t>
        </is>
      </c>
      <c r="B382" s="123" t="n">
        <v>44743</v>
      </c>
      <c r="C382" t="inlineStr">
        <is>
          <t>“Slight improvement projected for our business for the next quarter.”</t>
        </is>
      </c>
    </row>
    <row r="383">
      <c r="A383" t="inlineStr">
        <is>
          <t>Primary Metals</t>
        </is>
      </c>
      <c r="B383" s="123" t="n">
        <v>44713</v>
      </c>
      <c r="C383" t="inlineStr">
        <is>
          <t>“Supply seems to be settling to some degree, but what it is settling into remains in question. Diminishing cost and (continued) limited supply in aluminum make for an interesting combination. There are actually more questions than answers this month.”</t>
        </is>
      </c>
    </row>
    <row r="384">
      <c r="A384" t="inlineStr">
        <is>
          <t>Primary Metals</t>
        </is>
      </c>
      <c r="B384" s="123" t="n">
        <v>44682</v>
      </c>
      <c r="C384" t="inlineStr">
        <is>
          <t>“Business is steady. We consolidated shifts and do maintenance on off hours, which is working well.”</t>
        </is>
      </c>
    </row>
    <row r="385">
      <c r="A385" t="inlineStr">
        <is>
          <t>Primary Metals</t>
        </is>
      </c>
      <c r="B385" s="123" t="n">
        <v>44621</v>
      </c>
      <c r="C385" t="inlineStr">
        <is>
          <t>“Supply chain is still unstable. While we have seen improvements, there are still a lot of issues that have yet to be resolved.”</t>
        </is>
      </c>
    </row>
    <row r="386">
      <c r="A386" t="inlineStr">
        <is>
          <t>Primary Metals</t>
        </is>
      </c>
      <c r="B386" s="123" t="n">
        <v>44378</v>
      </c>
      <c r="C386" t="inlineStr">
        <is>
          <t>Business levels continue to be very strong, but we also continue to struggle finding employees. We can only fill 75 percent of our order requirements due to the labor shortage. [Primary Metals]</t>
        </is>
      </c>
    </row>
    <row r="387">
      <c r="A387" t="inlineStr">
        <is>
          <t>Primary Metals</t>
        </is>
      </c>
      <c r="B387" s="123" t="n">
        <v>44348</v>
      </c>
      <c r="C387" t="inlineStr">
        <is>
          <t>“We continue to be oversold, based on what we are currently capable of producing. Lack of labor is killing us.” [Primary Metals]</t>
        </is>
      </c>
    </row>
    <row r="388">
      <c r="A388" t="inlineStr">
        <is>
          <t>Primary Metals</t>
        </is>
      </c>
      <c r="B388" s="123" t="n">
        <v>44317</v>
      </c>
      <c r="C388" t="inlineStr">
        <is>
          <t>“Very busy, but still experiencing labor shortages.” [Primary Metals]</t>
        </is>
      </c>
    </row>
    <row r="389">
      <c r="A389" t="inlineStr">
        <is>
          <t>Primary Metals</t>
        </is>
      </c>
      <c r="B389" s="123" t="n">
        <v>44287</v>
      </c>
      <c r="C389" t="inlineStr">
        <is>
          <t>“The metals markets remain very challenging at best. Shortages of raw materials have increased, especially in aluminum and carbon steel. Prices continue to rapidly increase. Transportation and trucking [are] also a big challenge.” (Primary Metals)</t>
        </is>
      </c>
    </row>
    <row r="390">
      <c r="A390" t="inlineStr">
        <is>
          <t>Primary Metals</t>
        </is>
      </c>
      <c r="B390" s="123" t="n">
        <v>44228</v>
      </c>
      <c r="C390" t="inlineStr">
        <is>
          <t>“We have seen our new-order log increase by 40 percent over the last two months. We are overloaded with orders and do not have the personnel to get product out the door on schedule.” (Primary Metals)</t>
        </is>
      </c>
    </row>
    <row r="391">
      <c r="A391" t="inlineStr">
        <is>
          <t>Primary Metals</t>
        </is>
      </c>
      <c r="B391" s="123" t="n">
        <v>44197</v>
      </c>
      <c r="C391" t="inlineStr">
        <is>
          <t>“Business is improving, but we are still struggling with a shortage of available labor.” (Primary Metals)</t>
        </is>
      </c>
    </row>
    <row r="392">
      <c r="A392" t="inlineStr">
        <is>
          <t>Primary Metals</t>
        </is>
      </c>
      <c r="B392" s="123" t="n">
        <v>44166</v>
      </c>
      <c r="C392" t="inlineStr">
        <is>
          <t>“Fourth-quarter production improved more than anticipated, both against the rolling forecast and compared to typical Q4 business.” (Primary Metals)</t>
        </is>
      </c>
    </row>
    <row r="393">
      <c r="A393" t="inlineStr">
        <is>
          <t>Primary Metals</t>
        </is>
      </c>
      <c r="B393" s="123" t="n">
        <v>44136</v>
      </c>
      <c r="C393" t="inlineStr">
        <is>
          <t>“Our business is booming, as many customers need products ASAP. A great situation.” (Primary Metals)</t>
        </is>
      </c>
    </row>
    <row r="394">
      <c r="A394" t="inlineStr">
        <is>
          <t>Primary Metals</t>
        </is>
      </c>
      <c r="B394" s="123" t="n">
        <v>44044</v>
      </c>
      <c r="C394" t="inlineStr">
        <is>
          <t>"Rolling production forecasts are increasing each week compared to prior forecast." (Primary Metals)</t>
        </is>
      </c>
    </row>
    <row r="395">
      <c r="A395" t="inlineStr">
        <is>
          <t>Primary Metals</t>
        </is>
      </c>
      <c r="B395" s="123" t="n">
        <v>43983</v>
      </c>
      <c r="C395" t="inlineStr">
        <is>
          <t>“We are seeing an increase in orders as the economy starts to get rolling again. Slow and steady, sales are increasing. So far, so good.” (Primary Metals)</t>
        </is>
      </c>
    </row>
    <row r="396">
      <c r="A396" t="inlineStr">
        <is>
          <t>Primary Metals</t>
        </is>
      </c>
      <c r="B396" s="123" t="n">
        <v>43952</v>
      </c>
      <c r="C396" t="inlineStr">
        <is>
          <t>“We have been fortunate that most of our customer base is considered to be a part of the critical workforce, so we have been running at around 80 percent of our normal production volume.” (Primary Metals)</t>
        </is>
      </c>
    </row>
    <row r="397">
      <c r="A397" t="inlineStr">
        <is>
          <t>Primary Metals</t>
        </is>
      </c>
      <c r="B397" s="123" t="n">
        <v>43862</v>
      </c>
      <c r="C397" t="inlineStr">
        <is>
          <t>“Current favorable forecast to budget for first-quarter sales.” (Primary Metals)</t>
        </is>
      </c>
    </row>
    <row r="398">
      <c r="A398" t="inlineStr">
        <is>
          <t>Primary Metals</t>
        </is>
      </c>
      <c r="B398" s="123" t="n">
        <v>43739</v>
      </c>
      <c r="C398"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399">
      <c r="A399" t="inlineStr">
        <is>
          <t>Primary Metals</t>
        </is>
      </c>
      <c r="B399" s="123" t="n">
        <v>43586</v>
      </c>
      <c r="C399" t="inlineStr">
        <is>
          <t>“General slowing due to inventory correction.” (Primary Metals)</t>
        </is>
      </c>
    </row>
    <row r="400">
      <c r="A400" t="inlineStr">
        <is>
          <t>Primary Metals</t>
        </is>
      </c>
      <c r="B400" s="123" t="n">
        <v>43556</v>
      </c>
      <c r="C400" t="inlineStr">
        <is>
          <t>"Order book remains strong; future outlook is beginning to soften a little." (Primary Metals)</t>
        </is>
      </c>
    </row>
    <row r="401">
      <c r="A401" t="inlineStr">
        <is>
          <t>Primary Metals</t>
        </is>
      </c>
      <c r="B401" s="123" t="n">
        <v>43525</v>
      </c>
      <c r="C401" t="inlineStr">
        <is>
          <t>“Experienced a reduction in orders, with forecasted softness going into Q2.” (Primary Metals)</t>
        </is>
      </c>
    </row>
    <row r="402">
      <c r="A402" t="inlineStr">
        <is>
          <t>Textile Mills</t>
        </is>
      </c>
      <c r="B402" s="123" t="n">
        <v>44743</v>
      </c>
      <c r="C402" t="inlineStr">
        <is>
          <t>“Continuing delivery and staffing issues have eaten away the bottom line.”</t>
        </is>
      </c>
    </row>
    <row r="403">
      <c r="A403" t="inlineStr">
        <is>
          <t>Textile Mills</t>
        </is>
      </c>
      <c r="B403" s="123" t="n">
        <v>44593</v>
      </c>
      <c r="C403" t="inlineStr">
        <is>
          <t>“We are expecting a year of strong demand, higher prices and continued supply chain challenges.”</t>
        </is>
      </c>
    </row>
    <row r="404">
      <c r="A404" t="inlineStr">
        <is>
          <t>Textile Mills</t>
        </is>
      </c>
      <c r="B404" s="123" t="n">
        <v>44228</v>
      </c>
      <c r="C404" t="inlineStr">
        <is>
          <t>“A sense of urgency is being felt regarding new orders. Customers are giving an impression that a presence of stability is forthcoming and order flow is increasing.” (Textile Mills)</t>
        </is>
      </c>
    </row>
    <row r="405">
      <c r="A405" t="inlineStr">
        <is>
          <t>Textile Mills</t>
        </is>
      </c>
      <c r="B405" s="123" t="n">
        <v>43800</v>
      </c>
      <c r="C405" t="inlineStr">
        <is>
          <t>"Our outlook for the first quarter of 2020 is positive. We have secured contracts from a number of former customers and expect sales growth of about 5 percent over Q4 of 2019." (Textile Mills)</t>
        </is>
      </c>
    </row>
    <row r="406">
      <c r="A406" t="inlineStr">
        <is>
          <t>Textile Mills</t>
        </is>
      </c>
      <c r="B406" s="123" t="n">
        <v>43525</v>
      </c>
      <c r="C406" t="inlineStr">
        <is>
          <t>“Customer orders remain strong.” (Textile Mills)</t>
        </is>
      </c>
    </row>
    <row r="407">
      <c r="A407" t="inlineStr">
        <is>
          <t>Transportation Equipment</t>
        </is>
      </c>
      <c r="B407" s="123" t="n">
        <v>44927</v>
      </c>
      <c r="C407" t="inlineStr">
        <is>
          <t>“Supply chain issues continue to plague our production schedules. Transportation from our overseas suppliers is also contributing to delays. Lead times have doubled for critical electronics, gaskets, sealants, and specialized steel.”</t>
        </is>
      </c>
    </row>
    <row r="408">
      <c r="A408" t="inlineStr">
        <is>
          <t>Transportation Equipment</t>
        </is>
      </c>
      <c r="B408" s="123" t="n">
        <v>44896</v>
      </c>
      <c r="C408" t="inlineStr">
        <is>
          <t>“Orders are really slowing down in the original equipment sector. We haven’t seen a major output decrease because we are still eating away at our back orders.”</t>
        </is>
      </c>
    </row>
    <row r="409">
      <c r="A409" t="inlineStr">
        <is>
          <t>Transportation Equipment</t>
        </is>
      </c>
      <c r="B409" s="123" t="n">
        <v>44866</v>
      </c>
      <c r="C409" t="inlineStr">
        <is>
          <t>“Orders for transportation equipment remain strong. Supply chain issues persist, with minimal direct effect on output.”</t>
        </is>
      </c>
    </row>
    <row r="410">
      <c r="A410" t="inlineStr">
        <is>
          <t>Transportation Equipment</t>
        </is>
      </c>
      <c r="B410" s="123" t="n">
        <v>44835</v>
      </c>
      <c r="C410" t="inlineStr">
        <is>
          <t>“Challenges with labor and parts delivery are easing. Order levels are slowing down after pent-up demand in the previous month.”</t>
        </is>
      </c>
    </row>
    <row r="411">
      <c r="A411" t="inlineStr">
        <is>
          <t>Transportation Equipment</t>
        </is>
      </c>
      <c r="B411" s="123" t="n">
        <v>44805</v>
      </c>
      <c r="C411" t="inlineStr">
        <is>
          <t>“Production is steady, allowing reduction of backlog amidst slightly softened demand.”</t>
        </is>
      </c>
    </row>
    <row r="412">
      <c r="A412" t="inlineStr">
        <is>
          <t>Transportation Equipment</t>
        </is>
      </c>
      <c r="B412" s="123" t="n">
        <v>44774</v>
      </c>
      <c r="C412" t="inlineStr">
        <is>
          <t>“Strong sales continue. The impact of the chip shortage is slowing, and the decreasing COVID-19 resurgence in Asia is now affecting production more than chips.”</t>
        </is>
      </c>
    </row>
    <row r="413">
      <c r="A413" t="inlineStr">
        <is>
          <t>Transportation Equipment</t>
        </is>
      </c>
      <c r="B413" s="123" t="n">
        <v>44743</v>
      </c>
      <c r="C413" t="inlineStr">
        <is>
          <t>“Chip shortages remain; however, the COVID-19 lockdowns in China are presenting even worse supply issues.”</t>
        </is>
      </c>
    </row>
    <row r="414">
      <c r="A414" t="inlineStr">
        <is>
          <t>Transportation Equipment</t>
        </is>
      </c>
      <c r="B414" s="123" t="n">
        <v>44713</v>
      </c>
      <c r="C414" t="inlineStr">
        <is>
          <t>“Continued strong demand for transportation equipment.”</t>
        </is>
      </c>
    </row>
    <row r="415">
      <c r="A415" t="inlineStr">
        <is>
          <t>Transportation Equipment</t>
        </is>
      </c>
      <c r="B415" s="123" t="n">
        <v>44682</v>
      </c>
      <c r="C415" t="inlineStr">
        <is>
          <t>“The challenge with semiconductors hasn’t softened; the situation is worsening due to Chinese COVID-19 lockdowns.”</t>
        </is>
      </c>
    </row>
    <row r="416">
      <c r="A416" t="inlineStr">
        <is>
          <t>Transportation Equipment</t>
        </is>
      </c>
      <c r="B416" s="123" t="n">
        <v>44652</v>
      </c>
      <c r="C416" t="inlineStr">
        <is>
          <t>“Continued strong demand with improvements in the supply chain. Delays still exist, but supply issues are slowly improving. Cost increases in multiple categories.”</t>
        </is>
      </c>
    </row>
    <row r="417">
      <c r="A417" t="inlineStr">
        <is>
          <t>Transportation Equipment</t>
        </is>
      </c>
      <c r="B417" s="123" t="n">
        <v>44621</v>
      </c>
      <c r="C417" t="inlineStr">
        <is>
          <t>“Generally speaking, the business environment is slowly improving for aerospace component manufacturers. Supply chain disruptions and still-extending lead times continue to keep purchasing busy. This further causes reevaluation of the current year’s business plan and cost assumptions.”</t>
        </is>
      </c>
    </row>
    <row r="418">
      <c r="A418" t="inlineStr">
        <is>
          <t>Transportation Equipment</t>
        </is>
      </c>
      <c r="B418" s="123" t="n">
        <v>44593</v>
      </c>
      <c r="C418" t="inlineStr">
        <is>
          <t>“Demand for transportation equipment remains strong. Supply of transportation services continues to be a major issue for the supply chain.”</t>
        </is>
      </c>
    </row>
    <row r="419">
      <c r="A419" t="inlineStr">
        <is>
          <t>Transportation Equipment</t>
        </is>
      </c>
      <c r="B419" s="123" t="n">
        <v>44562</v>
      </c>
      <c r="C419" t="inlineStr">
        <is>
          <t>“Transportation, labor and inflation issues continue to hamper our supply chain and ability to service our customers. Fortunately, it’s also hampering our competition as well. Ultimately, the biggest impact is at the consumer level, as (price increases) continue to get passed through.”</t>
        </is>
      </c>
    </row>
    <row r="420">
      <c r="A420" t="inlineStr">
        <is>
          <t>Transportation Equipment</t>
        </is>
      </c>
      <c r="B420" s="123" t="n">
        <v>44531</v>
      </c>
      <c r="C420" t="inlineStr">
        <is>
          <t>“Continued strong demand has our production facilities producing as many vehicles as we have materials for; however, capacity is limited due to the global chip shortage.”</t>
        </is>
      </c>
    </row>
    <row r="421">
      <c r="A421" t="inlineStr">
        <is>
          <t>Transportation Equipment</t>
        </is>
      </c>
      <c r="B421" s="123" t="n">
        <v>44470</v>
      </c>
      <c r="C421" t="inlineStr">
        <is>
          <t>“Strong sales continue; however, we have diverted chips (semiconductors) to our higher-margin vehicles and stopped or limited the lower-margin vehicle production schedules.” [Transportation Equipment]</t>
        </is>
      </c>
    </row>
    <row r="422">
      <c r="A422" t="inlineStr">
        <is>
          <t>Transportation Equipment</t>
        </is>
      </c>
      <c r="B422" s="123" t="n">
        <v>44440</v>
      </c>
      <c r="C422"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423">
      <c r="A423" t="inlineStr">
        <is>
          <t>Transportation Equipment</t>
        </is>
      </c>
      <c r="B423" s="123" t="n">
        <v>44409</v>
      </c>
      <c r="C423" t="inlineStr">
        <is>
          <t>“Strong sales continue, but production is limited due to supply issues with chips.” [Transportation Equipment]</t>
        </is>
      </c>
    </row>
    <row r="424">
      <c r="A424" t="inlineStr">
        <is>
          <t>Transportation Equipment</t>
        </is>
      </c>
      <c r="B424" s="123" t="n">
        <v>44378</v>
      </c>
      <c r="C424" t="inlineStr">
        <is>
          <t>Strong sales continue, and inventories are low as the chip shortage is keeping production numbers down — we have idled several of our assembly plants to reduce the strain on the chip supply base. [Transportation Equipment]</t>
        </is>
      </c>
    </row>
    <row r="425">
      <c r="A425" t="inlineStr">
        <is>
          <t>Transportation Equipment</t>
        </is>
      </c>
      <c r="B425" s="123" t="n">
        <v>44348</v>
      </c>
      <c r="C425"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426">
      <c r="A426" t="inlineStr">
        <is>
          <t>Transportation Equipment</t>
        </is>
      </c>
      <c r="B426" s="123" t="n">
        <v>44317</v>
      </c>
      <c r="C426" t="inlineStr">
        <is>
          <t>“Ongoing component shortages are driving dual sourcing and longer-term supply plans to be implemented.” [Transportation Equipment]</t>
        </is>
      </c>
    </row>
    <row r="427">
      <c r="A427" t="inlineStr">
        <is>
          <t>Transportation Equipment</t>
        </is>
      </c>
      <c r="B427" s="123" t="n">
        <v>44287</v>
      </c>
      <c r="C427"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428">
      <c r="A428" t="inlineStr">
        <is>
          <t>Transportation Equipment</t>
        </is>
      </c>
      <c r="B428" s="123" t="n">
        <v>44256</v>
      </c>
      <c r="C428" t="inlineStr">
        <is>
          <t>“Business conditions are positive for our industry and company. The constraints are mainly related to parts availability (imports, supply chain congestion). Manpower is also a constraint; hiring new members is a challenge.” (Transportation Equipment)</t>
        </is>
      </c>
    </row>
    <row r="429">
      <c r="A429" t="inlineStr">
        <is>
          <t>Transportation Equipment</t>
        </is>
      </c>
      <c r="B429" s="123" t="n">
        <v>44228</v>
      </c>
      <c r="C429"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430">
      <c r="A430" t="inlineStr">
        <is>
          <t>Transportation Equipment</t>
        </is>
      </c>
      <c r="B430" s="123" t="n">
        <v>44197</v>
      </c>
      <c r="C430" t="inlineStr">
        <is>
          <t>“Very strong demand with limitations in supply to meet increased demand.” (Transportation Equipment)</t>
        </is>
      </c>
    </row>
    <row r="431">
      <c r="A431" t="inlineStr">
        <is>
          <t>Transportation Equipment</t>
        </is>
      </c>
      <c r="B431" s="123" t="n">
        <v>44166</v>
      </c>
      <c r="C431"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432">
      <c r="A432" t="inlineStr">
        <is>
          <t>Transportation Equipment</t>
        </is>
      </c>
      <c r="B432" s="123" t="n">
        <v>44136</v>
      </c>
      <c r="C432"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433">
      <c r="A433" t="inlineStr">
        <is>
          <t>Transportation Equipment</t>
        </is>
      </c>
      <c r="B433" s="123" t="n">
        <v>44105</v>
      </c>
      <c r="C433"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434">
      <c r="A434" t="inlineStr">
        <is>
          <t>Transportation Equipment</t>
        </is>
      </c>
      <c r="B434" s="123" t="n">
        <v>44075</v>
      </c>
      <c r="C434"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435">
      <c r="A435" t="inlineStr">
        <is>
          <t>Transportation Equipment</t>
        </is>
      </c>
      <c r="B435" s="123" t="n">
        <v>44044</v>
      </c>
      <c r="C435" t="inlineStr">
        <is>
          <t>Airline industry continues to be under great pressure. (Transportation Equipment)</t>
        </is>
      </c>
    </row>
    <row r="436">
      <c r="A436" t="inlineStr">
        <is>
          <t>Transportation Equipment</t>
        </is>
      </c>
      <c r="B436" s="123" t="n">
        <v>44013</v>
      </c>
      <c r="C436" t="inlineStr">
        <is>
          <t>“Overall business remains down almost 70 percent. We are hanging on to as many employees as possible, but we will have to lay off 30 percent or more for at least two to three months until September or October.” (Transportation Equipment)</t>
        </is>
      </c>
    </row>
    <row r="437">
      <c r="A437" t="inlineStr">
        <is>
          <t>Transportation Equipment</t>
        </is>
      </c>
      <c r="B437" s="123" t="n">
        <v>43983</v>
      </c>
      <c r="C437" t="inlineStr">
        <is>
          <t>“Gradually ramping production back in our plants. Most of our supply base continued to operate during COVID-19, so we are not seeing a significant supply risk. Will be monitoring supply chain financial health closely.” (Transportation Equipment)</t>
        </is>
      </c>
    </row>
    <row r="438">
      <c r="A438" t="inlineStr">
        <is>
          <t>Transportation Equipment</t>
        </is>
      </c>
      <c r="B438" s="123" t="n">
        <v>43952</v>
      </c>
      <c r="C438" t="inlineStr">
        <is>
          <t>“We see an issue with suppliers that are affecting production. At the same time, social distancing measures in [the] manufacturing plant and customer demand are impacting the rate of production.” (Transportation Equipment)</t>
        </is>
      </c>
    </row>
    <row r="439">
      <c r="A439" t="inlineStr">
        <is>
          <t>Transportation Equipment</t>
        </is>
      </c>
      <c r="B439" s="123" t="n">
        <v>43922</v>
      </c>
      <c r="C439" t="inlineStr">
        <is>
          <t>“COVID-19 has created a wave of activities, including vendors closing, vendors focusing only on the medical industry, employees not coming to work, delayed shipments from overseas, [and] etcetera.” (Transportation Equipment)</t>
        </is>
      </c>
    </row>
    <row r="440">
      <c r="A440" t="inlineStr">
        <is>
          <t>Transportation Equipment</t>
        </is>
      </c>
      <c r="B440" s="123" t="n">
        <v>43891</v>
      </c>
      <c r="C440"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441">
      <c r="A441" t="inlineStr">
        <is>
          <t>Transportation Equipment</t>
        </is>
      </c>
      <c r="B441" s="123" t="n">
        <v>43831</v>
      </c>
      <c r="C441" t="inlineStr">
        <is>
          <t>"Continued signs of slowdown in manufacturing." (Transportation Equipment)</t>
        </is>
      </c>
    </row>
    <row r="442">
      <c r="A442" t="inlineStr">
        <is>
          <t>Transportation Equipment</t>
        </is>
      </c>
      <c r="B442" s="123" t="n">
        <v>43800</v>
      </c>
      <c r="C442" t="inlineStr">
        <is>
          <t>"Cautiously optimistic is the rule these days. Sales are decent, but we're wondering what 2020 will bring. Still hedging that it will be successful — but maybe not as much as this year." (Transportation Equipment)</t>
        </is>
      </c>
    </row>
    <row r="443">
      <c r="A443" t="inlineStr">
        <is>
          <t>Transportation Equipment</t>
        </is>
      </c>
      <c r="B443" s="123" t="n">
        <v>43770</v>
      </c>
      <c r="C443" t="inlineStr">
        <is>
          <t>“Economic uncertainty continues. Our outlook on future business is cautious, yet positive.” (Transportation Equipment)</t>
        </is>
      </c>
    </row>
    <row r="444">
      <c r="A444" t="inlineStr">
        <is>
          <t>Transportation Equipment</t>
        </is>
      </c>
      <c r="B444" s="123" t="n">
        <v>43739</v>
      </c>
      <c r="C444" t="inlineStr">
        <is>
          <t>“Automotive sales continue to decrease; however, trucks and SUVs are still providing decent revenue. Cautiously optimistic for the near term.” (Transportation Equipment)</t>
        </is>
      </c>
    </row>
    <row r="445">
      <c r="A445" t="inlineStr">
        <is>
          <t>Transportation Equipment</t>
        </is>
      </c>
      <c r="B445" s="123" t="n">
        <v>43709</v>
      </c>
      <c r="C445" t="inlineStr">
        <is>
          <t>“Business outlook remains cautious. Orders seem to be decreasing, but luckily not as sharp of a decrease as we were expecting.” (Transportation Equipment)</t>
        </is>
      </c>
    </row>
    <row r="446">
      <c r="A446" t="inlineStr">
        <is>
          <t>Transportation Equipment</t>
        </is>
      </c>
      <c r="B446" s="123" t="n">
        <v>43678</v>
      </c>
      <c r="C446" t="inlineStr">
        <is>
          <t>"Slowest month (July) this year so far in sales." (Transportation Equipment)</t>
        </is>
      </c>
    </row>
    <row r="447">
      <c r="A447" t="inlineStr">
        <is>
          <t>Transportation Equipment</t>
        </is>
      </c>
      <c r="B447" s="123" t="n">
        <v>43647</v>
      </c>
      <c r="C447" t="inlineStr">
        <is>
          <t>“[Automotive] sales continue to decline, and forecasts have been reduced due to softer predicted demand. Attention to product cost — not sales price — is increasing.” (Transportation Equipment)</t>
        </is>
      </c>
    </row>
    <row r="448">
      <c r="A448" t="inlineStr">
        <is>
          <t>Transportation Equipment</t>
        </is>
      </c>
      <c r="B448" s="123" t="n">
        <v>43617</v>
      </c>
      <c r="C448"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449">
      <c r="A449" t="inlineStr">
        <is>
          <t>Transportation Equipment</t>
        </is>
      </c>
      <c r="B449" s="123" t="n">
        <v>43586</v>
      </c>
      <c r="C449" t="inlineStr">
        <is>
          <t>“Sales continue to decline. Volumes are off, [and] profits haven't decreased in proportion to sales. Higher-margin vehicles continue strong sales, but low- to mid-range sales are down.” (Transportation Equipment)</t>
        </is>
      </c>
    </row>
    <row r="450">
      <c r="A450" t="inlineStr">
        <is>
          <t>Transportation Equipment</t>
        </is>
      </c>
      <c r="B450" s="123" t="n">
        <v>43556</v>
      </c>
      <c r="C450" t="inlineStr">
        <is>
          <t>"[We are] closely watching the Mexico border situation as well as the tariff situation." (Transportation Equipment)</t>
        </is>
      </c>
    </row>
    <row r="451">
      <c r="A451" t="inlineStr">
        <is>
          <t>Transportation Equipment</t>
        </is>
      </c>
      <c r="B451" s="123" t="n">
        <v>43525</v>
      </c>
      <c r="C451" t="inlineStr">
        <is>
          <t>“Business remains very strong amid rumors of a slowdown, but forecasts do not indicate this. Electronics are at tight capacity from manufacturers, with no [change] in the near future.” (Transportation Equipment)</t>
        </is>
      </c>
    </row>
    <row r="452">
      <c r="A452" t="inlineStr">
        <is>
          <t>Transportation Equipment</t>
        </is>
      </c>
      <c r="B452" s="123" t="n">
        <v>43497</v>
      </c>
      <c r="C452" t="inlineStr">
        <is>
          <t>“Still fairly steady with production and services.” (Transportation Equipment)</t>
        </is>
      </c>
    </row>
    <row r="453">
      <c r="A453" t="inlineStr">
        <is>
          <t>Transportation Equipment</t>
        </is>
      </c>
      <c r="B453" s="123" t="n">
        <v>43466</v>
      </c>
      <c r="C453" t="inlineStr">
        <is>
          <t>“Overall, business continues to be good; however, margins are being squeezed.” (Transportation Equipment)</t>
        </is>
      </c>
    </row>
    <row r="454">
      <c r="A454" t="inlineStr">
        <is>
          <t>Wood Products</t>
        </is>
      </c>
      <c r="B454" s="123" t="n">
        <v>44228</v>
      </c>
      <c r="C454" t="inlineStr">
        <is>
          <t>“Prices are rising so rapidly that many are wondering if [the situation] is sustainable. Shortages have the industry concerned for supply going forward, at least deep into the second quarter.” (Wood Products)</t>
        </is>
      </c>
    </row>
    <row r="455">
      <c r="A455" t="inlineStr">
        <is>
          <t>Wood Products</t>
        </is>
      </c>
      <c r="B455" s="123" t="n">
        <v>44075</v>
      </c>
      <c r="C455" t="inlineStr">
        <is>
          <t>“Raw material shortages, especially of hardwood logs, are starting to impact overall supply. Domestic market demand is fragmented but remains sound. Export demand, especially to China, is robust.” (Wood Products)</t>
        </is>
      </c>
    </row>
    <row r="456">
      <c r="A456" t="inlineStr">
        <is>
          <t>Wood Products</t>
        </is>
      </c>
      <c r="B456" s="123" t="n">
        <v>44044</v>
      </c>
      <c r="C456" t="inlineStr">
        <is>
          <t>Homebuilder business continues to be robust, with month-over-month gains continuing since May. Business remains favorable and will only be held back by supply issues across the entire industry. (Wood Products)</t>
        </is>
      </c>
    </row>
    <row r="457">
      <c r="A457" t="inlineStr">
        <is>
          <t>Wood Products</t>
        </is>
      </c>
      <c r="B457" s="123" t="n">
        <v>43983</v>
      </c>
      <c r="C457"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458">
      <c r="A458" t="inlineStr">
        <is>
          <t>Wood Products</t>
        </is>
      </c>
      <c r="B458" s="123" t="n">
        <v>43770</v>
      </c>
      <c r="C458" t="inlineStr">
        <is>
          <t>“Economic uncertainty continues. Our outlook on future business is cautious, yet positive.” (Transportation Equipment)</t>
        </is>
      </c>
    </row>
    <row r="459">
      <c r="A459" t="inlineStr">
        <is>
          <t>Wood Products</t>
        </is>
      </c>
      <c r="B459" s="123" t="n">
        <v>43617</v>
      </c>
      <c r="C459" t="inlineStr">
        <is>
          <t>“Weather in various markets across the country has improved month over month, which has positively affected our daily output. If the trend continues, we will have to replenish [at] an increased month-over-month rate.” (Wood Products)</t>
        </is>
      </c>
    </row>
    <row r="460">
      <c r="A460" t="inlineStr">
        <is>
          <t>Wood Products</t>
        </is>
      </c>
      <c r="B460" s="123" t="n">
        <v>43525</v>
      </c>
      <c r="C460"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2023-02-02T15:31:46Z</dcterms:modified>
  <cp:lastModifiedBy>Mark Mukherjee</cp:lastModifiedBy>
</cp:coreProperties>
</file>