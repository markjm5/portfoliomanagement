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8.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6D0CD1E9-863F-4420-909C-075E6B047807}" xr6:coauthVersionLast="47" xr6:coauthVersionMax="47" xr10:uidLastSave="{00000000-0000-0000-0000-000000000000}"/>
  <bookViews>
    <workbookView xWindow="-14850" yWindow="-21225" windowWidth="43245" windowHeight="20310" tabRatio="941" activeTab="1"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06" i="11" l="1"/>
  <c r="C906" i="11"/>
  <c r="D906" i="11"/>
  <c r="E906" i="11"/>
  <c r="F906" i="11"/>
  <c r="G906" i="11"/>
  <c r="H906" i="11"/>
  <c r="I906" i="11"/>
  <c r="J906" i="11"/>
  <c r="K906" i="11"/>
  <c r="L906" i="11"/>
  <c r="B906" i="15"/>
  <c r="C906" i="15"/>
  <c r="B906" i="14"/>
  <c r="C906" i="14"/>
  <c r="D906" i="14" s="1"/>
  <c r="B906" i="13"/>
  <c r="C906" i="13"/>
  <c r="D906" i="13"/>
  <c r="E906" i="13"/>
  <c r="AZ51" i="10"/>
  <c r="BA51" i="10"/>
  <c r="BB51" i="10"/>
  <c r="AZ52" i="10"/>
  <c r="BA52" i="10"/>
  <c r="BB52" i="10"/>
  <c r="AZ53" i="10"/>
  <c r="BA53" i="10"/>
  <c r="BB53" i="10"/>
  <c r="AZ54" i="10"/>
  <c r="BA54" i="10"/>
  <c r="BB54" i="10"/>
  <c r="AZ55" i="10"/>
  <c r="BA55" i="10"/>
  <c r="BB55" i="10"/>
  <c r="AZ56" i="10"/>
  <c r="BA56" i="10"/>
  <c r="BB56" i="10"/>
  <c r="AZ57" i="10"/>
  <c r="BA57" i="10"/>
  <c r="BB57" i="10"/>
  <c r="AZ58" i="10"/>
  <c r="BA58" i="10"/>
  <c r="BB58" i="10"/>
  <c r="AZ59" i="10"/>
  <c r="BA59" i="10"/>
  <c r="BB59" i="10"/>
  <c r="AZ60" i="10"/>
  <c r="BA60" i="10"/>
  <c r="BB60" i="10"/>
  <c r="AZ61" i="10"/>
  <c r="BA61" i="10"/>
  <c r="BB61" i="10"/>
  <c r="AZ62" i="10"/>
  <c r="BA62" i="10"/>
  <c r="BB62" i="10"/>
  <c r="AZ63" i="10"/>
  <c r="BA63" i="10"/>
  <c r="BB63" i="10"/>
  <c r="AZ64" i="10"/>
  <c r="BA64" i="10"/>
  <c r="BB64" i="10"/>
  <c r="AZ65" i="10"/>
  <c r="BA65" i="10"/>
  <c r="BB65" i="10"/>
  <c r="AZ66" i="10"/>
  <c r="BA66" i="10"/>
  <c r="BB66" i="10"/>
  <c r="AZ67" i="10"/>
  <c r="BA67" i="10"/>
  <c r="BB67" i="10"/>
  <c r="AZ29" i="10"/>
  <c r="BA29" i="10"/>
  <c r="BB29" i="10"/>
  <c r="AZ30" i="10"/>
  <c r="BA30" i="10"/>
  <c r="BB30" i="10"/>
  <c r="AZ31" i="10"/>
  <c r="BA31" i="10"/>
  <c r="BB31" i="10"/>
  <c r="AZ32" i="10"/>
  <c r="BA32" i="10"/>
  <c r="BB32" i="10"/>
  <c r="AZ33" i="10"/>
  <c r="BA33" i="10"/>
  <c r="BB33" i="10"/>
  <c r="AZ34" i="10"/>
  <c r="BA34" i="10"/>
  <c r="BB34" i="10"/>
  <c r="AZ35" i="10"/>
  <c r="BA35" i="10"/>
  <c r="BB35" i="10"/>
  <c r="AZ36" i="10"/>
  <c r="BA36" i="10"/>
  <c r="BB36" i="10"/>
  <c r="AZ37" i="10"/>
  <c r="BA37" i="10"/>
  <c r="BB37" i="10"/>
  <c r="AZ38" i="10"/>
  <c r="BA38" i="10"/>
  <c r="BB38" i="10"/>
  <c r="AZ39" i="10"/>
  <c r="BA39" i="10"/>
  <c r="BB39" i="10"/>
  <c r="AZ40" i="10"/>
  <c r="BA40" i="10"/>
  <c r="BB40" i="10"/>
  <c r="AZ41" i="10"/>
  <c r="BA41" i="10"/>
  <c r="BB41" i="10"/>
  <c r="AZ42" i="10"/>
  <c r="BA42" i="10"/>
  <c r="BB42" i="10"/>
  <c r="AZ43" i="10"/>
  <c r="BA43" i="10"/>
  <c r="BB43" i="10"/>
  <c r="AZ44" i="10"/>
  <c r="BA44" i="10"/>
  <c r="BB44" i="10"/>
  <c r="AZ45" i="10"/>
  <c r="BA45" i="10"/>
  <c r="BB45" i="10"/>
  <c r="AZ7" i="10"/>
  <c r="BA7" i="10"/>
  <c r="BB7" i="10"/>
  <c r="AZ8" i="10"/>
  <c r="BA8" i="10"/>
  <c r="BB8" i="10"/>
  <c r="AZ9" i="10"/>
  <c r="BA9" i="10"/>
  <c r="BB9" i="10"/>
  <c r="AZ10" i="10"/>
  <c r="BA10" i="10"/>
  <c r="BB10" i="10"/>
  <c r="AZ11" i="10"/>
  <c r="BA11" i="10"/>
  <c r="BB11" i="10"/>
  <c r="AZ12" i="10"/>
  <c r="BA12" i="10"/>
  <c r="BB12" i="10"/>
  <c r="AZ13" i="10"/>
  <c r="BA13" i="10"/>
  <c r="BB13" i="10"/>
  <c r="AZ14" i="10"/>
  <c r="BA14" i="10"/>
  <c r="BB14" i="10"/>
  <c r="AZ15" i="10"/>
  <c r="BA15" i="10"/>
  <c r="BB15" i="10"/>
  <c r="AZ16" i="10"/>
  <c r="BA16" i="10"/>
  <c r="BB16" i="10"/>
  <c r="AZ17" i="10"/>
  <c r="BA17" i="10"/>
  <c r="BB17" i="10"/>
  <c r="AZ18" i="10"/>
  <c r="BA18" i="10"/>
  <c r="BB18" i="10"/>
  <c r="AZ19" i="10"/>
  <c r="BA19" i="10"/>
  <c r="BB19" i="10"/>
  <c r="AZ20" i="10"/>
  <c r="BA20" i="10"/>
  <c r="BB20" i="10"/>
  <c r="AZ21" i="10"/>
  <c r="BA21" i="10"/>
  <c r="BB21" i="10"/>
  <c r="AZ22" i="10"/>
  <c r="BA22" i="10"/>
  <c r="BB22" i="10"/>
  <c r="AZ23" i="10"/>
  <c r="BA23" i="10"/>
  <c r="BB23" i="10"/>
  <c r="BB50" i="10"/>
  <c r="BA50" i="10"/>
  <c r="AZ50" i="10"/>
  <c r="AZ28" i="10"/>
  <c r="BA28" i="10"/>
  <c r="BB28" i="10"/>
  <c r="BB6" i="10"/>
  <c r="BA6" i="10"/>
  <c r="AZ6" i="10"/>
  <c r="AX6" i="10"/>
  <c r="AX7" i="10"/>
  <c r="AX8" i="10"/>
  <c r="AX9" i="10"/>
  <c r="AX10" i="10"/>
  <c r="AX11" i="10"/>
  <c r="AX12" i="10"/>
  <c r="AX13" i="10"/>
  <c r="AX14" i="10"/>
  <c r="AX15" i="10"/>
  <c r="AX16" i="10"/>
  <c r="AX17" i="10"/>
  <c r="AX18" i="10"/>
  <c r="AX19" i="10"/>
  <c r="AX20" i="10"/>
  <c r="AX21" i="10"/>
  <c r="AX22" i="10"/>
  <c r="AX23" i="10"/>
  <c r="AX28" i="10"/>
  <c r="AX29" i="10"/>
  <c r="AX30" i="10"/>
  <c r="AX31" i="10"/>
  <c r="AX32" i="10"/>
  <c r="AX33" i="10"/>
  <c r="AX34" i="10"/>
  <c r="AX35" i="10"/>
  <c r="AX36" i="10"/>
  <c r="AX37" i="10"/>
  <c r="AX38" i="10"/>
  <c r="AX39" i="10"/>
  <c r="AX40" i="10"/>
  <c r="AX41" i="10"/>
  <c r="AX42" i="10"/>
  <c r="AX43" i="10"/>
  <c r="AX44" i="10"/>
  <c r="AX45" i="10"/>
  <c r="AX50" i="10"/>
  <c r="AX51" i="10"/>
  <c r="AX52" i="10"/>
  <c r="AX53" i="10"/>
  <c r="AX54" i="10"/>
  <c r="AX55" i="10"/>
  <c r="AX56" i="10"/>
  <c r="AX57" i="10"/>
  <c r="AX58" i="10"/>
  <c r="AX59" i="10"/>
  <c r="AX60" i="10"/>
  <c r="AX61" i="10"/>
  <c r="AX62" i="10"/>
  <c r="AX63" i="10"/>
  <c r="AX64" i="10"/>
  <c r="AX65" i="10"/>
  <c r="AX66" i="10"/>
  <c r="AX67" i="10"/>
  <c r="B905" i="15"/>
  <c r="B904" i="15"/>
  <c r="C905" i="15" s="1"/>
  <c r="B903" i="15"/>
  <c r="B902" i="15"/>
  <c r="C903" i="15" s="1"/>
  <c r="B901" i="15"/>
  <c r="C901" i="15" s="1"/>
  <c r="B900" i="15"/>
  <c r="B899" i="15"/>
  <c r="B898" i="15"/>
  <c r="C899" i="15" s="1"/>
  <c r="B897" i="15"/>
  <c r="C898" i="15" s="1"/>
  <c r="B896" i="15"/>
  <c r="B895" i="15"/>
  <c r="C896" i="15" s="1"/>
  <c r="B894" i="15"/>
  <c r="B893" i="15"/>
  <c r="C894" i="15" s="1"/>
  <c r="B892" i="15"/>
  <c r="B891" i="15"/>
  <c r="B890" i="15"/>
  <c r="B889" i="15"/>
  <c r="C889" i="15" s="1"/>
  <c r="B888" i="15"/>
  <c r="C888" i="15" s="1"/>
  <c r="B887" i="15"/>
  <c r="B886" i="15"/>
  <c r="B885" i="15"/>
  <c r="C886" i="15" s="1"/>
  <c r="B884" i="15"/>
  <c r="B883" i="15"/>
  <c r="B882" i="15"/>
  <c r="C882" i="15" s="1"/>
  <c r="B881" i="15"/>
  <c r="B880" i="15"/>
  <c r="C881" i="15" s="1"/>
  <c r="B879" i="15"/>
  <c r="B878" i="15"/>
  <c r="B877" i="15"/>
  <c r="C878" i="15" s="1"/>
  <c r="C876" i="15"/>
  <c r="B876" i="15"/>
  <c r="B875" i="15"/>
  <c r="B874" i="15"/>
  <c r="B873" i="15"/>
  <c r="C874" i="15" s="1"/>
  <c r="B872" i="15"/>
  <c r="B871" i="15"/>
  <c r="B870" i="15"/>
  <c r="B869" i="15"/>
  <c r="C870" i="15" s="1"/>
  <c r="B868" i="15"/>
  <c r="C869" i="15" s="1"/>
  <c r="B867" i="15"/>
  <c r="B866" i="15"/>
  <c r="C865" i="15"/>
  <c r="B865" i="15"/>
  <c r="B864" i="15"/>
  <c r="B863" i="15"/>
  <c r="C864" i="15" s="1"/>
  <c r="B862" i="15"/>
  <c r="B861" i="15"/>
  <c r="C862" i="15" s="1"/>
  <c r="B860" i="15"/>
  <c r="B859" i="15"/>
  <c r="C859" i="15" s="1"/>
  <c r="B858" i="15"/>
  <c r="B857" i="15"/>
  <c r="B856" i="15"/>
  <c r="C857" i="15" s="1"/>
  <c r="B855" i="15"/>
  <c r="B854" i="15"/>
  <c r="C855" i="15" s="1"/>
  <c r="B853" i="15"/>
  <c r="B852" i="15"/>
  <c r="B851" i="15"/>
  <c r="B850" i="15"/>
  <c r="B849" i="15"/>
  <c r="B848" i="15"/>
  <c r="B847" i="15"/>
  <c r="B846" i="15"/>
  <c r="B845" i="15"/>
  <c r="C846" i="15" s="1"/>
  <c r="B844" i="15"/>
  <c r="C845" i="15" s="1"/>
  <c r="B843" i="15"/>
  <c r="B842" i="15"/>
  <c r="B841" i="15"/>
  <c r="C841" i="15" s="1"/>
  <c r="B840" i="15"/>
  <c r="C840" i="15" s="1"/>
  <c r="B839" i="15"/>
  <c r="B838" i="15"/>
  <c r="C839" i="15" s="1"/>
  <c r="B837" i="15"/>
  <c r="C838" i="15" s="1"/>
  <c r="B836" i="15"/>
  <c r="B835" i="15"/>
  <c r="C835" i="15" s="1"/>
  <c r="B834" i="15"/>
  <c r="B833" i="15"/>
  <c r="B832" i="15"/>
  <c r="B831" i="15"/>
  <c r="B830" i="15"/>
  <c r="B829" i="15"/>
  <c r="C830" i="15" s="1"/>
  <c r="B828" i="15"/>
  <c r="B827" i="15"/>
  <c r="B826" i="15"/>
  <c r="B825" i="15"/>
  <c r="C826" i="15" s="1"/>
  <c r="B824" i="15"/>
  <c r="B823" i="15"/>
  <c r="B822" i="15"/>
  <c r="C823" i="15" s="1"/>
  <c r="B821" i="15"/>
  <c r="B820" i="15"/>
  <c r="C821" i="15" s="1"/>
  <c r="B819" i="15"/>
  <c r="B818" i="15"/>
  <c r="B817" i="15"/>
  <c r="C817" i="15" s="1"/>
  <c r="C816" i="15"/>
  <c r="B816" i="15"/>
  <c r="B815" i="15"/>
  <c r="B814" i="15"/>
  <c r="C815" i="15" s="1"/>
  <c r="B813" i="15"/>
  <c r="B812" i="15"/>
  <c r="B811" i="15"/>
  <c r="C811" i="15" s="1"/>
  <c r="B810" i="15"/>
  <c r="B809" i="15"/>
  <c r="B808" i="15"/>
  <c r="B807" i="15"/>
  <c r="B806" i="15"/>
  <c r="C807" i="15" s="1"/>
  <c r="B805" i="15"/>
  <c r="B804" i="15"/>
  <c r="C805" i="15" s="1"/>
  <c r="B803" i="15"/>
  <c r="B802" i="15"/>
  <c r="B801" i="15"/>
  <c r="B800" i="15"/>
  <c r="B799" i="15"/>
  <c r="B798" i="15"/>
  <c r="C799" i="15" s="1"/>
  <c r="B797" i="15"/>
  <c r="B796" i="15"/>
  <c r="C797" i="15" s="1"/>
  <c r="B795" i="15"/>
  <c r="B794" i="15"/>
  <c r="B793" i="15"/>
  <c r="C793" i="15" s="1"/>
  <c r="B792" i="15"/>
  <c r="C792" i="15" s="1"/>
  <c r="B791" i="15"/>
  <c r="B790" i="15"/>
  <c r="C791" i="15" s="1"/>
  <c r="B789" i="15"/>
  <c r="B788" i="15"/>
  <c r="B787" i="15"/>
  <c r="C787" i="15" s="1"/>
  <c r="B786" i="15"/>
  <c r="C786" i="15" s="1"/>
  <c r="B785" i="15"/>
  <c r="B784" i="15"/>
  <c r="C785" i="15" s="1"/>
  <c r="B783" i="15"/>
  <c r="B782" i="15"/>
  <c r="B781" i="15"/>
  <c r="C782" i="15" s="1"/>
  <c r="B780" i="15"/>
  <c r="B779" i="15"/>
  <c r="B778" i="15"/>
  <c r="B777" i="15"/>
  <c r="C778" i="15" s="1"/>
  <c r="B776" i="15"/>
  <c r="B775" i="15"/>
  <c r="B774" i="15"/>
  <c r="C775" i="15" s="1"/>
  <c r="B773" i="15"/>
  <c r="B772" i="15"/>
  <c r="C773" i="15" s="1"/>
  <c r="B771" i="15"/>
  <c r="B770" i="15"/>
  <c r="B769" i="15"/>
  <c r="B768" i="15"/>
  <c r="C769" i="15" s="1"/>
  <c r="B767" i="15"/>
  <c r="C768" i="15" s="1"/>
  <c r="B766" i="15"/>
  <c r="B765" i="15"/>
  <c r="C766" i="15" s="1"/>
  <c r="B764" i="15"/>
  <c r="B763" i="15"/>
  <c r="C763" i="15" s="1"/>
  <c r="B762" i="15"/>
  <c r="B761" i="15"/>
  <c r="B760" i="15"/>
  <c r="C761" i="15" s="1"/>
  <c r="B759" i="15"/>
  <c r="B758" i="15"/>
  <c r="C759" i="15" s="1"/>
  <c r="B757" i="15"/>
  <c r="C756" i="15"/>
  <c r="B756" i="15"/>
  <c r="B755" i="15"/>
  <c r="B754" i="15"/>
  <c r="B753" i="15"/>
  <c r="B752" i="15"/>
  <c r="B751" i="15"/>
  <c r="B750" i="15"/>
  <c r="B749" i="15"/>
  <c r="C750" i="15" s="1"/>
  <c r="B748" i="15"/>
  <c r="B747" i="15"/>
  <c r="B746" i="15"/>
  <c r="C745" i="15"/>
  <c r="B745" i="15"/>
  <c r="B744" i="15"/>
  <c r="C744" i="15" s="1"/>
  <c r="B743" i="15"/>
  <c r="B742" i="15"/>
  <c r="C743" i="15" s="1"/>
  <c r="B741" i="15"/>
  <c r="C742" i="15" s="1"/>
  <c r="B740" i="15"/>
  <c r="B739" i="15"/>
  <c r="B738" i="15"/>
  <c r="C739" i="15" s="1"/>
  <c r="B737" i="15"/>
  <c r="B736" i="15"/>
  <c r="C737" i="15" s="1"/>
  <c r="B735" i="15"/>
  <c r="B734" i="15"/>
  <c r="C735" i="15" s="1"/>
  <c r="B733" i="15"/>
  <c r="B732" i="15"/>
  <c r="C733" i="15" s="1"/>
  <c r="B731" i="15"/>
  <c r="B730" i="15"/>
  <c r="B729" i="15"/>
  <c r="B728" i="15"/>
  <c r="B727" i="15"/>
  <c r="B726" i="15"/>
  <c r="C727" i="15" s="1"/>
  <c r="B725" i="15"/>
  <c r="B724" i="15"/>
  <c r="C725" i="15" s="1"/>
  <c r="B723" i="15"/>
  <c r="C724" i="15" s="1"/>
  <c r="B722" i="15"/>
  <c r="B721" i="15"/>
  <c r="C722" i="15" s="1"/>
  <c r="B720" i="15"/>
  <c r="C720" i="15" s="1"/>
  <c r="B719" i="15"/>
  <c r="B718" i="15"/>
  <c r="C719" i="15" s="1"/>
  <c r="B717" i="15"/>
  <c r="B716" i="15"/>
  <c r="B715" i="15"/>
  <c r="C715" i="15" s="1"/>
  <c r="B714" i="15"/>
  <c r="B713" i="15"/>
  <c r="B712" i="15"/>
  <c r="C713" i="15" s="1"/>
  <c r="B711" i="15"/>
  <c r="C712" i="15" s="1"/>
  <c r="B710" i="15"/>
  <c r="B709" i="15"/>
  <c r="C710" i="15" s="1"/>
  <c r="B708" i="15"/>
  <c r="B707" i="15"/>
  <c r="C708" i="15" s="1"/>
  <c r="B706" i="15"/>
  <c r="B705" i="15"/>
  <c r="C706" i="15" s="1"/>
  <c r="B704" i="15"/>
  <c r="B703" i="15"/>
  <c r="B702" i="15"/>
  <c r="C703" i="15" s="1"/>
  <c r="B701" i="15"/>
  <c r="B700" i="15"/>
  <c r="B699" i="15"/>
  <c r="C700" i="15" s="1"/>
  <c r="B698" i="15"/>
  <c r="C697" i="15"/>
  <c r="B697" i="15"/>
  <c r="C698" i="15" s="1"/>
  <c r="C696" i="15"/>
  <c r="B696" i="15"/>
  <c r="B695" i="15"/>
  <c r="B694" i="15"/>
  <c r="C695" i="15" s="1"/>
  <c r="B693" i="15"/>
  <c r="B692" i="15"/>
  <c r="C691" i="15"/>
  <c r="B691" i="15"/>
  <c r="B690" i="15"/>
  <c r="B689" i="15"/>
  <c r="B688" i="15"/>
  <c r="B687" i="15"/>
  <c r="B686" i="15"/>
  <c r="B685" i="15"/>
  <c r="B684" i="15"/>
  <c r="C685" i="15" s="1"/>
  <c r="B683" i="15"/>
  <c r="B682" i="15"/>
  <c r="B681" i="15"/>
  <c r="C682" i="15" s="1"/>
  <c r="B680" i="15"/>
  <c r="B679" i="15"/>
  <c r="B678" i="15"/>
  <c r="C679" i="15" s="1"/>
  <c r="B677" i="15"/>
  <c r="B676" i="15"/>
  <c r="C677" i="15" s="1"/>
  <c r="B675" i="15"/>
  <c r="B674" i="15"/>
  <c r="B673" i="15"/>
  <c r="B672" i="15"/>
  <c r="C672" i="15" s="1"/>
  <c r="B671" i="15"/>
  <c r="B670" i="15"/>
  <c r="C671" i="15" s="1"/>
  <c r="B669" i="15"/>
  <c r="C670" i="15" s="1"/>
  <c r="B668" i="15"/>
  <c r="B667" i="15"/>
  <c r="B666" i="15"/>
  <c r="B665" i="15"/>
  <c r="B664" i="15"/>
  <c r="B663" i="15"/>
  <c r="C664" i="15" s="1"/>
  <c r="B662" i="15"/>
  <c r="B661" i="15"/>
  <c r="C662" i="15" s="1"/>
  <c r="B660" i="15"/>
  <c r="C660" i="15" s="1"/>
  <c r="B659" i="15"/>
  <c r="B658" i="15"/>
  <c r="B657" i="15"/>
  <c r="C658" i="15" s="1"/>
  <c r="B656" i="15"/>
  <c r="B655" i="15"/>
  <c r="B654" i="15"/>
  <c r="B653" i="15"/>
  <c r="C654" i="15" s="1"/>
  <c r="B652" i="15"/>
  <c r="B651" i="15"/>
  <c r="B650" i="15"/>
  <c r="B649" i="15"/>
  <c r="C650" i="15" s="1"/>
  <c r="B648" i="15"/>
  <c r="B647" i="15"/>
  <c r="B646" i="15"/>
  <c r="C647" i="15" s="1"/>
  <c r="B645" i="15"/>
  <c r="B644" i="15"/>
  <c r="B643" i="15"/>
  <c r="B642" i="15"/>
  <c r="C643" i="15" s="1"/>
  <c r="B641" i="15"/>
  <c r="B640" i="15"/>
  <c r="B639" i="15"/>
  <c r="B638" i="15"/>
  <c r="C637" i="15"/>
  <c r="B637" i="15"/>
  <c r="B636" i="15"/>
  <c r="B635" i="15"/>
  <c r="B634" i="15"/>
  <c r="B633" i="15"/>
  <c r="C634" i="15" s="1"/>
  <c r="B632" i="15"/>
  <c r="B631" i="15"/>
  <c r="B630" i="15"/>
  <c r="B629" i="15"/>
  <c r="C630" i="15" s="1"/>
  <c r="B628" i="15"/>
  <c r="B627" i="15"/>
  <c r="C628" i="15" s="1"/>
  <c r="B626" i="15"/>
  <c r="B625" i="15"/>
  <c r="B624" i="15"/>
  <c r="C624" i="15" s="1"/>
  <c r="B623" i="15"/>
  <c r="B622" i="15"/>
  <c r="C623" i="15" s="1"/>
  <c r="B621" i="15"/>
  <c r="B620" i="15"/>
  <c r="B619" i="15"/>
  <c r="B618" i="15"/>
  <c r="C619" i="15" s="1"/>
  <c r="B617" i="15"/>
  <c r="B616" i="15"/>
  <c r="B615" i="15"/>
  <c r="C616" i="15" s="1"/>
  <c r="B614" i="15"/>
  <c r="B613" i="15"/>
  <c r="C614" i="15" s="1"/>
  <c r="B612" i="15"/>
  <c r="C613" i="15" s="1"/>
  <c r="B611" i="15"/>
  <c r="B610" i="15"/>
  <c r="C611" i="15" s="1"/>
  <c r="B609" i="15"/>
  <c r="B608" i="15"/>
  <c r="B607" i="15"/>
  <c r="C608" i="15" s="1"/>
  <c r="B606" i="15"/>
  <c r="B605" i="15"/>
  <c r="B604" i="15"/>
  <c r="C605" i="15" s="1"/>
  <c r="B603" i="15"/>
  <c r="B602" i="15"/>
  <c r="C601" i="15"/>
  <c r="B601" i="15"/>
  <c r="B600" i="15"/>
  <c r="C600" i="15" s="1"/>
  <c r="B599" i="15"/>
  <c r="B598" i="15"/>
  <c r="C599" i="15" s="1"/>
  <c r="B597" i="15"/>
  <c r="B596" i="15"/>
  <c r="B595" i="15"/>
  <c r="B594" i="15"/>
  <c r="C595" i="15" s="1"/>
  <c r="B593" i="15"/>
  <c r="B592" i="15"/>
  <c r="B591" i="15"/>
  <c r="C592" i="15" s="1"/>
  <c r="B590" i="15"/>
  <c r="B589" i="15"/>
  <c r="B588" i="15"/>
  <c r="B587" i="15"/>
  <c r="B586" i="15"/>
  <c r="C587" i="15" s="1"/>
  <c r="B585" i="15"/>
  <c r="C584" i="15"/>
  <c r="B584" i="15"/>
  <c r="B583" i="15"/>
  <c r="C583" i="15" s="1"/>
  <c r="B582" i="15"/>
  <c r="B581" i="15"/>
  <c r="B580" i="15"/>
  <c r="C581" i="15" s="1"/>
  <c r="B579" i="15"/>
  <c r="B578" i="15"/>
  <c r="B577" i="15"/>
  <c r="C578" i="15" s="1"/>
  <c r="B576" i="15"/>
  <c r="C576" i="15" s="1"/>
  <c r="B575" i="15"/>
  <c r="B574" i="15"/>
  <c r="C575" i="15" s="1"/>
  <c r="B573" i="15"/>
  <c r="B572" i="15"/>
  <c r="B571" i="15"/>
  <c r="B570" i="15"/>
  <c r="B569" i="15"/>
  <c r="C570" i="15" s="1"/>
  <c r="B568" i="15"/>
  <c r="B567" i="15"/>
  <c r="B566" i="15"/>
  <c r="B565" i="15"/>
  <c r="C566" i="15" s="1"/>
  <c r="B564" i="15"/>
  <c r="B563" i="15"/>
  <c r="B562" i="15"/>
  <c r="C563" i="15" s="1"/>
  <c r="B561" i="15"/>
  <c r="B560" i="15"/>
  <c r="C560" i="15" s="1"/>
  <c r="B559" i="15"/>
  <c r="C559" i="15" s="1"/>
  <c r="B558" i="15"/>
  <c r="C558" i="15" s="1"/>
  <c r="B557" i="15"/>
  <c r="B556" i="15"/>
  <c r="B555" i="15"/>
  <c r="B554" i="15"/>
  <c r="B553" i="15"/>
  <c r="C554" i="15" s="1"/>
  <c r="B552" i="15"/>
  <c r="B551" i="15"/>
  <c r="B550" i="15"/>
  <c r="C551" i="15" s="1"/>
  <c r="B549" i="15"/>
  <c r="B548" i="15"/>
  <c r="B547" i="15"/>
  <c r="B546" i="15"/>
  <c r="B545" i="15"/>
  <c r="B544" i="15"/>
  <c r="B543" i="15"/>
  <c r="C544" i="15" s="1"/>
  <c r="B542" i="15"/>
  <c r="B541" i="15"/>
  <c r="C542" i="15" s="1"/>
  <c r="B540" i="15"/>
  <c r="B539" i="15"/>
  <c r="B538" i="15"/>
  <c r="B537" i="15"/>
  <c r="B536" i="15"/>
  <c r="C536" i="15" s="1"/>
  <c r="B535" i="15"/>
  <c r="C535" i="15" s="1"/>
  <c r="B534" i="15"/>
  <c r="C534" i="15" s="1"/>
  <c r="B533" i="15"/>
  <c r="B532" i="15"/>
  <c r="C533" i="15" s="1"/>
  <c r="B531" i="15"/>
  <c r="B530" i="15"/>
  <c r="B529" i="15"/>
  <c r="C530" i="15" s="1"/>
  <c r="B528" i="15"/>
  <c r="C528" i="15" s="1"/>
  <c r="B527" i="15"/>
  <c r="B526" i="15"/>
  <c r="B525" i="15"/>
  <c r="B524" i="15"/>
  <c r="B523" i="15"/>
  <c r="B522" i="15"/>
  <c r="B521" i="15"/>
  <c r="B520" i="15"/>
  <c r="B519" i="15"/>
  <c r="C520" i="15" s="1"/>
  <c r="B518" i="15"/>
  <c r="B517" i="15"/>
  <c r="B516" i="15"/>
  <c r="C517" i="15" s="1"/>
  <c r="B515" i="15"/>
  <c r="B514" i="15"/>
  <c r="B513" i="15"/>
  <c r="B512" i="15"/>
  <c r="B511" i="15"/>
  <c r="C512" i="15" s="1"/>
  <c r="B510" i="15"/>
  <c r="B509" i="15"/>
  <c r="B508" i="15"/>
  <c r="B507" i="15"/>
  <c r="B506" i="15"/>
  <c r="B505" i="15"/>
  <c r="B504" i="15"/>
  <c r="C504" i="15" s="1"/>
  <c r="B503" i="15"/>
  <c r="B502" i="15"/>
  <c r="B501" i="15"/>
  <c r="B500" i="15"/>
  <c r="B499" i="15"/>
  <c r="C499" i="15" s="1"/>
  <c r="B498" i="15"/>
  <c r="B497" i="15"/>
  <c r="C498" i="15" s="1"/>
  <c r="B496" i="15"/>
  <c r="C497" i="15" s="1"/>
  <c r="B495" i="15"/>
  <c r="B494" i="15"/>
  <c r="B493" i="15"/>
  <c r="C494" i="15" s="1"/>
  <c r="B492" i="15"/>
  <c r="B491" i="15"/>
  <c r="C492" i="15" s="1"/>
  <c r="B490" i="15"/>
  <c r="B489" i="15"/>
  <c r="C490" i="15" s="1"/>
  <c r="B488" i="15"/>
  <c r="C489" i="15" s="1"/>
  <c r="B487" i="15"/>
  <c r="C487" i="15" s="1"/>
  <c r="B486" i="15"/>
  <c r="B485" i="15"/>
  <c r="B484" i="15"/>
  <c r="B483" i="15"/>
  <c r="B482" i="15"/>
  <c r="B481" i="15"/>
  <c r="C482" i="15" s="1"/>
  <c r="B480" i="15"/>
  <c r="B479" i="15"/>
  <c r="B478" i="15"/>
  <c r="C479" i="15" s="1"/>
  <c r="B477" i="15"/>
  <c r="B476" i="15"/>
  <c r="B475" i="15"/>
  <c r="B474" i="15"/>
  <c r="B473" i="15"/>
  <c r="B472" i="15"/>
  <c r="B471" i="15"/>
  <c r="B470" i="15"/>
  <c r="B469" i="15"/>
  <c r="C470" i="15" s="1"/>
  <c r="B468" i="15"/>
  <c r="C468" i="15" s="1"/>
  <c r="B467" i="15"/>
  <c r="B466" i="15"/>
  <c r="B465" i="15"/>
  <c r="C466" i="15" s="1"/>
  <c r="C464" i="15"/>
  <c r="B464" i="15"/>
  <c r="B463" i="15"/>
  <c r="B462" i="15"/>
  <c r="C463" i="15" s="1"/>
  <c r="B461" i="15"/>
  <c r="C462" i="15" s="1"/>
  <c r="B460" i="15"/>
  <c r="B459" i="15"/>
  <c r="B458" i="15"/>
  <c r="B457" i="15"/>
  <c r="C458" i="15" s="1"/>
  <c r="B456" i="15"/>
  <c r="C457" i="15" s="1"/>
  <c r="B455" i="15"/>
  <c r="B454" i="15"/>
  <c r="C455" i="15" s="1"/>
  <c r="B453" i="15"/>
  <c r="C454" i="15" s="1"/>
  <c r="B452" i="15"/>
  <c r="B451" i="15"/>
  <c r="B450" i="15"/>
  <c r="C451" i="15" s="1"/>
  <c r="B449" i="15"/>
  <c r="B448" i="15"/>
  <c r="B447" i="15"/>
  <c r="B446" i="15"/>
  <c r="C447" i="15" s="1"/>
  <c r="B445" i="15"/>
  <c r="B444" i="15"/>
  <c r="B443" i="15"/>
  <c r="B442" i="15"/>
  <c r="B441" i="15"/>
  <c r="B440" i="15"/>
  <c r="C440" i="15" s="1"/>
  <c r="B439" i="15"/>
  <c r="C439" i="15" s="1"/>
  <c r="B438" i="15"/>
  <c r="B437" i="15"/>
  <c r="C438" i="15" s="1"/>
  <c r="B436" i="15"/>
  <c r="B435" i="15"/>
  <c r="B434" i="15"/>
  <c r="C435" i="15" s="1"/>
  <c r="B433" i="15"/>
  <c r="C433" i="15" s="1"/>
  <c r="B432" i="15"/>
  <c r="B431" i="15"/>
  <c r="B430" i="15"/>
  <c r="C431" i="15" s="1"/>
  <c r="B429" i="15"/>
  <c r="B428" i="15"/>
  <c r="B427" i="15"/>
  <c r="B426" i="15"/>
  <c r="B425" i="15"/>
  <c r="B424" i="15"/>
  <c r="B423" i="15"/>
  <c r="C424" i="15" s="1"/>
  <c r="B422" i="15"/>
  <c r="B421" i="15"/>
  <c r="B420" i="15"/>
  <c r="C420" i="15" s="1"/>
  <c r="B419" i="15"/>
  <c r="B418" i="15"/>
  <c r="C419" i="15" s="1"/>
  <c r="B417" i="15"/>
  <c r="B416" i="15"/>
  <c r="C417" i="15" s="1"/>
  <c r="B415" i="15"/>
  <c r="B414" i="15"/>
  <c r="C414" i="15" s="1"/>
  <c r="C413" i="15"/>
  <c r="B413" i="15"/>
  <c r="B412" i="15"/>
  <c r="B411" i="15"/>
  <c r="C412" i="15" s="1"/>
  <c r="B410" i="15"/>
  <c r="B409" i="15"/>
  <c r="C410" i="15" s="1"/>
  <c r="B408" i="15"/>
  <c r="B407" i="15"/>
  <c r="C407" i="15" s="1"/>
  <c r="B406" i="15"/>
  <c r="C406" i="15" s="1"/>
  <c r="B405" i="15"/>
  <c r="B404" i="15"/>
  <c r="B403" i="15"/>
  <c r="C404" i="15" s="1"/>
  <c r="B402" i="15"/>
  <c r="C403" i="15" s="1"/>
  <c r="B401" i="15"/>
  <c r="C400" i="15"/>
  <c r="B400" i="15"/>
  <c r="B399" i="15"/>
  <c r="B398" i="15"/>
  <c r="C399" i="15" s="1"/>
  <c r="B397" i="15"/>
  <c r="B396" i="15"/>
  <c r="C396" i="15" s="1"/>
  <c r="B395" i="15"/>
  <c r="B394" i="15"/>
  <c r="B393" i="15"/>
  <c r="B392" i="15"/>
  <c r="C393" i="15" s="1"/>
  <c r="B391" i="15"/>
  <c r="C391" i="15" s="1"/>
  <c r="B390" i="15"/>
  <c r="C390" i="15" s="1"/>
  <c r="B389" i="15"/>
  <c r="B388" i="15"/>
  <c r="B387" i="15"/>
  <c r="C387" i="15" s="1"/>
  <c r="B386" i="15"/>
  <c r="B385" i="15"/>
  <c r="C386" i="15" s="1"/>
  <c r="B384" i="15"/>
  <c r="C385" i="15" s="1"/>
  <c r="B383" i="15"/>
  <c r="B382" i="15"/>
  <c r="C382" i="15" s="1"/>
  <c r="B381" i="15"/>
  <c r="B380" i="15"/>
  <c r="C381" i="15" s="1"/>
  <c r="B379" i="15"/>
  <c r="B378" i="15"/>
  <c r="B377" i="15"/>
  <c r="C378" i="15" s="1"/>
  <c r="C376" i="15"/>
  <c r="B376" i="15"/>
  <c r="B375" i="15"/>
  <c r="B374" i="15"/>
  <c r="C375" i="15" s="1"/>
  <c r="C373" i="15"/>
  <c r="B373" i="15"/>
  <c r="C372" i="15"/>
  <c r="B372" i="15"/>
  <c r="B371" i="15"/>
  <c r="C370" i="15"/>
  <c r="B370" i="15"/>
  <c r="B369" i="15"/>
  <c r="B368" i="15"/>
  <c r="C369" i="15" s="1"/>
  <c r="B367" i="15"/>
  <c r="C367" i="15" s="1"/>
  <c r="B366" i="15"/>
  <c r="B365" i="15"/>
  <c r="B364" i="15"/>
  <c r="B363" i="15"/>
  <c r="B362" i="15"/>
  <c r="B361" i="15"/>
  <c r="C362" i="15" s="1"/>
  <c r="B360" i="15"/>
  <c r="B359" i="15"/>
  <c r="C360" i="15" s="1"/>
  <c r="B358" i="15"/>
  <c r="B357" i="15"/>
  <c r="C358" i="15" s="1"/>
  <c r="B356" i="15"/>
  <c r="B355" i="15"/>
  <c r="B354" i="15"/>
  <c r="B353" i="15"/>
  <c r="B352" i="15"/>
  <c r="B351" i="15"/>
  <c r="C352" i="15" s="1"/>
  <c r="B350" i="15"/>
  <c r="B349" i="15"/>
  <c r="C350" i="15" s="1"/>
  <c r="B348" i="15"/>
  <c r="B347" i="15"/>
  <c r="C347" i="15" s="1"/>
  <c r="B346" i="15"/>
  <c r="B345" i="15"/>
  <c r="C346" i="15" s="1"/>
  <c r="B344" i="15"/>
  <c r="B343" i="15"/>
  <c r="B342" i="15"/>
  <c r="B341" i="15"/>
  <c r="B340" i="15"/>
  <c r="C340" i="15" s="1"/>
  <c r="B339" i="15"/>
  <c r="B338" i="15"/>
  <c r="C339" i="15" s="1"/>
  <c r="C337" i="15"/>
  <c r="B337" i="15"/>
  <c r="B336" i="15"/>
  <c r="B335" i="15"/>
  <c r="C336" i="15" s="1"/>
  <c r="C334" i="15"/>
  <c r="B334" i="15"/>
  <c r="C333" i="15"/>
  <c r="B333" i="15"/>
  <c r="B332" i="15"/>
  <c r="C331" i="15"/>
  <c r="B331" i="15"/>
  <c r="B330" i="15"/>
  <c r="B329" i="15"/>
  <c r="C330" i="15" s="1"/>
  <c r="B328" i="15"/>
  <c r="B327" i="15"/>
  <c r="C328" i="15" s="1"/>
  <c r="B326" i="15"/>
  <c r="B325" i="15"/>
  <c r="C326" i="15" s="1"/>
  <c r="B324" i="15"/>
  <c r="C324" i="15" s="1"/>
  <c r="B323" i="15"/>
  <c r="B322" i="15"/>
  <c r="C323" i="15" s="1"/>
  <c r="C321" i="15"/>
  <c r="B321" i="15"/>
  <c r="B320" i="15"/>
  <c r="B319" i="15"/>
  <c r="B318" i="15"/>
  <c r="B317" i="15"/>
  <c r="B316" i="15"/>
  <c r="C317" i="15" s="1"/>
  <c r="B315" i="15"/>
  <c r="B314" i="15"/>
  <c r="B313" i="15"/>
  <c r="B312" i="15"/>
  <c r="B311" i="15"/>
  <c r="B310" i="15"/>
  <c r="B309" i="15"/>
  <c r="B308" i="15"/>
  <c r="B307" i="15"/>
  <c r="B306" i="15"/>
  <c r="B305" i="15"/>
  <c r="B304" i="15"/>
  <c r="B303" i="15"/>
  <c r="B302" i="15"/>
  <c r="B301" i="15"/>
  <c r="B300" i="15"/>
  <c r="C301" i="15" s="1"/>
  <c r="B299" i="15"/>
  <c r="B298" i="15"/>
  <c r="C299" i="15" s="1"/>
  <c r="B297" i="15"/>
  <c r="B296" i="15"/>
  <c r="C295" i="15"/>
  <c r="B295" i="15"/>
  <c r="B294" i="15"/>
  <c r="C294" i="15" s="1"/>
  <c r="B293" i="15"/>
  <c r="B292" i="15"/>
  <c r="B291" i="15"/>
  <c r="B290" i="15"/>
  <c r="C291" i="15" s="1"/>
  <c r="B289" i="15"/>
  <c r="B288" i="15"/>
  <c r="C288" i="15" s="1"/>
  <c r="B287" i="15"/>
  <c r="B286" i="15"/>
  <c r="C287" i="15" s="1"/>
  <c r="B285" i="15"/>
  <c r="B284" i="15"/>
  <c r="B283" i="15"/>
  <c r="B282" i="15"/>
  <c r="B281" i="15"/>
  <c r="C281" i="15" s="1"/>
  <c r="B280" i="15"/>
  <c r="B279" i="15"/>
  <c r="C280" i="15" s="1"/>
  <c r="B278" i="15"/>
  <c r="B277" i="15"/>
  <c r="C278" i="15" s="1"/>
  <c r="B276" i="15"/>
  <c r="C275" i="15"/>
  <c r="B275" i="15"/>
  <c r="B274" i="15"/>
  <c r="B273" i="15"/>
  <c r="B272" i="15"/>
  <c r="B271" i="15"/>
  <c r="B270" i="15"/>
  <c r="C271" i="15" s="1"/>
  <c r="B269" i="15"/>
  <c r="B268" i="15"/>
  <c r="C268" i="15" s="1"/>
  <c r="B267" i="15"/>
  <c r="B266" i="15"/>
  <c r="C267" i="15" s="1"/>
  <c r="B265" i="15"/>
  <c r="C265" i="15" s="1"/>
  <c r="B264" i="15"/>
  <c r="B263" i="15"/>
  <c r="B262" i="15"/>
  <c r="B261" i="15"/>
  <c r="C262" i="15" s="1"/>
  <c r="B260" i="15"/>
  <c r="B259" i="15"/>
  <c r="C260" i="15" s="1"/>
  <c r="B258" i="15"/>
  <c r="B257" i="15"/>
  <c r="C258" i="15" s="1"/>
  <c r="B256" i="15"/>
  <c r="B255" i="15"/>
  <c r="C256" i="15" s="1"/>
  <c r="B254" i="15"/>
  <c r="B253" i="15"/>
  <c r="C254" i="15" s="1"/>
  <c r="C252" i="15"/>
  <c r="B252" i="15"/>
  <c r="B251" i="15"/>
  <c r="B250" i="15"/>
  <c r="C251" i="15" s="1"/>
  <c r="B249" i="15"/>
  <c r="C249" i="15" s="1"/>
  <c r="B248" i="15"/>
  <c r="B247" i="15"/>
  <c r="B246" i="15"/>
  <c r="C247" i="15" s="1"/>
  <c r="B245" i="15"/>
  <c r="B244" i="15"/>
  <c r="C245" i="15" s="1"/>
  <c r="B243" i="15"/>
  <c r="B242" i="15"/>
  <c r="B241" i="15"/>
  <c r="C242" i="15" s="1"/>
  <c r="B240" i="15"/>
  <c r="B239" i="15"/>
  <c r="C240" i="15" s="1"/>
  <c r="B238" i="15"/>
  <c r="B237" i="15"/>
  <c r="C238" i="15" s="1"/>
  <c r="B236" i="15"/>
  <c r="B235" i="15"/>
  <c r="B234" i="15"/>
  <c r="B233" i="15"/>
  <c r="B232" i="15"/>
  <c r="B231" i="15"/>
  <c r="C232" i="15" s="1"/>
  <c r="B230" i="15"/>
  <c r="B229" i="15"/>
  <c r="C229" i="15" s="1"/>
  <c r="B228" i="15"/>
  <c r="B227" i="15"/>
  <c r="C228" i="15" s="1"/>
  <c r="B226" i="15"/>
  <c r="B225" i="15"/>
  <c r="B224" i="15"/>
  <c r="B223" i="15"/>
  <c r="C223" i="15" s="1"/>
  <c r="B222" i="15"/>
  <c r="B221" i="15"/>
  <c r="B220" i="15"/>
  <c r="C221" i="15" s="1"/>
  <c r="B219" i="15"/>
  <c r="B218" i="15"/>
  <c r="B217" i="15"/>
  <c r="C218" i="15" s="1"/>
  <c r="B216" i="15"/>
  <c r="C216" i="15" s="1"/>
  <c r="C215" i="15"/>
  <c r="B215" i="15"/>
  <c r="B214" i="15"/>
  <c r="C213" i="15"/>
  <c r="B213" i="15"/>
  <c r="B212" i="15"/>
  <c r="B211" i="15"/>
  <c r="C212" i="15" s="1"/>
  <c r="B210" i="15"/>
  <c r="B209" i="15"/>
  <c r="B208" i="15"/>
  <c r="B207" i="15"/>
  <c r="B206" i="15"/>
  <c r="B205" i="15"/>
  <c r="B204" i="15"/>
  <c r="C205" i="15" s="1"/>
  <c r="B203" i="15"/>
  <c r="B202" i="15"/>
  <c r="B201" i="15"/>
  <c r="C202" i="15" s="1"/>
  <c r="B200" i="15"/>
  <c r="B199" i="15"/>
  <c r="C200" i="15" s="1"/>
  <c r="B198" i="15"/>
  <c r="C199" i="15" s="1"/>
  <c r="B197" i="15"/>
  <c r="B196" i="15"/>
  <c r="B195" i="15"/>
  <c r="B194" i="15"/>
  <c r="B193" i="15"/>
  <c r="C194" i="15" s="1"/>
  <c r="B192" i="15"/>
  <c r="B191" i="15"/>
  <c r="B190" i="15"/>
  <c r="C191" i="15" s="1"/>
  <c r="B189" i="15"/>
  <c r="C190" i="15" s="1"/>
  <c r="B188" i="15"/>
  <c r="B187" i="15"/>
  <c r="C188" i="15" s="1"/>
  <c r="B186" i="15"/>
  <c r="B185" i="15"/>
  <c r="C186" i="15" s="1"/>
  <c r="B184" i="15"/>
  <c r="B183" i="15"/>
  <c r="B182" i="15"/>
  <c r="B181" i="15"/>
  <c r="C182" i="15" s="1"/>
  <c r="B180" i="15"/>
  <c r="B179" i="15"/>
  <c r="B178" i="15"/>
  <c r="C179" i="15" s="1"/>
  <c r="B177" i="15"/>
  <c r="B176" i="15"/>
  <c r="B175" i="15"/>
  <c r="B174" i="15"/>
  <c r="B173" i="15"/>
  <c r="B172" i="15"/>
  <c r="B171" i="15"/>
  <c r="C172" i="15" s="1"/>
  <c r="B170" i="15"/>
  <c r="B169" i="15"/>
  <c r="C170" i="15" s="1"/>
  <c r="B168" i="15"/>
  <c r="B167" i="15"/>
  <c r="C168" i="15" s="1"/>
  <c r="B166" i="15"/>
  <c r="B165" i="15"/>
  <c r="C166" i="15" s="1"/>
  <c r="B164" i="15"/>
  <c r="B163" i="15"/>
  <c r="C164" i="15" s="1"/>
  <c r="C162" i="15"/>
  <c r="B162" i="15"/>
  <c r="B161" i="15"/>
  <c r="B160" i="15"/>
  <c r="C161" i="15" s="1"/>
  <c r="B159" i="15"/>
  <c r="B158" i="15"/>
  <c r="B157" i="15"/>
  <c r="B156" i="15"/>
  <c r="B155" i="15"/>
  <c r="B154" i="15"/>
  <c r="C155" i="15" s="1"/>
  <c r="B153" i="15"/>
  <c r="B152" i="15"/>
  <c r="B151" i="15"/>
  <c r="B150" i="15"/>
  <c r="C151" i="15" s="1"/>
  <c r="B149" i="15"/>
  <c r="C150" i="15" s="1"/>
  <c r="B148" i="15"/>
  <c r="B147" i="15"/>
  <c r="C148" i="15" s="1"/>
  <c r="B146" i="15"/>
  <c r="B145" i="15"/>
  <c r="C146" i="15" s="1"/>
  <c r="B144" i="15"/>
  <c r="C144" i="15" s="1"/>
  <c r="B143" i="15"/>
  <c r="B142" i="15"/>
  <c r="C143" i="15" s="1"/>
  <c r="B141" i="15"/>
  <c r="B140" i="15"/>
  <c r="B139" i="15"/>
  <c r="C140" i="15" s="1"/>
  <c r="B138" i="15"/>
  <c r="B137" i="15"/>
  <c r="B136" i="15"/>
  <c r="C137" i="15" s="1"/>
  <c r="B135" i="15"/>
  <c r="C136" i="15" s="1"/>
  <c r="B134" i="15"/>
  <c r="B133" i="15"/>
  <c r="C134" i="15" s="1"/>
  <c r="B132" i="15"/>
  <c r="B131" i="15"/>
  <c r="C132" i="15" s="1"/>
  <c r="B130" i="15"/>
  <c r="B129" i="15"/>
  <c r="B128" i="15"/>
  <c r="B127" i="15"/>
  <c r="C128" i="15" s="1"/>
  <c r="B126" i="15"/>
  <c r="C126" i="15" s="1"/>
  <c r="B125" i="15"/>
  <c r="B124" i="15"/>
  <c r="C125" i="15" s="1"/>
  <c r="B123" i="15"/>
  <c r="B122" i="15"/>
  <c r="B121" i="15"/>
  <c r="B120" i="15"/>
  <c r="B119" i="15"/>
  <c r="B118" i="15"/>
  <c r="B117" i="15"/>
  <c r="C118" i="15" s="1"/>
  <c r="B116" i="15"/>
  <c r="B115" i="15"/>
  <c r="C116" i="15" s="1"/>
  <c r="B114" i="15"/>
  <c r="B113" i="15"/>
  <c r="C114" i="15" s="1"/>
  <c r="B112" i="15"/>
  <c r="B111" i="15"/>
  <c r="C112" i="15" s="1"/>
  <c r="B110" i="15"/>
  <c r="B109" i="15"/>
  <c r="C110" i="15" s="1"/>
  <c r="C108" i="15"/>
  <c r="B108" i="15"/>
  <c r="B107" i="15"/>
  <c r="B106" i="15"/>
  <c r="C107" i="15" s="1"/>
  <c r="B105" i="15"/>
  <c r="B104" i="15"/>
  <c r="B103" i="15"/>
  <c r="B102" i="15"/>
  <c r="B101" i="15"/>
  <c r="B100" i="15"/>
  <c r="C101" i="15" s="1"/>
  <c r="B99" i="15"/>
  <c r="B98" i="15"/>
  <c r="B97" i="15"/>
  <c r="B96" i="15"/>
  <c r="C97" i="15" s="1"/>
  <c r="B95" i="15"/>
  <c r="C96" i="15" s="1"/>
  <c r="B94" i="15"/>
  <c r="B93" i="15"/>
  <c r="C94" i="15" s="1"/>
  <c r="B92" i="15"/>
  <c r="B91" i="15"/>
  <c r="C92" i="15" s="1"/>
  <c r="B90" i="15"/>
  <c r="C90" i="15" s="1"/>
  <c r="B89" i="15"/>
  <c r="B88" i="15"/>
  <c r="C89" i="15" s="1"/>
  <c r="B87" i="15"/>
  <c r="B86" i="15"/>
  <c r="B85" i="15"/>
  <c r="C86" i="15" s="1"/>
  <c r="B84" i="15"/>
  <c r="B83" i="15"/>
  <c r="B82" i="15"/>
  <c r="C83" i="15" s="1"/>
  <c r="B81" i="15"/>
  <c r="C82" i="15" s="1"/>
  <c r="B80" i="15"/>
  <c r="B79" i="15"/>
  <c r="C80" i="15" s="1"/>
  <c r="B78" i="15"/>
  <c r="B77" i="15"/>
  <c r="C78" i="15" s="1"/>
  <c r="B76" i="15"/>
  <c r="B75" i="15"/>
  <c r="B74" i="15"/>
  <c r="B73" i="15"/>
  <c r="C74" i="15" s="1"/>
  <c r="B72" i="15"/>
  <c r="C72" i="15" s="1"/>
  <c r="B71" i="15"/>
  <c r="B70" i="15"/>
  <c r="C71" i="15" s="1"/>
  <c r="B69" i="15"/>
  <c r="B68" i="15"/>
  <c r="B67" i="15"/>
  <c r="B66" i="15"/>
  <c r="B65" i="15"/>
  <c r="B64" i="15"/>
  <c r="C63" i="15"/>
  <c r="B63" i="15"/>
  <c r="B62" i="15"/>
  <c r="B61" i="15"/>
  <c r="B60" i="15"/>
  <c r="C61" i="15" s="1"/>
  <c r="B59" i="15"/>
  <c r="B58" i="15"/>
  <c r="C59" i="15" s="1"/>
  <c r="B57" i="15"/>
  <c r="B56" i="15"/>
  <c r="C55" i="15"/>
  <c r="B55" i="15"/>
  <c r="B54" i="15"/>
  <c r="B53" i="15"/>
  <c r="C54" i="15" s="1"/>
  <c r="B52" i="15"/>
  <c r="B51" i="15"/>
  <c r="C52" i="15" s="1"/>
  <c r="B50" i="15"/>
  <c r="C51" i="15" s="1"/>
  <c r="B49" i="15"/>
  <c r="C48" i="15"/>
  <c r="B48" i="15"/>
  <c r="B47" i="15"/>
  <c r="B46" i="15"/>
  <c r="B45" i="15"/>
  <c r="B44" i="15"/>
  <c r="C45" i="15" s="1"/>
  <c r="C43" i="15"/>
  <c r="B43" i="15"/>
  <c r="B42" i="15"/>
  <c r="B41" i="15"/>
  <c r="B40" i="15"/>
  <c r="C41" i="15" s="1"/>
  <c r="B39" i="15"/>
  <c r="C39" i="15" s="1"/>
  <c r="B38" i="15"/>
  <c r="B37" i="15"/>
  <c r="C38" i="15" s="1"/>
  <c r="C36" i="15"/>
  <c r="B36" i="15"/>
  <c r="B35" i="15"/>
  <c r="B34" i="15"/>
  <c r="C35" i="15" s="1"/>
  <c r="B33" i="15"/>
  <c r="B32" i="15"/>
  <c r="C33" i="15" s="1"/>
  <c r="B31" i="15"/>
  <c r="C31" i="15" s="1"/>
  <c r="B30" i="15"/>
  <c r="B29" i="15"/>
  <c r="C30" i="15" s="1"/>
  <c r="B28" i="15"/>
  <c r="C27" i="15"/>
  <c r="B27" i="15"/>
  <c r="B26" i="15"/>
  <c r="B25" i="15"/>
  <c r="C26" i="15" s="1"/>
  <c r="B24" i="15"/>
  <c r="C25" i="15" s="1"/>
  <c r="B23" i="15"/>
  <c r="B22" i="15"/>
  <c r="B21" i="15"/>
  <c r="B20" i="15"/>
  <c r="B19" i="15"/>
  <c r="C19" i="15" s="1"/>
  <c r="B18" i="15"/>
  <c r="B17" i="15"/>
  <c r="C18" i="15" s="1"/>
  <c r="B16" i="15"/>
  <c r="B15" i="15"/>
  <c r="C15" i="15" s="1"/>
  <c r="B14" i="15"/>
  <c r="B13" i="15"/>
  <c r="B12" i="15"/>
  <c r="C13" i="15" s="1"/>
  <c r="B11" i="15"/>
  <c r="B10" i="15"/>
  <c r="C11" i="15" s="1"/>
  <c r="B9" i="15"/>
  <c r="B8" i="15"/>
  <c r="B7" i="15"/>
  <c r="C7" i="15" s="1"/>
  <c r="B6" i="15"/>
  <c r="C905" i="14"/>
  <c r="D905" i="14" s="1"/>
  <c r="B905" i="14"/>
  <c r="C904" i="14"/>
  <c r="B904" i="14"/>
  <c r="C903" i="14"/>
  <c r="D903" i="14" s="1"/>
  <c r="B903" i="14"/>
  <c r="C902" i="14"/>
  <c r="D902" i="14" s="1"/>
  <c r="B902" i="14"/>
  <c r="C901" i="14"/>
  <c r="B901" i="14"/>
  <c r="C900" i="14"/>
  <c r="B900" i="14"/>
  <c r="C899" i="14"/>
  <c r="B899" i="14"/>
  <c r="D898" i="14"/>
  <c r="C898" i="14"/>
  <c r="B898" i="14"/>
  <c r="C897" i="14"/>
  <c r="D897" i="14" s="1"/>
  <c r="B897" i="14"/>
  <c r="C896" i="14"/>
  <c r="B896" i="14"/>
  <c r="C895" i="14"/>
  <c r="D895" i="14" s="1"/>
  <c r="B895" i="14"/>
  <c r="C894" i="14"/>
  <c r="D894" i="14" s="1"/>
  <c r="B894" i="14"/>
  <c r="C893" i="14"/>
  <c r="D893" i="14" s="1"/>
  <c r="B893" i="14"/>
  <c r="C892" i="14"/>
  <c r="B892" i="14"/>
  <c r="D891" i="14"/>
  <c r="C891" i="14"/>
  <c r="B891" i="14"/>
  <c r="C890" i="14"/>
  <c r="B890" i="14"/>
  <c r="C889" i="14"/>
  <c r="D901" i="14" s="1"/>
  <c r="B889" i="14"/>
  <c r="C888" i="14"/>
  <c r="B888" i="14"/>
  <c r="D887" i="14"/>
  <c r="C887" i="14"/>
  <c r="D899" i="14" s="1"/>
  <c r="B887" i="14"/>
  <c r="C886" i="14"/>
  <c r="B886" i="14"/>
  <c r="C885" i="14"/>
  <c r="B885" i="14"/>
  <c r="C884" i="14"/>
  <c r="B884" i="14"/>
  <c r="C883" i="14"/>
  <c r="D883" i="14" s="1"/>
  <c r="B883" i="14"/>
  <c r="C882" i="14"/>
  <c r="D882" i="14" s="1"/>
  <c r="B882" i="14"/>
  <c r="C881" i="14"/>
  <c r="D881" i="14" s="1"/>
  <c r="B881" i="14"/>
  <c r="C880" i="14"/>
  <c r="D892" i="14" s="1"/>
  <c r="B880" i="14"/>
  <c r="C879" i="14"/>
  <c r="B879" i="14"/>
  <c r="C878" i="14"/>
  <c r="D890" i="14" s="1"/>
  <c r="B878" i="14"/>
  <c r="C877" i="14"/>
  <c r="B877" i="14"/>
  <c r="C876" i="14"/>
  <c r="D888" i="14" s="1"/>
  <c r="B876" i="14"/>
  <c r="C875" i="14"/>
  <c r="B875" i="14"/>
  <c r="C874" i="14"/>
  <c r="D886" i="14" s="1"/>
  <c r="B874" i="14"/>
  <c r="C873" i="14"/>
  <c r="D885" i="14" s="1"/>
  <c r="B873" i="14"/>
  <c r="C872" i="14"/>
  <c r="B872" i="14"/>
  <c r="D871" i="14"/>
  <c r="C871" i="14"/>
  <c r="B871" i="14"/>
  <c r="C870" i="14"/>
  <c r="B870" i="14"/>
  <c r="C869" i="14"/>
  <c r="B869" i="14"/>
  <c r="C868" i="14"/>
  <c r="B868" i="14"/>
  <c r="C867" i="14"/>
  <c r="D879" i="14" s="1"/>
  <c r="B867" i="14"/>
  <c r="C866" i="14"/>
  <c r="B866" i="14"/>
  <c r="C865" i="14"/>
  <c r="B865" i="14"/>
  <c r="C864" i="14"/>
  <c r="B864" i="14"/>
  <c r="C863" i="14"/>
  <c r="D875" i="14" s="1"/>
  <c r="B863" i="14"/>
  <c r="C862" i="14"/>
  <c r="B862" i="14"/>
  <c r="C861" i="14"/>
  <c r="D873" i="14" s="1"/>
  <c r="B861" i="14"/>
  <c r="C860" i="14"/>
  <c r="B860" i="14"/>
  <c r="C859" i="14"/>
  <c r="B859" i="14"/>
  <c r="C858" i="14"/>
  <c r="B858" i="14"/>
  <c r="C857" i="14"/>
  <c r="D857" i="14" s="1"/>
  <c r="B857" i="14"/>
  <c r="C856" i="14"/>
  <c r="D868" i="14" s="1"/>
  <c r="B856" i="14"/>
  <c r="C855" i="14"/>
  <c r="B855" i="14"/>
  <c r="C854" i="14"/>
  <c r="D866" i="14" s="1"/>
  <c r="B854" i="14"/>
  <c r="C853" i="14"/>
  <c r="B853" i="14"/>
  <c r="C852" i="14"/>
  <c r="D864" i="14" s="1"/>
  <c r="B852" i="14"/>
  <c r="C851" i="14"/>
  <c r="B851" i="14"/>
  <c r="C850" i="14"/>
  <c r="D862" i="14" s="1"/>
  <c r="B850" i="14"/>
  <c r="C849" i="14"/>
  <c r="B849" i="14"/>
  <c r="C848" i="14"/>
  <c r="B848" i="14"/>
  <c r="C847" i="14"/>
  <c r="B847" i="14"/>
  <c r="C846" i="14"/>
  <c r="D846" i="14" s="1"/>
  <c r="B846" i="14"/>
  <c r="C845" i="14"/>
  <c r="B845" i="14"/>
  <c r="C844" i="14"/>
  <c r="B844" i="14"/>
  <c r="D843" i="14"/>
  <c r="C843" i="14"/>
  <c r="B843" i="14"/>
  <c r="C842" i="14"/>
  <c r="B842" i="14"/>
  <c r="C841" i="14"/>
  <c r="B841" i="14"/>
  <c r="C840" i="14"/>
  <c r="B840" i="14"/>
  <c r="C839" i="14"/>
  <c r="B839" i="14"/>
  <c r="C838" i="14"/>
  <c r="B838" i="14"/>
  <c r="C837" i="14"/>
  <c r="B837" i="14"/>
  <c r="C836" i="14"/>
  <c r="B836" i="14"/>
  <c r="C835" i="14"/>
  <c r="D835" i="14" s="1"/>
  <c r="B835" i="14"/>
  <c r="C834" i="14"/>
  <c r="D834" i="14" s="1"/>
  <c r="B834" i="14"/>
  <c r="C833" i="14"/>
  <c r="D833" i="14" s="1"/>
  <c r="B833" i="14"/>
  <c r="C832" i="14"/>
  <c r="B832" i="14"/>
  <c r="C831" i="14"/>
  <c r="B831" i="14"/>
  <c r="C830" i="14"/>
  <c r="D842" i="14" s="1"/>
  <c r="B830" i="14"/>
  <c r="C829" i="14"/>
  <c r="B829" i="14"/>
  <c r="C828" i="14"/>
  <c r="D840" i="14" s="1"/>
  <c r="B828" i="14"/>
  <c r="C827" i="14"/>
  <c r="B827" i="14"/>
  <c r="C826" i="14"/>
  <c r="B826" i="14"/>
  <c r="C825" i="14"/>
  <c r="B825" i="14"/>
  <c r="C824" i="14"/>
  <c r="D836" i="14" s="1"/>
  <c r="B824" i="14"/>
  <c r="C823" i="14"/>
  <c r="B823" i="14"/>
  <c r="C822" i="14"/>
  <c r="D822" i="14" s="1"/>
  <c r="B822" i="14"/>
  <c r="D821" i="14"/>
  <c r="C821" i="14"/>
  <c r="B821" i="14"/>
  <c r="C820" i="14"/>
  <c r="B820" i="14"/>
  <c r="C819" i="14"/>
  <c r="D831" i="14" s="1"/>
  <c r="B819" i="14"/>
  <c r="C818" i="14"/>
  <c r="B818" i="14"/>
  <c r="C817" i="14"/>
  <c r="D829" i="14" s="1"/>
  <c r="B817" i="14"/>
  <c r="C816" i="14"/>
  <c r="B816" i="14"/>
  <c r="C815" i="14"/>
  <c r="B815" i="14"/>
  <c r="C814" i="14"/>
  <c r="B814" i="14"/>
  <c r="D813" i="14"/>
  <c r="C813" i="14"/>
  <c r="D825" i="14" s="1"/>
  <c r="B813" i="14"/>
  <c r="C812" i="14"/>
  <c r="B812" i="14"/>
  <c r="C811" i="14"/>
  <c r="D811" i="14" s="1"/>
  <c r="B811" i="14"/>
  <c r="C810" i="14"/>
  <c r="B810" i="14"/>
  <c r="C809" i="14"/>
  <c r="B809" i="14"/>
  <c r="C808" i="14"/>
  <c r="D820" i="14" s="1"/>
  <c r="B808" i="14"/>
  <c r="C807" i="14"/>
  <c r="D807" i="14" s="1"/>
  <c r="B807" i="14"/>
  <c r="C806" i="14"/>
  <c r="B806" i="14"/>
  <c r="C805" i="14"/>
  <c r="B805" i="14"/>
  <c r="C804" i="14"/>
  <c r="B804" i="14"/>
  <c r="C803" i="14"/>
  <c r="D815" i="14" s="1"/>
  <c r="B803" i="14"/>
  <c r="C802" i="14"/>
  <c r="D814" i="14" s="1"/>
  <c r="B802" i="14"/>
  <c r="C801" i="14"/>
  <c r="B801" i="14"/>
  <c r="C800" i="14"/>
  <c r="D812" i="14" s="1"/>
  <c r="B800" i="14"/>
  <c r="C799" i="14"/>
  <c r="D799" i="14" s="1"/>
  <c r="B799" i="14"/>
  <c r="C798" i="14"/>
  <c r="D810" i="14" s="1"/>
  <c r="B798" i="14"/>
  <c r="D797" i="14"/>
  <c r="C797" i="14"/>
  <c r="B797" i="14"/>
  <c r="C796" i="14"/>
  <c r="B796" i="14"/>
  <c r="C795" i="14"/>
  <c r="D795" i="14" s="1"/>
  <c r="B795" i="14"/>
  <c r="C794" i="14"/>
  <c r="B794" i="14"/>
  <c r="C793" i="14"/>
  <c r="D805" i="14" s="1"/>
  <c r="B793" i="14"/>
  <c r="C792" i="14"/>
  <c r="B792" i="14"/>
  <c r="C791" i="14"/>
  <c r="B791" i="14"/>
  <c r="C790" i="14"/>
  <c r="D802" i="14" s="1"/>
  <c r="B790" i="14"/>
  <c r="C789" i="14"/>
  <c r="B789" i="14"/>
  <c r="C788" i="14"/>
  <c r="B788" i="14"/>
  <c r="C787" i="14"/>
  <c r="B787" i="14"/>
  <c r="C786" i="14"/>
  <c r="D798" i="14" s="1"/>
  <c r="B786" i="14"/>
  <c r="D785" i="14"/>
  <c r="C785" i="14"/>
  <c r="B785" i="14"/>
  <c r="C784" i="14"/>
  <c r="B784" i="14"/>
  <c r="C783" i="14"/>
  <c r="D783" i="14" s="1"/>
  <c r="B783" i="14"/>
  <c r="C782" i="14"/>
  <c r="D794" i="14" s="1"/>
  <c r="B782" i="14"/>
  <c r="C781" i="14"/>
  <c r="B781" i="14"/>
  <c r="C780" i="14"/>
  <c r="D792" i="14" s="1"/>
  <c r="B780" i="14"/>
  <c r="C779" i="14"/>
  <c r="B779" i="14"/>
  <c r="C778" i="14"/>
  <c r="B778" i="14"/>
  <c r="C777" i="14"/>
  <c r="D777" i="14" s="1"/>
  <c r="B777" i="14"/>
  <c r="C776" i="14"/>
  <c r="B776" i="14"/>
  <c r="C775" i="14"/>
  <c r="D787" i="14" s="1"/>
  <c r="B775" i="14"/>
  <c r="C774" i="14"/>
  <c r="B774" i="14"/>
  <c r="D773" i="14"/>
  <c r="C773" i="14"/>
  <c r="B773" i="14"/>
  <c r="C772" i="14"/>
  <c r="D784" i="14" s="1"/>
  <c r="B772" i="14"/>
  <c r="C771" i="14"/>
  <c r="D771" i="14" s="1"/>
  <c r="B771" i="14"/>
  <c r="C770" i="14"/>
  <c r="B770" i="14"/>
  <c r="C769" i="14"/>
  <c r="D781" i="14" s="1"/>
  <c r="B769" i="14"/>
  <c r="C768" i="14"/>
  <c r="D780" i="14" s="1"/>
  <c r="B768" i="14"/>
  <c r="C767" i="14"/>
  <c r="D767" i="14" s="1"/>
  <c r="B767" i="14"/>
  <c r="C766" i="14"/>
  <c r="B766" i="14"/>
  <c r="C765" i="14"/>
  <c r="D765" i="14" s="1"/>
  <c r="B765" i="14"/>
  <c r="C764" i="14"/>
  <c r="B764" i="14"/>
  <c r="C763" i="14"/>
  <c r="D775" i="14" s="1"/>
  <c r="B763" i="14"/>
  <c r="C762" i="14"/>
  <c r="D774" i="14" s="1"/>
  <c r="B762" i="14"/>
  <c r="D761" i="14"/>
  <c r="C761" i="14"/>
  <c r="B761" i="14"/>
  <c r="C760" i="14"/>
  <c r="B760" i="14"/>
  <c r="C759" i="14"/>
  <c r="D759" i="14" s="1"/>
  <c r="B759" i="14"/>
  <c r="C758" i="14"/>
  <c r="D770" i="14" s="1"/>
  <c r="B758" i="14"/>
  <c r="C757" i="14"/>
  <c r="B757" i="14"/>
  <c r="C756" i="14"/>
  <c r="D768" i="14" s="1"/>
  <c r="B756" i="14"/>
  <c r="C755" i="14"/>
  <c r="B755" i="14"/>
  <c r="C754" i="14"/>
  <c r="B754" i="14"/>
  <c r="C753" i="14"/>
  <c r="D753" i="14" s="1"/>
  <c r="B753" i="14"/>
  <c r="C752" i="14"/>
  <c r="B752" i="14"/>
  <c r="C751" i="14"/>
  <c r="B751" i="14"/>
  <c r="C750" i="14"/>
  <c r="B750" i="14"/>
  <c r="D749" i="14"/>
  <c r="C749" i="14"/>
  <c r="B749" i="14"/>
  <c r="C748" i="14"/>
  <c r="D760" i="14" s="1"/>
  <c r="B748" i="14"/>
  <c r="C747" i="14"/>
  <c r="D747" i="14" s="1"/>
  <c r="B747" i="14"/>
  <c r="C746" i="14"/>
  <c r="B746" i="14"/>
  <c r="C745" i="14"/>
  <c r="D757" i="14" s="1"/>
  <c r="B745" i="14"/>
  <c r="C744" i="14"/>
  <c r="D756" i="14" s="1"/>
  <c r="B744" i="14"/>
  <c r="C743" i="14"/>
  <c r="D743" i="14" s="1"/>
  <c r="B743" i="14"/>
  <c r="C742" i="14"/>
  <c r="B742" i="14"/>
  <c r="C741" i="14"/>
  <c r="D741" i="14" s="1"/>
  <c r="B741" i="14"/>
  <c r="C740" i="14"/>
  <c r="B740" i="14"/>
  <c r="C739" i="14"/>
  <c r="D751" i="14" s="1"/>
  <c r="B739" i="14"/>
  <c r="C738" i="14"/>
  <c r="D750" i="14" s="1"/>
  <c r="B738" i="14"/>
  <c r="D737" i="14"/>
  <c r="C737" i="14"/>
  <c r="B737" i="14"/>
  <c r="C736" i="14"/>
  <c r="B736" i="14"/>
  <c r="C735" i="14"/>
  <c r="D735" i="14" s="1"/>
  <c r="B735" i="14"/>
  <c r="C734" i="14"/>
  <c r="D746" i="14" s="1"/>
  <c r="B734" i="14"/>
  <c r="C733" i="14"/>
  <c r="B733" i="14"/>
  <c r="C732" i="14"/>
  <c r="D744" i="14" s="1"/>
  <c r="B732" i="14"/>
  <c r="C731" i="14"/>
  <c r="B731" i="14"/>
  <c r="C730" i="14"/>
  <c r="B730" i="14"/>
  <c r="C729" i="14"/>
  <c r="D729" i="14" s="1"/>
  <c r="B729" i="14"/>
  <c r="C728" i="14"/>
  <c r="B728" i="14"/>
  <c r="C727" i="14"/>
  <c r="D727" i="14" s="1"/>
  <c r="B727" i="14"/>
  <c r="C726" i="14"/>
  <c r="B726" i="14"/>
  <c r="D725" i="14"/>
  <c r="C725" i="14"/>
  <c r="B725" i="14"/>
  <c r="C724" i="14"/>
  <c r="D736" i="14" s="1"/>
  <c r="B724" i="14"/>
  <c r="C723" i="14"/>
  <c r="D723" i="14" s="1"/>
  <c r="B723" i="14"/>
  <c r="C722" i="14"/>
  <c r="B722" i="14"/>
  <c r="C721" i="14"/>
  <c r="D733" i="14" s="1"/>
  <c r="B721" i="14"/>
  <c r="C720" i="14"/>
  <c r="D732" i="14" s="1"/>
  <c r="B720" i="14"/>
  <c r="C719" i="14"/>
  <c r="D719" i="14" s="1"/>
  <c r="B719" i="14"/>
  <c r="C718" i="14"/>
  <c r="B718" i="14"/>
  <c r="C717" i="14"/>
  <c r="D717" i="14" s="1"/>
  <c r="B717" i="14"/>
  <c r="C716" i="14"/>
  <c r="B716" i="14"/>
  <c r="C715" i="14"/>
  <c r="D715" i="14" s="1"/>
  <c r="B715" i="14"/>
  <c r="C714" i="14"/>
  <c r="D726" i="14" s="1"/>
  <c r="B714" i="14"/>
  <c r="D713" i="14"/>
  <c r="C713" i="14"/>
  <c r="B713" i="14"/>
  <c r="C712" i="14"/>
  <c r="B712" i="14"/>
  <c r="C711" i="14"/>
  <c r="D711" i="14" s="1"/>
  <c r="B711" i="14"/>
  <c r="C710" i="14"/>
  <c r="D722" i="14" s="1"/>
  <c r="B710" i="14"/>
  <c r="C709" i="14"/>
  <c r="B709" i="14"/>
  <c r="C708" i="14"/>
  <c r="D720" i="14" s="1"/>
  <c r="B708" i="14"/>
  <c r="C707" i="14"/>
  <c r="B707" i="14"/>
  <c r="C706" i="14"/>
  <c r="B706" i="14"/>
  <c r="C705" i="14"/>
  <c r="D705" i="14" s="1"/>
  <c r="B705" i="14"/>
  <c r="C704" i="14"/>
  <c r="B704" i="14"/>
  <c r="C703" i="14"/>
  <c r="D703" i="14" s="1"/>
  <c r="B703" i="14"/>
  <c r="C702" i="14"/>
  <c r="B702" i="14"/>
  <c r="D701" i="14"/>
  <c r="C701" i="14"/>
  <c r="B701" i="14"/>
  <c r="C700" i="14"/>
  <c r="D712" i="14" s="1"/>
  <c r="B700" i="14"/>
  <c r="C699" i="14"/>
  <c r="D699" i="14" s="1"/>
  <c r="B699" i="14"/>
  <c r="C698" i="14"/>
  <c r="B698" i="14"/>
  <c r="C697" i="14"/>
  <c r="D709" i="14" s="1"/>
  <c r="B697" i="14"/>
  <c r="C696" i="14"/>
  <c r="D708" i="14" s="1"/>
  <c r="B696" i="14"/>
  <c r="C695" i="14"/>
  <c r="D695" i="14" s="1"/>
  <c r="B695" i="14"/>
  <c r="C694" i="14"/>
  <c r="B694" i="14"/>
  <c r="C693" i="14"/>
  <c r="D693" i="14" s="1"/>
  <c r="B693" i="14"/>
  <c r="C692" i="14"/>
  <c r="B692" i="14"/>
  <c r="C691" i="14"/>
  <c r="D691" i="14" s="1"/>
  <c r="B691" i="14"/>
  <c r="C690" i="14"/>
  <c r="D702" i="14" s="1"/>
  <c r="B690" i="14"/>
  <c r="D689" i="14"/>
  <c r="C689" i="14"/>
  <c r="B689" i="14"/>
  <c r="C688" i="14"/>
  <c r="B688" i="14"/>
  <c r="C687" i="14"/>
  <c r="D687" i="14" s="1"/>
  <c r="B687" i="14"/>
  <c r="C686" i="14"/>
  <c r="D698" i="14" s="1"/>
  <c r="B686" i="14"/>
  <c r="C685" i="14"/>
  <c r="B685" i="14"/>
  <c r="C684" i="14"/>
  <c r="D696" i="14" s="1"/>
  <c r="B684" i="14"/>
  <c r="C683" i="14"/>
  <c r="B683" i="14"/>
  <c r="C682" i="14"/>
  <c r="B682" i="14"/>
  <c r="C681" i="14"/>
  <c r="D681" i="14" s="1"/>
  <c r="B681" i="14"/>
  <c r="C680" i="14"/>
  <c r="B680" i="14"/>
  <c r="C679" i="14"/>
  <c r="D679" i="14" s="1"/>
  <c r="B679" i="14"/>
  <c r="C678" i="14"/>
  <c r="B678" i="14"/>
  <c r="D677" i="14"/>
  <c r="C677" i="14"/>
  <c r="B677" i="14"/>
  <c r="C676" i="14"/>
  <c r="D688" i="14" s="1"/>
  <c r="B676" i="14"/>
  <c r="C675" i="14"/>
  <c r="D675" i="14" s="1"/>
  <c r="B675" i="14"/>
  <c r="C674" i="14"/>
  <c r="B674" i="14"/>
  <c r="C673" i="14"/>
  <c r="D685" i="14" s="1"/>
  <c r="B673" i="14"/>
  <c r="C672" i="14"/>
  <c r="D684" i="14" s="1"/>
  <c r="B672" i="14"/>
  <c r="C671" i="14"/>
  <c r="D671" i="14" s="1"/>
  <c r="B671" i="14"/>
  <c r="C670" i="14"/>
  <c r="B670" i="14"/>
  <c r="C669" i="14"/>
  <c r="D669" i="14" s="1"/>
  <c r="B669" i="14"/>
  <c r="C668" i="14"/>
  <c r="B668" i="14"/>
  <c r="C667" i="14"/>
  <c r="D667" i="14" s="1"/>
  <c r="B667" i="14"/>
  <c r="C666" i="14"/>
  <c r="D678" i="14" s="1"/>
  <c r="B666" i="14"/>
  <c r="D665" i="14"/>
  <c r="C665" i="14"/>
  <c r="B665" i="14"/>
  <c r="C664" i="14"/>
  <c r="B664" i="14"/>
  <c r="C663" i="14"/>
  <c r="D663" i="14" s="1"/>
  <c r="B663" i="14"/>
  <c r="C662" i="14"/>
  <c r="D674" i="14" s="1"/>
  <c r="B662" i="14"/>
  <c r="C661" i="14"/>
  <c r="B661" i="14"/>
  <c r="C660" i="14"/>
  <c r="B660" i="14"/>
  <c r="C659" i="14"/>
  <c r="B659" i="14"/>
  <c r="C658" i="14"/>
  <c r="B658" i="14"/>
  <c r="C657" i="14"/>
  <c r="D657" i="14" s="1"/>
  <c r="B657" i="14"/>
  <c r="C656" i="14"/>
  <c r="B656" i="14"/>
  <c r="C655" i="14"/>
  <c r="D655" i="14" s="1"/>
  <c r="B655" i="14"/>
  <c r="C654" i="14"/>
  <c r="B654" i="14"/>
  <c r="D653" i="14"/>
  <c r="C653" i="14"/>
  <c r="B653" i="14"/>
  <c r="C652" i="14"/>
  <c r="D664" i="14" s="1"/>
  <c r="B652" i="14"/>
  <c r="C651" i="14"/>
  <c r="D651" i="14" s="1"/>
  <c r="B651" i="14"/>
  <c r="C650" i="14"/>
  <c r="B650" i="14"/>
  <c r="C649" i="14"/>
  <c r="D661" i="14" s="1"/>
  <c r="B649" i="14"/>
  <c r="C648" i="14"/>
  <c r="D660" i="14" s="1"/>
  <c r="B648" i="14"/>
  <c r="C647" i="14"/>
  <c r="D647" i="14" s="1"/>
  <c r="B647" i="14"/>
  <c r="C646" i="14"/>
  <c r="B646" i="14"/>
  <c r="C645" i="14"/>
  <c r="D645" i="14" s="1"/>
  <c r="B645" i="14"/>
  <c r="C644" i="14"/>
  <c r="B644" i="14"/>
  <c r="D643" i="14"/>
  <c r="C643" i="14"/>
  <c r="B643" i="14"/>
  <c r="C642" i="14"/>
  <c r="D654" i="14" s="1"/>
  <c r="B642" i="14"/>
  <c r="D641" i="14"/>
  <c r="C641" i="14"/>
  <c r="B641" i="14"/>
  <c r="C640" i="14"/>
  <c r="B640" i="14"/>
  <c r="C639" i="14"/>
  <c r="D639" i="14" s="1"/>
  <c r="B639" i="14"/>
  <c r="C638" i="14"/>
  <c r="D650" i="14" s="1"/>
  <c r="B638" i="14"/>
  <c r="C637" i="14"/>
  <c r="B637" i="14"/>
  <c r="C636" i="14"/>
  <c r="B636" i="14"/>
  <c r="C635" i="14"/>
  <c r="B635" i="14"/>
  <c r="C634" i="14"/>
  <c r="B634" i="14"/>
  <c r="C633" i="14"/>
  <c r="D633" i="14" s="1"/>
  <c r="B633" i="14"/>
  <c r="C632" i="14"/>
  <c r="B632" i="14"/>
  <c r="C631" i="14"/>
  <c r="D631" i="14" s="1"/>
  <c r="B631" i="14"/>
  <c r="C630" i="14"/>
  <c r="B630" i="14"/>
  <c r="D629" i="14"/>
  <c r="C629" i="14"/>
  <c r="B629" i="14"/>
  <c r="C628" i="14"/>
  <c r="D640" i="14" s="1"/>
  <c r="B628" i="14"/>
  <c r="C627" i="14"/>
  <c r="D627" i="14" s="1"/>
  <c r="B627" i="14"/>
  <c r="C626" i="14"/>
  <c r="B626" i="14"/>
  <c r="C625" i="14"/>
  <c r="D637" i="14" s="1"/>
  <c r="B625" i="14"/>
  <c r="C624" i="14"/>
  <c r="D636" i="14" s="1"/>
  <c r="B624" i="14"/>
  <c r="C623" i="14"/>
  <c r="D623" i="14" s="1"/>
  <c r="B623" i="14"/>
  <c r="C622" i="14"/>
  <c r="B622" i="14"/>
  <c r="C621" i="14"/>
  <c r="D621" i="14" s="1"/>
  <c r="B621" i="14"/>
  <c r="C620" i="14"/>
  <c r="B620" i="14"/>
  <c r="C619" i="14"/>
  <c r="B619" i="14"/>
  <c r="C618" i="14"/>
  <c r="D630" i="14" s="1"/>
  <c r="B618" i="14"/>
  <c r="D617" i="14"/>
  <c r="C617" i="14"/>
  <c r="B617" i="14"/>
  <c r="C616" i="14"/>
  <c r="B616" i="14"/>
  <c r="C615" i="14"/>
  <c r="D615" i="14" s="1"/>
  <c r="B615" i="14"/>
  <c r="C614" i="14"/>
  <c r="D626" i="14" s="1"/>
  <c r="B614" i="14"/>
  <c r="D613" i="14"/>
  <c r="C613" i="14"/>
  <c r="B613" i="14"/>
  <c r="C612" i="14"/>
  <c r="B612" i="14"/>
  <c r="C611" i="14"/>
  <c r="B611" i="14"/>
  <c r="C610" i="14"/>
  <c r="B610" i="14"/>
  <c r="C609" i="14"/>
  <c r="D609" i="14" s="1"/>
  <c r="B609" i="14"/>
  <c r="C608" i="14"/>
  <c r="B608" i="14"/>
  <c r="C607" i="14"/>
  <c r="D619" i="14" s="1"/>
  <c r="B607" i="14"/>
  <c r="C606" i="14"/>
  <c r="B606" i="14"/>
  <c r="C605" i="14"/>
  <c r="B605" i="14"/>
  <c r="C604" i="14"/>
  <c r="D616" i="14" s="1"/>
  <c r="B604" i="14"/>
  <c r="C603" i="14"/>
  <c r="D603" i="14" s="1"/>
  <c r="B603" i="14"/>
  <c r="C602" i="14"/>
  <c r="B602" i="14"/>
  <c r="C601" i="14"/>
  <c r="B601" i="14"/>
  <c r="C600" i="14"/>
  <c r="B600" i="14"/>
  <c r="C599" i="14"/>
  <c r="B599" i="14"/>
  <c r="C598" i="14"/>
  <c r="B598" i="14"/>
  <c r="C597" i="14"/>
  <c r="B597" i="14"/>
  <c r="C596" i="14"/>
  <c r="B596" i="14"/>
  <c r="C595" i="14"/>
  <c r="B595" i="14"/>
  <c r="C594" i="14"/>
  <c r="D606" i="14" s="1"/>
  <c r="B594" i="14"/>
  <c r="C593" i="14"/>
  <c r="D605" i="14" s="1"/>
  <c r="B593" i="14"/>
  <c r="C592" i="14"/>
  <c r="B592" i="14"/>
  <c r="C591" i="14"/>
  <c r="B591" i="14"/>
  <c r="C590" i="14"/>
  <c r="D602" i="14" s="1"/>
  <c r="B590" i="14"/>
  <c r="C589" i="14"/>
  <c r="D601" i="14" s="1"/>
  <c r="B589" i="14"/>
  <c r="C588" i="14"/>
  <c r="D600" i="14" s="1"/>
  <c r="B588" i="14"/>
  <c r="C587" i="14"/>
  <c r="B587" i="14"/>
  <c r="C586" i="14"/>
  <c r="B586" i="14"/>
  <c r="C585" i="14"/>
  <c r="D597" i="14" s="1"/>
  <c r="B585" i="14"/>
  <c r="C584" i="14"/>
  <c r="D596" i="14" s="1"/>
  <c r="B584" i="14"/>
  <c r="C583" i="14"/>
  <c r="D595" i="14" s="1"/>
  <c r="B583" i="14"/>
  <c r="C582" i="14"/>
  <c r="B582" i="14"/>
  <c r="C581" i="14"/>
  <c r="D593" i="14" s="1"/>
  <c r="B581" i="14"/>
  <c r="C580" i="14"/>
  <c r="D592" i="14" s="1"/>
  <c r="B580" i="14"/>
  <c r="C579" i="14"/>
  <c r="D591" i="14" s="1"/>
  <c r="B579" i="14"/>
  <c r="C578" i="14"/>
  <c r="B578" i="14"/>
  <c r="C577" i="14"/>
  <c r="B577" i="14"/>
  <c r="C576" i="14"/>
  <c r="B576" i="14"/>
  <c r="C575" i="14"/>
  <c r="B575" i="14"/>
  <c r="C574" i="14"/>
  <c r="D586" i="14" s="1"/>
  <c r="B574" i="14"/>
  <c r="C573" i="14"/>
  <c r="B573" i="14"/>
  <c r="C572" i="14"/>
  <c r="B572" i="14"/>
  <c r="C571" i="14"/>
  <c r="D583" i="14" s="1"/>
  <c r="B571" i="14"/>
  <c r="C570" i="14"/>
  <c r="B570" i="14"/>
  <c r="C569" i="14"/>
  <c r="D581" i="14" s="1"/>
  <c r="B569" i="14"/>
  <c r="C568" i="14"/>
  <c r="B568" i="14"/>
  <c r="C567" i="14"/>
  <c r="B567" i="14"/>
  <c r="C566" i="14"/>
  <c r="D578" i="14" s="1"/>
  <c r="B566" i="14"/>
  <c r="C565" i="14"/>
  <c r="D577" i="14" s="1"/>
  <c r="B565" i="14"/>
  <c r="C564" i="14"/>
  <c r="D576" i="14" s="1"/>
  <c r="B564" i="14"/>
  <c r="C563" i="14"/>
  <c r="B563" i="14"/>
  <c r="C562" i="14"/>
  <c r="B562" i="14"/>
  <c r="C561" i="14"/>
  <c r="B561" i="14"/>
  <c r="C560" i="14"/>
  <c r="B560" i="14"/>
  <c r="C559" i="14"/>
  <c r="D571" i="14" s="1"/>
  <c r="B559" i="14"/>
  <c r="C558" i="14"/>
  <c r="B558" i="14"/>
  <c r="C557" i="14"/>
  <c r="B557" i="14"/>
  <c r="C556" i="14"/>
  <c r="D568" i="14" s="1"/>
  <c r="B556" i="14"/>
  <c r="C555" i="14"/>
  <c r="D567" i="14" s="1"/>
  <c r="B555" i="14"/>
  <c r="C554" i="14"/>
  <c r="B554" i="14"/>
  <c r="C553" i="14"/>
  <c r="B553" i="14"/>
  <c r="C552" i="14"/>
  <c r="B552" i="14"/>
  <c r="C551" i="14"/>
  <c r="B551" i="14"/>
  <c r="C550" i="14"/>
  <c r="D562" i="14" s="1"/>
  <c r="B550" i="14"/>
  <c r="C549" i="14"/>
  <c r="B549" i="14"/>
  <c r="C548" i="14"/>
  <c r="B548" i="14"/>
  <c r="C547" i="14"/>
  <c r="B547" i="14"/>
  <c r="C546" i="14"/>
  <c r="D558" i="14" s="1"/>
  <c r="B546" i="14"/>
  <c r="C545" i="14"/>
  <c r="D557" i="14" s="1"/>
  <c r="B545" i="14"/>
  <c r="C544" i="14"/>
  <c r="B544" i="14"/>
  <c r="C543" i="14"/>
  <c r="B543" i="14"/>
  <c r="C542" i="14"/>
  <c r="D554" i="14" s="1"/>
  <c r="B542" i="14"/>
  <c r="C541" i="14"/>
  <c r="D553" i="14" s="1"/>
  <c r="B541" i="14"/>
  <c r="C540" i="14"/>
  <c r="D552" i="14" s="1"/>
  <c r="B540" i="14"/>
  <c r="C539" i="14"/>
  <c r="B539" i="14"/>
  <c r="C538" i="14"/>
  <c r="B538" i="14"/>
  <c r="C537" i="14"/>
  <c r="D549" i="14" s="1"/>
  <c r="B537" i="14"/>
  <c r="C536" i="14"/>
  <c r="D548" i="14" s="1"/>
  <c r="B536" i="14"/>
  <c r="C535" i="14"/>
  <c r="D547" i="14" s="1"/>
  <c r="B535" i="14"/>
  <c r="C534" i="14"/>
  <c r="B534" i="14"/>
  <c r="C533" i="14"/>
  <c r="D545" i="14" s="1"/>
  <c r="B533" i="14"/>
  <c r="C532" i="14"/>
  <c r="D544" i="14" s="1"/>
  <c r="B532" i="14"/>
  <c r="D531" i="14"/>
  <c r="C531" i="14"/>
  <c r="B531" i="14"/>
  <c r="C530" i="14"/>
  <c r="B530" i="14"/>
  <c r="C529" i="14"/>
  <c r="B529" i="14"/>
  <c r="C528" i="14"/>
  <c r="B528" i="14"/>
  <c r="C527" i="14"/>
  <c r="B527" i="14"/>
  <c r="C526" i="14"/>
  <c r="B526" i="14"/>
  <c r="C525" i="14"/>
  <c r="D525" i="14" s="1"/>
  <c r="B525" i="14"/>
  <c r="C524" i="14"/>
  <c r="B524" i="14"/>
  <c r="C523" i="14"/>
  <c r="D523" i="14" s="1"/>
  <c r="B523" i="14"/>
  <c r="C522" i="14"/>
  <c r="D522" i="14" s="1"/>
  <c r="B522" i="14"/>
  <c r="C521" i="14"/>
  <c r="D533" i="14" s="1"/>
  <c r="B521" i="14"/>
  <c r="C520" i="14"/>
  <c r="B520" i="14"/>
  <c r="C519" i="14"/>
  <c r="B519" i="14"/>
  <c r="C518" i="14"/>
  <c r="D530" i="14" s="1"/>
  <c r="B518" i="14"/>
  <c r="C517" i="14"/>
  <c r="B517" i="14"/>
  <c r="C516" i="14"/>
  <c r="D528" i="14" s="1"/>
  <c r="B516" i="14"/>
  <c r="C515" i="14"/>
  <c r="B515" i="14"/>
  <c r="C514" i="14"/>
  <c r="B514" i="14"/>
  <c r="C513" i="14"/>
  <c r="B513" i="14"/>
  <c r="C512" i="14"/>
  <c r="D524" i="14" s="1"/>
  <c r="B512" i="14"/>
  <c r="C511" i="14"/>
  <c r="B511" i="14"/>
  <c r="C510" i="14"/>
  <c r="D510" i="14" s="1"/>
  <c r="B510" i="14"/>
  <c r="D509" i="14"/>
  <c r="C509" i="14"/>
  <c r="B509" i="14"/>
  <c r="C508" i="14"/>
  <c r="D520" i="14" s="1"/>
  <c r="B508" i="14"/>
  <c r="C507" i="14"/>
  <c r="B507" i="14"/>
  <c r="C506" i="14"/>
  <c r="B506" i="14"/>
  <c r="C505" i="14"/>
  <c r="D517" i="14" s="1"/>
  <c r="B505" i="14"/>
  <c r="C504" i="14"/>
  <c r="B504" i="14"/>
  <c r="C503" i="14"/>
  <c r="B503" i="14"/>
  <c r="C502" i="14"/>
  <c r="B502" i="14"/>
  <c r="C501" i="14"/>
  <c r="B501" i="14"/>
  <c r="C500" i="14"/>
  <c r="B500" i="14"/>
  <c r="D499" i="14"/>
  <c r="C499" i="14"/>
  <c r="D511" i="14" s="1"/>
  <c r="B499" i="14"/>
  <c r="C498" i="14"/>
  <c r="B498" i="14"/>
  <c r="C497" i="14"/>
  <c r="B497" i="14"/>
  <c r="C496" i="14"/>
  <c r="D508" i="14" s="1"/>
  <c r="B496" i="14"/>
  <c r="C495" i="14"/>
  <c r="B495" i="14"/>
  <c r="C494" i="14"/>
  <c r="B494" i="14"/>
  <c r="C493" i="14"/>
  <c r="D493" i="14" s="1"/>
  <c r="B493" i="14"/>
  <c r="C492" i="14"/>
  <c r="B492" i="14"/>
  <c r="C491" i="14"/>
  <c r="B491" i="14"/>
  <c r="C490" i="14"/>
  <c r="D502" i="14" s="1"/>
  <c r="B490" i="14"/>
  <c r="C489" i="14"/>
  <c r="B489" i="14"/>
  <c r="C488" i="14"/>
  <c r="D500" i="14" s="1"/>
  <c r="B488" i="14"/>
  <c r="D487" i="14"/>
  <c r="C487" i="14"/>
  <c r="B487" i="14"/>
  <c r="C486" i="14"/>
  <c r="D498" i="14" s="1"/>
  <c r="B486" i="14"/>
  <c r="C485" i="14"/>
  <c r="B485" i="14"/>
  <c r="C484" i="14"/>
  <c r="B484" i="14"/>
  <c r="C483" i="14"/>
  <c r="D495" i="14" s="1"/>
  <c r="B483" i="14"/>
  <c r="C482" i="14"/>
  <c r="D494" i="14" s="1"/>
  <c r="B482" i="14"/>
  <c r="C481" i="14"/>
  <c r="B481" i="14"/>
  <c r="C480" i="14"/>
  <c r="B480" i="14"/>
  <c r="C479" i="14"/>
  <c r="B479" i="14"/>
  <c r="C478" i="14"/>
  <c r="B478" i="14"/>
  <c r="D477" i="14"/>
  <c r="C477" i="14"/>
  <c r="D489" i="14" s="1"/>
  <c r="B477" i="14"/>
  <c r="C476" i="14"/>
  <c r="B476" i="14"/>
  <c r="C475" i="14"/>
  <c r="B475" i="14"/>
  <c r="C474" i="14"/>
  <c r="D486" i="14" s="1"/>
  <c r="B474" i="14"/>
  <c r="C473" i="14"/>
  <c r="D473" i="14" s="1"/>
  <c r="B473" i="14"/>
  <c r="C472" i="14"/>
  <c r="B472" i="14"/>
  <c r="C471" i="14"/>
  <c r="B471" i="14"/>
  <c r="C470" i="14"/>
  <c r="B470" i="14"/>
  <c r="C469" i="14"/>
  <c r="D481" i="14" s="1"/>
  <c r="B469" i="14"/>
  <c r="C468" i="14"/>
  <c r="D480" i="14" s="1"/>
  <c r="B468" i="14"/>
  <c r="C467" i="14"/>
  <c r="B467" i="14"/>
  <c r="C466" i="14"/>
  <c r="B466" i="14"/>
  <c r="C465" i="14"/>
  <c r="B465" i="14"/>
  <c r="C464" i="14"/>
  <c r="D476" i="14" s="1"/>
  <c r="B464" i="14"/>
  <c r="C463" i="14"/>
  <c r="B463" i="14"/>
  <c r="C462" i="14"/>
  <c r="B462" i="14"/>
  <c r="C461" i="14"/>
  <c r="D461" i="14" s="1"/>
  <c r="B461" i="14"/>
  <c r="C460" i="14"/>
  <c r="B460" i="14"/>
  <c r="C459" i="14"/>
  <c r="D459" i="14" s="1"/>
  <c r="B459" i="14"/>
  <c r="C458" i="14"/>
  <c r="D458" i="14" s="1"/>
  <c r="B458" i="14"/>
  <c r="C457" i="14"/>
  <c r="B457" i="14"/>
  <c r="C456" i="14"/>
  <c r="B456" i="14"/>
  <c r="C455" i="14"/>
  <c r="D467" i="14" s="1"/>
  <c r="B455" i="14"/>
  <c r="C454" i="14"/>
  <c r="D454" i="14" s="1"/>
  <c r="B454" i="14"/>
  <c r="C453" i="14"/>
  <c r="B453" i="14"/>
  <c r="C452" i="14"/>
  <c r="B452" i="14"/>
  <c r="C451" i="14"/>
  <c r="D451" i="14" s="1"/>
  <c r="B451" i="14"/>
  <c r="C450" i="14"/>
  <c r="D450" i="14" s="1"/>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905" i="13"/>
  <c r="D905" i="13"/>
  <c r="C905" i="13"/>
  <c r="B905" i="13"/>
  <c r="E904" i="13"/>
  <c r="D904" i="13"/>
  <c r="C904" i="13"/>
  <c r="B904" i="13"/>
  <c r="E903" i="13"/>
  <c r="D903" i="13"/>
  <c r="C903" i="13"/>
  <c r="B903" i="13"/>
  <c r="E902" i="13"/>
  <c r="D902" i="13"/>
  <c r="C902" i="13"/>
  <c r="B902" i="13"/>
  <c r="E901" i="13"/>
  <c r="D901" i="13"/>
  <c r="C901" i="13"/>
  <c r="B901" i="13"/>
  <c r="E900" i="13"/>
  <c r="D900" i="13"/>
  <c r="C900" i="13"/>
  <c r="B900" i="13"/>
  <c r="E899" i="13"/>
  <c r="D899" i="13"/>
  <c r="C899" i="13"/>
  <c r="B899" i="13"/>
  <c r="E898" i="13"/>
  <c r="D898" i="13"/>
  <c r="C898" i="13"/>
  <c r="B898" i="13"/>
  <c r="E897" i="13"/>
  <c r="D897" i="13"/>
  <c r="C897" i="13"/>
  <c r="B897" i="13"/>
  <c r="E896" i="13"/>
  <c r="D896" i="13"/>
  <c r="C896" i="13"/>
  <c r="B896" i="13"/>
  <c r="E895" i="13"/>
  <c r="D895" i="13"/>
  <c r="C895" i="13"/>
  <c r="B895" i="13"/>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905" i="11"/>
  <c r="K905" i="11"/>
  <c r="J905" i="11"/>
  <c r="I905" i="11"/>
  <c r="P23" i="2" s="1"/>
  <c r="H905" i="11"/>
  <c r="G905" i="11"/>
  <c r="F905" i="11"/>
  <c r="E905" i="11"/>
  <c r="D905" i="11"/>
  <c r="C905" i="11"/>
  <c r="B905" i="11"/>
  <c r="Q16" i="2" s="1"/>
  <c r="L904" i="11"/>
  <c r="K904" i="11"/>
  <c r="J904" i="11"/>
  <c r="I904" i="11"/>
  <c r="H904" i="11"/>
  <c r="G904" i="11"/>
  <c r="F904" i="11"/>
  <c r="E904" i="11"/>
  <c r="D904" i="11"/>
  <c r="C904" i="11"/>
  <c r="B904" i="11"/>
  <c r="L903" i="11"/>
  <c r="K903" i="11"/>
  <c r="J903" i="11"/>
  <c r="I903" i="11"/>
  <c r="H903" i="11"/>
  <c r="G903" i="11"/>
  <c r="F903" i="11"/>
  <c r="E903" i="11"/>
  <c r="D903" i="11"/>
  <c r="C903" i="11"/>
  <c r="B903" i="11"/>
  <c r="L902" i="11"/>
  <c r="K902" i="11"/>
  <c r="J902" i="11"/>
  <c r="I902" i="11"/>
  <c r="H902" i="11"/>
  <c r="G902" i="11"/>
  <c r="F902" i="11"/>
  <c r="E902" i="11"/>
  <c r="D902" i="11"/>
  <c r="C902" i="11"/>
  <c r="B902" i="11"/>
  <c r="L901" i="11"/>
  <c r="K901" i="11"/>
  <c r="J901" i="11"/>
  <c r="I901" i="11"/>
  <c r="H901" i="11"/>
  <c r="G901" i="11"/>
  <c r="F901" i="11"/>
  <c r="E901" i="11"/>
  <c r="D901" i="11"/>
  <c r="C901" i="11"/>
  <c r="B901" i="11"/>
  <c r="L900" i="11"/>
  <c r="K900" i="11"/>
  <c r="J900" i="11"/>
  <c r="I900" i="11"/>
  <c r="H900" i="11"/>
  <c r="G900" i="11"/>
  <c r="F900" i="11"/>
  <c r="E900" i="11"/>
  <c r="D900" i="11"/>
  <c r="C900" i="11"/>
  <c r="B900" i="11"/>
  <c r="L899" i="11"/>
  <c r="K899" i="11"/>
  <c r="J899" i="11"/>
  <c r="I899" i="11"/>
  <c r="H899" i="11"/>
  <c r="G899" i="11"/>
  <c r="F899" i="11"/>
  <c r="E899" i="11"/>
  <c r="D899" i="11"/>
  <c r="C899" i="11"/>
  <c r="B899" i="11"/>
  <c r="L898" i="11"/>
  <c r="K898" i="11"/>
  <c r="J898" i="11"/>
  <c r="I898" i="11"/>
  <c r="H898" i="11"/>
  <c r="G898" i="11"/>
  <c r="F898" i="11"/>
  <c r="E898" i="11"/>
  <c r="D898" i="11"/>
  <c r="C898" i="11"/>
  <c r="B898" i="11"/>
  <c r="L897" i="11"/>
  <c r="K897" i="11"/>
  <c r="J897" i="11"/>
  <c r="I897" i="11"/>
  <c r="H897" i="11"/>
  <c r="G897" i="11"/>
  <c r="F897" i="11"/>
  <c r="E897" i="11"/>
  <c r="D897" i="11"/>
  <c r="C897" i="11"/>
  <c r="B897" i="11"/>
  <c r="L896" i="11"/>
  <c r="K896" i="11"/>
  <c r="J896" i="11"/>
  <c r="I896" i="11"/>
  <c r="H896" i="11"/>
  <c r="G896" i="11"/>
  <c r="F896" i="11"/>
  <c r="E896" i="11"/>
  <c r="D896" i="1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W67" i="10"/>
  <c r="AV67" i="10"/>
  <c r="AU67" i="10"/>
  <c r="AT67" i="10"/>
  <c r="AS67" i="10"/>
  <c r="AR67" i="10"/>
  <c r="AQ67" i="10"/>
  <c r="AP67" i="10"/>
  <c r="AO67" i="10"/>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W66" i="10"/>
  <c r="AV66" i="10"/>
  <c r="AU66" i="10"/>
  <c r="AT66" i="10"/>
  <c r="AS66" i="10"/>
  <c r="AR66" i="10"/>
  <c r="AQ66" i="10"/>
  <c r="AP66" i="10"/>
  <c r="AO66"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W65" i="10"/>
  <c r="AV65" i="10"/>
  <c r="AU65" i="10"/>
  <c r="AT65" i="10"/>
  <c r="AS65" i="10"/>
  <c r="AR65" i="10"/>
  <c r="AQ65" i="10"/>
  <c r="AP65" i="10"/>
  <c r="AO65"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W64" i="10"/>
  <c r="AV64" i="10"/>
  <c r="AU64" i="10"/>
  <c r="AT64" i="10"/>
  <c r="AS64" i="10"/>
  <c r="AR64" i="10"/>
  <c r="AQ64" i="10"/>
  <c r="AP64" i="10"/>
  <c r="AO64"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W63" i="10"/>
  <c r="AV63" i="10"/>
  <c r="AU63" i="10"/>
  <c r="AT63" i="10"/>
  <c r="AS63" i="10"/>
  <c r="AR63" i="10"/>
  <c r="AQ63" i="10"/>
  <c r="AP63" i="10"/>
  <c r="AO63"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W61" i="10"/>
  <c r="AV61" i="10"/>
  <c r="AU61" i="10"/>
  <c r="AT61" i="10"/>
  <c r="AS61" i="10"/>
  <c r="AR61" i="10"/>
  <c r="AQ61" i="10"/>
  <c r="AP61" i="10"/>
  <c r="AO61"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W60" i="10"/>
  <c r="AV60" i="10"/>
  <c r="AU60" i="10"/>
  <c r="AT60" i="10"/>
  <c r="AS60" i="10"/>
  <c r="AR60" i="10"/>
  <c r="AQ60" i="10"/>
  <c r="AP60" i="10"/>
  <c r="AO60"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W59" i="10"/>
  <c r="AV59" i="10"/>
  <c r="AU59" i="10"/>
  <c r="AT59" i="10"/>
  <c r="AS59" i="10"/>
  <c r="AR59" i="10"/>
  <c r="AQ59" i="10"/>
  <c r="AP59" i="10"/>
  <c r="AO59"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W58" i="10"/>
  <c r="AV58" i="10"/>
  <c r="AU58" i="10"/>
  <c r="AT58" i="10"/>
  <c r="AS58" i="10"/>
  <c r="AR58" i="10"/>
  <c r="AQ58" i="10"/>
  <c r="AP58" i="10"/>
  <c r="AO58"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W57" i="10"/>
  <c r="AV57" i="10"/>
  <c r="AU57" i="10"/>
  <c r="AT57" i="10"/>
  <c r="AS57" i="10"/>
  <c r="AR57" i="10"/>
  <c r="AQ57" i="10"/>
  <c r="AP57" i="10"/>
  <c r="AO57"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W56" i="10"/>
  <c r="AV56" i="10"/>
  <c r="AU56" i="10"/>
  <c r="AT56" i="10"/>
  <c r="AS56" i="10"/>
  <c r="AR56" i="10"/>
  <c r="AQ56" i="10"/>
  <c r="AP56" i="10"/>
  <c r="AO56"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W54" i="10"/>
  <c r="AV54" i="10"/>
  <c r="AU54" i="10"/>
  <c r="AT54" i="10"/>
  <c r="AS54" i="10"/>
  <c r="AR54" i="10"/>
  <c r="AQ54" i="10"/>
  <c r="AP54" i="10"/>
  <c r="AO54"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W53" i="10"/>
  <c r="AV53" i="10"/>
  <c r="AU53" i="10"/>
  <c r="AT53" i="10"/>
  <c r="AS53" i="10"/>
  <c r="AR53" i="10"/>
  <c r="AQ53" i="10"/>
  <c r="AP53" i="10"/>
  <c r="AO53"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W52" i="10"/>
  <c r="AV52" i="10"/>
  <c r="AU52" i="10"/>
  <c r="AT52" i="10"/>
  <c r="AS52" i="10"/>
  <c r="AR52" i="10"/>
  <c r="AQ52" i="10"/>
  <c r="AP52" i="10"/>
  <c r="AO52"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W51" i="10"/>
  <c r="AV51" i="10"/>
  <c r="AU51" i="10"/>
  <c r="AT51" i="10"/>
  <c r="AS51" i="10"/>
  <c r="AR51" i="10"/>
  <c r="AQ51" i="10"/>
  <c r="AP51" i="10"/>
  <c r="AO51"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W50" i="10"/>
  <c r="AV50" i="10"/>
  <c r="AU50" i="10"/>
  <c r="AT50" i="10"/>
  <c r="AS50" i="10"/>
  <c r="AR50" i="10"/>
  <c r="AQ50" i="10"/>
  <c r="AP50" i="10"/>
  <c r="AO50"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W44" i="10"/>
  <c r="AV44" i="10"/>
  <c r="AU44" i="10"/>
  <c r="AT44" i="10"/>
  <c r="AS44" i="10"/>
  <c r="AR44" i="10"/>
  <c r="AQ44" i="10"/>
  <c r="AP44" i="10"/>
  <c r="AO44"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W43" i="10"/>
  <c r="AV43" i="10"/>
  <c r="AU43" i="10"/>
  <c r="AT43" i="10"/>
  <c r="AS43" i="10"/>
  <c r="AR43" i="10"/>
  <c r="AQ43" i="10"/>
  <c r="AP43" i="10"/>
  <c r="AO43"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W42" i="10"/>
  <c r="AV42" i="10"/>
  <c r="AU42" i="10"/>
  <c r="AT42" i="10"/>
  <c r="AS42" i="10"/>
  <c r="AR42" i="10"/>
  <c r="AQ42" i="10"/>
  <c r="AP42" i="10"/>
  <c r="AO42"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W41" i="10"/>
  <c r="AV41" i="10"/>
  <c r="AU41" i="10"/>
  <c r="AT41" i="10"/>
  <c r="AS41" i="10"/>
  <c r="AR41" i="10"/>
  <c r="AQ41" i="10"/>
  <c r="AP41" i="10"/>
  <c r="AO41"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W40" i="10"/>
  <c r="AV40" i="10"/>
  <c r="AU40" i="10"/>
  <c r="AT40" i="10"/>
  <c r="AS40" i="10"/>
  <c r="AR40" i="10"/>
  <c r="AQ40" i="10"/>
  <c r="AP40" i="10"/>
  <c r="AO40"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W39" i="10"/>
  <c r="AV39" i="10"/>
  <c r="AU39" i="10"/>
  <c r="AT39" i="10"/>
  <c r="AS39" i="10"/>
  <c r="AR39" i="10"/>
  <c r="AQ39" i="10"/>
  <c r="AP39" i="10"/>
  <c r="AO39"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W38" i="10"/>
  <c r="AV38" i="10"/>
  <c r="AU38" i="10"/>
  <c r="AT38" i="10"/>
  <c r="AS38" i="10"/>
  <c r="AR38" i="10"/>
  <c r="AQ38" i="10"/>
  <c r="AP38" i="10"/>
  <c r="AO38"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W36" i="10"/>
  <c r="AV36" i="10"/>
  <c r="AU36" i="10"/>
  <c r="AT36" i="10"/>
  <c r="AS36" i="10"/>
  <c r="AR36" i="10"/>
  <c r="AQ36" i="10"/>
  <c r="AP36" i="10"/>
  <c r="AO36"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W35" i="10"/>
  <c r="AV35" i="10"/>
  <c r="AU35" i="10"/>
  <c r="AT35" i="10"/>
  <c r="AS35" i="10"/>
  <c r="AR35" i="10"/>
  <c r="AQ35" i="10"/>
  <c r="AP35" i="10"/>
  <c r="AO35"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W34" i="10"/>
  <c r="AV34" i="10"/>
  <c r="AU34" i="10"/>
  <c r="AT34" i="10"/>
  <c r="AS34" i="10"/>
  <c r="AR34" i="10"/>
  <c r="AQ34" i="10"/>
  <c r="AP34" i="10"/>
  <c r="AO34"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W33" i="10"/>
  <c r="AV33" i="10"/>
  <c r="AU33" i="10"/>
  <c r="AT33" i="10"/>
  <c r="AS33" i="10"/>
  <c r="AR33" i="10"/>
  <c r="AQ33" i="10"/>
  <c r="AP33" i="10"/>
  <c r="AO33"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W32" i="10"/>
  <c r="AV32" i="10"/>
  <c r="AU32" i="10"/>
  <c r="AT32" i="10"/>
  <c r="AS32" i="10"/>
  <c r="AR32" i="10"/>
  <c r="AQ32" i="10"/>
  <c r="AP32" i="10"/>
  <c r="AO32"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W31" i="10"/>
  <c r="AV31" i="10"/>
  <c r="AU31" i="10"/>
  <c r="AT31" i="10"/>
  <c r="AS31" i="10"/>
  <c r="AR31" i="10"/>
  <c r="AQ31" i="10"/>
  <c r="AP31" i="10"/>
  <c r="AO31"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W29" i="10"/>
  <c r="AV29" i="10"/>
  <c r="AU29" i="10"/>
  <c r="AT29" i="10"/>
  <c r="AS29" i="10"/>
  <c r="AR29" i="10"/>
  <c r="AQ29" i="10"/>
  <c r="AP29" i="10"/>
  <c r="AO29"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W23" i="10"/>
  <c r="AV23" i="10"/>
  <c r="AU23" i="10"/>
  <c r="AT23" i="10"/>
  <c r="AS23" i="10"/>
  <c r="AR23" i="10"/>
  <c r="AQ23" i="10"/>
  <c r="AP23" i="10"/>
  <c r="AO23"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W22" i="10"/>
  <c r="AV22" i="10"/>
  <c r="AU22" i="10"/>
  <c r="AT22" i="10"/>
  <c r="AS22" i="10"/>
  <c r="AR22" i="10"/>
  <c r="AQ22" i="10"/>
  <c r="AP22" i="10"/>
  <c r="AO22"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W21" i="10"/>
  <c r="AV21" i="10"/>
  <c r="AU21" i="10"/>
  <c r="AT21"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W18" i="10"/>
  <c r="AV18" i="10"/>
  <c r="AU18"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W17" i="10"/>
  <c r="AV17" i="10"/>
  <c r="AU17" i="10"/>
  <c r="AT17"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W15" i="10"/>
  <c r="AV15" i="10"/>
  <c r="AU15" i="10"/>
  <c r="AT15" i="10"/>
  <c r="AS15" i="10"/>
  <c r="AR15" i="10"/>
  <c r="AQ15" i="10"/>
  <c r="AP15" i="10"/>
  <c r="AO15"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W13" i="10"/>
  <c r="AV13" i="10"/>
  <c r="AU13" i="10"/>
  <c r="AT13" i="10"/>
  <c r="AS13" i="10"/>
  <c r="AR13" i="10"/>
  <c r="AQ13" i="10"/>
  <c r="AP13" i="10"/>
  <c r="AO13"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W11" i="10"/>
  <c r="AV11" i="10"/>
  <c r="AU11" i="10"/>
  <c r="AT11" i="10"/>
  <c r="AS11" i="10"/>
  <c r="AR11" i="10"/>
  <c r="AQ11" i="10"/>
  <c r="AP11" i="10"/>
  <c r="AO11"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W9" i="10"/>
  <c r="AV9" i="10"/>
  <c r="AU9" i="10"/>
  <c r="AT9" i="10"/>
  <c r="AS9" i="10"/>
  <c r="AR9" i="10"/>
  <c r="AQ9" i="10"/>
  <c r="AP9" i="10"/>
  <c r="AO9"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W8" i="10"/>
  <c r="AV8" i="10"/>
  <c r="AU8" i="10"/>
  <c r="AT8" i="10"/>
  <c r="AS8" i="10"/>
  <c r="AR8" i="10"/>
  <c r="AQ8" i="10"/>
  <c r="AP8" i="10"/>
  <c r="AO8"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W7" i="10"/>
  <c r="AV7" i="10"/>
  <c r="AU7" i="10"/>
  <c r="AT7" i="10"/>
  <c r="AS7" i="10"/>
  <c r="AR7" i="10"/>
  <c r="AQ7" i="10"/>
  <c r="AP7" i="10"/>
  <c r="AO7"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W6" i="10"/>
  <c r="AV6" i="10"/>
  <c r="AU6" i="10"/>
  <c r="AT6" i="10"/>
  <c r="AS6" i="10"/>
  <c r="AR6" i="10"/>
  <c r="AQ6" i="10"/>
  <c r="AP6" i="10"/>
  <c r="AO6"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L2" i="9"/>
  <c r="V11" i="9" s="1"/>
  <c r="V10" i="9" s="1"/>
  <c r="V9" i="9" s="1"/>
  <c r="V8" i="9" s="1"/>
  <c r="V7" i="9" s="1"/>
  <c r="V6" i="9" s="1"/>
  <c r="V5" i="9" s="1"/>
  <c r="V4" i="9" s="1"/>
  <c r="L1" i="9"/>
  <c r="A11" i="9" s="1"/>
  <c r="V11" i="8"/>
  <c r="V10" i="8" s="1"/>
  <c r="V9" i="8" s="1"/>
  <c r="V8" i="8" s="1"/>
  <c r="V7" i="8" s="1"/>
  <c r="V6" i="8" s="1"/>
  <c r="V5" i="8" s="1"/>
  <c r="V4" i="8" s="1"/>
  <c r="U11" i="8"/>
  <c r="U10" i="8" s="1"/>
  <c r="U9" i="8" s="1"/>
  <c r="U8" i="8" s="1"/>
  <c r="U7" i="8" s="1"/>
  <c r="U6" i="8" s="1"/>
  <c r="U5" i="8" s="1"/>
  <c r="U4" i="8" s="1"/>
  <c r="L2" i="8"/>
  <c r="L1" i="8"/>
  <c r="A11" i="8" s="1"/>
  <c r="V11" i="7"/>
  <c r="V10" i="7" s="1"/>
  <c r="V9" i="7" s="1"/>
  <c r="V8" i="7" s="1"/>
  <c r="V7" i="7" s="1"/>
  <c r="V6" i="7" s="1"/>
  <c r="V5" i="7" s="1"/>
  <c r="V4" i="7" s="1"/>
  <c r="U11" i="7"/>
  <c r="U10" i="7" s="1"/>
  <c r="A11" i="7"/>
  <c r="A10" i="7" s="1"/>
  <c r="U9" i="7"/>
  <c r="U8" i="7" s="1"/>
  <c r="U7" i="7" s="1"/>
  <c r="U6" i="7" s="1"/>
  <c r="U5" i="7" s="1"/>
  <c r="U4" i="7" s="1"/>
  <c r="P25" i="2"/>
  <c r="P22" i="2"/>
  <c r="P21" i="2"/>
  <c r="P20" i="2"/>
  <c r="P19" i="2"/>
  <c r="P18" i="2"/>
  <c r="P17" i="2"/>
  <c r="P16" i="2"/>
  <c r="P15" i="2"/>
  <c r="Q13" i="2"/>
  <c r="Q18" i="2" s="1"/>
  <c r="D11" i="8" l="1"/>
  <c r="U11" i="9"/>
  <c r="U10" i="9" s="1"/>
  <c r="U9" i="9" s="1"/>
  <c r="U8" i="9" s="1"/>
  <c r="U7" i="9" s="1"/>
  <c r="U6" i="9" s="1"/>
  <c r="U5" i="9" s="1"/>
  <c r="U4" i="9" s="1"/>
  <c r="I11" i="9" s="1"/>
  <c r="R18" i="2"/>
  <c r="P24" i="2"/>
  <c r="Q21" i="2"/>
  <c r="R21" i="2" s="1"/>
  <c r="Q24" i="2"/>
  <c r="R16" i="2"/>
  <c r="Q25" i="2"/>
  <c r="R25" i="2" s="1"/>
  <c r="Q20" i="2"/>
  <c r="R20" i="2" s="1"/>
  <c r="C10" i="15"/>
  <c r="C50" i="15"/>
  <c r="C102" i="15"/>
  <c r="C113" i="15"/>
  <c r="C156" i="15"/>
  <c r="C167" i="15"/>
  <c r="C198" i="15"/>
  <c r="C209" i="15"/>
  <c r="C219" i="15"/>
  <c r="C237" i="15"/>
  <c r="C246" i="15"/>
  <c r="C257" i="15"/>
  <c r="C277" i="15"/>
  <c r="C297" i="15"/>
  <c r="C306" i="15"/>
  <c r="C316" i="15"/>
  <c r="C345" i="15"/>
  <c r="C356" i="15"/>
  <c r="C365" i="15"/>
  <c r="C402" i="15"/>
  <c r="C429" i="15"/>
  <c r="C461" i="15"/>
  <c r="C471" i="15"/>
  <c r="C481" i="15"/>
  <c r="C503" i="15"/>
  <c r="C523" i="15"/>
  <c r="C553" i="15"/>
  <c r="C586" i="15"/>
  <c r="C598" i="15"/>
  <c r="C631" i="15"/>
  <c r="C653" i="15"/>
  <c r="C688" i="15"/>
  <c r="C718" i="15"/>
  <c r="C738" i="15"/>
  <c r="C758" i="15"/>
  <c r="C790" i="15"/>
  <c r="C810" i="15"/>
  <c r="C831" i="15"/>
  <c r="C863" i="15"/>
  <c r="C893" i="15"/>
  <c r="C904" i="15"/>
  <c r="C883" i="15"/>
  <c r="C22" i="15"/>
  <c r="C42" i="15"/>
  <c r="C62" i="15"/>
  <c r="C81" i="15"/>
  <c r="C104" i="15"/>
  <c r="C115" i="15"/>
  <c r="C135" i="15"/>
  <c r="C158" i="15"/>
  <c r="C169" i="15"/>
  <c r="C189" i="15"/>
  <c r="C366" i="15"/>
  <c r="C450" i="15"/>
  <c r="C514" i="15"/>
  <c r="C610" i="15"/>
  <c r="C622" i="15"/>
  <c r="C655" i="15"/>
  <c r="C667" i="15"/>
  <c r="C690" i="15"/>
  <c r="C730" i="15"/>
  <c r="C749" i="15"/>
  <c r="C802" i="15"/>
  <c r="C822" i="15"/>
  <c r="C833" i="15"/>
  <c r="C854" i="15"/>
  <c r="C895" i="15"/>
  <c r="C181" i="15"/>
  <c r="C239" i="15"/>
  <c r="C298" i="15"/>
  <c r="C319" i="15"/>
  <c r="C357" i="15"/>
  <c r="C395" i="15"/>
  <c r="C405" i="15"/>
  <c r="C430" i="15"/>
  <c r="C557" i="15"/>
  <c r="C709" i="15"/>
  <c r="C383" i="15"/>
  <c r="C14" i="15"/>
  <c r="C34" i="15"/>
  <c r="C53" i="15"/>
  <c r="C64" i="15"/>
  <c r="C84" i="15"/>
  <c r="C95" i="15"/>
  <c r="C138" i="15"/>
  <c r="C149" i="15"/>
  <c r="C180" i="15"/>
  <c r="C192" i="15"/>
  <c r="C214" i="15"/>
  <c r="C222" i="15"/>
  <c r="C290" i="15"/>
  <c r="C310" i="15"/>
  <c r="C318" i="15"/>
  <c r="C329" i="15"/>
  <c r="C422" i="15"/>
  <c r="C432" i="15"/>
  <c r="C442" i="15"/>
  <c r="C465" i="15"/>
  <c r="C475" i="15"/>
  <c r="C486" i="15"/>
  <c r="C496" i="15"/>
  <c r="C506" i="15"/>
  <c r="C527" i="15"/>
  <c r="C547" i="15"/>
  <c r="C568" i="15"/>
  <c r="C580" i="15"/>
  <c r="C590" i="15"/>
  <c r="C602" i="15"/>
  <c r="C635" i="15"/>
  <c r="C646" i="15"/>
  <c r="C701" i="15"/>
  <c r="C751" i="15"/>
  <c r="C762" i="15"/>
  <c r="C783" i="15"/>
  <c r="C814" i="15"/>
  <c r="C834" i="15"/>
  <c r="C877" i="15"/>
  <c r="C117" i="15"/>
  <c r="C171" i="15"/>
  <c r="C241" i="15"/>
  <c r="C261" i="15"/>
  <c r="C300" i="15"/>
  <c r="C312" i="15"/>
  <c r="C359" i="15"/>
  <c r="C516" i="15"/>
  <c r="C626" i="15"/>
  <c r="C636" i="15"/>
  <c r="C721" i="15"/>
  <c r="C732" i="15"/>
  <c r="C804" i="15"/>
  <c r="C46" i="15"/>
  <c r="C56" i="15"/>
  <c r="C66" i="15"/>
  <c r="C76" i="15"/>
  <c r="C98" i="15"/>
  <c r="C119" i="15"/>
  <c r="C130" i="15"/>
  <c r="C152" i="15"/>
  <c r="C163" i="15"/>
  <c r="C173" i="15"/>
  <c r="C184" i="15"/>
  <c r="C206" i="15"/>
  <c r="C225" i="15"/>
  <c r="C234" i="15"/>
  <c r="C273" i="15"/>
  <c r="C284" i="15"/>
  <c r="C293" i="15"/>
  <c r="C311" i="15"/>
  <c r="C332" i="15"/>
  <c r="C371" i="15"/>
  <c r="C425" i="15"/>
  <c r="C445" i="15"/>
  <c r="C478" i="15"/>
  <c r="C509" i="15"/>
  <c r="C518" i="15"/>
  <c r="C538" i="15"/>
  <c r="C550" i="15"/>
  <c r="C571" i="15"/>
  <c r="C582" i="15"/>
  <c r="C625" i="15"/>
  <c r="C638" i="15"/>
  <c r="C648" i="15"/>
  <c r="C694" i="15"/>
  <c r="C714" i="15"/>
  <c r="C734" i="15"/>
  <c r="C754" i="15"/>
  <c r="C774" i="15"/>
  <c r="C806" i="15"/>
  <c r="C847" i="15"/>
  <c r="C858" i="15"/>
  <c r="C879" i="15"/>
  <c r="C900" i="15"/>
  <c r="C47" i="15"/>
  <c r="C120" i="15"/>
  <c r="C174" i="15"/>
  <c r="C244" i="15"/>
  <c r="C274" i="15"/>
  <c r="C68" i="15"/>
  <c r="C100" i="15"/>
  <c r="C154" i="15"/>
  <c r="C208" i="15"/>
  <c r="C227" i="15"/>
  <c r="C286" i="15"/>
  <c r="C314" i="15"/>
  <c r="C427" i="15"/>
  <c r="C511" i="15"/>
  <c r="C649" i="15"/>
  <c r="C674" i="15"/>
  <c r="C829" i="15"/>
  <c r="C29" i="15"/>
  <c r="C49" i="15"/>
  <c r="C67" i="15"/>
  <c r="C79" i="15"/>
  <c r="C99" i="15"/>
  <c r="C122" i="15"/>
  <c r="C133" i="15"/>
  <c r="C153" i="15"/>
  <c r="C176" i="15"/>
  <c r="C187" i="15"/>
  <c r="C197" i="15"/>
  <c r="C207" i="15"/>
  <c r="C226" i="15"/>
  <c r="C285" i="15"/>
  <c r="C304" i="15"/>
  <c r="C313" i="15"/>
  <c r="C343" i="15"/>
  <c r="C353" i="15"/>
  <c r="C363" i="15"/>
  <c r="C409" i="15"/>
  <c r="C426" i="15"/>
  <c r="C436" i="15"/>
  <c r="C480" i="15"/>
  <c r="C510" i="15"/>
  <c r="C532" i="15"/>
  <c r="C552" i="15"/>
  <c r="C562" i="15"/>
  <c r="C574" i="15"/>
  <c r="C618" i="15"/>
  <c r="C629" i="15"/>
  <c r="C640" i="15"/>
  <c r="C673" i="15"/>
  <c r="C686" i="15"/>
  <c r="C746" i="15"/>
  <c r="C757" i="15"/>
  <c r="C767" i="15"/>
  <c r="C798" i="15"/>
  <c r="C809" i="15"/>
  <c r="C828" i="15"/>
  <c r="C850" i="15"/>
  <c r="C871" i="15"/>
  <c r="C891" i="15"/>
  <c r="D529" i="14"/>
  <c r="D850" i="14"/>
  <c r="D469" i="14"/>
  <c r="D462" i="14"/>
  <c r="D507" i="14"/>
  <c r="D506" i="14"/>
  <c r="D569" i="14"/>
  <c r="D610" i="14"/>
  <c r="D739" i="14"/>
  <c r="D763" i="14"/>
  <c r="D845" i="14"/>
  <c r="D474" i="14"/>
  <c r="D490" i="14"/>
  <c r="D874" i="14"/>
  <c r="D519" i="14"/>
  <c r="D559" i="14"/>
  <c r="D582" i="14"/>
  <c r="D588" i="14"/>
  <c r="D625" i="14"/>
  <c r="D649" i="14"/>
  <c r="D673" i="14"/>
  <c r="D697" i="14"/>
  <c r="D721" i="14"/>
  <c r="D745" i="14"/>
  <c r="D769" i="14"/>
  <c r="D793" i="14"/>
  <c r="D809" i="14"/>
  <c r="D482" i="14"/>
  <c r="D475" i="14"/>
  <c r="D497" i="14"/>
  <c r="D635" i="14"/>
  <c r="D659" i="14"/>
  <c r="D683" i="14"/>
  <c r="D707" i="14"/>
  <c r="D731" i="14"/>
  <c r="D755" i="14"/>
  <c r="D779" i="14"/>
  <c r="D801" i="14"/>
  <c r="D816" i="14"/>
  <c r="D870" i="14"/>
  <c r="D515" i="14"/>
  <c r="D565" i="14"/>
  <c r="D789" i="14"/>
  <c r="D827" i="14"/>
  <c r="D838" i="14"/>
  <c r="D849" i="14"/>
  <c r="D830" i="14"/>
  <c r="D889" i="14"/>
  <c r="D471" i="14"/>
  <c r="D504" i="14"/>
  <c r="D503" i="14"/>
  <c r="D543" i="14"/>
  <c r="D572" i="14"/>
  <c r="D607" i="14"/>
  <c r="D624" i="14"/>
  <c r="D648" i="14"/>
  <c r="D672" i="14"/>
  <c r="D844" i="14"/>
  <c r="D855" i="14"/>
  <c r="D860" i="14"/>
  <c r="D859" i="14"/>
  <c r="D877" i="14"/>
  <c r="D634" i="14"/>
  <c r="D658" i="14"/>
  <c r="D682" i="14"/>
  <c r="D706" i="14"/>
  <c r="D730" i="14"/>
  <c r="D754" i="14"/>
  <c r="D778" i="14"/>
  <c r="D455" i="14"/>
  <c r="D521" i="14"/>
  <c r="D538" i="14"/>
  <c r="D555" i="14"/>
  <c r="D573" i="14"/>
  <c r="D644" i="14"/>
  <c r="D668" i="14"/>
  <c r="D692" i="14"/>
  <c r="D716" i="14"/>
  <c r="D740" i="14"/>
  <c r="D764" i="14"/>
  <c r="D788" i="14"/>
  <c r="D854" i="14"/>
  <c r="D620" i="14"/>
  <c r="D803" i="14"/>
  <c r="D851" i="14"/>
  <c r="D884" i="14"/>
  <c r="D463" i="14"/>
  <c r="D485" i="14"/>
  <c r="D579" i="14"/>
  <c r="D791" i="14"/>
  <c r="D808" i="14"/>
  <c r="D839" i="14"/>
  <c r="M11" i="7"/>
  <c r="P11" i="9"/>
  <c r="G11" i="7"/>
  <c r="H11" i="7"/>
  <c r="F11" i="7"/>
  <c r="S11" i="7"/>
  <c r="L10" i="7"/>
  <c r="M10" i="7"/>
  <c r="Q11" i="7"/>
  <c r="O11" i="8"/>
  <c r="C11" i="8"/>
  <c r="N11" i="8"/>
  <c r="M11" i="8"/>
  <c r="S11" i="8"/>
  <c r="E11" i="8"/>
  <c r="L11" i="8"/>
  <c r="A10" i="8"/>
  <c r="K11" i="8"/>
  <c r="G11" i="8"/>
  <c r="F11" i="8"/>
  <c r="J11" i="8"/>
  <c r="H11" i="8"/>
  <c r="R11" i="8"/>
  <c r="I11" i="8"/>
  <c r="K10" i="7"/>
  <c r="E11" i="7"/>
  <c r="B11" i="8"/>
  <c r="R11" i="7"/>
  <c r="P11" i="8"/>
  <c r="D11" i="7"/>
  <c r="Q11" i="8"/>
  <c r="O11" i="9"/>
  <c r="C11" i="9"/>
  <c r="M11" i="9"/>
  <c r="L11" i="9"/>
  <c r="K11" i="9"/>
  <c r="J11" i="9"/>
  <c r="G11" i="9"/>
  <c r="F11" i="9"/>
  <c r="D11" i="9"/>
  <c r="H11" i="9"/>
  <c r="A10" i="9"/>
  <c r="R11" i="9"/>
  <c r="Q11" i="9"/>
  <c r="S11" i="9"/>
  <c r="D453" i="14"/>
  <c r="D465" i="14"/>
  <c r="D479" i="14"/>
  <c r="D491" i="14"/>
  <c r="D539" i="14"/>
  <c r="D527" i="14"/>
  <c r="D818" i="14"/>
  <c r="D806" i="14"/>
  <c r="D501" i="14"/>
  <c r="D513" i="14"/>
  <c r="B10" i="7"/>
  <c r="I11" i="7"/>
  <c r="D587" i="14"/>
  <c r="D575" i="14"/>
  <c r="C388" i="15"/>
  <c r="C389" i="15"/>
  <c r="C398" i="15"/>
  <c r="C397" i="15"/>
  <c r="C10" i="7"/>
  <c r="P10" i="7"/>
  <c r="D518" i="14"/>
  <c r="D861" i="14"/>
  <c r="E10" i="7"/>
  <c r="O10" i="7"/>
  <c r="D563" i="14"/>
  <c r="D551" i="14"/>
  <c r="Q17" i="2"/>
  <c r="R17" i="2" s="1"/>
  <c r="D10" i="7"/>
  <c r="Q10" i="7"/>
  <c r="Q22" i="2"/>
  <c r="R22" i="2" s="1"/>
  <c r="A9" i="7"/>
  <c r="F10" i="7"/>
  <c r="S10" i="7"/>
  <c r="K11" i="7"/>
  <c r="D466" i="14"/>
  <c r="D478" i="14"/>
  <c r="D514" i="14"/>
  <c r="D526" i="14"/>
  <c r="D541" i="14"/>
  <c r="D611" i="14"/>
  <c r="D599" i="14"/>
  <c r="D853" i="14"/>
  <c r="D841" i="14"/>
  <c r="C322" i="15"/>
  <c r="N10" i="7"/>
  <c r="D470" i="14"/>
  <c r="R10" i="7"/>
  <c r="J11" i="7"/>
  <c r="G10" i="7"/>
  <c r="L11" i="7"/>
  <c r="H10" i="7"/>
  <c r="C70" i="15"/>
  <c r="C69" i="15"/>
  <c r="C124" i="15"/>
  <c r="C123" i="15"/>
  <c r="C178" i="15"/>
  <c r="C177" i="15"/>
  <c r="D483" i="14"/>
  <c r="C60" i="15"/>
  <c r="Q23" i="2"/>
  <c r="R23" i="2" s="1"/>
  <c r="Q19" i="2"/>
  <c r="R19" i="2" s="1"/>
  <c r="Q15" i="2"/>
  <c r="R15" i="2" s="1"/>
  <c r="I10" i="7"/>
  <c r="O11" i="7"/>
  <c r="C11" i="7"/>
  <c r="N11" i="7"/>
  <c r="J10" i="7"/>
  <c r="B11" i="7"/>
  <c r="P11" i="7"/>
  <c r="D457" i="14"/>
  <c r="D589" i="14"/>
  <c r="C12" i="15"/>
  <c r="D505" i="14"/>
  <c r="D468" i="14"/>
  <c r="D456" i="14"/>
  <c r="D516" i="14"/>
  <c r="D535" i="14"/>
  <c r="D819" i="14"/>
  <c r="C264" i="15"/>
  <c r="C263" i="15"/>
  <c r="D464" i="14"/>
  <c r="D452" i="14"/>
  <c r="D512" i="14"/>
  <c r="D534" i="14"/>
  <c r="D865" i="14"/>
  <c r="C21" i="15"/>
  <c r="C255" i="15"/>
  <c r="C837" i="15"/>
  <c r="C836" i="15"/>
  <c r="D496" i="14"/>
  <c r="D537" i="14"/>
  <c r="D561" i="14"/>
  <c r="D585" i="14"/>
  <c r="D826" i="14"/>
  <c r="C220" i="15"/>
  <c r="C305" i="15"/>
  <c r="D492" i="14"/>
  <c r="D540" i="14"/>
  <c r="D564" i="14"/>
  <c r="D612" i="14"/>
  <c r="D804" i="14"/>
  <c r="D837" i="14"/>
  <c r="D867" i="14"/>
  <c r="C24" i="15"/>
  <c r="C106" i="15"/>
  <c r="C105" i="15"/>
  <c r="C160" i="15"/>
  <c r="C159" i="15"/>
  <c r="C573" i="15"/>
  <c r="C572" i="15"/>
  <c r="D488" i="14"/>
  <c r="D536" i="14"/>
  <c r="D550" i="14"/>
  <c r="D574" i="14"/>
  <c r="D598" i="14"/>
  <c r="D622" i="14"/>
  <c r="D646" i="14"/>
  <c r="D670" i="14"/>
  <c r="D694" i="14"/>
  <c r="D718" i="14"/>
  <c r="D742" i="14"/>
  <c r="D766" i="14"/>
  <c r="D790" i="14"/>
  <c r="D817" i="14"/>
  <c r="D847" i="14"/>
  <c r="C203" i="15"/>
  <c r="C204" i="15"/>
  <c r="C279" i="15"/>
  <c r="C364" i="15"/>
  <c r="C501" i="15"/>
  <c r="C500" i="15"/>
  <c r="C541" i="15"/>
  <c r="C540" i="15"/>
  <c r="D484" i="14"/>
  <c r="D532" i="14"/>
  <c r="D560" i="14"/>
  <c r="D584" i="14"/>
  <c r="D608" i="14"/>
  <c r="D632" i="14"/>
  <c r="D656" i="14"/>
  <c r="D680" i="14"/>
  <c r="D704" i="14"/>
  <c r="D728" i="14"/>
  <c r="D752" i="14"/>
  <c r="D776" i="14"/>
  <c r="D800" i="14"/>
  <c r="D858" i="14"/>
  <c r="D863" i="14"/>
  <c r="D878" i="14"/>
  <c r="C17" i="15"/>
  <c r="C37" i="15"/>
  <c r="C65" i="15"/>
  <c r="C469" i="15"/>
  <c r="D546" i="14"/>
  <c r="D570" i="14"/>
  <c r="D594" i="14"/>
  <c r="D618" i="14"/>
  <c r="D642" i="14"/>
  <c r="D666" i="14"/>
  <c r="D690" i="14"/>
  <c r="D714" i="14"/>
  <c r="D738" i="14"/>
  <c r="D762" i="14"/>
  <c r="D786" i="14"/>
  <c r="D556" i="14"/>
  <c r="D580" i="14"/>
  <c r="D604" i="14"/>
  <c r="D628" i="14"/>
  <c r="D652" i="14"/>
  <c r="D676" i="14"/>
  <c r="D700" i="14"/>
  <c r="D724" i="14"/>
  <c r="D748" i="14"/>
  <c r="D772" i="14"/>
  <c r="D796" i="14"/>
  <c r="D823" i="14"/>
  <c r="C9" i="15"/>
  <c r="C77" i="15"/>
  <c r="C88" i="15"/>
  <c r="C87" i="15"/>
  <c r="C131" i="15"/>
  <c r="C142" i="15"/>
  <c r="C141" i="15"/>
  <c r="C185" i="15"/>
  <c r="C196" i="15"/>
  <c r="C195" i="15"/>
  <c r="D472" i="14"/>
  <c r="D460" i="14"/>
  <c r="D542" i="14"/>
  <c r="D566" i="14"/>
  <c r="D590" i="14"/>
  <c r="D614" i="14"/>
  <c r="D638" i="14"/>
  <c r="D662" i="14"/>
  <c r="D686" i="14"/>
  <c r="D710" i="14"/>
  <c r="D734" i="14"/>
  <c r="D758" i="14"/>
  <c r="D782" i="14"/>
  <c r="D869" i="14"/>
  <c r="C58" i="15"/>
  <c r="C57" i="15"/>
  <c r="C349" i="15"/>
  <c r="C348" i="15"/>
  <c r="D828" i="14"/>
  <c r="D876" i="14"/>
  <c r="C85" i="15"/>
  <c r="C103" i="15"/>
  <c r="C121" i="15"/>
  <c r="C139" i="15"/>
  <c r="C157" i="15"/>
  <c r="C175" i="15"/>
  <c r="C193" i="15"/>
  <c r="C211" i="15"/>
  <c r="C217" i="15"/>
  <c r="C236" i="15"/>
  <c r="C235" i="15"/>
  <c r="C243" i="15"/>
  <c r="C253" i="15"/>
  <c r="C270" i="15"/>
  <c r="C303" i="15"/>
  <c r="C355" i="15"/>
  <c r="C361" i="15"/>
  <c r="C379" i="15"/>
  <c r="C394" i="15"/>
  <c r="C437" i="15"/>
  <c r="C456" i="15"/>
  <c r="C529" i="15"/>
  <c r="C669" i="15"/>
  <c r="C668" i="15"/>
  <c r="D824" i="14"/>
  <c r="D872" i="14"/>
  <c r="C20" i="15"/>
  <c r="C28" i="15"/>
  <c r="C44" i="15"/>
  <c r="C75" i="15"/>
  <c r="C93" i="15"/>
  <c r="C111" i="15"/>
  <c r="C129" i="15"/>
  <c r="C147" i="15"/>
  <c r="C165" i="15"/>
  <c r="C183" i="15"/>
  <c r="C201" i="15"/>
  <c r="C210" i="15"/>
  <c r="C269" i="15"/>
  <c r="C296" i="15"/>
  <c r="C354" i="15"/>
  <c r="C380" i="15"/>
  <c r="C421" i="15"/>
  <c r="C449" i="15"/>
  <c r="C612" i="15"/>
  <c r="D856" i="14"/>
  <c r="D904" i="14"/>
  <c r="C765" i="15"/>
  <c r="C764" i="15"/>
  <c r="D852" i="14"/>
  <c r="D900" i="14"/>
  <c r="C23" i="15"/>
  <c r="C231" i="15"/>
  <c r="C283" i="15"/>
  <c r="C289" i="15"/>
  <c r="C308" i="15"/>
  <c r="C307" i="15"/>
  <c r="C315" i="15"/>
  <c r="C325" i="15"/>
  <c r="C342" i="15"/>
  <c r="C384" i="15"/>
  <c r="C434" i="15"/>
  <c r="C453" i="15"/>
  <c r="C493" i="15"/>
  <c r="C684" i="15"/>
  <c r="D848" i="14"/>
  <c r="D896" i="14"/>
  <c r="C8" i="15"/>
  <c r="C16" i="15"/>
  <c r="C32" i="15"/>
  <c r="C40" i="15"/>
  <c r="C224" i="15"/>
  <c r="C282" i="15"/>
  <c r="C341" i="15"/>
  <c r="C368" i="15"/>
  <c r="C416" i="15"/>
  <c r="C444" i="15"/>
  <c r="C443" i="15"/>
  <c r="C452" i="15"/>
  <c r="C73" i="15"/>
  <c r="C91" i="15"/>
  <c r="C109" i="15"/>
  <c r="C127" i="15"/>
  <c r="C145" i="15"/>
  <c r="C474" i="15"/>
  <c r="C505" i="15"/>
  <c r="C565" i="15"/>
  <c r="C564" i="15"/>
  <c r="C309" i="15"/>
  <c r="C327" i="15"/>
  <c r="C351" i="15"/>
  <c r="C408" i="15"/>
  <c r="C495" i="15"/>
  <c r="C233" i="15"/>
  <c r="C250" i="15"/>
  <c r="C259" i="15"/>
  <c r="C292" i="15"/>
  <c r="C401" i="15"/>
  <c r="C588" i="15"/>
  <c r="C589" i="15"/>
  <c r="C853" i="15"/>
  <c r="C852" i="15"/>
  <c r="D832" i="14"/>
  <c r="D880" i="14"/>
  <c r="C276" i="15"/>
  <c r="C335" i="15"/>
  <c r="C377" i="15"/>
  <c r="C477" i="15"/>
  <c r="C476" i="15"/>
  <c r="C781" i="15"/>
  <c r="C780" i="15"/>
  <c r="C272" i="15"/>
  <c r="C344" i="15"/>
  <c r="C418" i="15"/>
  <c r="C446" i="15"/>
  <c r="C472" i="15"/>
  <c r="C488" i="15"/>
  <c r="C525" i="15"/>
  <c r="C524" i="15"/>
  <c r="C702" i="15"/>
  <c r="C772" i="15"/>
  <c r="C844" i="15"/>
  <c r="C266" i="15"/>
  <c r="C338" i="15"/>
  <c r="C411" i="15"/>
  <c r="C441" i="15"/>
  <c r="C448" i="15"/>
  <c r="C473" i="15"/>
  <c r="C508" i="15"/>
  <c r="C526" i="15"/>
  <c r="C543" i="15"/>
  <c r="C621" i="15"/>
  <c r="C620" i="15"/>
  <c r="C642" i="15"/>
  <c r="C652" i="15"/>
  <c r="C661" i="15"/>
  <c r="C693" i="15"/>
  <c r="C692" i="15"/>
  <c r="C248" i="15"/>
  <c r="C320" i="15"/>
  <c r="C392" i="15"/>
  <c r="C428" i="15"/>
  <c r="C484" i="15"/>
  <c r="C537" i="15"/>
  <c r="C546" i="15"/>
  <c r="C556" i="15"/>
  <c r="C594" i="15"/>
  <c r="C604" i="15"/>
  <c r="C796" i="15"/>
  <c r="C868" i="15"/>
  <c r="C485" i="15"/>
  <c r="C502" i="15"/>
  <c r="C519" i="15"/>
  <c r="C645" i="15"/>
  <c r="C644" i="15"/>
  <c r="C666" i="15"/>
  <c r="C676" i="15"/>
  <c r="C726" i="15"/>
  <c r="C717" i="15"/>
  <c r="C716" i="15"/>
  <c r="C230" i="15"/>
  <c r="C302" i="15"/>
  <c r="C374" i="15"/>
  <c r="C415" i="15"/>
  <c r="C460" i="15"/>
  <c r="C521" i="15"/>
  <c r="C607" i="15"/>
  <c r="C606" i="15"/>
  <c r="C678" i="15"/>
  <c r="C789" i="15"/>
  <c r="C788" i="15"/>
  <c r="C861" i="15"/>
  <c r="C860" i="15"/>
  <c r="C513" i="15"/>
  <c r="C522" i="15"/>
  <c r="C549" i="15"/>
  <c r="C548" i="15"/>
  <c r="C577" i="15"/>
  <c r="C597" i="15"/>
  <c r="C596" i="15"/>
  <c r="C748" i="15"/>
  <c r="C820" i="15"/>
  <c r="C741" i="15"/>
  <c r="C740" i="15"/>
  <c r="C813" i="15"/>
  <c r="C812" i="15"/>
  <c r="C885" i="15"/>
  <c r="C884" i="15"/>
  <c r="C545" i="15"/>
  <c r="C561" i="15"/>
  <c r="C569" i="15"/>
  <c r="C585" i="15"/>
  <c r="C593" i="15"/>
  <c r="C609" i="15"/>
  <c r="C617" i="15"/>
  <c r="C633" i="15"/>
  <c r="C641" i="15"/>
  <c r="C657" i="15"/>
  <c r="C665" i="15"/>
  <c r="C681" i="15"/>
  <c r="C689" i="15"/>
  <c r="C705" i="15"/>
  <c r="C729" i="15"/>
  <c r="C753" i="15"/>
  <c r="C777" i="15"/>
  <c r="C801" i="15"/>
  <c r="C825" i="15"/>
  <c r="C849" i="15"/>
  <c r="C873" i="15"/>
  <c r="C897" i="15"/>
  <c r="C632" i="15"/>
  <c r="C656" i="15"/>
  <c r="C680" i="15"/>
  <c r="C704" i="15"/>
  <c r="C728" i="15"/>
  <c r="C752" i="15"/>
  <c r="C776" i="15"/>
  <c r="C800" i="15"/>
  <c r="C824" i="15"/>
  <c r="C848" i="15"/>
  <c r="C872" i="15"/>
  <c r="C459" i="15"/>
  <c r="C467" i="15"/>
  <c r="C483" i="15"/>
  <c r="C491" i="15"/>
  <c r="C507" i="15"/>
  <c r="C515" i="15"/>
  <c r="C531" i="15"/>
  <c r="C539" i="15"/>
  <c r="C555" i="15"/>
  <c r="C579" i="15"/>
  <c r="C603" i="15"/>
  <c r="C627" i="15"/>
  <c r="C651" i="15"/>
  <c r="C659" i="15"/>
  <c r="C675" i="15"/>
  <c r="C683" i="15"/>
  <c r="C699" i="15"/>
  <c r="C707" i="15"/>
  <c r="C723" i="15"/>
  <c r="C731" i="15"/>
  <c r="C747" i="15"/>
  <c r="C755" i="15"/>
  <c r="C771" i="15"/>
  <c r="C779" i="15"/>
  <c r="C795" i="15"/>
  <c r="C803" i="15"/>
  <c r="C819" i="15"/>
  <c r="C827" i="15"/>
  <c r="C843" i="15"/>
  <c r="C851" i="15"/>
  <c r="C867" i="15"/>
  <c r="C875" i="15"/>
  <c r="C770" i="15"/>
  <c r="C794" i="15"/>
  <c r="C818" i="15"/>
  <c r="C842" i="15"/>
  <c r="C866" i="15"/>
  <c r="C890" i="15"/>
  <c r="C892" i="15"/>
  <c r="C902" i="15"/>
  <c r="C567" i="15"/>
  <c r="C591" i="15"/>
  <c r="C615" i="15"/>
  <c r="C639" i="15"/>
  <c r="C663" i="15"/>
  <c r="C687" i="15"/>
  <c r="C711" i="15"/>
  <c r="C887" i="15"/>
  <c r="C423" i="15"/>
  <c r="C736" i="15"/>
  <c r="C760" i="15"/>
  <c r="C784" i="15"/>
  <c r="C808" i="15"/>
  <c r="C832" i="15"/>
  <c r="C856" i="15"/>
  <c r="C880" i="15"/>
  <c r="B11" i="9" l="1"/>
  <c r="E11" i="9"/>
  <c r="N11" i="9"/>
  <c r="R24" i="2"/>
  <c r="L10" i="8"/>
  <c r="I10" i="8"/>
  <c r="H10" i="8"/>
  <c r="G10" i="8"/>
  <c r="S10" i="8"/>
  <c r="F10" i="8"/>
  <c r="A9" i="8"/>
  <c r="B10" i="8"/>
  <c r="R10" i="8"/>
  <c r="E10" i="8"/>
  <c r="P10" i="8"/>
  <c r="O10" i="8"/>
  <c r="N10" i="8"/>
  <c r="M10" i="8"/>
  <c r="Q10" i="8"/>
  <c r="D10" i="8"/>
  <c r="C10" i="8"/>
  <c r="K10" i="8"/>
  <c r="J10" i="8"/>
  <c r="I9" i="7"/>
  <c r="R9" i="7"/>
  <c r="E9" i="7"/>
  <c r="Q9" i="7"/>
  <c r="D9" i="7"/>
  <c r="J9" i="7"/>
  <c r="P9" i="7"/>
  <c r="C9" i="7"/>
  <c r="O9" i="7"/>
  <c r="B9" i="7"/>
  <c r="M9" i="7"/>
  <c r="K9" i="7"/>
  <c r="N9" i="7"/>
  <c r="L9" i="7"/>
  <c r="H9" i="7"/>
  <c r="G9" i="7"/>
  <c r="F9" i="7"/>
  <c r="A8" i="7"/>
  <c r="S9" i="7"/>
  <c r="L10" i="9"/>
  <c r="H10" i="9"/>
  <c r="G10" i="9"/>
  <c r="M10" i="9"/>
  <c r="S10" i="9"/>
  <c r="F10" i="9"/>
  <c r="A9" i="9"/>
  <c r="K10" i="9"/>
  <c r="R10" i="9"/>
  <c r="E10" i="9"/>
  <c r="P10" i="9"/>
  <c r="N10" i="9"/>
  <c r="Q10" i="9"/>
  <c r="D10" i="9"/>
  <c r="B10" i="9"/>
  <c r="C10" i="9"/>
  <c r="O10" i="9"/>
  <c r="J10" i="9"/>
  <c r="I10" i="9"/>
  <c r="R8" i="7" l="1"/>
  <c r="F8" i="7"/>
  <c r="M8" i="7"/>
  <c r="L8" i="7"/>
  <c r="P8" i="7"/>
  <c r="K8" i="7"/>
  <c r="Q8" i="7"/>
  <c r="C8" i="7"/>
  <c r="J8" i="7"/>
  <c r="H8" i="7"/>
  <c r="G8" i="7"/>
  <c r="E8" i="7"/>
  <c r="I8" i="7"/>
  <c r="D8" i="7"/>
  <c r="A7" i="7"/>
  <c r="S8" i="7"/>
  <c r="O8" i="7"/>
  <c r="N8" i="7"/>
  <c r="B8" i="7"/>
  <c r="I9" i="8"/>
  <c r="Q9" i="8"/>
  <c r="D9" i="8"/>
  <c r="P9" i="8"/>
  <c r="C9" i="8"/>
  <c r="J9" i="8"/>
  <c r="O9" i="8"/>
  <c r="B9" i="8"/>
  <c r="N9" i="8"/>
  <c r="L9" i="8"/>
  <c r="G9" i="8"/>
  <c r="M9" i="8"/>
  <c r="K9" i="8"/>
  <c r="H9" i="8"/>
  <c r="A8" i="8"/>
  <c r="S9" i="8"/>
  <c r="R9" i="8"/>
  <c r="F9" i="8"/>
  <c r="E9" i="8"/>
  <c r="I9" i="9"/>
  <c r="P9" i="9"/>
  <c r="C9" i="9"/>
  <c r="O9" i="9"/>
  <c r="B9" i="9"/>
  <c r="A8" i="9"/>
  <c r="N9" i="9"/>
  <c r="M9" i="9"/>
  <c r="K9" i="9"/>
  <c r="H9" i="9"/>
  <c r="L9" i="9"/>
  <c r="J9" i="9"/>
  <c r="G9" i="9"/>
  <c r="F9" i="9"/>
  <c r="S9" i="9"/>
  <c r="R9" i="9"/>
  <c r="Q9" i="9"/>
  <c r="E9" i="9"/>
  <c r="D9" i="9"/>
  <c r="R8" i="8" l="1"/>
  <c r="F8" i="8"/>
  <c r="L8" i="8"/>
  <c r="K8" i="8"/>
  <c r="P8" i="8"/>
  <c r="O8" i="8"/>
  <c r="C8" i="8"/>
  <c r="J8" i="8"/>
  <c r="B8" i="8"/>
  <c r="I8" i="8"/>
  <c r="G8" i="8"/>
  <c r="H8" i="8"/>
  <c r="E8" i="8"/>
  <c r="D8" i="8"/>
  <c r="A7" i="8"/>
  <c r="S8" i="8"/>
  <c r="Q8" i="8"/>
  <c r="M8" i="8"/>
  <c r="N8" i="8"/>
  <c r="R8" i="9"/>
  <c r="F8" i="9"/>
  <c r="K8" i="9"/>
  <c r="J8" i="9"/>
  <c r="O8" i="9"/>
  <c r="I8" i="9"/>
  <c r="B8" i="9"/>
  <c r="H8" i="9"/>
  <c r="E8" i="9"/>
  <c r="G8" i="9"/>
  <c r="A7" i="9"/>
  <c r="D8" i="9"/>
  <c r="P8" i="9"/>
  <c r="S8" i="9"/>
  <c r="Q8" i="9"/>
  <c r="C8" i="9"/>
  <c r="N8" i="9"/>
  <c r="L8" i="9"/>
  <c r="M8" i="9"/>
  <c r="O7" i="7"/>
  <c r="C7" i="7"/>
  <c r="H7" i="7"/>
  <c r="G7" i="7"/>
  <c r="S7" i="7"/>
  <c r="F7" i="7"/>
  <c r="A6" i="7"/>
  <c r="R7" i="7"/>
  <c r="E7" i="7"/>
  <c r="P7" i="7"/>
  <c r="L7" i="7"/>
  <c r="Q7" i="7"/>
  <c r="D7" i="7"/>
  <c r="N7" i="7"/>
  <c r="B7" i="7"/>
  <c r="M7" i="7"/>
  <c r="K7" i="7"/>
  <c r="I7" i="7"/>
  <c r="J7" i="7"/>
  <c r="O7" i="9" l="1"/>
  <c r="C7" i="9"/>
  <c r="S7" i="9"/>
  <c r="F7" i="9"/>
  <c r="A6" i="9"/>
  <c r="R7" i="9"/>
  <c r="E7" i="9"/>
  <c r="Q7" i="9"/>
  <c r="D7" i="9"/>
  <c r="P7" i="9"/>
  <c r="B7" i="9"/>
  <c r="K7" i="9"/>
  <c r="J7" i="9"/>
  <c r="N7" i="9"/>
  <c r="M7" i="9"/>
  <c r="I7" i="9"/>
  <c r="L7" i="9"/>
  <c r="H7" i="9"/>
  <c r="G7" i="9"/>
  <c r="L6" i="7"/>
  <c r="P6" i="7"/>
  <c r="C6" i="7"/>
  <c r="O6" i="7"/>
  <c r="B6" i="7"/>
  <c r="N6" i="7"/>
  <c r="M6" i="7"/>
  <c r="J6" i="7"/>
  <c r="S6" i="7"/>
  <c r="K6" i="7"/>
  <c r="I6" i="7"/>
  <c r="D2" i="7"/>
  <c r="H6" i="7"/>
  <c r="F6" i="7"/>
  <c r="G6" i="7"/>
  <c r="R6" i="7"/>
  <c r="D6" i="7"/>
  <c r="Q6" i="7"/>
  <c r="E6" i="7"/>
  <c r="O7" i="8"/>
  <c r="C7" i="8"/>
  <c r="G7" i="8"/>
  <c r="S7" i="8"/>
  <c r="F7" i="8"/>
  <c r="A6" i="8"/>
  <c r="R7" i="8"/>
  <c r="E7" i="8"/>
  <c r="Q7" i="8"/>
  <c r="D7" i="8"/>
  <c r="L7" i="8"/>
  <c r="K7" i="8"/>
  <c r="P7" i="8"/>
  <c r="B7" i="8"/>
  <c r="M7" i="8"/>
  <c r="N7" i="8"/>
  <c r="J7" i="8"/>
  <c r="I7" i="8"/>
  <c r="H7" i="8"/>
  <c r="L6" i="8" l="1"/>
  <c r="O6" i="8"/>
  <c r="B6" i="8"/>
  <c r="N6" i="8"/>
  <c r="M6" i="8"/>
  <c r="F6" i="8"/>
  <c r="K6" i="8"/>
  <c r="I6" i="8"/>
  <c r="J6" i="8"/>
  <c r="H6" i="8"/>
  <c r="S6" i="8"/>
  <c r="R6" i="8"/>
  <c r="G6" i="8"/>
  <c r="E6" i="8"/>
  <c r="P6" i="8"/>
  <c r="D6" i="8"/>
  <c r="Q6" i="8"/>
  <c r="C6" i="8"/>
  <c r="L6" i="9"/>
  <c r="N6" i="9"/>
  <c r="M6" i="9"/>
  <c r="R6" i="9"/>
  <c r="K6" i="9"/>
  <c r="D6" i="9"/>
  <c r="J6" i="9"/>
  <c r="I6" i="9"/>
  <c r="G6" i="9"/>
  <c r="S6" i="9"/>
  <c r="F6" i="9"/>
  <c r="E6" i="9"/>
  <c r="Q6" i="9"/>
  <c r="H6" i="9"/>
  <c r="P6" i="9"/>
  <c r="O6" i="9"/>
  <c r="C6" i="9"/>
  <c r="B6" i="9"/>
</calcChain>
</file>

<file path=xl/sharedStrings.xml><?xml version="1.0" encoding="utf-8"?>
<sst xmlns="http://schemas.openxmlformats.org/spreadsheetml/2006/main" count="1213" uniqueCount="550">
  <si>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</si>
  <si>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</si>
  <si>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</si>
  <si>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</si>
  <si>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</si>
  <si>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</si>
  <si>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</si>
  <si>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</si>
  <si>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</si>
  <si>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</si>
  <si>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</si>
  <si>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</si>
  <si>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</si>
  <si>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</si>
  <si>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</si>
  <si>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</si>
  <si>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</si>
  <si>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</si>
  <si>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</si>
  <si>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</si>
  <si>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</si>
  <si>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</si>
  <si>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</si>
  <si>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</si>
  <si>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</si>
  <si>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</si>
  <si>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</si>
  <si>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</si>
  <si>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</si>
  <si>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</si>
  <si>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</si>
  <si>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</si>
  <si>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</si>
  <si>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</si>
  <si>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</si>
  <si>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</si>
  <si>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</si>
  <si>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</si>
  <si>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</si>
  <si>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</si>
  <si>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</si>
  <si>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</si>
  <si>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</si>
  <si>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</si>
  <si>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</si>
  <si>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</si>
  <si>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</si>
  <si>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</si>
  <si>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</si>
  <si>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</si>
  <si>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</si>
  <si>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</si>
  <si>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</si>
  <si>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</si>
  <si>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</si>
  <si>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</si>
  <si>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</si>
  <si>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</si>
  <si>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</si>
  <si>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</si>
  <si>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</si>
  <si>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</si>
  <si>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</si>
  <si>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</si>
  <si>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</si>
  <si>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</si>
  <si>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</si>
  <si>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</si>
  <si>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</si>
  <si>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</si>
  <si>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</si>
  <si>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</si>
  <si>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</si>
  <si>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</si>
  <si>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</si>
  <si>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</si>
  <si>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</si>
  <si>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</si>
  <si>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</si>
  <si>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</si>
  <si>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</si>
  <si>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</si>
  <si>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</si>
  <si>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</si>
  <si>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</si>
  <si>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</si>
  <si>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</si>
  <si>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</si>
  <si>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</si>
  <si>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</si>
  <si>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</si>
  <si>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</si>
  <si>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</si>
  <si>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</si>
  <si>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</si>
  <si>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“Conditions are reasonable. Sales are a little better than planned. Cost pressures are easing for most products. There have been a lot fewer supply disruptions so far this year, and few expected in the short term. The crystal ball remains a little blurry for the rest of 2023.”</t>
  </si>
  <si>
    <t>“Customer demand continues to be depressed. While 2023 pipeline is looking very positive, current demand is significantly down.”</t>
  </si>
  <si>
    <t>“Future volumes are on a downward trend for the next 60 days.”</t>
  </si>
  <si>
    <t>“Customers are canceling some orders. Inventories of finished goods increasing. Expect some bounce back as some customers may be waiting for commodity prices to decline (further).”</t>
  </si>
  <si>
    <t>“Concerns of global economic slowdown are growing, and (we are) experiencing some customers pulling back orders.”</t>
  </si>
  <si>
    <t>“Sales in target business softening month-over-month, down 12 percent by revenue. Inventory days are increasing.”</t>
  </si>
  <si>
    <t>“Inflation is slowing down business. Overstock of raw materials due to prior supply chain issues and slowing orders.”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</si>
  <si>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</si>
  <si>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</si>
  <si>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</si>
  <si>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</si>
  <si>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</si>
  <si>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</si>
  <si>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</si>
  <si>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</si>
  <si>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</si>
  <si>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</si>
  <si>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</si>
  <si>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</si>
  <si>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</si>
  <si>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</si>
  <si>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</si>
  <si>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</si>
  <si>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</si>
  <si>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</si>
  <si>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</si>
  <si>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</si>
  <si>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</si>
  <si>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</si>
  <si>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</si>
  <si>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</si>
  <si>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</si>
  <si>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</si>
  <si>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</si>
  <si>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</si>
  <si>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</si>
  <si>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</si>
  <si>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</si>
  <si>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</si>
  <si>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</si>
  <si>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</si>
  <si>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</si>
  <si>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</si>
  <si>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</si>
  <si>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</si>
  <si>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</si>
  <si>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</si>
  <si>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“Business is still strong, but we have begun to see softening in some pricing, and lead times seem to be improving.”</t>
  </si>
  <si>
    <t>“Skilled labor shortages are huge, putting a lot of pressure on existing personnel. Electronic components still a major supply chain issue, particularly if the component you need is not the current hot technology.”</t>
  </si>
  <si>
    <t>“Customer demand is softening, yet suppliers are maintaining high prices and record profits. Pushing for cost reductions based on market evidence has been surprisingly successful.”</t>
  </si>
  <si>
    <t>“Flat business activity; continued electronics market challenges.”</t>
  </si>
  <si>
    <t>“Supply chain issues for all electronic components and custom build-to-print materials are in short supply due to capacity and skilled labor shortages. Energy cost continues to negatively impact freight cost.”</t>
  </si>
  <si>
    <t>“Demand from customers is still strong, but much of that is because there is still fear of not getting product due to constraints. They are stocking up. There will be a reckoning in the market when the music stops, and everyone’s inventories are bloated.”</t>
  </si>
  <si>
    <t>“Material extended lead times still affecting business, and the challenging labor market is a huge factor too. Backlog is healthy; we just cannot deliver to customers due to material issues.”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</si>
  <si>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</si>
  <si>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</si>
  <si>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</si>
  <si>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</si>
  <si>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</si>
  <si>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</si>
  <si>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</si>
  <si>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</si>
  <si>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</si>
  <si>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</si>
  <si>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</si>
  <si>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</si>
  <si>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</si>
  <si>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</si>
  <si>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</si>
  <si>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</si>
  <si>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</si>
  <si>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</si>
  <si>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</si>
  <si>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</si>
  <si>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</si>
  <si>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</si>
  <si>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</si>
  <si>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</si>
  <si>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</si>
  <si>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</si>
  <si>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</si>
  <si>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</si>
  <si>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</si>
  <si>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</si>
  <si>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</si>
  <si>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</si>
  <si>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</si>
  <si>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</si>
  <si>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</si>
  <si>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</si>
  <si>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</si>
  <si>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“Some business segments showing demand softening globally. Many materials showing improved lead times as well as cost deflation.”</t>
  </si>
  <si>
    <t>“New China technology trade restrictions have impacted our business and plans going forward.”</t>
  </si>
  <si>
    <t>“Overall, things are worsening. Housing starts are down. We’re doing well against our competitors, but the industry overall is down. We’re sitting on cash (that is) tied up in inventory.”</t>
  </si>
  <si>
    <t>“Housing market is down, so our business is affected. Capacity has increased over the last two years due to high orders of consumer goods and appliances, so now we’re trying promotions to get our orders up to where we can use all our capacity.”</t>
  </si>
  <si>
    <t>“Business continues to be strong. Some commodities within the supply chain are starting to stabilize, while others are still causing disruption for production. Electrical and wiring components continue to cause significant issues. (We) cannot run as consistently as we would like.”</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</si>
  <si>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</si>
  <si>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</si>
  <si>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</si>
  <si>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</si>
  <si>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</si>
  <si>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</si>
  <si>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</si>
  <si>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</si>
  <si>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</si>
  <si>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</si>
  <si>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</si>
  <si>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</si>
  <si>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</si>
  <si>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</si>
  <si>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</si>
  <si>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</si>
  <si>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</si>
  <si>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</si>
  <si>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</si>
  <si>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</si>
  <si>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</si>
  <si>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</si>
  <si>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</si>
  <si>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</si>
  <si>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</si>
  <si>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</si>
  <si>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</si>
  <si>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</si>
  <si>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</si>
  <si>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</si>
  <si>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</si>
  <si>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</si>
  <si>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</si>
  <si>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</si>
  <si>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</si>
  <si>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“Thus far, the outlook for the first half of 2023 looks very soft. Demand for our products has taken a sharp downward turn. Our inventories are high, as well as our customers’. It seems everyone is bracing for a recession.”</t>
  </si>
  <si>
    <t>“Business is slowing down and forecast to decrease by the end of the first quarter or second quarter.”</t>
  </si>
  <si>
    <t>“Customer demand has been slower for two months. Production is decreasing our inventory and (we are) implementing forecasts carefully. The headwind seems to be very strong, so we need to be prepared for that.”</t>
  </si>
  <si>
    <t>“Business is flat to down due to inflation and interest rates. Hard to find and keep employees due to wage increases by competitors.”</t>
  </si>
  <si>
    <t>“Our markets are still holding up; however, I believe a slowdown is coming. We are cautious about going out too far with orders. Also, I believe the general market is in the beginnings of a recession.”</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</si>
  <si>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</si>
  <si>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</si>
  <si>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</si>
  <si>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</si>
  <si>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</si>
  <si>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</si>
  <si>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</si>
  <si>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“Sales have dropped (as expected) at the beginning of the year. Forecast from the sales department is showing even lower sales then we expected. If this holds true, inventory levels will rise slightly over next month and a half.”</t>
  </si>
  <si>
    <t>“Lead times are returning to normal for most of our suppliers, while some of our smaller suppliers are struggling to remain staffed up enough to keep up with orders.”</t>
  </si>
  <si>
    <t>“Consumer goods are slowing down in several of our markets, although the U.S. economy seems decent. Cannot say the same for the European economy.”</t>
  </si>
  <si>
    <t>“Growing threat of recession is making many customers slow orders substantially. Additionally, global uncertainty about the Russia-Ukraine (war) is influencing global commodity markets.”</t>
  </si>
  <si>
    <t>“Almost all suppliers are experiencing lead times growth. It seems no one wants to keep inventory on hand anymore.”</t>
  </si>
  <si>
    <t>“Inventories are far too high, and we are on pins and needles to see how quickly and at what magnitude our busy season begins. We will start seeing that in the next few weeks.”</t>
  </si>
  <si>
    <t>“Growing inflation is pushing a stronger narrative around pending recession concerns. Many customers appear to be pulling back on orders in an effort to reduce inventories.”</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</si>
  <si>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</si>
  <si>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</si>
  <si>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</si>
  <si>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</si>
  <si>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</si>
  <si>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</si>
  <si>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</si>
  <si>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</si>
  <si>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</si>
  <si>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</si>
  <si>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</si>
  <si>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</si>
  <si>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</si>
  <si>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</si>
  <si>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</si>
  <si>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</si>
  <si>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</si>
  <si>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</si>
  <si>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</si>
  <si>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</si>
  <si>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</si>
  <si>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</si>
  <si>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</si>
  <si>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</si>
  <si>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</si>
  <si>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</si>
  <si>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</si>
  <si>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</si>
  <si>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</si>
  <si>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</si>
  <si>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</si>
  <si>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</si>
  <si>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</si>
  <si>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</si>
  <si>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</si>
  <si>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</si>
  <si>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</si>
  <si>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</si>
  <si>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</si>
  <si>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</si>
  <si>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</si>
  <si>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</si>
  <si>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</si>
  <si>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</si>
  <si>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</si>
  <si>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</si>
  <si>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</si>
  <si>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</si>
  <si>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</si>
  <si>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</si>
  <si>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</si>
  <si>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</si>
  <si>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</si>
  <si>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</si>
  <si>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</si>
  <si>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</si>
  <si>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</si>
  <si>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</si>
  <si>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</si>
  <si>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</si>
  <si>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</si>
  <si>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</si>
  <si>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</si>
  <si>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“The continued uncertainty in the economy has resulted in customers delaying their commitments for capital purchases, which is impacting our fourth quarter sales and lowering our forecast for the first quarter of 2023.”</t>
  </si>
  <si>
    <t>“General economic uncertainty has created a slowdown in orders as we approach the end of the year, and many of our key customers are reducing their capital expenditures spend.”</t>
  </si>
  <si>
    <t>“We have seen a general pullback in available capital budgets from our customers, and that is having a significant impact on our sales in the fourth quarter.”</t>
  </si>
  <si>
    <t>“Continue to struggle with electronic component shortages. Several smaller machine shops are (manufacturing) the pacing item for our production due to lack of direct labor machinists.”</t>
  </si>
  <si>
    <t>“New order entry has slowed down slightly; however, logistical issues have yet to improve. Long lead times for materials and labor shortages are still a major problem.”</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</si>
  <si>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</si>
  <si>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</si>
  <si>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</si>
  <si>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</si>
  <si>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</si>
  <si>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</si>
  <si>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</si>
  <si>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</si>
  <si>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</si>
  <si>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</si>
  <si>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</si>
  <si>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</si>
  <si>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</si>
  <si>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</si>
  <si>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</si>
  <si>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</si>
  <si>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</si>
  <si>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</si>
  <si>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</si>
  <si>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</si>
  <si>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</si>
  <si>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</si>
  <si>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</si>
  <si>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</si>
  <si>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</si>
  <si>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</si>
  <si>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</si>
  <si>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</si>
  <si>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</si>
  <si>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</si>
  <si>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</si>
  <si>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</si>
  <si>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</si>
  <si>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</si>
  <si>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</si>
  <si>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</si>
  <si>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</si>
  <si>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</si>
  <si>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</si>
  <si>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“Customers are being quite aggressive in pursuing price decreases, far beyond the price relief we are actually receiving from our suppliers.”</t>
  </si>
  <si>
    <t>“Overall, supply chain conditions have stabilized tremendously since the fourth quarter of 2021. Issues remain, but the list is quite a bit shorter. Customer demand is very strong, and the outlook is positive for 2023. There is large focus on margin recovery after this period of high inflation.”</t>
  </si>
  <si>
    <t>“Prices are continuing a slight decline. Suppliers are trying to hold off decreases, but competition is increasing.”</t>
  </si>
  <si>
    <t>“Quotes and orders still strong; however, we are not able to accept any new orders for shipment (for the rest of) 2022 due to motor and electronic component shortages.”</t>
  </si>
  <si>
    <t>“Business conditions are good, and demand is strong. Securing enough raw material supply to keep up is still a challenge.”</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</si>
  <si>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</si>
  <si>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</si>
  <si>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</si>
  <si>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</si>
  <si>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</si>
  <si>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</si>
  <si>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</si>
  <si>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</si>
  <si>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</si>
  <si>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</si>
  <si>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</si>
  <si>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</si>
  <si>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</si>
  <si>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</si>
  <si>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</si>
  <si>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</si>
  <si>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</si>
  <si>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</si>
  <si>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</si>
  <si>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</si>
  <si>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</si>
  <si>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</si>
  <si>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</si>
  <si>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</si>
  <si>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“Industrial construction is strong. Commercial construction is slower.”</t>
  </si>
  <si>
    <t>“Trying hard to keep the wheels moving to close out the year strong. The manufacturing plants are nearing their annual outage periods, and some TLC is needed to keep things running.”</t>
  </si>
  <si>
    <t>“There is caution going into 2023, but the commercial section of construction seems to still be going strong.”</t>
  </si>
  <si>
    <t>“International conditions loom large and seem very foreboding. Overall, we still think 2023 will be a positive year, with at least some moderate growth.”</t>
  </si>
  <si>
    <t>“The supply chain is still stressed, and it challenges our manufacturing plants for uptime. We have strong demand and need to run.”</t>
  </si>
  <si>
    <t>“All markets are extremely busy but face headwinds that will eventually take a toll. Lead times and costs make large projects very challenging to budget, plan and execute. Routine work is also very difficult.”</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</si>
  <si>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</si>
  <si>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</si>
  <si>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</si>
  <si>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</si>
  <si>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</si>
  <si>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</si>
  <si>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</si>
  <si>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</si>
  <si>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</si>
  <si>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</si>
  <si>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</si>
  <si>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</si>
  <si>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</si>
  <si>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</si>
  <si>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</si>
  <si>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</si>
  <si>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</si>
  <si>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</si>
  <si>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</si>
  <si>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</si>
  <si>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</si>
  <si>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</si>
  <si>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</si>
  <si>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</si>
  <si>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</si>
  <si>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</si>
  <si>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</si>
  <si>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</si>
  <si>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</si>
  <si>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</si>
  <si>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</si>
  <si>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</si>
  <si>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</si>
  <si>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</si>
  <si>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</si>
  <si>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</si>
  <si>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</si>
  <si>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</si>
  <si>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</si>
  <si>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</si>
  <si>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</si>
  <si>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</si>
  <si>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</si>
  <si>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“Looking into December and the first quarter of 2023, business is softening as uncertain economic conditions lie ahead.”</t>
  </si>
  <si>
    <t>“Lead times are improving. Plastic prices are coming down.”</t>
  </si>
  <si>
    <t>“Business is still strong; raw materials are becoming more available, and some raw materials prices are falling.”</t>
  </si>
  <si>
    <t>“Orders are still strong through the end of the year, but there is a feeling that customers may start pulling back on orders, either cancelling them or pushing them into 2023.”</t>
  </si>
  <si>
    <t>“Current order books are full, but there have been signs of a slowdown beginning in the fourth quarter.”</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</si>
  <si>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</si>
  <si>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</si>
  <si>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</si>
  <si>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</si>
  <si>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</si>
  <si>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</si>
  <si>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</si>
  <si>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</si>
  <si>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</si>
  <si>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</si>
  <si>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</si>
  <si>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</si>
  <si>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</si>
  <si>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</si>
  <si>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</si>
  <si>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</si>
  <si>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</si>
  <si>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</si>
  <si>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</si>
  <si>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</si>
  <si>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</si>
  <si>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</si>
  <si>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</si>
  <si>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</si>
  <si>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</si>
  <si>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</si>
  <si>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</si>
  <si>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</si>
  <si>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</si>
  <si>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</si>
  <si>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</si>
  <si>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</si>
  <si>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</si>
  <si>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“In the past two weeks, we are seeing a slowing of new orders.”</t>
  </si>
  <si>
    <t>“Finished the year strong, and we are pleased with how the year shaped up.”</t>
  </si>
  <si>
    <t>“Slight improvement on overall business conditions from the previous month.”</t>
  </si>
  <si>
    <t>“Demand is softening; however, we are continuing to produce to replenish inventory.”</t>
  </si>
  <si>
    <t>“Slight improvement projected for our business for the next quarter.”</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</si>
  <si>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</si>
  <si>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</si>
  <si>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</si>
  <si>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</si>
  <si>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</si>
  <si>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</si>
  <si>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</si>
  <si>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</si>
  <si>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</si>
  <si>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</si>
  <si>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</si>
  <si>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</si>
  <si>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</si>
  <si>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</si>
  <si>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</si>
  <si>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</si>
  <si>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</si>
  <si>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</si>
  <si>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</si>
  <si>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“Continuing delivery and staffing issues have eaten away the bottom line.”</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</si>
  <si>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</si>
  <si>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</si>
  <si>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</si>
  <si>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</si>
  <si>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“Supply chain issues continue to plague our production schedules. Transportation from our overseas suppliers is also contributing to delays. Lead times have doubled for critical electronics, gaskets, sealants, and specialized steel.”</t>
  </si>
  <si>
    <t>“Orders are really slowing down in the original equipment sector. We haven’t seen a major output decrease because we are still eating away at our back orders.”</t>
  </si>
  <si>
    <t>“Orders for transportation equipment remain strong. Supply chain issues persist, with minimal direct effect on output.”</t>
  </si>
  <si>
    <t>“Challenges with labor and parts delivery are easing. Order levels are slowing down after pent-up demand in the previous month.”</t>
  </si>
  <si>
    <t>“Production is steady, allowing reduction of backlog amidst slightly softened demand.”</t>
  </si>
  <si>
    <t>“Strong sales continue. The impact of the chip shortage is slowing, and the decreasing COVID-19 resurgence in Asia is now affecting production more than chips.”</t>
  </si>
  <si>
    <t>“Chip shortages remain; however, the COVID-19 lockdowns in China are presenting even worse supply issues.”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</si>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</sst>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2">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10" fillId="2" borderId="17" xfId="0" applyFont="1" applyFill="1" applyBorder="1" applyAlignment="1">
      <alignment horizontal="center" vertical="center"/>
    </xf>
    <xf numFmtId="0" fontId="0" fillId="2" borderId="0" xfId="0" applyFill="1"/>
    <xf numFmtId="0" fontId="0" fillId="0" borderId="17" xfId="0" applyBorder="1"/>
    <xf numFmtId="0" fontId="11" fillId="3"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0" fillId="0" borderId="12" xfId="0" applyBorder="1"/>
    <xf numFmtId="0" fontId="16" fillId="2" borderId="0" xfId="0" applyFont="1" applyFill="1" applyAlignment="1">
      <alignment wrapText="1"/>
    </xf>
    <xf numFmtId="0" fontId="10" fillId="4" borderId="35" xfId="0" applyFont="1" applyFill="1" applyBorder="1" applyAlignment="1">
      <alignment horizontal="center" wrapText="1"/>
    </xf>
    <xf numFmtId="0" fontId="10" fillId="4" borderId="32" xfId="0" applyFont="1" applyFill="1" applyBorder="1" applyAlignment="1">
      <alignment horizontal="center" wrapText="1"/>
    </xf>
    <xf numFmtId="0" fontId="0" fillId="0" borderId="41" xfId="0" applyBorder="1"/>
    <xf numFmtId="0" fontId="0" fillId="2" borderId="0" xfId="0" applyFill="1" applyAlignment="1">
      <alignment wrapText="1"/>
    </xf>
    <xf numFmtId="0" fontId="9" fillId="2" borderId="0" xfId="2" applyFill="1"/>
    <xf numFmtId="0" fontId="10" fillId="4" borderId="40" xfId="0" applyFont="1" applyFill="1" applyBorder="1" applyAlignment="1">
      <alignment horizontal="center"/>
    </xf>
    <xf numFmtId="0" fontId="0" fillId="0" borderId="0" xfId="0" applyAlignment="1">
      <alignment vertical="center"/>
    </xf>
    <xf numFmtId="0" fontId="10" fillId="2" borderId="0" xfId="0" applyFont="1" applyFill="1"/>
    <xf numFmtId="0" fontId="10" fillId="4" borderId="37" xfId="0" applyFont="1" applyFill="1" applyBorder="1" applyAlignment="1">
      <alignment horizontal="center" wrapText="1"/>
    </xf>
    <xf numFmtId="0" fontId="0" fillId="0" borderId="42" xfId="0" applyBorder="1"/>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pt idx="83">
                  <c:v>44896</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pt idx="83">
                  <c:v>48.4</c:v>
                </c:pt>
              </c:numCache>
            </c:numRef>
          </c:val>
          <c:smooth val="0"/>
          <c:extLst>
            <c:ext xmlns:c16="http://schemas.microsoft.com/office/drawing/2014/chart" uri="{C3380CC4-5D6E-409C-BE32-E72D297353CC}">
              <c16:uniqueId val="{00000000-2417-451C-9CA6-C4EA7C4F6C55}"/>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B494-4415-9D77-4C37978FC638}"/>
              </c:ext>
            </c:extLst>
          </c:dPt>
          <c:cat>
            <c:numRef>
              <c:f>Details!$A$6:$A$919</c:f>
              <c:numCache>
                <c:formatCode>m/d/yyyy</c:formatCode>
                <c:ptCount val="914"/>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Details!$B$6:$B$919</c:f>
              <c:numCache>
                <c:formatCode>0.00</c:formatCode>
                <c:ptCount val="914"/>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pt idx="899">
                  <c:v>45.2</c:v>
                </c:pt>
                <c:pt idx="900">
                  <c:v>42.5</c:v>
                </c:pt>
              </c:numCache>
            </c:numRef>
          </c:val>
          <c:smooth val="0"/>
          <c:extLst>
            <c:ext xmlns:c16="http://schemas.microsoft.com/office/drawing/2014/chart" uri="{C3380CC4-5D6E-409C-BE32-E72D297353CC}">
              <c16:uniqueId val="{00000002-B494-4415-9D77-4C37978FC638}"/>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Sectors!$C$6:$C$11</c:f>
              <c:numCache>
                <c:formatCode>General</c:formatCode>
                <c:ptCount val="6"/>
                <c:pt idx="0">
                  <c:v>7</c:v>
                </c:pt>
                <c:pt idx="1">
                  <c:v>2</c:v>
                </c:pt>
                <c:pt idx="2">
                  <c:v>-2</c:v>
                </c:pt>
                <c:pt idx="3">
                  <c:v>-4</c:v>
                </c:pt>
                <c:pt idx="4">
                  <c:v>-5</c:v>
                </c:pt>
                <c:pt idx="5">
                  <c:v>2</c:v>
                </c:pt>
              </c:numCache>
            </c:numRef>
          </c:val>
          <c:extLst>
            <c:ext xmlns:c16="http://schemas.microsoft.com/office/drawing/2014/chart" uri="{C3380CC4-5D6E-409C-BE32-E72D297353CC}">
              <c16:uniqueId val="{00000000-88F9-4A87-9928-82780F7C47B2}"/>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Sectors!$B$6:$B$11</c:f>
              <c:numCache>
                <c:formatCode>General</c:formatCode>
                <c:ptCount val="6"/>
                <c:pt idx="0">
                  <c:v>3</c:v>
                </c:pt>
                <c:pt idx="1">
                  <c:v>8</c:v>
                </c:pt>
                <c:pt idx="2">
                  <c:v>6</c:v>
                </c:pt>
                <c:pt idx="3">
                  <c:v>-2</c:v>
                </c:pt>
                <c:pt idx="4">
                  <c:v>-4</c:v>
                </c:pt>
                <c:pt idx="5">
                  <c:v>7</c:v>
                </c:pt>
              </c:numCache>
            </c:numRef>
          </c:val>
          <c:extLst>
            <c:ext xmlns:c16="http://schemas.microsoft.com/office/drawing/2014/chart" uri="{C3380CC4-5D6E-409C-BE32-E72D297353CC}">
              <c16:uniqueId val="{00000000-B57A-4021-A820-350FC6C8ED97}"/>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Sectors!$D$6:$D$11</c:f>
              <c:numCache>
                <c:formatCode>General</c:formatCode>
                <c:ptCount val="6"/>
                <c:pt idx="0">
                  <c:v>-4</c:v>
                </c:pt>
                <c:pt idx="1">
                  <c:v>-3</c:v>
                </c:pt>
                <c:pt idx="2">
                  <c:v>-8</c:v>
                </c:pt>
                <c:pt idx="3">
                  <c:v>-10</c:v>
                </c:pt>
                <c:pt idx="4">
                  <c:v>-10</c:v>
                </c:pt>
                <c:pt idx="5">
                  <c:v>14</c:v>
                </c:pt>
              </c:numCache>
            </c:numRef>
          </c:val>
          <c:extLst>
            <c:ext xmlns:c16="http://schemas.microsoft.com/office/drawing/2014/chart" uri="{C3380CC4-5D6E-409C-BE32-E72D297353CC}">
              <c16:uniqueId val="{00000000-713D-44EE-99C6-C17E7FD8868E}"/>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Sectors!$E$6:$E$11</c:f>
              <c:numCache>
                <c:formatCode>General</c:formatCode>
                <c:ptCount val="6"/>
                <c:pt idx="0">
                  <c:v>-6</c:v>
                </c:pt>
                <c:pt idx="1">
                  <c:v>5</c:v>
                </c:pt>
                <c:pt idx="2">
                  <c:v>8</c:v>
                </c:pt>
                <c:pt idx="3">
                  <c:v>6</c:v>
                </c:pt>
                <c:pt idx="4">
                  <c:v>-6</c:v>
                </c:pt>
                <c:pt idx="5">
                  <c:v>15</c:v>
                </c:pt>
              </c:numCache>
            </c:numRef>
          </c:val>
          <c:extLst>
            <c:ext xmlns:c16="http://schemas.microsoft.com/office/drawing/2014/chart" uri="{C3380CC4-5D6E-409C-BE32-E72D297353CC}">
              <c16:uniqueId val="{00000000-2414-443B-82B2-52A7EEC18644}"/>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Sectors!$F$6:$F$11</c:f>
              <c:numCache>
                <c:formatCode>General</c:formatCode>
                <c:ptCount val="6"/>
                <c:pt idx="0">
                  <c:v>6</c:v>
                </c:pt>
                <c:pt idx="1">
                  <c:v>-4</c:v>
                </c:pt>
                <c:pt idx="2">
                  <c:v>-6</c:v>
                </c:pt>
                <c:pt idx="3">
                  <c:v>-12</c:v>
                </c:pt>
                <c:pt idx="4">
                  <c:v>0</c:v>
                </c:pt>
                <c:pt idx="5">
                  <c:v>0</c:v>
                </c:pt>
              </c:numCache>
            </c:numRef>
          </c:val>
          <c:extLst>
            <c:ext xmlns:c16="http://schemas.microsoft.com/office/drawing/2014/chart" uri="{C3380CC4-5D6E-409C-BE32-E72D297353CC}">
              <c16:uniqueId val="{00000000-EDA2-4DEA-A195-97BDA43D0D17}"/>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Sectors!$G$6:$G$11</c:f>
              <c:numCache>
                <c:formatCode>General</c:formatCode>
                <c:ptCount val="6"/>
                <c:pt idx="0">
                  <c:v>4</c:v>
                </c:pt>
                <c:pt idx="1">
                  <c:v>0</c:v>
                </c:pt>
                <c:pt idx="2">
                  <c:v>-3</c:v>
                </c:pt>
                <c:pt idx="3">
                  <c:v>4</c:v>
                </c:pt>
                <c:pt idx="4">
                  <c:v>2</c:v>
                </c:pt>
                <c:pt idx="5">
                  <c:v>9</c:v>
                </c:pt>
              </c:numCache>
            </c:numRef>
          </c:val>
          <c:extLst>
            <c:ext xmlns:c16="http://schemas.microsoft.com/office/drawing/2014/chart" uri="{C3380CC4-5D6E-409C-BE32-E72D297353CC}">
              <c16:uniqueId val="{00000000-E150-43F7-8362-24AB3F69DC8C}"/>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Sectors!$H$6:$H$11</c:f>
              <c:numCache>
                <c:formatCode>General</c:formatCode>
                <c:ptCount val="6"/>
                <c:pt idx="0">
                  <c:v>10</c:v>
                </c:pt>
                <c:pt idx="1">
                  <c:v>9</c:v>
                </c:pt>
                <c:pt idx="2">
                  <c:v>7</c:v>
                </c:pt>
                <c:pt idx="3">
                  <c:v>5</c:v>
                </c:pt>
                <c:pt idx="4">
                  <c:v>0</c:v>
                </c:pt>
                <c:pt idx="5">
                  <c:v>13</c:v>
                </c:pt>
              </c:numCache>
            </c:numRef>
          </c:val>
          <c:extLst>
            <c:ext xmlns:c16="http://schemas.microsoft.com/office/drawing/2014/chart" uri="{C3380CC4-5D6E-409C-BE32-E72D297353CC}">
              <c16:uniqueId val="{00000000-F4C9-46AA-9604-DFD0CC8BE400}"/>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Sectors!$I$6:$I$11</c:f>
              <c:numCache>
                <c:formatCode>General</c:formatCode>
                <c:ptCount val="6"/>
                <c:pt idx="0">
                  <c:v>9</c:v>
                </c:pt>
                <c:pt idx="1">
                  <c:v>0</c:v>
                </c:pt>
                <c:pt idx="2">
                  <c:v>5</c:v>
                </c:pt>
                <c:pt idx="3">
                  <c:v>2</c:v>
                </c:pt>
                <c:pt idx="4">
                  <c:v>1</c:v>
                </c:pt>
                <c:pt idx="5">
                  <c:v>6</c:v>
                </c:pt>
              </c:numCache>
            </c:numRef>
          </c:val>
          <c:extLst>
            <c:ext xmlns:c16="http://schemas.microsoft.com/office/drawing/2014/chart" uri="{C3380CC4-5D6E-409C-BE32-E72D297353CC}">
              <c16:uniqueId val="{00000000-AA2D-4BD9-9B1E-A350ADB99D3F}"/>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Sectors!$J$6:$J$11</c:f>
              <c:numCache>
                <c:formatCode>General</c:formatCode>
                <c:ptCount val="6"/>
                <c:pt idx="0">
                  <c:v>5</c:v>
                </c:pt>
                <c:pt idx="1">
                  <c:v>7</c:v>
                </c:pt>
                <c:pt idx="2">
                  <c:v>2</c:v>
                </c:pt>
                <c:pt idx="3">
                  <c:v>-5</c:v>
                </c:pt>
                <c:pt idx="4">
                  <c:v>-9</c:v>
                </c:pt>
                <c:pt idx="5">
                  <c:v>10</c:v>
                </c:pt>
              </c:numCache>
            </c:numRef>
          </c:val>
          <c:extLst>
            <c:ext xmlns:c16="http://schemas.microsoft.com/office/drawing/2014/chart" uri="{C3380CC4-5D6E-409C-BE32-E72D297353CC}">
              <c16:uniqueId val="{00000000-036E-4A45-8F04-702FA5C01CF9}"/>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Sectors!$K$6:$K$11</c:f>
              <c:numCache>
                <c:formatCode>General</c:formatCode>
                <c:ptCount val="6"/>
                <c:pt idx="0">
                  <c:v>2</c:v>
                </c:pt>
                <c:pt idx="1">
                  <c:v>6</c:v>
                </c:pt>
                <c:pt idx="2">
                  <c:v>3</c:v>
                </c:pt>
                <c:pt idx="3">
                  <c:v>3</c:v>
                </c:pt>
                <c:pt idx="4">
                  <c:v>-1</c:v>
                </c:pt>
                <c:pt idx="5">
                  <c:v>4</c:v>
                </c:pt>
              </c:numCache>
            </c:numRef>
          </c:val>
          <c:extLst>
            <c:ext xmlns:c16="http://schemas.microsoft.com/office/drawing/2014/chart" uri="{C3380CC4-5D6E-409C-BE32-E72D297353CC}">
              <c16:uniqueId val="{00000000-2B3D-494E-BCA0-223599A4B886}"/>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Sectors!$L$6:$L$11</c:f>
              <c:numCache>
                <c:formatCode>General</c:formatCode>
                <c:ptCount val="6"/>
                <c:pt idx="0">
                  <c:v>1</c:v>
                </c:pt>
                <c:pt idx="1">
                  <c:v>3</c:v>
                </c:pt>
                <c:pt idx="2">
                  <c:v>-1</c:v>
                </c:pt>
                <c:pt idx="3">
                  <c:v>-3</c:v>
                </c:pt>
                <c:pt idx="4">
                  <c:v>-3</c:v>
                </c:pt>
                <c:pt idx="5">
                  <c:v>5</c:v>
                </c:pt>
              </c:numCache>
            </c:numRef>
          </c:val>
          <c:extLst>
            <c:ext xmlns:c16="http://schemas.microsoft.com/office/drawing/2014/chart" uri="{C3380CC4-5D6E-409C-BE32-E72D297353CC}">
              <c16:uniqueId val="{00000000-89B1-40BA-9CD0-D3ACB161F149}"/>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Sectors!$M$6:$M$11</c:f>
              <c:numCache>
                <c:formatCode>General</c:formatCode>
                <c:ptCount val="6"/>
                <c:pt idx="0">
                  <c:v>-5</c:v>
                </c:pt>
                <c:pt idx="1">
                  <c:v>-7</c:v>
                </c:pt>
                <c:pt idx="2">
                  <c:v>-10</c:v>
                </c:pt>
                <c:pt idx="3">
                  <c:v>-7</c:v>
                </c:pt>
                <c:pt idx="4">
                  <c:v>-7</c:v>
                </c:pt>
                <c:pt idx="5">
                  <c:v>11</c:v>
                </c:pt>
              </c:numCache>
            </c:numRef>
          </c:val>
          <c:extLst>
            <c:ext xmlns:c16="http://schemas.microsoft.com/office/drawing/2014/chart" uri="{C3380CC4-5D6E-409C-BE32-E72D297353CC}">
              <c16:uniqueId val="{00000000-FD58-4529-893B-6E7D18590EE3}"/>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Sectors!$N$6:$N$11</c:f>
              <c:numCache>
                <c:formatCode>General</c:formatCode>
                <c:ptCount val="6"/>
                <c:pt idx="0">
                  <c:v>8</c:v>
                </c:pt>
                <c:pt idx="1">
                  <c:v>4</c:v>
                </c:pt>
                <c:pt idx="2">
                  <c:v>4</c:v>
                </c:pt>
                <c:pt idx="3">
                  <c:v>1</c:v>
                </c:pt>
                <c:pt idx="4">
                  <c:v>-2</c:v>
                </c:pt>
                <c:pt idx="5">
                  <c:v>1</c:v>
                </c:pt>
              </c:numCache>
            </c:numRef>
          </c:val>
          <c:extLst>
            <c:ext xmlns:c16="http://schemas.microsoft.com/office/drawing/2014/chart" uri="{C3380CC4-5D6E-409C-BE32-E72D297353CC}">
              <c16:uniqueId val="{00000000-4423-4DC8-AE4A-98E05B1FD649}"/>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Sectors!$O$6:$O$11</c:f>
              <c:numCache>
                <c:formatCode>General</c:formatCode>
                <c:ptCount val="6"/>
                <c:pt idx="0">
                  <c:v>-3</c:v>
                </c:pt>
                <c:pt idx="1">
                  <c:v>-2</c:v>
                </c:pt>
                <c:pt idx="2">
                  <c:v>-4</c:v>
                </c:pt>
                <c:pt idx="3">
                  <c:v>-6</c:v>
                </c:pt>
                <c:pt idx="4">
                  <c:v>-11</c:v>
                </c:pt>
                <c:pt idx="5">
                  <c:v>3</c:v>
                </c:pt>
              </c:numCache>
            </c:numRef>
          </c:val>
          <c:extLst>
            <c:ext xmlns:c16="http://schemas.microsoft.com/office/drawing/2014/chart" uri="{C3380CC4-5D6E-409C-BE32-E72D297353CC}">
              <c16:uniqueId val="{00000000-16F2-4B07-8DCA-90C5D18A0484}"/>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Sectors!$P$6:$P$11</c:f>
              <c:numCache>
                <c:formatCode>General</c:formatCode>
                <c:ptCount val="6"/>
                <c:pt idx="0">
                  <c:v>-2</c:v>
                </c:pt>
                <c:pt idx="1">
                  <c:v>-1</c:v>
                </c:pt>
                <c:pt idx="2">
                  <c:v>-5</c:v>
                </c:pt>
                <c:pt idx="3">
                  <c:v>-8</c:v>
                </c:pt>
                <c:pt idx="4">
                  <c:v>-12</c:v>
                </c:pt>
                <c:pt idx="5">
                  <c:v>8</c:v>
                </c:pt>
              </c:numCache>
            </c:numRef>
          </c:val>
          <c:extLst>
            <c:ext xmlns:c16="http://schemas.microsoft.com/office/drawing/2014/chart" uri="{C3380CC4-5D6E-409C-BE32-E72D297353CC}">
              <c16:uniqueId val="{00000000-90A0-4A2F-B8E6-B7CDAF8C56BB}"/>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Sectors!$Q$6:$Q$11</c:f>
              <c:numCache>
                <c:formatCode>General</c:formatCode>
                <c:ptCount val="6"/>
                <c:pt idx="0">
                  <c:v>-1</c:v>
                </c:pt>
                <c:pt idx="1">
                  <c:v>1</c:v>
                </c:pt>
                <c:pt idx="2">
                  <c:v>1</c:v>
                </c:pt>
                <c:pt idx="3">
                  <c:v>-1</c:v>
                </c:pt>
                <c:pt idx="4">
                  <c:v>-8</c:v>
                </c:pt>
                <c:pt idx="5">
                  <c:v>12</c:v>
                </c:pt>
              </c:numCache>
            </c:numRef>
          </c:val>
          <c:extLst>
            <c:ext xmlns:c16="http://schemas.microsoft.com/office/drawing/2014/chart" uri="{C3380CC4-5D6E-409C-BE32-E72D297353CC}">
              <c16:uniqueId val="{00000000-5352-4010-9055-0BFA2EB1932C}"/>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Sectors!$R$6:$R$11</c:f>
              <c:numCache>
                <c:formatCode>General</c:formatCode>
                <c:ptCount val="6"/>
                <c:pt idx="0">
                  <c:v>0</c:v>
                </c:pt>
                <c:pt idx="1">
                  <c:v>-6</c:v>
                </c:pt>
                <c:pt idx="2">
                  <c:v>-7</c:v>
                </c:pt>
                <c:pt idx="3">
                  <c:v>-9</c:v>
                </c:pt>
                <c:pt idx="4">
                  <c:v>0</c:v>
                </c:pt>
                <c:pt idx="5">
                  <c:v>16</c:v>
                </c:pt>
              </c:numCache>
            </c:numRef>
          </c:val>
          <c:extLst>
            <c:ext xmlns:c16="http://schemas.microsoft.com/office/drawing/2014/chart" uri="{C3380CC4-5D6E-409C-BE32-E72D297353CC}">
              <c16:uniqueId val="{00000000-3293-4955-AEC2-ED8B8B681F68}"/>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44774</c:v>
                </c:pt>
                <c:pt idx="1">
                  <c:v>44805</c:v>
                </c:pt>
                <c:pt idx="2">
                  <c:v>44835</c:v>
                </c:pt>
                <c:pt idx="3">
                  <c:v>44866</c:v>
                </c:pt>
                <c:pt idx="4">
                  <c:v>44896</c:v>
                </c:pt>
                <c:pt idx="5">
                  <c:v>44927</c:v>
                </c:pt>
              </c:numCache>
            </c:numRef>
          </c:cat>
          <c:val>
            <c:numRef>
              <c:f>Sectors!$S$6:$S$11</c:f>
              <c:numCache>
                <c:formatCode>General</c:formatCode>
                <c:ptCount val="6"/>
                <c:pt idx="0">
                  <c:v>-7</c:v>
                </c:pt>
                <c:pt idx="1">
                  <c:v>-5</c:v>
                </c:pt>
                <c:pt idx="2">
                  <c:v>-9</c:v>
                </c:pt>
                <c:pt idx="3">
                  <c:v>-11</c:v>
                </c:pt>
                <c:pt idx="4">
                  <c:v>-13</c:v>
                </c:pt>
                <c:pt idx="5">
                  <c:v>17</c:v>
                </c:pt>
              </c:numCache>
            </c:numRef>
          </c:val>
          <c:extLst>
            <c:ext xmlns:c16="http://schemas.microsoft.com/office/drawing/2014/chart" uri="{C3380CC4-5D6E-409C-BE32-E72D297353CC}">
              <c16:uniqueId val="{00000000-10E7-4ACE-92D2-852D2D1ADCB0}"/>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SectorsNewOrders!$C$6:$C$11</c:f>
              <c:numCache>
                <c:formatCode>General</c:formatCode>
                <c:ptCount val="6"/>
                <c:pt idx="0">
                  <c:v>5</c:v>
                </c:pt>
                <c:pt idx="1">
                  <c:v>0</c:v>
                </c:pt>
                <c:pt idx="2">
                  <c:v>0</c:v>
                </c:pt>
                <c:pt idx="3">
                  <c:v>1</c:v>
                </c:pt>
                <c:pt idx="4">
                  <c:v>2</c:v>
                </c:pt>
                <c:pt idx="5">
                  <c:v>2</c:v>
                </c:pt>
              </c:numCache>
            </c:numRef>
          </c:val>
          <c:extLst>
            <c:ext xmlns:c16="http://schemas.microsoft.com/office/drawing/2014/chart" uri="{C3380CC4-5D6E-409C-BE32-E72D297353CC}">
              <c16:uniqueId val="{00000000-187A-4607-B68A-B6C35B8E3F6D}"/>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SectorsNewOrders!$B$6:$B$11</c:f>
              <c:numCache>
                <c:formatCode>General</c:formatCode>
                <c:ptCount val="6"/>
                <c:pt idx="0">
                  <c:v>-2</c:v>
                </c:pt>
                <c:pt idx="1">
                  <c:v>0</c:v>
                </c:pt>
                <c:pt idx="2">
                  <c:v>0</c:v>
                </c:pt>
                <c:pt idx="3">
                  <c:v>7</c:v>
                </c:pt>
                <c:pt idx="4">
                  <c:v>1</c:v>
                </c:pt>
                <c:pt idx="5">
                  <c:v>7</c:v>
                </c:pt>
              </c:numCache>
            </c:numRef>
          </c:val>
          <c:extLst>
            <c:ext xmlns:c16="http://schemas.microsoft.com/office/drawing/2014/chart" uri="{C3380CC4-5D6E-409C-BE32-E72D297353CC}">
              <c16:uniqueId val="{00000000-B177-40FB-9A44-FB5F08D6FA77}"/>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SectorsNewOrders!$D$6:$D$11</c:f>
              <c:numCache>
                <c:formatCode>General</c:formatCode>
                <c:ptCount val="6"/>
                <c:pt idx="0">
                  <c:v>0</c:v>
                </c:pt>
                <c:pt idx="1">
                  <c:v>6</c:v>
                </c:pt>
                <c:pt idx="2">
                  <c:v>9</c:v>
                </c:pt>
                <c:pt idx="3">
                  <c:v>12</c:v>
                </c:pt>
                <c:pt idx="4">
                  <c:v>0</c:v>
                </c:pt>
                <c:pt idx="5">
                  <c:v>14</c:v>
                </c:pt>
              </c:numCache>
            </c:numRef>
          </c:val>
          <c:extLst>
            <c:ext xmlns:c16="http://schemas.microsoft.com/office/drawing/2014/chart" uri="{C3380CC4-5D6E-409C-BE32-E72D297353CC}">
              <c16:uniqueId val="{00000000-1F27-4906-91BE-A85E579A269B}"/>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SectorsNewOrders!$E$6:$E$11</c:f>
              <c:numCache>
                <c:formatCode>General</c:formatCode>
                <c:ptCount val="6"/>
                <c:pt idx="0">
                  <c:v>0</c:v>
                </c:pt>
                <c:pt idx="1">
                  <c:v>7</c:v>
                </c:pt>
                <c:pt idx="2">
                  <c:v>0</c:v>
                </c:pt>
                <c:pt idx="3">
                  <c:v>0</c:v>
                </c:pt>
                <c:pt idx="4">
                  <c:v>0</c:v>
                </c:pt>
                <c:pt idx="5">
                  <c:v>15</c:v>
                </c:pt>
              </c:numCache>
            </c:numRef>
          </c:val>
          <c:extLst>
            <c:ext xmlns:c16="http://schemas.microsoft.com/office/drawing/2014/chart" uri="{C3380CC4-5D6E-409C-BE32-E72D297353CC}">
              <c16:uniqueId val="{00000000-32CC-4040-A073-98BFD7BECFFD}"/>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SectorsNewOrders!$F$6:$F$11</c:f>
              <c:numCache>
                <c:formatCode>General</c:formatCode>
                <c:ptCount val="6"/>
                <c:pt idx="0">
                  <c:v>0</c:v>
                </c:pt>
                <c:pt idx="1">
                  <c:v>8</c:v>
                </c:pt>
                <c:pt idx="2">
                  <c:v>10</c:v>
                </c:pt>
                <c:pt idx="3">
                  <c:v>13</c:v>
                </c:pt>
                <c:pt idx="4">
                  <c:v>0</c:v>
                </c:pt>
                <c:pt idx="5">
                  <c:v>0</c:v>
                </c:pt>
              </c:numCache>
            </c:numRef>
          </c:val>
          <c:extLst>
            <c:ext xmlns:c16="http://schemas.microsoft.com/office/drawing/2014/chart" uri="{C3380CC4-5D6E-409C-BE32-E72D297353CC}">
              <c16:uniqueId val="{00000000-F180-4300-B680-1DFF797C5CD9}"/>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SectorsNewOrders!$G$6:$G$11</c:f>
              <c:numCache>
                <c:formatCode>General</c:formatCode>
                <c:ptCount val="6"/>
                <c:pt idx="0">
                  <c:v>2</c:v>
                </c:pt>
                <c:pt idx="1">
                  <c:v>2</c:v>
                </c:pt>
                <c:pt idx="2">
                  <c:v>6</c:v>
                </c:pt>
                <c:pt idx="3">
                  <c:v>11</c:v>
                </c:pt>
                <c:pt idx="4">
                  <c:v>0</c:v>
                </c:pt>
                <c:pt idx="5">
                  <c:v>9</c:v>
                </c:pt>
              </c:numCache>
            </c:numRef>
          </c:val>
          <c:extLst>
            <c:ext xmlns:c16="http://schemas.microsoft.com/office/drawing/2014/chart" uri="{C3380CC4-5D6E-409C-BE32-E72D297353CC}">
              <c16:uniqueId val="{00000000-507C-4B1C-B2B7-695092764105}"/>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SectorsNewOrders!$H$6:$H$11</c:f>
              <c:numCache>
                <c:formatCode>General</c:formatCode>
                <c:ptCount val="6"/>
                <c:pt idx="0">
                  <c:v>4</c:v>
                </c:pt>
                <c:pt idx="1">
                  <c:v>0</c:v>
                </c:pt>
                <c:pt idx="2">
                  <c:v>5</c:v>
                </c:pt>
                <c:pt idx="3">
                  <c:v>10</c:v>
                </c:pt>
                <c:pt idx="4">
                  <c:v>10</c:v>
                </c:pt>
                <c:pt idx="5">
                  <c:v>13</c:v>
                </c:pt>
              </c:numCache>
            </c:numRef>
          </c:val>
          <c:extLst>
            <c:ext xmlns:c16="http://schemas.microsoft.com/office/drawing/2014/chart" uri="{C3380CC4-5D6E-409C-BE32-E72D297353CC}">
              <c16:uniqueId val="{00000000-9FB7-46B8-BCD0-24C4C80BFE05}"/>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SectorsNewOrders!$I$6:$I$11</c:f>
              <c:numCache>
                <c:formatCode>General</c:formatCode>
                <c:ptCount val="6"/>
                <c:pt idx="0">
                  <c:v>0</c:v>
                </c:pt>
                <c:pt idx="1">
                  <c:v>0</c:v>
                </c:pt>
                <c:pt idx="2">
                  <c:v>0</c:v>
                </c:pt>
                <c:pt idx="3">
                  <c:v>0</c:v>
                </c:pt>
                <c:pt idx="4">
                  <c:v>0</c:v>
                </c:pt>
                <c:pt idx="5">
                  <c:v>6</c:v>
                </c:pt>
              </c:numCache>
            </c:numRef>
          </c:val>
          <c:extLst>
            <c:ext xmlns:c16="http://schemas.microsoft.com/office/drawing/2014/chart" uri="{C3380CC4-5D6E-409C-BE32-E72D297353CC}">
              <c16:uniqueId val="{00000000-0CE9-4344-8510-C22F425BD243}"/>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SectorsNewOrders!$J$6:$J$11</c:f>
              <c:numCache>
                <c:formatCode>General</c:formatCode>
                <c:ptCount val="6"/>
                <c:pt idx="0">
                  <c:v>1</c:v>
                </c:pt>
                <c:pt idx="1">
                  <c:v>0</c:v>
                </c:pt>
                <c:pt idx="2">
                  <c:v>0</c:v>
                </c:pt>
                <c:pt idx="3">
                  <c:v>6</c:v>
                </c:pt>
                <c:pt idx="4">
                  <c:v>5</c:v>
                </c:pt>
                <c:pt idx="5">
                  <c:v>10</c:v>
                </c:pt>
              </c:numCache>
            </c:numRef>
          </c:val>
          <c:extLst>
            <c:ext xmlns:c16="http://schemas.microsoft.com/office/drawing/2014/chart" uri="{C3380CC4-5D6E-409C-BE32-E72D297353CC}">
              <c16:uniqueId val="{00000000-2B4C-4F63-977C-0637203AD0E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SectorsNewOrders!$K$6:$K$11</c:f>
              <c:numCache>
                <c:formatCode>General</c:formatCode>
                <c:ptCount val="6"/>
                <c:pt idx="0">
                  <c:v>-1</c:v>
                </c:pt>
                <c:pt idx="1">
                  <c:v>0</c:v>
                </c:pt>
                <c:pt idx="2">
                  <c:v>1</c:v>
                </c:pt>
                <c:pt idx="3">
                  <c:v>3</c:v>
                </c:pt>
                <c:pt idx="4">
                  <c:v>3</c:v>
                </c:pt>
                <c:pt idx="5">
                  <c:v>4</c:v>
                </c:pt>
              </c:numCache>
            </c:numRef>
          </c:val>
          <c:extLst>
            <c:ext xmlns:c16="http://schemas.microsoft.com/office/drawing/2014/chart" uri="{C3380CC4-5D6E-409C-BE32-E72D297353CC}">
              <c16:uniqueId val="{00000000-06ED-48F4-ACBB-9ABE1578F1A9}"/>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SectorsNewOrders!$L$6:$L$11</c:f>
              <c:numCache>
                <c:formatCode>General</c:formatCode>
                <c:ptCount val="6"/>
                <c:pt idx="0">
                  <c:v>-3</c:v>
                </c:pt>
                <c:pt idx="1">
                  <c:v>1</c:v>
                </c:pt>
                <c:pt idx="2">
                  <c:v>4</c:v>
                </c:pt>
                <c:pt idx="3">
                  <c:v>2</c:v>
                </c:pt>
                <c:pt idx="4">
                  <c:v>8</c:v>
                </c:pt>
                <c:pt idx="5">
                  <c:v>5</c:v>
                </c:pt>
              </c:numCache>
            </c:numRef>
          </c:val>
          <c:extLst>
            <c:ext xmlns:c16="http://schemas.microsoft.com/office/drawing/2014/chart" uri="{C3380CC4-5D6E-409C-BE32-E72D297353CC}">
              <c16:uniqueId val="{00000000-55A8-4C5A-AAEC-227D8F522E8D}"/>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SectorsNewOrders!$M$6:$M$11</c:f>
              <c:numCache>
                <c:formatCode>General</c:formatCode>
                <c:ptCount val="6"/>
                <c:pt idx="0">
                  <c:v>-7</c:v>
                </c:pt>
                <c:pt idx="1">
                  <c:v>11</c:v>
                </c:pt>
                <c:pt idx="2">
                  <c:v>11</c:v>
                </c:pt>
                <c:pt idx="3">
                  <c:v>0</c:v>
                </c:pt>
                <c:pt idx="4">
                  <c:v>6</c:v>
                </c:pt>
                <c:pt idx="5">
                  <c:v>11</c:v>
                </c:pt>
              </c:numCache>
            </c:numRef>
          </c:val>
          <c:extLst>
            <c:ext xmlns:c16="http://schemas.microsoft.com/office/drawing/2014/chart" uri="{C3380CC4-5D6E-409C-BE32-E72D297353CC}">
              <c16:uniqueId val="{00000000-CD53-43F3-9C97-F9FFDD9956EF}"/>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SectorsNewOrders!$N$6:$N$11</c:f>
              <c:numCache>
                <c:formatCode>General</c:formatCode>
                <c:ptCount val="6"/>
                <c:pt idx="0">
                  <c:v>3</c:v>
                </c:pt>
                <c:pt idx="1">
                  <c:v>0</c:v>
                </c:pt>
                <c:pt idx="2">
                  <c:v>3</c:v>
                </c:pt>
                <c:pt idx="3">
                  <c:v>4</c:v>
                </c:pt>
                <c:pt idx="4">
                  <c:v>0</c:v>
                </c:pt>
                <c:pt idx="5">
                  <c:v>1</c:v>
                </c:pt>
              </c:numCache>
            </c:numRef>
          </c:val>
          <c:extLst>
            <c:ext xmlns:c16="http://schemas.microsoft.com/office/drawing/2014/chart" uri="{C3380CC4-5D6E-409C-BE32-E72D297353CC}">
              <c16:uniqueId val="{00000000-FBAA-4C7E-8616-7BDAE93EE702}"/>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SectorsNewOrders!$O$6:$O$11</c:f>
              <c:numCache>
                <c:formatCode>General</c:formatCode>
                <c:ptCount val="6"/>
                <c:pt idx="0">
                  <c:v>-5</c:v>
                </c:pt>
                <c:pt idx="1">
                  <c:v>4</c:v>
                </c:pt>
                <c:pt idx="2">
                  <c:v>2</c:v>
                </c:pt>
                <c:pt idx="3">
                  <c:v>5</c:v>
                </c:pt>
                <c:pt idx="4">
                  <c:v>7</c:v>
                </c:pt>
                <c:pt idx="5">
                  <c:v>3</c:v>
                </c:pt>
              </c:numCache>
            </c:numRef>
          </c:val>
          <c:extLst>
            <c:ext xmlns:c16="http://schemas.microsoft.com/office/drawing/2014/chart" uri="{C3380CC4-5D6E-409C-BE32-E72D297353CC}">
              <c16:uniqueId val="{00000000-2A48-460B-A6F6-F09E6A97589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SectorsNewOrders!$P$6:$P$11</c:f>
              <c:numCache>
                <c:formatCode>General</c:formatCode>
                <c:ptCount val="6"/>
                <c:pt idx="0">
                  <c:v>-4</c:v>
                </c:pt>
                <c:pt idx="1">
                  <c:v>5</c:v>
                </c:pt>
                <c:pt idx="2">
                  <c:v>7</c:v>
                </c:pt>
                <c:pt idx="3">
                  <c:v>8</c:v>
                </c:pt>
                <c:pt idx="4">
                  <c:v>9</c:v>
                </c:pt>
                <c:pt idx="5">
                  <c:v>8</c:v>
                </c:pt>
              </c:numCache>
            </c:numRef>
          </c:val>
          <c:extLst>
            <c:ext xmlns:c16="http://schemas.microsoft.com/office/drawing/2014/chart" uri="{C3380CC4-5D6E-409C-BE32-E72D297353CC}">
              <c16:uniqueId val="{00000000-F751-4F0B-833E-731E1BD3866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SectorsNewOrders!$Q$6:$Q$11</c:f>
              <c:numCache>
                <c:formatCode>General</c:formatCode>
                <c:ptCount val="6"/>
                <c:pt idx="0">
                  <c:v>-6</c:v>
                </c:pt>
                <c:pt idx="1">
                  <c:v>3</c:v>
                </c:pt>
                <c:pt idx="2">
                  <c:v>0</c:v>
                </c:pt>
                <c:pt idx="3">
                  <c:v>9</c:v>
                </c:pt>
                <c:pt idx="4">
                  <c:v>4</c:v>
                </c:pt>
                <c:pt idx="5">
                  <c:v>12</c:v>
                </c:pt>
              </c:numCache>
            </c:numRef>
          </c:val>
          <c:extLst>
            <c:ext xmlns:c16="http://schemas.microsoft.com/office/drawing/2014/chart" uri="{C3380CC4-5D6E-409C-BE32-E72D297353CC}">
              <c16:uniqueId val="{00000000-2D2B-4AB8-B2D6-BD6C49BADBA1}"/>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SectorsNewOrders!$R$6:$R$11</c:f>
              <c:numCache>
                <c:formatCode>General</c:formatCode>
                <c:ptCount val="6"/>
                <c:pt idx="0">
                  <c:v>6</c:v>
                </c:pt>
                <c:pt idx="1">
                  <c:v>9</c:v>
                </c:pt>
                <c:pt idx="2">
                  <c:v>8</c:v>
                </c:pt>
                <c:pt idx="3">
                  <c:v>0</c:v>
                </c:pt>
                <c:pt idx="4">
                  <c:v>0</c:v>
                </c:pt>
                <c:pt idx="5">
                  <c:v>16</c:v>
                </c:pt>
              </c:numCache>
            </c:numRef>
          </c:val>
          <c:extLst>
            <c:ext xmlns:c16="http://schemas.microsoft.com/office/drawing/2014/chart" uri="{C3380CC4-5D6E-409C-BE32-E72D297353CC}">
              <c16:uniqueId val="{00000000-0F23-4021-A378-B6A81EB9174E}"/>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44774</c:v>
                </c:pt>
                <c:pt idx="1">
                  <c:v>44805</c:v>
                </c:pt>
                <c:pt idx="2">
                  <c:v>44835</c:v>
                </c:pt>
                <c:pt idx="3">
                  <c:v>44866</c:v>
                </c:pt>
                <c:pt idx="4">
                  <c:v>44896</c:v>
                </c:pt>
                <c:pt idx="5">
                  <c:v>44927</c:v>
                </c:pt>
              </c:numCache>
            </c:numRef>
          </c:cat>
          <c:val>
            <c:numRef>
              <c:f>SectorsNewOrders!$S$6:$S$11</c:f>
              <c:numCache>
                <c:formatCode>General</c:formatCode>
                <c:ptCount val="6"/>
                <c:pt idx="0">
                  <c:v>-8</c:v>
                </c:pt>
                <c:pt idx="1">
                  <c:v>10</c:v>
                </c:pt>
                <c:pt idx="2">
                  <c:v>12</c:v>
                </c:pt>
                <c:pt idx="3">
                  <c:v>14</c:v>
                </c:pt>
                <c:pt idx="4">
                  <c:v>11</c:v>
                </c:pt>
                <c:pt idx="5">
                  <c:v>17</c:v>
                </c:pt>
              </c:numCache>
            </c:numRef>
          </c:val>
          <c:extLst>
            <c:ext xmlns:c16="http://schemas.microsoft.com/office/drawing/2014/chart" uri="{C3380CC4-5D6E-409C-BE32-E72D297353CC}">
              <c16:uniqueId val="{00000000-4331-426B-9D8E-9B6C11C623E0}"/>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SectorsProduction!$C$6:$C$11</c:f>
              <c:numCache>
                <c:formatCode>General</c:formatCode>
                <c:ptCount val="6"/>
                <c:pt idx="0">
                  <c:v>0</c:v>
                </c:pt>
                <c:pt idx="1">
                  <c:v>1</c:v>
                </c:pt>
                <c:pt idx="2">
                  <c:v>5</c:v>
                </c:pt>
                <c:pt idx="3">
                  <c:v>4</c:v>
                </c:pt>
                <c:pt idx="4">
                  <c:v>-1</c:v>
                </c:pt>
                <c:pt idx="5">
                  <c:v>-1</c:v>
                </c:pt>
              </c:numCache>
            </c:numRef>
          </c:val>
          <c:extLst>
            <c:ext xmlns:c16="http://schemas.microsoft.com/office/drawing/2014/chart" uri="{C3380CC4-5D6E-409C-BE32-E72D297353CC}">
              <c16:uniqueId val="{00000000-4B5D-4357-B077-0740637EC4DC}"/>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SectorsProduction!$B$6:$B$11</c:f>
              <c:numCache>
                <c:formatCode>General</c:formatCode>
                <c:ptCount val="6"/>
                <c:pt idx="0">
                  <c:v>2</c:v>
                </c:pt>
                <c:pt idx="1">
                  <c:v>5</c:v>
                </c:pt>
                <c:pt idx="2">
                  <c:v>2</c:v>
                </c:pt>
                <c:pt idx="3">
                  <c:v>-4</c:v>
                </c:pt>
                <c:pt idx="4">
                  <c:v>1</c:v>
                </c:pt>
                <c:pt idx="5">
                  <c:v>4</c:v>
                </c:pt>
              </c:numCache>
            </c:numRef>
          </c:val>
          <c:extLst>
            <c:ext xmlns:c16="http://schemas.microsoft.com/office/drawing/2014/chart" uri="{C3380CC4-5D6E-409C-BE32-E72D297353CC}">
              <c16:uniqueId val="{00000000-CE0C-45F7-91C8-0B4F12BAA455}"/>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SectorsProduction!$D$6:$D$11</c:f>
              <c:numCache>
                <c:formatCode>General</c:formatCode>
                <c:ptCount val="6"/>
                <c:pt idx="0">
                  <c:v>-6</c:v>
                </c:pt>
                <c:pt idx="1">
                  <c:v>0</c:v>
                </c:pt>
                <c:pt idx="2">
                  <c:v>-5</c:v>
                </c:pt>
                <c:pt idx="3">
                  <c:v>0</c:v>
                </c:pt>
                <c:pt idx="4">
                  <c:v>-6</c:v>
                </c:pt>
                <c:pt idx="5">
                  <c:v>11</c:v>
                </c:pt>
              </c:numCache>
            </c:numRef>
          </c:val>
          <c:extLst>
            <c:ext xmlns:c16="http://schemas.microsoft.com/office/drawing/2014/chart" uri="{C3380CC4-5D6E-409C-BE32-E72D297353CC}">
              <c16:uniqueId val="{00000000-DF9C-4140-B548-A08AD48B1104}"/>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SectorsProduction!$E$6:$E$11</c:f>
              <c:numCache>
                <c:formatCode>General</c:formatCode>
                <c:ptCount val="6"/>
                <c:pt idx="0">
                  <c:v>-9</c:v>
                </c:pt>
                <c:pt idx="1">
                  <c:v>0</c:v>
                </c:pt>
                <c:pt idx="2">
                  <c:v>0</c:v>
                </c:pt>
                <c:pt idx="3">
                  <c:v>7</c:v>
                </c:pt>
                <c:pt idx="4">
                  <c:v>0</c:v>
                </c:pt>
                <c:pt idx="5">
                  <c:v>0</c:v>
                </c:pt>
              </c:numCache>
            </c:numRef>
          </c:val>
          <c:extLst>
            <c:ext xmlns:c16="http://schemas.microsoft.com/office/drawing/2014/chart" uri="{C3380CC4-5D6E-409C-BE32-E72D297353CC}">
              <c16:uniqueId val="{00000000-A60B-4ED1-8573-2BDC2CECD573}"/>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SectorsProduction!$F$6:$F$11</c:f>
              <c:numCache>
                <c:formatCode>General</c:formatCode>
                <c:ptCount val="6"/>
                <c:pt idx="0">
                  <c:v>0</c:v>
                </c:pt>
                <c:pt idx="1">
                  <c:v>-6</c:v>
                </c:pt>
                <c:pt idx="2">
                  <c:v>0</c:v>
                </c:pt>
                <c:pt idx="3">
                  <c:v>-7</c:v>
                </c:pt>
                <c:pt idx="4">
                  <c:v>0</c:v>
                </c:pt>
                <c:pt idx="5">
                  <c:v>12</c:v>
                </c:pt>
              </c:numCache>
            </c:numRef>
          </c:val>
          <c:extLst>
            <c:ext xmlns:c16="http://schemas.microsoft.com/office/drawing/2014/chart" uri="{C3380CC4-5D6E-409C-BE32-E72D297353CC}">
              <c16:uniqueId val="{00000000-45C4-427F-A9D6-C5D6C7E2A2F9}"/>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SectorsProduction!$G$6:$G$11</c:f>
              <c:numCache>
                <c:formatCode>General</c:formatCode>
                <c:ptCount val="6"/>
                <c:pt idx="0">
                  <c:v>-5</c:v>
                </c:pt>
                <c:pt idx="1">
                  <c:v>7</c:v>
                </c:pt>
                <c:pt idx="2">
                  <c:v>3</c:v>
                </c:pt>
                <c:pt idx="3">
                  <c:v>6</c:v>
                </c:pt>
                <c:pt idx="4">
                  <c:v>4</c:v>
                </c:pt>
                <c:pt idx="5">
                  <c:v>8</c:v>
                </c:pt>
              </c:numCache>
            </c:numRef>
          </c:val>
          <c:extLst>
            <c:ext xmlns:c16="http://schemas.microsoft.com/office/drawing/2014/chart" uri="{C3380CC4-5D6E-409C-BE32-E72D297353CC}">
              <c16:uniqueId val="{00000000-AFE3-43EB-B065-0708C73FF50E}"/>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SectorsProduction!$H$6:$H$11</c:f>
              <c:numCache>
                <c:formatCode>General</c:formatCode>
                <c:ptCount val="6"/>
                <c:pt idx="0">
                  <c:v>6</c:v>
                </c:pt>
                <c:pt idx="1">
                  <c:v>8</c:v>
                </c:pt>
                <c:pt idx="2">
                  <c:v>0</c:v>
                </c:pt>
                <c:pt idx="3">
                  <c:v>5</c:v>
                </c:pt>
                <c:pt idx="4">
                  <c:v>0</c:v>
                </c:pt>
                <c:pt idx="5">
                  <c:v>13</c:v>
                </c:pt>
              </c:numCache>
            </c:numRef>
          </c:val>
          <c:extLst>
            <c:ext xmlns:c16="http://schemas.microsoft.com/office/drawing/2014/chart" uri="{C3380CC4-5D6E-409C-BE32-E72D297353CC}">
              <c16:uniqueId val="{00000000-9013-44D1-83D5-F38AA4290EB9}"/>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SectorsProduction!$I$6:$I$11</c:f>
              <c:numCache>
                <c:formatCode>General</c:formatCode>
                <c:ptCount val="6"/>
                <c:pt idx="0">
                  <c:v>4</c:v>
                </c:pt>
                <c:pt idx="1">
                  <c:v>-3</c:v>
                </c:pt>
                <c:pt idx="2">
                  <c:v>-4</c:v>
                </c:pt>
                <c:pt idx="3">
                  <c:v>0</c:v>
                </c:pt>
                <c:pt idx="4">
                  <c:v>0</c:v>
                </c:pt>
                <c:pt idx="5">
                  <c:v>0</c:v>
                </c:pt>
              </c:numCache>
            </c:numRef>
          </c:val>
          <c:extLst>
            <c:ext xmlns:c16="http://schemas.microsoft.com/office/drawing/2014/chart" uri="{C3380CC4-5D6E-409C-BE32-E72D297353CC}">
              <c16:uniqueId val="{00000000-73AF-44E6-BD34-C8B20D5AA5A5}"/>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SectorsProduction!$J$6:$J$11</c:f>
              <c:numCache>
                <c:formatCode>General</c:formatCode>
                <c:ptCount val="6"/>
                <c:pt idx="0">
                  <c:v>1</c:v>
                </c:pt>
                <c:pt idx="1">
                  <c:v>6</c:v>
                </c:pt>
                <c:pt idx="2">
                  <c:v>6</c:v>
                </c:pt>
                <c:pt idx="3">
                  <c:v>3</c:v>
                </c:pt>
                <c:pt idx="4">
                  <c:v>-3</c:v>
                </c:pt>
                <c:pt idx="5">
                  <c:v>10</c:v>
                </c:pt>
              </c:numCache>
            </c:numRef>
          </c:val>
          <c:extLst>
            <c:ext xmlns:c16="http://schemas.microsoft.com/office/drawing/2014/chart" uri="{C3380CC4-5D6E-409C-BE32-E72D297353CC}">
              <c16:uniqueId val="{00000000-5763-46CD-8D7D-F4891DD5E51F}"/>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SectorsProduction!$K$6:$K$11</c:f>
              <c:numCache>
                <c:formatCode>General</c:formatCode>
                <c:ptCount val="6"/>
                <c:pt idx="0">
                  <c:v>-2</c:v>
                </c:pt>
                <c:pt idx="1">
                  <c:v>3</c:v>
                </c:pt>
                <c:pt idx="2">
                  <c:v>0</c:v>
                </c:pt>
                <c:pt idx="3">
                  <c:v>-2</c:v>
                </c:pt>
                <c:pt idx="4">
                  <c:v>-2</c:v>
                </c:pt>
                <c:pt idx="5">
                  <c:v>3</c:v>
                </c:pt>
              </c:numCache>
            </c:numRef>
          </c:val>
          <c:extLst>
            <c:ext xmlns:c16="http://schemas.microsoft.com/office/drawing/2014/chart" uri="{C3380CC4-5D6E-409C-BE32-E72D297353CC}">
              <c16:uniqueId val="{00000000-0853-4E7F-B54B-8FB5E3DEB0E7}"/>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SectorsProduction!$L$6:$L$11</c:f>
              <c:numCache>
                <c:formatCode>General</c:formatCode>
                <c:ptCount val="6"/>
                <c:pt idx="0">
                  <c:v>-3</c:v>
                </c:pt>
                <c:pt idx="1">
                  <c:v>-1</c:v>
                </c:pt>
                <c:pt idx="2">
                  <c:v>-2</c:v>
                </c:pt>
                <c:pt idx="3">
                  <c:v>-3</c:v>
                </c:pt>
                <c:pt idx="4">
                  <c:v>0</c:v>
                </c:pt>
                <c:pt idx="5">
                  <c:v>5</c:v>
                </c:pt>
              </c:numCache>
            </c:numRef>
          </c:val>
          <c:extLst>
            <c:ext xmlns:c16="http://schemas.microsoft.com/office/drawing/2014/chart" uri="{C3380CC4-5D6E-409C-BE32-E72D297353CC}">
              <c16:uniqueId val="{00000000-F6F2-4E03-BF31-448462BDC847}"/>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SectorsProduction!$M$6:$M$11</c:f>
              <c:numCache>
                <c:formatCode>General</c:formatCode>
                <c:ptCount val="6"/>
                <c:pt idx="0">
                  <c:v>0</c:v>
                </c:pt>
                <c:pt idx="1">
                  <c:v>-5</c:v>
                </c:pt>
                <c:pt idx="2">
                  <c:v>-7</c:v>
                </c:pt>
                <c:pt idx="3">
                  <c:v>-5</c:v>
                </c:pt>
                <c:pt idx="4">
                  <c:v>-4</c:v>
                </c:pt>
                <c:pt idx="5">
                  <c:v>7</c:v>
                </c:pt>
              </c:numCache>
            </c:numRef>
          </c:val>
          <c:extLst>
            <c:ext xmlns:c16="http://schemas.microsoft.com/office/drawing/2014/chart" uri="{C3380CC4-5D6E-409C-BE32-E72D297353CC}">
              <c16:uniqueId val="{00000000-5573-4156-AFBC-9028FF327789}"/>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SectorsProduction!$N$6:$N$11</c:f>
              <c:numCache>
                <c:formatCode>General</c:formatCode>
                <c:ptCount val="6"/>
                <c:pt idx="0">
                  <c:v>3</c:v>
                </c:pt>
                <c:pt idx="1">
                  <c:v>0</c:v>
                </c:pt>
                <c:pt idx="2">
                  <c:v>4</c:v>
                </c:pt>
                <c:pt idx="3">
                  <c:v>2</c:v>
                </c:pt>
                <c:pt idx="4">
                  <c:v>2</c:v>
                </c:pt>
                <c:pt idx="5">
                  <c:v>2</c:v>
                </c:pt>
              </c:numCache>
            </c:numRef>
          </c:val>
          <c:extLst>
            <c:ext xmlns:c16="http://schemas.microsoft.com/office/drawing/2014/chart" uri="{C3380CC4-5D6E-409C-BE32-E72D297353CC}">
              <c16:uniqueId val="{00000000-B72C-406E-92C2-A65DCC5FDA62}"/>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SectorsProduction!$O$6:$O$11</c:f>
              <c:numCache>
                <c:formatCode>General</c:formatCode>
                <c:ptCount val="6"/>
                <c:pt idx="0">
                  <c:v>-4</c:v>
                </c:pt>
                <c:pt idx="1">
                  <c:v>-2</c:v>
                </c:pt>
                <c:pt idx="2">
                  <c:v>-1</c:v>
                </c:pt>
                <c:pt idx="3">
                  <c:v>0</c:v>
                </c:pt>
                <c:pt idx="4">
                  <c:v>-8</c:v>
                </c:pt>
                <c:pt idx="5">
                  <c:v>1</c:v>
                </c:pt>
              </c:numCache>
            </c:numRef>
          </c:val>
          <c:extLst>
            <c:ext xmlns:c16="http://schemas.microsoft.com/office/drawing/2014/chart" uri="{C3380CC4-5D6E-409C-BE32-E72D297353CC}">
              <c16:uniqueId val="{00000000-347F-4BFB-ADBD-E743B445B23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SectorsProduction!$P$6:$P$11</c:f>
              <c:numCache>
                <c:formatCode>General</c:formatCode>
                <c:ptCount val="6"/>
                <c:pt idx="0">
                  <c:v>-1</c:v>
                </c:pt>
                <c:pt idx="1">
                  <c:v>2</c:v>
                </c:pt>
                <c:pt idx="2">
                  <c:v>1</c:v>
                </c:pt>
                <c:pt idx="3">
                  <c:v>-1</c:v>
                </c:pt>
                <c:pt idx="4">
                  <c:v>-5</c:v>
                </c:pt>
                <c:pt idx="5">
                  <c:v>0</c:v>
                </c:pt>
              </c:numCache>
            </c:numRef>
          </c:val>
          <c:extLst>
            <c:ext xmlns:c16="http://schemas.microsoft.com/office/drawing/2014/chart" uri="{C3380CC4-5D6E-409C-BE32-E72D297353CC}">
              <c16:uniqueId val="{00000000-1D9E-401A-8BEE-8882FD8BE61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SectorsProduction!$Q$6:$Q$11</c:f>
              <c:numCache>
                <c:formatCode>General</c:formatCode>
                <c:ptCount val="6"/>
                <c:pt idx="0">
                  <c:v>5</c:v>
                </c:pt>
                <c:pt idx="1">
                  <c:v>4</c:v>
                </c:pt>
                <c:pt idx="2">
                  <c:v>-3</c:v>
                </c:pt>
                <c:pt idx="3">
                  <c:v>1</c:v>
                </c:pt>
                <c:pt idx="4">
                  <c:v>3</c:v>
                </c:pt>
                <c:pt idx="5">
                  <c:v>6</c:v>
                </c:pt>
              </c:numCache>
            </c:numRef>
          </c:val>
          <c:extLst>
            <c:ext xmlns:c16="http://schemas.microsoft.com/office/drawing/2014/chart" uri="{C3380CC4-5D6E-409C-BE32-E72D297353CC}">
              <c16:uniqueId val="{00000000-3F53-4ADF-8F99-7914DBE6402A}"/>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SectorsProduction!$R$6:$R$11</c:f>
              <c:numCache>
                <c:formatCode>General</c:formatCode>
                <c:ptCount val="6"/>
                <c:pt idx="0">
                  <c:v>-8</c:v>
                </c:pt>
                <c:pt idx="1">
                  <c:v>-7</c:v>
                </c:pt>
                <c:pt idx="2">
                  <c:v>-8</c:v>
                </c:pt>
                <c:pt idx="3">
                  <c:v>-6</c:v>
                </c:pt>
                <c:pt idx="4">
                  <c:v>0</c:v>
                </c:pt>
                <c:pt idx="5">
                  <c:v>14</c:v>
                </c:pt>
              </c:numCache>
            </c:numRef>
          </c:val>
          <c:extLst>
            <c:ext xmlns:c16="http://schemas.microsoft.com/office/drawing/2014/chart" uri="{C3380CC4-5D6E-409C-BE32-E72D297353CC}">
              <c16:uniqueId val="{00000000-9D93-4407-9A8D-A30AF35A515A}"/>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44774</c:v>
                </c:pt>
                <c:pt idx="1">
                  <c:v>44805</c:v>
                </c:pt>
                <c:pt idx="2">
                  <c:v>44835</c:v>
                </c:pt>
                <c:pt idx="3">
                  <c:v>44866</c:v>
                </c:pt>
                <c:pt idx="4">
                  <c:v>44896</c:v>
                </c:pt>
                <c:pt idx="5">
                  <c:v>44927</c:v>
                </c:pt>
              </c:numCache>
            </c:numRef>
          </c:cat>
          <c:val>
            <c:numRef>
              <c:f>SectorsProduction!$S$6:$S$11</c:f>
              <c:numCache>
                <c:formatCode>General</c:formatCode>
                <c:ptCount val="6"/>
                <c:pt idx="0">
                  <c:v>-7</c:v>
                </c:pt>
                <c:pt idx="1">
                  <c:v>-4</c:v>
                </c:pt>
                <c:pt idx="2">
                  <c:v>-6</c:v>
                </c:pt>
                <c:pt idx="3">
                  <c:v>0</c:v>
                </c:pt>
                <c:pt idx="4">
                  <c:v>-7</c:v>
                </c:pt>
                <c:pt idx="5">
                  <c:v>9</c:v>
                </c:pt>
              </c:numCache>
            </c:numRef>
          </c:val>
          <c:extLst>
            <c:ext xmlns:c16="http://schemas.microsoft.com/office/drawing/2014/chart" uri="{C3380CC4-5D6E-409C-BE32-E72D297353CC}">
              <c16:uniqueId val="{00000000-C0EB-44D8-8A0B-2AAB7E3CE3E6}"/>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Details!$B$6:$B$907</c:f>
              <c:numCache>
                <c:formatCode>0.00</c:formatCode>
                <c:ptCount val="902"/>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pt idx="899">
                  <c:v>45.2</c:v>
                </c:pt>
                <c:pt idx="900">
                  <c:v>42.5</c:v>
                </c:pt>
              </c:numCache>
            </c:numRef>
          </c:val>
          <c:smooth val="0"/>
          <c:extLst>
            <c:ext xmlns:c16="http://schemas.microsoft.com/office/drawing/2014/chart" uri="{C3380CC4-5D6E-409C-BE32-E72D297353CC}">
              <c16:uniqueId val="{00000000-6354-4C27-8388-D177930998A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Details!$B$6:$B$907</c:f>
              <c:numCache>
                <c:formatCode>0.00</c:formatCode>
                <c:ptCount val="902"/>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pt idx="894">
                  <c:v>48</c:v>
                </c:pt>
                <c:pt idx="895">
                  <c:v>51.3</c:v>
                </c:pt>
                <c:pt idx="896">
                  <c:v>47.1</c:v>
                </c:pt>
                <c:pt idx="897">
                  <c:v>49.2</c:v>
                </c:pt>
                <c:pt idx="898">
                  <c:v>47.2</c:v>
                </c:pt>
                <c:pt idx="899">
                  <c:v>45.2</c:v>
                </c:pt>
                <c:pt idx="900">
                  <c:v>42.5</c:v>
                </c:pt>
              </c:numCache>
            </c:numRef>
          </c:val>
          <c:smooth val="0"/>
          <c:extLst>
            <c:ext xmlns:c16="http://schemas.microsoft.com/office/drawing/2014/chart" uri="{C3380CC4-5D6E-409C-BE32-E72D297353CC}">
              <c16:uniqueId val="{00000000-9316-4582-A613-59C297DF217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Details!$C$6:$C$907</c:f>
              <c:numCache>
                <c:formatCode>0.00</c:formatCode>
                <c:ptCount val="902"/>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pt idx="899">
                  <c:v>45.1</c:v>
                </c:pt>
                <c:pt idx="900">
                  <c:v>47.8</c:v>
                </c:pt>
              </c:numCache>
            </c:numRef>
          </c:val>
          <c:smooth val="0"/>
          <c:extLst>
            <c:ext xmlns:c16="http://schemas.microsoft.com/office/drawing/2014/chart" uri="{C3380CC4-5D6E-409C-BE32-E72D297353CC}">
              <c16:uniqueId val="{00000000-8F41-42C0-9EB8-FCD030157B4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Details!$C$6:$C$907</c:f>
              <c:numCache>
                <c:formatCode>0.00</c:formatCode>
                <c:ptCount val="902"/>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pt idx="894">
                  <c:v>54.4</c:v>
                </c:pt>
                <c:pt idx="895">
                  <c:v>52.5</c:v>
                </c:pt>
                <c:pt idx="896">
                  <c:v>52.6</c:v>
                </c:pt>
                <c:pt idx="897">
                  <c:v>50.8</c:v>
                </c:pt>
                <c:pt idx="898">
                  <c:v>46.6</c:v>
                </c:pt>
                <c:pt idx="899">
                  <c:v>45.1</c:v>
                </c:pt>
                <c:pt idx="900">
                  <c:v>47.8</c:v>
                </c:pt>
              </c:numCache>
            </c:numRef>
          </c:val>
          <c:smooth val="0"/>
          <c:extLst>
            <c:ext xmlns:c16="http://schemas.microsoft.com/office/drawing/2014/chart" uri="{C3380CC4-5D6E-409C-BE32-E72D297353CC}">
              <c16:uniqueId val="{00000000-C3F8-4110-88BF-DD30199BB93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Details!$D$6:$D$907</c:f>
              <c:numCache>
                <c:formatCode>0.00</c:formatCode>
                <c:ptCount val="902"/>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pt idx="899">
                  <c:v>41.4</c:v>
                </c:pt>
                <c:pt idx="900">
                  <c:v>43.4</c:v>
                </c:pt>
              </c:numCache>
            </c:numRef>
          </c:val>
          <c:smooth val="0"/>
          <c:extLst>
            <c:ext xmlns:c16="http://schemas.microsoft.com/office/drawing/2014/chart" uri="{C3380CC4-5D6E-409C-BE32-E72D297353CC}">
              <c16:uniqueId val="{00000000-2611-4DBC-9E6B-DB961DB036C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0"/>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Details!$D$6:$D$907</c:f>
              <c:numCache>
                <c:formatCode>0.00</c:formatCode>
                <c:ptCount val="902"/>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pt idx="899">
                  <c:v>41.4</c:v>
                </c:pt>
                <c:pt idx="900">
                  <c:v>43.4</c:v>
                </c:pt>
              </c:numCache>
            </c:numRef>
          </c:val>
          <c:smooth val="0"/>
          <c:extLst>
            <c:ext xmlns:c16="http://schemas.microsoft.com/office/drawing/2014/chart" uri="{C3380CC4-5D6E-409C-BE32-E72D297353CC}">
              <c16:uniqueId val="{00000000-F0C2-427A-96DB-D12FB1ABB20E}"/>
            </c:ext>
          </c:extLst>
        </c:ser>
        <c:ser>
          <c:idx val="1"/>
          <c:order val="1"/>
          <c:tx>
            <c:strRef>
              <c:f>Details!$D$5</c:f>
              <c:strCache>
                <c:ptCount val="1"/>
                <c:pt idx="0">
                  <c:v>Backlog Of Orders</c:v>
                </c:pt>
              </c:strCache>
            </c:strRef>
          </c:tx>
          <c:spPr>
            <a:ln w="28575" cap="rnd">
              <a:solidFill>
                <a:schemeClr val="accent3"/>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Details!$D$6:$D$907</c:f>
              <c:numCache>
                <c:formatCode>0.00</c:formatCode>
                <c:ptCount val="902"/>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pt idx="894">
                  <c:v>51.3</c:v>
                </c:pt>
                <c:pt idx="895">
                  <c:v>53</c:v>
                </c:pt>
                <c:pt idx="896">
                  <c:v>50.9</c:v>
                </c:pt>
                <c:pt idx="897">
                  <c:v>45.3</c:v>
                </c:pt>
                <c:pt idx="898">
                  <c:v>40</c:v>
                </c:pt>
                <c:pt idx="899">
                  <c:v>41.4</c:v>
                </c:pt>
                <c:pt idx="900">
                  <c:v>43.4</c:v>
                </c:pt>
              </c:numCache>
            </c:numRef>
          </c:val>
          <c:smooth val="0"/>
          <c:extLst>
            <c:ext xmlns:c16="http://schemas.microsoft.com/office/drawing/2014/chart" uri="{C3380CC4-5D6E-409C-BE32-E72D297353CC}">
              <c16:uniqueId val="{00000001-F0C2-427A-96DB-D12FB1ABB20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Details!$E$6:$E$907</c:f>
              <c:numCache>
                <c:formatCode>0.00</c:formatCode>
                <c:ptCount val="902"/>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pt idx="899">
                  <c:v>39.4</c:v>
                </c:pt>
                <c:pt idx="900">
                  <c:v>44.5</c:v>
                </c:pt>
              </c:numCache>
            </c:numRef>
          </c:val>
          <c:smooth val="0"/>
          <c:extLst>
            <c:ext xmlns:c16="http://schemas.microsoft.com/office/drawing/2014/chart" uri="{C3380CC4-5D6E-409C-BE32-E72D297353CC}">
              <c16:uniqueId val="{00000000-4F59-483C-9809-9B933FF9713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Details!$E$6:$E$907</c:f>
              <c:numCache>
                <c:formatCode>0.00</c:formatCode>
                <c:ptCount val="902"/>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pt idx="894">
                  <c:v>60</c:v>
                </c:pt>
                <c:pt idx="895">
                  <c:v>52.5</c:v>
                </c:pt>
                <c:pt idx="896">
                  <c:v>51.7</c:v>
                </c:pt>
                <c:pt idx="897">
                  <c:v>46.6</c:v>
                </c:pt>
                <c:pt idx="898">
                  <c:v>43</c:v>
                </c:pt>
                <c:pt idx="899">
                  <c:v>39.4</c:v>
                </c:pt>
                <c:pt idx="900">
                  <c:v>44.5</c:v>
                </c:pt>
              </c:numCache>
            </c:numRef>
          </c:val>
          <c:smooth val="0"/>
          <c:extLst>
            <c:ext xmlns:c16="http://schemas.microsoft.com/office/drawing/2014/chart" uri="{C3380CC4-5D6E-409C-BE32-E72D297353CC}">
              <c16:uniqueId val="{00000000-61D8-46A5-9CCE-EE0963D4124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Details!$F$6:$F$907</c:f>
              <c:numCache>
                <c:formatCode>0.00</c:formatCode>
                <c:ptCount val="902"/>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pt idx="899">
                  <c:v>48.5</c:v>
                </c:pt>
                <c:pt idx="900">
                  <c:v>48</c:v>
                </c:pt>
              </c:numCache>
            </c:numRef>
          </c:val>
          <c:smooth val="0"/>
          <c:extLst>
            <c:ext xmlns:c16="http://schemas.microsoft.com/office/drawing/2014/chart" uri="{C3380CC4-5D6E-409C-BE32-E72D297353CC}">
              <c16:uniqueId val="{00000000-0C96-4427-B0FE-B46AF2CB00D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Details!$F$6:$F$907</c:f>
              <c:numCache>
                <c:formatCode>0.00</c:formatCode>
                <c:ptCount val="902"/>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pt idx="894">
                  <c:v>53.5</c:v>
                </c:pt>
                <c:pt idx="895">
                  <c:v>50.4</c:v>
                </c:pt>
                <c:pt idx="896">
                  <c:v>50.6</c:v>
                </c:pt>
                <c:pt idx="897">
                  <c:v>52.3</c:v>
                </c:pt>
                <c:pt idx="898">
                  <c:v>51.5</c:v>
                </c:pt>
                <c:pt idx="899">
                  <c:v>48.5</c:v>
                </c:pt>
                <c:pt idx="900">
                  <c:v>48</c:v>
                </c:pt>
              </c:numCache>
            </c:numRef>
          </c:val>
          <c:smooth val="0"/>
          <c:extLst>
            <c:ext xmlns:c16="http://schemas.microsoft.com/office/drawing/2014/chart" uri="{C3380CC4-5D6E-409C-BE32-E72D297353CC}">
              <c16:uniqueId val="{00000000-F0D8-474C-BC0B-95C53198B698}"/>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Details!$G$6:$G$907</c:f>
              <c:numCache>
                <c:formatCode>General</c:formatCode>
                <c:ptCount val="902"/>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pt idx="899" formatCode="0.00">
                  <c:v>48.2</c:v>
                </c:pt>
                <c:pt idx="900" formatCode="0.00">
                  <c:v>47.4</c:v>
                </c:pt>
              </c:numCache>
            </c:numRef>
          </c:val>
          <c:smooth val="0"/>
          <c:extLst>
            <c:ext xmlns:c16="http://schemas.microsoft.com/office/drawing/2014/chart" uri="{C3380CC4-5D6E-409C-BE32-E72D297353CC}">
              <c16:uniqueId val="{00000000-8E5C-4659-A9F4-CDD19FB4586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Details!$G$6:$G$907</c:f>
              <c:numCache>
                <c:formatCode>General</c:formatCode>
                <c:ptCount val="902"/>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pt idx="894" formatCode="0.00">
                  <c:v>39.5</c:v>
                </c:pt>
                <c:pt idx="895" formatCode="0.00">
                  <c:v>38.9</c:v>
                </c:pt>
                <c:pt idx="896" formatCode="0.00">
                  <c:v>41.6</c:v>
                </c:pt>
                <c:pt idx="897" formatCode="0.00">
                  <c:v>41.6</c:v>
                </c:pt>
                <c:pt idx="898" formatCode="0.00">
                  <c:v>48.7</c:v>
                </c:pt>
                <c:pt idx="899" formatCode="0.00">
                  <c:v>48.2</c:v>
                </c:pt>
                <c:pt idx="900" formatCode="0.00">
                  <c:v>47.4</c:v>
                </c:pt>
              </c:numCache>
            </c:numRef>
          </c:val>
          <c:smooth val="0"/>
          <c:extLst>
            <c:ext xmlns:c16="http://schemas.microsoft.com/office/drawing/2014/chart" uri="{C3380CC4-5D6E-409C-BE32-E72D297353CC}">
              <c16:uniqueId val="{00000000-4F4F-46A9-B7D5-B2E9251DE70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Details!$H$6:$H$907</c:f>
              <c:numCache>
                <c:formatCode>0.00</c:formatCode>
                <c:ptCount val="902"/>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pt idx="899">
                  <c:v>51.8</c:v>
                </c:pt>
                <c:pt idx="900">
                  <c:v>50.2</c:v>
                </c:pt>
              </c:numCache>
            </c:numRef>
          </c:val>
          <c:smooth val="0"/>
          <c:extLst>
            <c:ext xmlns:c16="http://schemas.microsoft.com/office/drawing/2014/chart" uri="{C3380CC4-5D6E-409C-BE32-E72D297353CC}">
              <c16:uniqueId val="{00000000-0232-4791-B524-B226B99B109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Details!$H$6:$H$907</c:f>
              <c:numCache>
                <c:formatCode>0.00</c:formatCode>
                <c:ptCount val="902"/>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pt idx="894">
                  <c:v>57.3</c:v>
                </c:pt>
                <c:pt idx="895">
                  <c:v>53.1</c:v>
                </c:pt>
                <c:pt idx="896">
                  <c:v>55.5</c:v>
                </c:pt>
                <c:pt idx="897">
                  <c:v>52.5</c:v>
                </c:pt>
                <c:pt idx="898">
                  <c:v>50.9</c:v>
                </c:pt>
                <c:pt idx="899">
                  <c:v>51.8</c:v>
                </c:pt>
                <c:pt idx="900">
                  <c:v>50.2</c:v>
                </c:pt>
              </c:numCache>
            </c:numRef>
          </c:val>
          <c:smooth val="0"/>
          <c:extLst>
            <c:ext xmlns:c16="http://schemas.microsoft.com/office/drawing/2014/chart" uri="{C3380CC4-5D6E-409C-BE32-E72D297353CC}">
              <c16:uniqueId val="{00000000-041C-45BB-BA46-C5B49848E73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Details!$I$6:$I$907</c:f>
              <c:numCache>
                <c:formatCode>0.00</c:formatCode>
                <c:ptCount val="902"/>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pt idx="899">
                  <c:v>45.1</c:v>
                </c:pt>
                <c:pt idx="900">
                  <c:v>45.6</c:v>
                </c:pt>
              </c:numCache>
            </c:numRef>
          </c:val>
          <c:smooth val="0"/>
          <c:extLst>
            <c:ext xmlns:c16="http://schemas.microsoft.com/office/drawing/2014/chart" uri="{C3380CC4-5D6E-409C-BE32-E72D297353CC}">
              <c16:uniqueId val="{00000000-EAE0-4162-BA0D-F3487BCEA80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Details!$I$6:$I$907</c:f>
              <c:numCache>
                <c:formatCode>0.00</c:formatCode>
                <c:ptCount val="902"/>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pt idx="894">
                  <c:v>55.2</c:v>
                </c:pt>
                <c:pt idx="895">
                  <c:v>55.1</c:v>
                </c:pt>
                <c:pt idx="896">
                  <c:v>52.4</c:v>
                </c:pt>
                <c:pt idx="897">
                  <c:v>46.8</c:v>
                </c:pt>
                <c:pt idx="898">
                  <c:v>47.2</c:v>
                </c:pt>
                <c:pt idx="899">
                  <c:v>45.1</c:v>
                </c:pt>
                <c:pt idx="900">
                  <c:v>45.6</c:v>
                </c:pt>
              </c:numCache>
            </c:numRef>
          </c:val>
          <c:smooth val="0"/>
          <c:extLst>
            <c:ext xmlns:c16="http://schemas.microsoft.com/office/drawing/2014/chart" uri="{C3380CC4-5D6E-409C-BE32-E72D297353CC}">
              <c16:uniqueId val="{00000000-410D-41AF-9BB0-133C0873457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Details!$J$6:$J$907</c:f>
              <c:numCache>
                <c:formatCode>0.00</c:formatCode>
                <c:ptCount val="902"/>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pt idx="899">
                  <c:v>51.4</c:v>
                </c:pt>
                <c:pt idx="900">
                  <c:v>50.6</c:v>
                </c:pt>
              </c:numCache>
            </c:numRef>
          </c:val>
          <c:smooth val="0"/>
          <c:extLst>
            <c:ext xmlns:c16="http://schemas.microsoft.com/office/drawing/2014/chart" uri="{C3380CC4-5D6E-409C-BE32-E72D297353CC}">
              <c16:uniqueId val="{00000000-0743-4690-8FFC-1C88D7487C2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Details!$J$6:$J$907</c:f>
              <c:numCache>
                <c:formatCode>0.00</c:formatCode>
                <c:ptCount val="902"/>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pt idx="894">
                  <c:v>49.9</c:v>
                </c:pt>
                <c:pt idx="895">
                  <c:v>54.2</c:v>
                </c:pt>
                <c:pt idx="896">
                  <c:v>48.7</c:v>
                </c:pt>
                <c:pt idx="897">
                  <c:v>50</c:v>
                </c:pt>
                <c:pt idx="898">
                  <c:v>48.4</c:v>
                </c:pt>
                <c:pt idx="899">
                  <c:v>51.4</c:v>
                </c:pt>
                <c:pt idx="900">
                  <c:v>50.6</c:v>
                </c:pt>
              </c:numCache>
            </c:numRef>
          </c:val>
          <c:smooth val="0"/>
          <c:extLst>
            <c:ext xmlns:c16="http://schemas.microsoft.com/office/drawing/2014/chart" uri="{C3380CC4-5D6E-409C-BE32-E72D297353CC}">
              <c16:uniqueId val="{00000000-8EF5-4488-8A76-E4A14397042D}"/>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Details!$K$6:$K$907</c:f>
              <c:numCache>
                <c:formatCode>General</c:formatCode>
                <c:ptCount val="902"/>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pt idx="899" formatCode="0.00">
                  <c:v>46.2</c:v>
                </c:pt>
                <c:pt idx="900" formatCode="0.00">
                  <c:v>49.4</c:v>
                </c:pt>
              </c:numCache>
            </c:numRef>
          </c:val>
          <c:smooth val="0"/>
          <c:extLst>
            <c:ext xmlns:c16="http://schemas.microsoft.com/office/drawing/2014/chart" uri="{C3380CC4-5D6E-409C-BE32-E72D297353CC}">
              <c16:uniqueId val="{00000000-F6AF-461E-BE4B-F656B5AF6D9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Details!$A$6:$A$907</c:f>
              <c:numCache>
                <c:formatCode>m/d/yyyy</c:formatCode>
                <c:ptCount val="90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Details!$K$6:$K$907</c:f>
              <c:numCache>
                <c:formatCode>General</c:formatCode>
                <c:ptCount val="902"/>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pt idx="894" formatCode="0.00">
                  <c:v>52.6</c:v>
                </c:pt>
                <c:pt idx="895" formatCode="0.00">
                  <c:v>49.4</c:v>
                </c:pt>
                <c:pt idx="896" formatCode="0.00">
                  <c:v>47.8</c:v>
                </c:pt>
                <c:pt idx="897" formatCode="0.00">
                  <c:v>46.5</c:v>
                </c:pt>
                <c:pt idx="898" formatCode="0.00">
                  <c:v>48.4</c:v>
                </c:pt>
                <c:pt idx="899" formatCode="0.00">
                  <c:v>46.2</c:v>
                </c:pt>
                <c:pt idx="900" formatCode="0.00">
                  <c:v>49.4</c:v>
                </c:pt>
              </c:numCache>
            </c:numRef>
          </c:val>
          <c:smooth val="0"/>
          <c:extLst>
            <c:ext xmlns:c16="http://schemas.microsoft.com/office/drawing/2014/chart" uri="{C3380CC4-5D6E-409C-BE32-E72D297353CC}">
              <c16:uniqueId val="{00000000-2314-4D69-83C4-1C0CCC64135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'ISM Manufacturing vs GDP'!$D$6:$D$906</c:f>
              <c:numCache>
                <c:formatCode>0.00%</c:formatCode>
                <c:ptCount val="901"/>
                <c:pt idx="0">
                  <c:v>1.5042003240444579E-2</c:v>
                </c:pt>
                <c:pt idx="1">
                  <c:v>0</c:v>
                </c:pt>
                <c:pt idx="2">
                  <c:v>0</c:v>
                </c:pt>
                <c:pt idx="3">
                  <c:v>1.6506805937602041E-2</c:v>
                </c:pt>
                <c:pt idx="4">
                  <c:v>0</c:v>
                </c:pt>
                <c:pt idx="5">
                  <c:v>0</c:v>
                </c:pt>
                <c:pt idx="6">
                  <c:v>5.7293019130506004E-3</c:v>
                </c:pt>
                <c:pt idx="7">
                  <c:v>0</c:v>
                </c:pt>
                <c:pt idx="8">
                  <c:v>0</c:v>
                </c:pt>
                <c:pt idx="9">
                  <c:v>1.117121575066453E-3</c:v>
                </c:pt>
                <c:pt idx="10">
                  <c:v>0</c:v>
                </c:pt>
                <c:pt idx="11">
                  <c:v>0</c:v>
                </c:pt>
                <c:pt idx="12">
                  <c:v>-1.377946490423314E-2</c:v>
                </c:pt>
                <c:pt idx="13">
                  <c:v>0</c:v>
                </c:pt>
                <c:pt idx="14">
                  <c:v>0</c:v>
                </c:pt>
                <c:pt idx="15">
                  <c:v>-3.4110092971006431E-3</c:v>
                </c:pt>
                <c:pt idx="16">
                  <c:v>0</c:v>
                </c:pt>
                <c:pt idx="17">
                  <c:v>0</c:v>
                </c:pt>
                <c:pt idx="18">
                  <c:v>1.0324247766707E-2</c:v>
                </c:pt>
                <c:pt idx="19">
                  <c:v>0</c:v>
                </c:pt>
                <c:pt idx="20">
                  <c:v>0</c:v>
                </c:pt>
                <c:pt idx="21">
                  <c:v>-8.3926744042991594E-3</c:v>
                </c:pt>
                <c:pt idx="22">
                  <c:v>0</c:v>
                </c:pt>
                <c:pt idx="23">
                  <c:v>0</c:v>
                </c:pt>
                <c:pt idx="24">
                  <c:v>3.9300979993230782E-2</c:v>
                </c:pt>
                <c:pt idx="25">
                  <c:v>0</c:v>
                </c:pt>
                <c:pt idx="26">
                  <c:v>0</c:v>
                </c:pt>
                <c:pt idx="27">
                  <c:v>3.0498109876438879E-2</c:v>
                </c:pt>
                <c:pt idx="28">
                  <c:v>0</c:v>
                </c:pt>
                <c:pt idx="29">
                  <c:v>0</c:v>
                </c:pt>
                <c:pt idx="30">
                  <c:v>3.864414603347914E-2</c:v>
                </c:pt>
                <c:pt idx="31">
                  <c:v>0</c:v>
                </c:pt>
                <c:pt idx="32">
                  <c:v>0</c:v>
                </c:pt>
                <c:pt idx="33">
                  <c:v>1.9147801472750019E-2</c:v>
                </c:pt>
                <c:pt idx="34">
                  <c:v>0</c:v>
                </c:pt>
                <c:pt idx="35">
                  <c:v>0</c:v>
                </c:pt>
                <c:pt idx="36">
                  <c:v>1.3581587642352811E-2</c:v>
                </c:pt>
                <c:pt idx="37">
                  <c:v>0</c:v>
                </c:pt>
                <c:pt idx="38">
                  <c:v>0</c:v>
                </c:pt>
                <c:pt idx="39">
                  <c:v>1.7327104373413171E-2</c:v>
                </c:pt>
                <c:pt idx="40">
                  <c:v>0</c:v>
                </c:pt>
                <c:pt idx="41">
                  <c:v>0</c:v>
                </c:pt>
                <c:pt idx="42">
                  <c:v>2.0609987979811371E-2</c:v>
                </c:pt>
                <c:pt idx="43">
                  <c:v>0</c:v>
                </c:pt>
                <c:pt idx="44">
                  <c:v>0</c:v>
                </c:pt>
                <c:pt idx="45">
                  <c:v>2.202495736847894E-3</c:v>
                </c:pt>
                <c:pt idx="46">
                  <c:v>0</c:v>
                </c:pt>
                <c:pt idx="47">
                  <c:v>0</c:v>
                </c:pt>
                <c:pt idx="48">
                  <c:v>1.0685344087321091E-2</c:v>
                </c:pt>
                <c:pt idx="49">
                  <c:v>0</c:v>
                </c:pt>
                <c:pt idx="50">
                  <c:v>0</c:v>
                </c:pt>
                <c:pt idx="51">
                  <c:v>2.153966941563661E-3</c:v>
                </c:pt>
                <c:pt idx="52">
                  <c:v>0</c:v>
                </c:pt>
                <c:pt idx="53">
                  <c:v>0</c:v>
                </c:pt>
                <c:pt idx="54">
                  <c:v>7.2184921511505469E-3</c:v>
                </c:pt>
                <c:pt idx="55">
                  <c:v>0</c:v>
                </c:pt>
                <c:pt idx="56">
                  <c:v>0</c:v>
                </c:pt>
                <c:pt idx="57">
                  <c:v>3.2842157112222173E-2</c:v>
                </c:pt>
                <c:pt idx="58">
                  <c:v>0</c:v>
                </c:pt>
                <c:pt idx="59">
                  <c:v>0</c:v>
                </c:pt>
                <c:pt idx="60">
                  <c:v>1.8588674823075951E-2</c:v>
                </c:pt>
                <c:pt idx="61">
                  <c:v>0</c:v>
                </c:pt>
                <c:pt idx="62">
                  <c:v>0</c:v>
                </c:pt>
                <c:pt idx="63">
                  <c:v>7.7293802012741919E-3</c:v>
                </c:pt>
                <c:pt idx="64">
                  <c:v>0</c:v>
                </c:pt>
                <c:pt idx="65">
                  <c:v>0</c:v>
                </c:pt>
                <c:pt idx="66">
                  <c:v>-5.6267703117660051E-3</c:v>
                </c:pt>
                <c:pt idx="67">
                  <c:v>0</c:v>
                </c:pt>
                <c:pt idx="68">
                  <c:v>0</c:v>
                </c:pt>
                <c:pt idx="69">
                  <c:v>-1.5139406296922391E-2</c:v>
                </c:pt>
                <c:pt idx="70">
                  <c:v>0</c:v>
                </c:pt>
                <c:pt idx="71">
                  <c:v>0</c:v>
                </c:pt>
                <c:pt idx="72">
                  <c:v>-4.780238876824148E-3</c:v>
                </c:pt>
                <c:pt idx="73">
                  <c:v>0</c:v>
                </c:pt>
                <c:pt idx="74">
                  <c:v>0</c:v>
                </c:pt>
                <c:pt idx="75">
                  <c:v>1.0899219555539361E-3</c:v>
                </c:pt>
                <c:pt idx="76">
                  <c:v>0</c:v>
                </c:pt>
                <c:pt idx="77">
                  <c:v>0</c:v>
                </c:pt>
                <c:pt idx="78">
                  <c:v>1.129346276600556E-2</c:v>
                </c:pt>
                <c:pt idx="79">
                  <c:v>0</c:v>
                </c:pt>
                <c:pt idx="80">
                  <c:v>0</c:v>
                </c:pt>
                <c:pt idx="81">
                  <c:v>1.9566880765181729E-2</c:v>
                </c:pt>
                <c:pt idx="82">
                  <c:v>0</c:v>
                </c:pt>
                <c:pt idx="83">
                  <c:v>0</c:v>
                </c:pt>
                <c:pt idx="84">
                  <c:v>2.85623465450719E-2</c:v>
                </c:pt>
                <c:pt idx="85">
                  <c:v>0</c:v>
                </c:pt>
                <c:pt idx="86">
                  <c:v>0</c:v>
                </c:pt>
                <c:pt idx="87">
                  <c:v>1.6272049572063001E-2</c:v>
                </c:pt>
                <c:pt idx="88">
                  <c:v>0</c:v>
                </c:pt>
                <c:pt idx="89">
                  <c:v>0</c:v>
                </c:pt>
                <c:pt idx="90">
                  <c:v>1.350464287636728E-2</c:v>
                </c:pt>
                <c:pt idx="91">
                  <c:v>0</c:v>
                </c:pt>
                <c:pt idx="92">
                  <c:v>0</c:v>
                </c:pt>
                <c:pt idx="93">
                  <c:v>6.0032873749215074E-3</c:v>
                </c:pt>
                <c:pt idx="94">
                  <c:v>0</c:v>
                </c:pt>
                <c:pt idx="95">
                  <c:v>0</c:v>
                </c:pt>
                <c:pt idx="96">
                  <c:v>-3.8838046818890659E-3</c:v>
                </c:pt>
                <c:pt idx="97">
                  <c:v>0</c:v>
                </c:pt>
                <c:pt idx="98">
                  <c:v>0</c:v>
                </c:pt>
                <c:pt idx="99">
                  <c:v>8.2631942666303998E-3</c:v>
                </c:pt>
                <c:pt idx="100">
                  <c:v>0</c:v>
                </c:pt>
                <c:pt idx="101">
                  <c:v>0</c:v>
                </c:pt>
                <c:pt idx="102">
                  <c:v>-8.9839592636159265E-4</c:v>
                </c:pt>
                <c:pt idx="103">
                  <c:v>0</c:v>
                </c:pt>
                <c:pt idx="104">
                  <c:v>0</c:v>
                </c:pt>
                <c:pt idx="105">
                  <c:v>1.6458640384771659E-2</c:v>
                </c:pt>
                <c:pt idx="106">
                  <c:v>0</c:v>
                </c:pt>
                <c:pt idx="107">
                  <c:v>0</c:v>
                </c:pt>
                <c:pt idx="108">
                  <c:v>6.4029115265516424E-3</c:v>
                </c:pt>
                <c:pt idx="109">
                  <c:v>0</c:v>
                </c:pt>
                <c:pt idx="110">
                  <c:v>0</c:v>
                </c:pt>
                <c:pt idx="111">
                  <c:v>-2.1908592409674459E-3</c:v>
                </c:pt>
                <c:pt idx="112">
                  <c:v>0</c:v>
                </c:pt>
                <c:pt idx="113">
                  <c:v>0</c:v>
                </c:pt>
                <c:pt idx="114">
                  <c:v>9.8001840212149031E-3</c:v>
                </c:pt>
                <c:pt idx="115">
                  <c:v>0</c:v>
                </c:pt>
                <c:pt idx="116">
                  <c:v>0</c:v>
                </c:pt>
                <c:pt idx="117">
                  <c:v>-1.0342796552445251E-2</c:v>
                </c:pt>
                <c:pt idx="118">
                  <c:v>0</c:v>
                </c:pt>
                <c:pt idx="119">
                  <c:v>0</c:v>
                </c:pt>
                <c:pt idx="120">
                  <c:v>-2.595440044879475E-2</c:v>
                </c:pt>
                <c:pt idx="121">
                  <c:v>0</c:v>
                </c:pt>
                <c:pt idx="122">
                  <c:v>0</c:v>
                </c:pt>
                <c:pt idx="123">
                  <c:v>6.5722672602819441E-3</c:v>
                </c:pt>
                <c:pt idx="124">
                  <c:v>0</c:v>
                </c:pt>
                <c:pt idx="125">
                  <c:v>0</c:v>
                </c:pt>
                <c:pt idx="126">
                  <c:v>2.3132170410894361E-2</c:v>
                </c:pt>
                <c:pt idx="127">
                  <c:v>0</c:v>
                </c:pt>
                <c:pt idx="128">
                  <c:v>0</c:v>
                </c:pt>
                <c:pt idx="129">
                  <c:v>2.338109559842837E-2</c:v>
                </c:pt>
                <c:pt idx="130">
                  <c:v>0</c:v>
                </c:pt>
                <c:pt idx="131">
                  <c:v>0</c:v>
                </c:pt>
                <c:pt idx="132">
                  <c:v>1.91955280360675E-2</c:v>
                </c:pt>
                <c:pt idx="133">
                  <c:v>0</c:v>
                </c:pt>
                <c:pt idx="134">
                  <c:v>0</c:v>
                </c:pt>
                <c:pt idx="135">
                  <c:v>2.2551695306433021E-2</c:v>
                </c:pt>
                <c:pt idx="136">
                  <c:v>0</c:v>
                </c:pt>
                <c:pt idx="137">
                  <c:v>0</c:v>
                </c:pt>
                <c:pt idx="138">
                  <c:v>7.0560341143907266E-4</c:v>
                </c:pt>
                <c:pt idx="139">
                  <c:v>0</c:v>
                </c:pt>
                <c:pt idx="140">
                  <c:v>0</c:v>
                </c:pt>
                <c:pt idx="141">
                  <c:v>2.8488905531139528E-3</c:v>
                </c:pt>
                <c:pt idx="142">
                  <c:v>0</c:v>
                </c:pt>
                <c:pt idx="143">
                  <c:v>0</c:v>
                </c:pt>
                <c:pt idx="144">
                  <c:v>2.2477142919530051E-2</c:v>
                </c:pt>
                <c:pt idx="145">
                  <c:v>0</c:v>
                </c:pt>
                <c:pt idx="146">
                  <c:v>0</c:v>
                </c:pt>
                <c:pt idx="147">
                  <c:v>-5.3907336126427109E-3</c:v>
                </c:pt>
                <c:pt idx="148">
                  <c:v>0</c:v>
                </c:pt>
                <c:pt idx="149">
                  <c:v>0</c:v>
                </c:pt>
                <c:pt idx="150">
                  <c:v>4.8942127988755441E-3</c:v>
                </c:pt>
                <c:pt idx="151">
                  <c:v>0</c:v>
                </c:pt>
                <c:pt idx="152">
                  <c:v>0</c:v>
                </c:pt>
                <c:pt idx="153">
                  <c:v>-1.283403329474103E-2</c:v>
                </c:pt>
                <c:pt idx="154">
                  <c:v>0</c:v>
                </c:pt>
                <c:pt idx="155">
                  <c:v>0</c:v>
                </c:pt>
                <c:pt idx="156">
                  <c:v>6.7490454029221309E-3</c:v>
                </c:pt>
                <c:pt idx="157">
                  <c:v>0</c:v>
                </c:pt>
                <c:pt idx="158">
                  <c:v>0</c:v>
                </c:pt>
                <c:pt idx="159">
                  <c:v>1.697434268841248E-2</c:v>
                </c:pt>
                <c:pt idx="160">
                  <c:v>0</c:v>
                </c:pt>
                <c:pt idx="161">
                  <c:v>0</c:v>
                </c:pt>
                <c:pt idx="162">
                  <c:v>1.9195869993213949E-2</c:v>
                </c:pt>
                <c:pt idx="163">
                  <c:v>0</c:v>
                </c:pt>
                <c:pt idx="164">
                  <c:v>0</c:v>
                </c:pt>
                <c:pt idx="165">
                  <c:v>1.9610980632000841E-2</c:v>
                </c:pt>
                <c:pt idx="166">
                  <c:v>0</c:v>
                </c:pt>
                <c:pt idx="167">
                  <c:v>0</c:v>
                </c:pt>
                <c:pt idx="168">
                  <c:v>1.783648810610167E-2</c:v>
                </c:pt>
                <c:pt idx="169">
                  <c:v>0</c:v>
                </c:pt>
                <c:pt idx="170">
                  <c:v>0</c:v>
                </c:pt>
                <c:pt idx="171">
                  <c:v>9.0366382300993073E-3</c:v>
                </c:pt>
                <c:pt idx="172">
                  <c:v>0</c:v>
                </c:pt>
                <c:pt idx="173">
                  <c:v>0</c:v>
                </c:pt>
                <c:pt idx="174">
                  <c:v>1.228513047875363E-2</c:v>
                </c:pt>
                <c:pt idx="175">
                  <c:v>0</c:v>
                </c:pt>
                <c:pt idx="176">
                  <c:v>0</c:v>
                </c:pt>
                <c:pt idx="177">
                  <c:v>3.2890157607756991E-3</c:v>
                </c:pt>
                <c:pt idx="178">
                  <c:v>0</c:v>
                </c:pt>
                <c:pt idx="179">
                  <c:v>0</c:v>
                </c:pt>
                <c:pt idx="180">
                  <c:v>1.0915743322612029E-2</c:v>
                </c:pt>
                <c:pt idx="181">
                  <c:v>0</c:v>
                </c:pt>
                <c:pt idx="182">
                  <c:v>0</c:v>
                </c:pt>
                <c:pt idx="183">
                  <c:v>1.122121452821232E-2</c:v>
                </c:pt>
                <c:pt idx="184">
                  <c:v>0</c:v>
                </c:pt>
                <c:pt idx="185">
                  <c:v>0</c:v>
                </c:pt>
                <c:pt idx="186">
                  <c:v>2.1984344593379179E-2</c:v>
                </c:pt>
                <c:pt idx="187">
                  <c:v>0</c:v>
                </c:pt>
                <c:pt idx="188">
                  <c:v>0</c:v>
                </c:pt>
                <c:pt idx="189">
                  <c:v>6.5560243658060744E-3</c:v>
                </c:pt>
                <c:pt idx="190">
                  <c:v>0</c:v>
                </c:pt>
                <c:pt idx="191">
                  <c:v>0</c:v>
                </c:pt>
                <c:pt idx="192">
                  <c:v>2.10825209895227E-2</c:v>
                </c:pt>
                <c:pt idx="193">
                  <c:v>0</c:v>
                </c:pt>
                <c:pt idx="194">
                  <c:v>0</c:v>
                </c:pt>
                <c:pt idx="195">
                  <c:v>1.0887336899478069E-2</c:v>
                </c:pt>
                <c:pt idx="196">
                  <c:v>0</c:v>
                </c:pt>
                <c:pt idx="197">
                  <c:v>0</c:v>
                </c:pt>
                <c:pt idx="198">
                  <c:v>1.5623006663855091E-2</c:v>
                </c:pt>
                <c:pt idx="199">
                  <c:v>0</c:v>
                </c:pt>
                <c:pt idx="200">
                  <c:v>0</c:v>
                </c:pt>
                <c:pt idx="201">
                  <c:v>3.0887185823790142E-3</c:v>
                </c:pt>
                <c:pt idx="202">
                  <c:v>0</c:v>
                </c:pt>
                <c:pt idx="203">
                  <c:v>0</c:v>
                </c:pt>
                <c:pt idx="204">
                  <c:v>2.419751879498433E-2</c:v>
                </c:pt>
                <c:pt idx="205">
                  <c:v>0</c:v>
                </c:pt>
                <c:pt idx="206">
                  <c:v>0</c:v>
                </c:pt>
                <c:pt idx="207">
                  <c:v>1.2632982485488589E-2</c:v>
                </c:pt>
                <c:pt idx="208">
                  <c:v>0</c:v>
                </c:pt>
                <c:pt idx="209">
                  <c:v>0</c:v>
                </c:pt>
                <c:pt idx="210">
                  <c:v>2.2232522817397491E-2</c:v>
                </c:pt>
                <c:pt idx="211">
                  <c:v>0</c:v>
                </c:pt>
                <c:pt idx="212">
                  <c:v>0</c:v>
                </c:pt>
                <c:pt idx="213">
                  <c:v>2.3040404659747011E-2</c:v>
                </c:pt>
                <c:pt idx="214">
                  <c:v>0</c:v>
                </c:pt>
                <c:pt idx="215">
                  <c:v>0</c:v>
                </c:pt>
                <c:pt idx="216">
                  <c:v>2.4342287590095699E-2</c:v>
                </c:pt>
                <c:pt idx="217">
                  <c:v>0</c:v>
                </c:pt>
                <c:pt idx="218">
                  <c:v>0</c:v>
                </c:pt>
                <c:pt idx="219">
                  <c:v>3.4160196193779228E-3</c:v>
                </c:pt>
                <c:pt idx="220">
                  <c:v>0</c:v>
                </c:pt>
                <c:pt idx="221">
                  <c:v>0</c:v>
                </c:pt>
                <c:pt idx="222">
                  <c:v>8.4690505157436948E-3</c:v>
                </c:pt>
                <c:pt idx="223">
                  <c:v>0</c:v>
                </c:pt>
                <c:pt idx="224">
                  <c:v>0</c:v>
                </c:pt>
                <c:pt idx="225">
                  <c:v>8.2040710856639242E-3</c:v>
                </c:pt>
                <c:pt idx="226">
                  <c:v>0</c:v>
                </c:pt>
                <c:pt idx="227">
                  <c:v>0</c:v>
                </c:pt>
                <c:pt idx="228">
                  <c:v>8.8555258677027685E-3</c:v>
                </c:pt>
                <c:pt idx="229">
                  <c:v>0</c:v>
                </c:pt>
                <c:pt idx="230">
                  <c:v>0</c:v>
                </c:pt>
                <c:pt idx="231">
                  <c:v>6.1297812624356185E-4</c:v>
                </c:pt>
                <c:pt idx="232">
                  <c:v>0</c:v>
                </c:pt>
                <c:pt idx="233">
                  <c:v>0</c:v>
                </c:pt>
                <c:pt idx="234">
                  <c:v>9.4612091745059444E-3</c:v>
                </c:pt>
                <c:pt idx="235">
                  <c:v>0</c:v>
                </c:pt>
                <c:pt idx="236">
                  <c:v>0</c:v>
                </c:pt>
                <c:pt idx="237">
                  <c:v>7.5401712735310893E-3</c:v>
                </c:pt>
                <c:pt idx="238">
                  <c:v>0</c:v>
                </c:pt>
                <c:pt idx="239">
                  <c:v>0</c:v>
                </c:pt>
                <c:pt idx="240">
                  <c:v>2.0395071286729152E-2</c:v>
                </c:pt>
                <c:pt idx="241">
                  <c:v>0</c:v>
                </c:pt>
                <c:pt idx="242">
                  <c:v>0</c:v>
                </c:pt>
                <c:pt idx="243">
                  <c:v>1.6707995500967191E-2</c:v>
                </c:pt>
                <c:pt idx="244">
                  <c:v>0</c:v>
                </c:pt>
                <c:pt idx="245">
                  <c:v>0</c:v>
                </c:pt>
                <c:pt idx="246">
                  <c:v>7.7495566345378913E-3</c:v>
                </c:pt>
                <c:pt idx="247">
                  <c:v>0</c:v>
                </c:pt>
                <c:pt idx="248">
                  <c:v>0</c:v>
                </c:pt>
                <c:pt idx="249">
                  <c:v>3.9332004111917174E-3</c:v>
                </c:pt>
                <c:pt idx="250">
                  <c:v>0</c:v>
                </c:pt>
                <c:pt idx="251">
                  <c:v>0</c:v>
                </c:pt>
                <c:pt idx="252">
                  <c:v>1.565115509134396E-2</c:v>
                </c:pt>
                <c:pt idx="253">
                  <c:v>0</c:v>
                </c:pt>
                <c:pt idx="254">
                  <c:v>0</c:v>
                </c:pt>
                <c:pt idx="255">
                  <c:v>3.039953206492568E-3</c:v>
                </c:pt>
                <c:pt idx="256">
                  <c:v>0</c:v>
                </c:pt>
                <c:pt idx="257">
                  <c:v>0</c:v>
                </c:pt>
                <c:pt idx="258">
                  <c:v>6.6051420527715021E-3</c:v>
                </c:pt>
                <c:pt idx="259">
                  <c:v>0</c:v>
                </c:pt>
                <c:pt idx="260">
                  <c:v>0</c:v>
                </c:pt>
                <c:pt idx="261">
                  <c:v>-4.8769458752543609E-3</c:v>
                </c:pt>
                <c:pt idx="262">
                  <c:v>0</c:v>
                </c:pt>
                <c:pt idx="263">
                  <c:v>0</c:v>
                </c:pt>
                <c:pt idx="264">
                  <c:v>-1.4847070124259069E-3</c:v>
                </c:pt>
                <c:pt idx="265">
                  <c:v>0</c:v>
                </c:pt>
                <c:pt idx="266">
                  <c:v>0</c:v>
                </c:pt>
                <c:pt idx="267">
                  <c:v>1.419300010385208E-3</c:v>
                </c:pt>
                <c:pt idx="268">
                  <c:v>0</c:v>
                </c:pt>
                <c:pt idx="269">
                  <c:v>0</c:v>
                </c:pt>
                <c:pt idx="270">
                  <c:v>9.2155083013763586E-3</c:v>
                </c:pt>
                <c:pt idx="271">
                  <c:v>0</c:v>
                </c:pt>
                <c:pt idx="272">
                  <c:v>0</c:v>
                </c:pt>
                <c:pt idx="273">
                  <c:v>-1.071638106008845E-2</c:v>
                </c:pt>
                <c:pt idx="274">
                  <c:v>0</c:v>
                </c:pt>
                <c:pt idx="275">
                  <c:v>0</c:v>
                </c:pt>
                <c:pt idx="276">
                  <c:v>2.7159927894247621E-2</c:v>
                </c:pt>
                <c:pt idx="277">
                  <c:v>0</c:v>
                </c:pt>
                <c:pt idx="278">
                  <c:v>0</c:v>
                </c:pt>
                <c:pt idx="279">
                  <c:v>5.4112007973197733E-3</c:v>
                </c:pt>
                <c:pt idx="280">
                  <c:v>0</c:v>
                </c:pt>
                <c:pt idx="281">
                  <c:v>0</c:v>
                </c:pt>
                <c:pt idx="282">
                  <c:v>8.2296708504175139E-3</c:v>
                </c:pt>
                <c:pt idx="283">
                  <c:v>0</c:v>
                </c:pt>
                <c:pt idx="284">
                  <c:v>0</c:v>
                </c:pt>
                <c:pt idx="285">
                  <c:v>2.357838388214737E-3</c:v>
                </c:pt>
                <c:pt idx="286">
                  <c:v>0</c:v>
                </c:pt>
                <c:pt idx="287">
                  <c:v>0</c:v>
                </c:pt>
                <c:pt idx="288">
                  <c:v>1.8389588842627851E-2</c:v>
                </c:pt>
                <c:pt idx="289">
                  <c:v>0</c:v>
                </c:pt>
                <c:pt idx="290">
                  <c:v>0</c:v>
                </c:pt>
                <c:pt idx="291">
                  <c:v>2.2697723541087039E-2</c:v>
                </c:pt>
                <c:pt idx="292">
                  <c:v>0</c:v>
                </c:pt>
                <c:pt idx="293">
                  <c:v>0</c:v>
                </c:pt>
                <c:pt idx="294">
                  <c:v>9.4438188800006935E-3</c:v>
                </c:pt>
                <c:pt idx="295">
                  <c:v>0</c:v>
                </c:pt>
                <c:pt idx="296">
                  <c:v>0</c:v>
                </c:pt>
                <c:pt idx="297">
                  <c:v>1.6744587376992581E-2</c:v>
                </c:pt>
                <c:pt idx="298">
                  <c:v>0</c:v>
                </c:pt>
                <c:pt idx="299">
                  <c:v>0</c:v>
                </c:pt>
                <c:pt idx="300">
                  <c:v>2.474806376709953E-2</c:v>
                </c:pt>
                <c:pt idx="301">
                  <c:v>0</c:v>
                </c:pt>
                <c:pt idx="302">
                  <c:v>0</c:v>
                </c:pt>
                <c:pt idx="303">
                  <c:v>1.0886625296699469E-2</c:v>
                </c:pt>
                <c:pt idx="304">
                  <c:v>0</c:v>
                </c:pt>
                <c:pt idx="305">
                  <c:v>0</c:v>
                </c:pt>
                <c:pt idx="306">
                  <c:v>-5.2589853628965894E-3</c:v>
                </c:pt>
                <c:pt idx="307">
                  <c:v>0</c:v>
                </c:pt>
                <c:pt idx="308">
                  <c:v>0</c:v>
                </c:pt>
                <c:pt idx="309">
                  <c:v>9.4921604343136869E-3</c:v>
                </c:pt>
                <c:pt idx="310">
                  <c:v>0</c:v>
                </c:pt>
                <c:pt idx="311">
                  <c:v>0</c:v>
                </c:pt>
                <c:pt idx="312">
                  <c:v>-8.5977257437322464E-3</c:v>
                </c:pt>
                <c:pt idx="313">
                  <c:v>0</c:v>
                </c:pt>
                <c:pt idx="314">
                  <c:v>0</c:v>
                </c:pt>
                <c:pt idx="315">
                  <c:v>2.3768322735318119E-3</c:v>
                </c:pt>
                <c:pt idx="316">
                  <c:v>0</c:v>
                </c:pt>
                <c:pt idx="317">
                  <c:v>0</c:v>
                </c:pt>
                <c:pt idx="318">
                  <c:v>-9.4514277828859072E-3</c:v>
                </c:pt>
                <c:pt idx="319">
                  <c:v>0</c:v>
                </c:pt>
                <c:pt idx="320">
                  <c:v>0</c:v>
                </c:pt>
                <c:pt idx="321">
                  <c:v>-3.881407827863123E-3</c:v>
                </c:pt>
                <c:pt idx="322">
                  <c:v>0</c:v>
                </c:pt>
                <c:pt idx="323">
                  <c:v>0</c:v>
                </c:pt>
                <c:pt idx="324">
                  <c:v>-1.217285875797099E-2</c:v>
                </c:pt>
                <c:pt idx="325">
                  <c:v>0</c:v>
                </c:pt>
                <c:pt idx="326">
                  <c:v>0</c:v>
                </c:pt>
                <c:pt idx="327">
                  <c:v>7.1453621611923873E-3</c:v>
                </c:pt>
                <c:pt idx="328">
                  <c:v>0</c:v>
                </c:pt>
                <c:pt idx="329">
                  <c:v>0</c:v>
                </c:pt>
                <c:pt idx="330">
                  <c:v>1.7116519672596298E-2</c:v>
                </c:pt>
                <c:pt idx="331">
                  <c:v>0</c:v>
                </c:pt>
                <c:pt idx="332">
                  <c:v>0</c:v>
                </c:pt>
                <c:pt idx="333">
                  <c:v>1.3465241519955561E-2</c:v>
                </c:pt>
                <c:pt idx="334">
                  <c:v>0</c:v>
                </c:pt>
                <c:pt idx="335">
                  <c:v>0</c:v>
                </c:pt>
                <c:pt idx="336">
                  <c:v>2.2487601205135949E-2</c:v>
                </c:pt>
                <c:pt idx="337">
                  <c:v>0</c:v>
                </c:pt>
                <c:pt idx="338">
                  <c:v>0</c:v>
                </c:pt>
                <c:pt idx="339">
                  <c:v>7.3370057672507601E-3</c:v>
                </c:pt>
                <c:pt idx="340">
                  <c:v>0</c:v>
                </c:pt>
                <c:pt idx="341">
                  <c:v>0</c:v>
                </c:pt>
                <c:pt idx="342">
                  <c:v>5.4870576424046113E-3</c:v>
                </c:pt>
                <c:pt idx="343">
                  <c:v>0</c:v>
                </c:pt>
                <c:pt idx="344">
                  <c:v>0</c:v>
                </c:pt>
                <c:pt idx="345">
                  <c:v>7.2485097809732481E-3</c:v>
                </c:pt>
                <c:pt idx="346">
                  <c:v>0</c:v>
                </c:pt>
                <c:pt idx="347">
                  <c:v>0</c:v>
                </c:pt>
                <c:pt idx="348">
                  <c:v>1.1814835981102891E-2</c:v>
                </c:pt>
                <c:pt idx="349">
                  <c:v>0</c:v>
                </c:pt>
                <c:pt idx="350">
                  <c:v>0</c:v>
                </c:pt>
                <c:pt idx="351">
                  <c:v>1.9441130777226059E-2</c:v>
                </c:pt>
                <c:pt idx="352">
                  <c:v>0</c:v>
                </c:pt>
                <c:pt idx="353">
                  <c:v>0</c:v>
                </c:pt>
                <c:pt idx="354">
                  <c:v>1.8043558989618839E-2</c:v>
                </c:pt>
                <c:pt idx="355">
                  <c:v>0</c:v>
                </c:pt>
                <c:pt idx="356">
                  <c:v>0</c:v>
                </c:pt>
                <c:pt idx="357">
                  <c:v>2.185771923568307E-5</c:v>
                </c:pt>
                <c:pt idx="358">
                  <c:v>0</c:v>
                </c:pt>
                <c:pt idx="359">
                  <c:v>0</c:v>
                </c:pt>
                <c:pt idx="360">
                  <c:v>3.191632414415807E-3</c:v>
                </c:pt>
                <c:pt idx="361">
                  <c:v>0</c:v>
                </c:pt>
                <c:pt idx="362">
                  <c:v>0</c:v>
                </c:pt>
                <c:pt idx="363">
                  <c:v>3.8642701877278973E-2</c:v>
                </c:pt>
                <c:pt idx="364">
                  <c:v>0</c:v>
                </c:pt>
                <c:pt idx="365">
                  <c:v>0</c:v>
                </c:pt>
                <c:pt idx="366">
                  <c:v>1.0055171271113E-2</c:v>
                </c:pt>
                <c:pt idx="367">
                  <c:v>0</c:v>
                </c:pt>
                <c:pt idx="368">
                  <c:v>0</c:v>
                </c:pt>
                <c:pt idx="369">
                  <c:v>1.344143063836532E-2</c:v>
                </c:pt>
                <c:pt idx="370">
                  <c:v>0</c:v>
                </c:pt>
                <c:pt idx="371">
                  <c:v>0</c:v>
                </c:pt>
                <c:pt idx="372">
                  <c:v>1.797872875968448E-3</c:v>
                </c:pt>
                <c:pt idx="373">
                  <c:v>0</c:v>
                </c:pt>
                <c:pt idx="374">
                  <c:v>0</c:v>
                </c:pt>
                <c:pt idx="375">
                  <c:v>1.069198313236971E-3</c:v>
                </c:pt>
                <c:pt idx="376">
                  <c:v>0</c:v>
                </c:pt>
                <c:pt idx="377">
                  <c:v>0</c:v>
                </c:pt>
                <c:pt idx="378">
                  <c:v>7.4287146794002048E-3</c:v>
                </c:pt>
                <c:pt idx="379">
                  <c:v>0</c:v>
                </c:pt>
                <c:pt idx="380">
                  <c:v>0</c:v>
                </c:pt>
                <c:pt idx="381">
                  <c:v>2.500750342688359E-3</c:v>
                </c:pt>
                <c:pt idx="382">
                  <c:v>0</c:v>
                </c:pt>
                <c:pt idx="383">
                  <c:v>0</c:v>
                </c:pt>
                <c:pt idx="384">
                  <c:v>3.1451907552622021E-3</c:v>
                </c:pt>
                <c:pt idx="385">
                  <c:v>0</c:v>
                </c:pt>
                <c:pt idx="386">
                  <c:v>0</c:v>
                </c:pt>
                <c:pt idx="387">
                  <c:v>-2.0604721643770911E-2</c:v>
                </c:pt>
                <c:pt idx="388">
                  <c:v>0</c:v>
                </c:pt>
                <c:pt idx="389">
                  <c:v>0</c:v>
                </c:pt>
                <c:pt idx="390">
                  <c:v>-1.188471173007907E-3</c:v>
                </c:pt>
                <c:pt idx="391">
                  <c:v>0</c:v>
                </c:pt>
                <c:pt idx="392">
                  <c:v>0</c:v>
                </c:pt>
                <c:pt idx="393">
                  <c:v>1.8649256052742209E-2</c:v>
                </c:pt>
                <c:pt idx="394">
                  <c:v>0</c:v>
                </c:pt>
                <c:pt idx="395">
                  <c:v>0</c:v>
                </c:pt>
                <c:pt idx="396">
                  <c:v>1.959429460935417E-2</c:v>
                </c:pt>
                <c:pt idx="397">
                  <c:v>0</c:v>
                </c:pt>
                <c:pt idx="398">
                  <c:v>0</c:v>
                </c:pt>
                <c:pt idx="399">
                  <c:v>-7.4106361293506404E-3</c:v>
                </c:pt>
                <c:pt idx="400">
                  <c:v>0</c:v>
                </c:pt>
                <c:pt idx="401">
                  <c:v>0</c:v>
                </c:pt>
                <c:pt idx="402">
                  <c:v>1.1975252102180129E-2</c:v>
                </c:pt>
                <c:pt idx="403">
                  <c:v>0</c:v>
                </c:pt>
                <c:pt idx="404">
                  <c:v>0</c:v>
                </c:pt>
                <c:pt idx="405">
                  <c:v>-1.0895640870053E-2</c:v>
                </c:pt>
                <c:pt idx="406">
                  <c:v>0</c:v>
                </c:pt>
                <c:pt idx="407">
                  <c:v>0</c:v>
                </c:pt>
                <c:pt idx="408">
                  <c:v>-1.5535444794338851E-2</c:v>
                </c:pt>
                <c:pt idx="409">
                  <c:v>0</c:v>
                </c:pt>
                <c:pt idx="410">
                  <c:v>0</c:v>
                </c:pt>
                <c:pt idx="411">
                  <c:v>4.5619851533253864E-3</c:v>
                </c:pt>
                <c:pt idx="412">
                  <c:v>0</c:v>
                </c:pt>
                <c:pt idx="413">
                  <c:v>0</c:v>
                </c:pt>
                <c:pt idx="414">
                  <c:v>-3.82299274214082E-3</c:v>
                </c:pt>
                <c:pt idx="415">
                  <c:v>0</c:v>
                </c:pt>
                <c:pt idx="416">
                  <c:v>0</c:v>
                </c:pt>
                <c:pt idx="417">
                  <c:v>3.9946273878294482E-4</c:v>
                </c:pt>
                <c:pt idx="418">
                  <c:v>0</c:v>
                </c:pt>
                <c:pt idx="419">
                  <c:v>0</c:v>
                </c:pt>
                <c:pt idx="420">
                  <c:v>1.317847576348375E-2</c:v>
                </c:pt>
                <c:pt idx="421">
                  <c:v>0</c:v>
                </c:pt>
                <c:pt idx="422">
                  <c:v>0</c:v>
                </c:pt>
                <c:pt idx="423">
                  <c:v>2.275612439301274E-2</c:v>
                </c:pt>
                <c:pt idx="424">
                  <c:v>0</c:v>
                </c:pt>
                <c:pt idx="425">
                  <c:v>0</c:v>
                </c:pt>
                <c:pt idx="426">
                  <c:v>1.9990642943219668E-2</c:v>
                </c:pt>
                <c:pt idx="427">
                  <c:v>0</c:v>
                </c:pt>
                <c:pt idx="428">
                  <c:v>0</c:v>
                </c:pt>
                <c:pt idx="429">
                  <c:v>2.0862174793425631E-2</c:v>
                </c:pt>
                <c:pt idx="430">
                  <c:v>0</c:v>
                </c:pt>
                <c:pt idx="431">
                  <c:v>0</c:v>
                </c:pt>
                <c:pt idx="432">
                  <c:v>1.9547702889620849E-2</c:v>
                </c:pt>
                <c:pt idx="433">
                  <c:v>0</c:v>
                </c:pt>
                <c:pt idx="434">
                  <c:v>0</c:v>
                </c:pt>
                <c:pt idx="435">
                  <c:v>1.7277926627437559E-2</c:v>
                </c:pt>
                <c:pt idx="436">
                  <c:v>0</c:v>
                </c:pt>
                <c:pt idx="437">
                  <c:v>0</c:v>
                </c:pt>
                <c:pt idx="438">
                  <c:v>9.64063628357004E-3</c:v>
                </c:pt>
                <c:pt idx="439">
                  <c:v>0</c:v>
                </c:pt>
                <c:pt idx="440">
                  <c:v>0</c:v>
                </c:pt>
                <c:pt idx="441">
                  <c:v>8.208571463863279E-3</c:v>
                </c:pt>
                <c:pt idx="442">
                  <c:v>0</c:v>
                </c:pt>
                <c:pt idx="443">
                  <c:v>0</c:v>
                </c:pt>
                <c:pt idx="444">
                  <c:v>9.6907230055981904E-3</c:v>
                </c:pt>
                <c:pt idx="445">
                  <c:v>0</c:v>
                </c:pt>
                <c:pt idx="446">
                  <c:v>0</c:v>
                </c:pt>
                <c:pt idx="447">
                  <c:v>8.8046635314193416E-3</c:v>
                </c:pt>
                <c:pt idx="448">
                  <c:v>0</c:v>
                </c:pt>
                <c:pt idx="449">
                  <c:v>0</c:v>
                </c:pt>
                <c:pt idx="450">
                  <c:v>1.527121263417938E-2</c:v>
                </c:pt>
                <c:pt idx="451">
                  <c:v>0</c:v>
                </c:pt>
                <c:pt idx="452">
                  <c:v>0</c:v>
                </c:pt>
                <c:pt idx="453">
                  <c:v>7.4332734449716617E-3</c:v>
                </c:pt>
                <c:pt idx="454">
                  <c:v>0</c:v>
                </c:pt>
                <c:pt idx="455">
                  <c:v>0</c:v>
                </c:pt>
                <c:pt idx="456">
                  <c:v>9.3352470750759607E-3</c:v>
                </c:pt>
                <c:pt idx="457">
                  <c:v>0</c:v>
                </c:pt>
                <c:pt idx="458">
                  <c:v>0</c:v>
                </c:pt>
                <c:pt idx="459">
                  <c:v>4.5037736258633776E-3</c:v>
                </c:pt>
                <c:pt idx="460">
                  <c:v>0</c:v>
                </c:pt>
                <c:pt idx="461">
                  <c:v>0</c:v>
                </c:pt>
                <c:pt idx="462">
                  <c:v>9.5699288643793252E-3</c:v>
                </c:pt>
                <c:pt idx="463">
                  <c:v>0</c:v>
                </c:pt>
                <c:pt idx="464">
                  <c:v>0</c:v>
                </c:pt>
                <c:pt idx="465">
                  <c:v>5.3698571823336677E-3</c:v>
                </c:pt>
                <c:pt idx="466">
                  <c:v>0</c:v>
                </c:pt>
                <c:pt idx="467">
                  <c:v>0</c:v>
                </c:pt>
                <c:pt idx="468">
                  <c:v>7.4501962990076546E-3</c:v>
                </c:pt>
                <c:pt idx="469">
                  <c:v>0</c:v>
                </c:pt>
                <c:pt idx="470">
                  <c:v>0</c:v>
                </c:pt>
                <c:pt idx="471">
                  <c:v>1.078842316084223E-2</c:v>
                </c:pt>
                <c:pt idx="472">
                  <c:v>0</c:v>
                </c:pt>
                <c:pt idx="473">
                  <c:v>0</c:v>
                </c:pt>
                <c:pt idx="474">
                  <c:v>8.6756685562682911E-3</c:v>
                </c:pt>
                <c:pt idx="475">
                  <c:v>0</c:v>
                </c:pt>
                <c:pt idx="476">
                  <c:v>0</c:v>
                </c:pt>
                <c:pt idx="477">
                  <c:v>1.7170360958300369E-2</c:v>
                </c:pt>
                <c:pt idx="478">
                  <c:v>0</c:v>
                </c:pt>
                <c:pt idx="479">
                  <c:v>0</c:v>
                </c:pt>
                <c:pt idx="480">
                  <c:v>5.1665416718571942E-3</c:v>
                </c:pt>
                <c:pt idx="481">
                  <c:v>0</c:v>
                </c:pt>
                <c:pt idx="482">
                  <c:v>0</c:v>
                </c:pt>
                <c:pt idx="483">
                  <c:v>1.3139006174740861E-2</c:v>
                </c:pt>
                <c:pt idx="484">
                  <c:v>0</c:v>
                </c:pt>
                <c:pt idx="485">
                  <c:v>0</c:v>
                </c:pt>
                <c:pt idx="486">
                  <c:v>5.859283143099971E-3</c:v>
                </c:pt>
                <c:pt idx="487">
                  <c:v>0</c:v>
                </c:pt>
                <c:pt idx="488">
                  <c:v>0</c:v>
                </c:pt>
                <c:pt idx="489">
                  <c:v>1.3325005532697319E-2</c:v>
                </c:pt>
                <c:pt idx="490">
                  <c:v>0</c:v>
                </c:pt>
                <c:pt idx="491">
                  <c:v>0</c:v>
                </c:pt>
                <c:pt idx="492">
                  <c:v>1.0165976737590321E-2</c:v>
                </c:pt>
                <c:pt idx="493">
                  <c:v>0</c:v>
                </c:pt>
                <c:pt idx="494">
                  <c:v>0</c:v>
                </c:pt>
                <c:pt idx="495">
                  <c:v>7.6326565659204249E-3</c:v>
                </c:pt>
                <c:pt idx="496">
                  <c:v>0</c:v>
                </c:pt>
                <c:pt idx="497">
                  <c:v>0</c:v>
                </c:pt>
                <c:pt idx="498">
                  <c:v>7.4087699375831543E-3</c:v>
                </c:pt>
                <c:pt idx="499">
                  <c:v>0</c:v>
                </c:pt>
                <c:pt idx="500">
                  <c:v>0</c:v>
                </c:pt>
                <c:pt idx="501">
                  <c:v>1.9705097429736549E-3</c:v>
                </c:pt>
                <c:pt idx="502">
                  <c:v>0</c:v>
                </c:pt>
                <c:pt idx="503">
                  <c:v>0</c:v>
                </c:pt>
                <c:pt idx="504">
                  <c:v>1.092795415929108E-2</c:v>
                </c:pt>
                <c:pt idx="505">
                  <c:v>0</c:v>
                </c:pt>
                <c:pt idx="506">
                  <c:v>0</c:v>
                </c:pt>
                <c:pt idx="507">
                  <c:v>3.6291179045774341E-3</c:v>
                </c:pt>
                <c:pt idx="508">
                  <c:v>0</c:v>
                </c:pt>
                <c:pt idx="509">
                  <c:v>0</c:v>
                </c:pt>
                <c:pt idx="510">
                  <c:v>6.6512432164184338E-4</c:v>
                </c:pt>
                <c:pt idx="511">
                  <c:v>0</c:v>
                </c:pt>
                <c:pt idx="512">
                  <c:v>0</c:v>
                </c:pt>
                <c:pt idx="513">
                  <c:v>-9.1039454116298435E-3</c:v>
                </c:pt>
                <c:pt idx="514">
                  <c:v>0</c:v>
                </c:pt>
                <c:pt idx="515">
                  <c:v>0</c:v>
                </c:pt>
                <c:pt idx="516">
                  <c:v>-4.6786758403052431E-3</c:v>
                </c:pt>
                <c:pt idx="517">
                  <c:v>0</c:v>
                </c:pt>
                <c:pt idx="518">
                  <c:v>0</c:v>
                </c:pt>
                <c:pt idx="519">
                  <c:v>7.7971803750098564E-3</c:v>
                </c:pt>
                <c:pt idx="520">
                  <c:v>0</c:v>
                </c:pt>
                <c:pt idx="521">
                  <c:v>0</c:v>
                </c:pt>
                <c:pt idx="522">
                  <c:v>5.0533843082881079E-3</c:v>
                </c:pt>
                <c:pt idx="523">
                  <c:v>0</c:v>
                </c:pt>
                <c:pt idx="524">
                  <c:v>0</c:v>
                </c:pt>
                <c:pt idx="525">
                  <c:v>3.4856390224669632E-3</c:v>
                </c:pt>
                <c:pt idx="526">
                  <c:v>0</c:v>
                </c:pt>
                <c:pt idx="527">
                  <c:v>0</c:v>
                </c:pt>
                <c:pt idx="528">
                  <c:v>1.19715757414335E-2</c:v>
                </c:pt>
                <c:pt idx="529">
                  <c:v>0</c:v>
                </c:pt>
                <c:pt idx="530">
                  <c:v>0</c:v>
                </c:pt>
                <c:pt idx="531">
                  <c:v>1.0843206039467399E-2</c:v>
                </c:pt>
                <c:pt idx="532">
                  <c:v>0</c:v>
                </c:pt>
                <c:pt idx="533">
                  <c:v>0</c:v>
                </c:pt>
                <c:pt idx="534">
                  <c:v>9.8810718866332772E-3</c:v>
                </c:pt>
                <c:pt idx="535">
                  <c:v>0</c:v>
                </c:pt>
                <c:pt idx="536">
                  <c:v>0</c:v>
                </c:pt>
                <c:pt idx="537">
                  <c:v>1.042879871365018E-2</c:v>
                </c:pt>
                <c:pt idx="538">
                  <c:v>0</c:v>
                </c:pt>
                <c:pt idx="539">
                  <c:v>0</c:v>
                </c:pt>
                <c:pt idx="540">
                  <c:v>1.6697909194549321E-3</c:v>
                </c:pt>
                <c:pt idx="541">
                  <c:v>0</c:v>
                </c:pt>
                <c:pt idx="542">
                  <c:v>0</c:v>
                </c:pt>
                <c:pt idx="543">
                  <c:v>5.8211345328307244E-3</c:v>
                </c:pt>
                <c:pt idx="544">
                  <c:v>0</c:v>
                </c:pt>
                <c:pt idx="545">
                  <c:v>0</c:v>
                </c:pt>
                <c:pt idx="546">
                  <c:v>4.771565873036193E-3</c:v>
                </c:pt>
                <c:pt idx="547">
                  <c:v>0</c:v>
                </c:pt>
                <c:pt idx="548">
                  <c:v>0</c:v>
                </c:pt>
                <c:pt idx="549">
                  <c:v>1.360075560087943E-2</c:v>
                </c:pt>
                <c:pt idx="550">
                  <c:v>0</c:v>
                </c:pt>
                <c:pt idx="551">
                  <c:v>0</c:v>
                </c:pt>
                <c:pt idx="552">
                  <c:v>9.7031284012597131E-3</c:v>
                </c:pt>
                <c:pt idx="553">
                  <c:v>0</c:v>
                </c:pt>
                <c:pt idx="554">
                  <c:v>0</c:v>
                </c:pt>
                <c:pt idx="555">
                  <c:v>1.3550997524554961E-2</c:v>
                </c:pt>
                <c:pt idx="556">
                  <c:v>0</c:v>
                </c:pt>
                <c:pt idx="557">
                  <c:v>0</c:v>
                </c:pt>
                <c:pt idx="558">
                  <c:v>5.8453601613005493E-3</c:v>
                </c:pt>
                <c:pt idx="559">
                  <c:v>0</c:v>
                </c:pt>
                <c:pt idx="560">
                  <c:v>0</c:v>
                </c:pt>
                <c:pt idx="561">
                  <c:v>1.1455182646587479E-2</c:v>
                </c:pt>
                <c:pt idx="562">
                  <c:v>0</c:v>
                </c:pt>
                <c:pt idx="563">
                  <c:v>0</c:v>
                </c:pt>
                <c:pt idx="564">
                  <c:v>3.5469547022048279E-3</c:v>
                </c:pt>
                <c:pt idx="565">
                  <c:v>0</c:v>
                </c:pt>
                <c:pt idx="566">
                  <c:v>0</c:v>
                </c:pt>
                <c:pt idx="567">
                  <c:v>2.983056990776784E-3</c:v>
                </c:pt>
                <c:pt idx="568">
                  <c:v>0</c:v>
                </c:pt>
                <c:pt idx="569">
                  <c:v>0</c:v>
                </c:pt>
                <c:pt idx="570">
                  <c:v>8.5066486809378221E-3</c:v>
                </c:pt>
                <c:pt idx="571">
                  <c:v>0</c:v>
                </c:pt>
                <c:pt idx="572">
                  <c:v>0</c:v>
                </c:pt>
                <c:pt idx="573">
                  <c:v>6.7903653556712273E-3</c:v>
                </c:pt>
                <c:pt idx="574">
                  <c:v>0</c:v>
                </c:pt>
                <c:pt idx="575">
                  <c:v>0</c:v>
                </c:pt>
                <c:pt idx="576">
                  <c:v>7.4897132900412786E-3</c:v>
                </c:pt>
                <c:pt idx="577">
                  <c:v>0</c:v>
                </c:pt>
                <c:pt idx="578">
                  <c:v>0</c:v>
                </c:pt>
                <c:pt idx="579">
                  <c:v>1.6678839473595199E-2</c:v>
                </c:pt>
                <c:pt idx="580">
                  <c:v>0</c:v>
                </c:pt>
                <c:pt idx="581">
                  <c:v>0</c:v>
                </c:pt>
                <c:pt idx="582">
                  <c:v>8.970109358134323E-3</c:v>
                </c:pt>
                <c:pt idx="583">
                  <c:v>0</c:v>
                </c:pt>
                <c:pt idx="584">
                  <c:v>0</c:v>
                </c:pt>
                <c:pt idx="585">
                  <c:v>1.0383976491216839E-2</c:v>
                </c:pt>
                <c:pt idx="586">
                  <c:v>0</c:v>
                </c:pt>
                <c:pt idx="587">
                  <c:v>0</c:v>
                </c:pt>
                <c:pt idx="588">
                  <c:v>6.4556077694404466E-3</c:v>
                </c:pt>
                <c:pt idx="589">
                  <c:v>0</c:v>
                </c:pt>
                <c:pt idx="590">
                  <c:v>0</c:v>
                </c:pt>
                <c:pt idx="591">
                  <c:v>1.6619781050890112E-2</c:v>
                </c:pt>
                <c:pt idx="592">
                  <c:v>0</c:v>
                </c:pt>
                <c:pt idx="593">
                  <c:v>0</c:v>
                </c:pt>
                <c:pt idx="594">
                  <c:v>1.2507785733139491E-2</c:v>
                </c:pt>
                <c:pt idx="595">
                  <c:v>0</c:v>
                </c:pt>
                <c:pt idx="596">
                  <c:v>0</c:v>
                </c:pt>
                <c:pt idx="597">
                  <c:v>8.5874356260664548E-3</c:v>
                </c:pt>
                <c:pt idx="598">
                  <c:v>0</c:v>
                </c:pt>
                <c:pt idx="599">
                  <c:v>0</c:v>
                </c:pt>
                <c:pt idx="600">
                  <c:v>9.9937540103740806E-3</c:v>
                </c:pt>
                <c:pt idx="601">
                  <c:v>0</c:v>
                </c:pt>
                <c:pt idx="602">
                  <c:v>0</c:v>
                </c:pt>
                <c:pt idx="603">
                  <c:v>9.2582050690395729E-3</c:v>
                </c:pt>
                <c:pt idx="604">
                  <c:v>0</c:v>
                </c:pt>
                <c:pt idx="605">
                  <c:v>0</c:v>
                </c:pt>
                <c:pt idx="606">
                  <c:v>1.252764552668854E-2</c:v>
                </c:pt>
                <c:pt idx="607">
                  <c:v>0</c:v>
                </c:pt>
                <c:pt idx="608">
                  <c:v>0</c:v>
                </c:pt>
                <c:pt idx="609">
                  <c:v>1.6161907023370281E-2</c:v>
                </c:pt>
                <c:pt idx="610">
                  <c:v>0</c:v>
                </c:pt>
                <c:pt idx="611">
                  <c:v>0</c:v>
                </c:pt>
                <c:pt idx="612">
                  <c:v>9.438266145912767E-3</c:v>
                </c:pt>
                <c:pt idx="613">
                  <c:v>0</c:v>
                </c:pt>
                <c:pt idx="614">
                  <c:v>0</c:v>
                </c:pt>
                <c:pt idx="615">
                  <c:v>8.3500002981279006E-3</c:v>
                </c:pt>
                <c:pt idx="616">
                  <c:v>0</c:v>
                </c:pt>
                <c:pt idx="617">
                  <c:v>0</c:v>
                </c:pt>
                <c:pt idx="618">
                  <c:v>1.3230270261286141E-2</c:v>
                </c:pt>
                <c:pt idx="619">
                  <c:v>0</c:v>
                </c:pt>
                <c:pt idx="620">
                  <c:v>0</c:v>
                </c:pt>
                <c:pt idx="621">
                  <c:v>1.6427790050407821E-2</c:v>
                </c:pt>
                <c:pt idx="622">
                  <c:v>0</c:v>
                </c:pt>
                <c:pt idx="623">
                  <c:v>0</c:v>
                </c:pt>
                <c:pt idx="624">
                  <c:v>3.6444736113372721E-3</c:v>
                </c:pt>
                <c:pt idx="625">
                  <c:v>0</c:v>
                </c:pt>
                <c:pt idx="626">
                  <c:v>0</c:v>
                </c:pt>
                <c:pt idx="627">
                  <c:v>1.820583008355766E-2</c:v>
                </c:pt>
                <c:pt idx="628">
                  <c:v>0</c:v>
                </c:pt>
                <c:pt idx="629">
                  <c:v>0</c:v>
                </c:pt>
                <c:pt idx="630">
                  <c:v>9.9774128259521319E-4</c:v>
                </c:pt>
                <c:pt idx="631">
                  <c:v>0</c:v>
                </c:pt>
                <c:pt idx="632">
                  <c:v>0</c:v>
                </c:pt>
                <c:pt idx="633">
                  <c:v>5.9436175514207554E-3</c:v>
                </c:pt>
                <c:pt idx="634">
                  <c:v>0</c:v>
                </c:pt>
                <c:pt idx="635">
                  <c:v>0</c:v>
                </c:pt>
                <c:pt idx="636">
                  <c:v>-3.2422100322343338E-3</c:v>
                </c:pt>
                <c:pt idx="637">
                  <c:v>0</c:v>
                </c:pt>
                <c:pt idx="638">
                  <c:v>0</c:v>
                </c:pt>
                <c:pt idx="639">
                  <c:v>6.2138921486550201E-3</c:v>
                </c:pt>
                <c:pt idx="640">
                  <c:v>0</c:v>
                </c:pt>
                <c:pt idx="641">
                  <c:v>0</c:v>
                </c:pt>
                <c:pt idx="642">
                  <c:v>-4.0034901605050122E-3</c:v>
                </c:pt>
                <c:pt idx="643">
                  <c:v>0</c:v>
                </c:pt>
                <c:pt idx="644">
                  <c:v>0</c:v>
                </c:pt>
                <c:pt idx="645">
                  <c:v>2.7731435849645621E-3</c:v>
                </c:pt>
                <c:pt idx="646">
                  <c:v>0</c:v>
                </c:pt>
                <c:pt idx="647">
                  <c:v>0</c:v>
                </c:pt>
                <c:pt idx="648">
                  <c:v>8.2822721558439595E-3</c:v>
                </c:pt>
                <c:pt idx="649">
                  <c:v>0</c:v>
                </c:pt>
                <c:pt idx="650">
                  <c:v>0</c:v>
                </c:pt>
                <c:pt idx="651">
                  <c:v>6.1550245578357683E-3</c:v>
                </c:pt>
                <c:pt idx="652">
                  <c:v>0</c:v>
                </c:pt>
                <c:pt idx="653">
                  <c:v>0</c:v>
                </c:pt>
                <c:pt idx="654">
                  <c:v>4.0352870399802624E-3</c:v>
                </c:pt>
                <c:pt idx="655">
                  <c:v>0</c:v>
                </c:pt>
                <c:pt idx="656">
                  <c:v>0</c:v>
                </c:pt>
                <c:pt idx="657">
                  <c:v>1.306557670590968E-3</c:v>
                </c:pt>
                <c:pt idx="658">
                  <c:v>0</c:v>
                </c:pt>
                <c:pt idx="659">
                  <c:v>0</c:v>
                </c:pt>
                <c:pt idx="660">
                  <c:v>5.1672318691698346E-3</c:v>
                </c:pt>
                <c:pt idx="661">
                  <c:v>0</c:v>
                </c:pt>
                <c:pt idx="662">
                  <c:v>0</c:v>
                </c:pt>
                <c:pt idx="663">
                  <c:v>8.9337780116266717E-3</c:v>
                </c:pt>
                <c:pt idx="664">
                  <c:v>0</c:v>
                </c:pt>
                <c:pt idx="665">
                  <c:v>0</c:v>
                </c:pt>
                <c:pt idx="666">
                  <c:v>1.666896269711016E-2</c:v>
                </c:pt>
                <c:pt idx="667">
                  <c:v>0</c:v>
                </c:pt>
                <c:pt idx="668">
                  <c:v>0</c:v>
                </c:pt>
                <c:pt idx="669">
                  <c:v>1.154045727617818E-2</c:v>
                </c:pt>
                <c:pt idx="670">
                  <c:v>0</c:v>
                </c:pt>
                <c:pt idx="671">
                  <c:v>0</c:v>
                </c:pt>
                <c:pt idx="672">
                  <c:v>5.7291648606975533E-3</c:v>
                </c:pt>
                <c:pt idx="673">
                  <c:v>0</c:v>
                </c:pt>
                <c:pt idx="674">
                  <c:v>0</c:v>
                </c:pt>
                <c:pt idx="675">
                  <c:v>7.7873875800888301E-3</c:v>
                </c:pt>
                <c:pt idx="676">
                  <c:v>0</c:v>
                </c:pt>
                <c:pt idx="677">
                  <c:v>0</c:v>
                </c:pt>
                <c:pt idx="678">
                  <c:v>9.4124722465944513E-3</c:v>
                </c:pt>
                <c:pt idx="679">
                  <c:v>0</c:v>
                </c:pt>
                <c:pt idx="680">
                  <c:v>0</c:v>
                </c:pt>
                <c:pt idx="681">
                  <c:v>1.0220273689720489E-2</c:v>
                </c:pt>
                <c:pt idx="682">
                  <c:v>0</c:v>
                </c:pt>
                <c:pt idx="683">
                  <c:v>0</c:v>
                </c:pt>
                <c:pt idx="684">
                  <c:v>1.110882507696538E-2</c:v>
                </c:pt>
                <c:pt idx="685">
                  <c:v>0</c:v>
                </c:pt>
                <c:pt idx="686">
                  <c:v>0</c:v>
                </c:pt>
                <c:pt idx="687">
                  <c:v>4.8660447840531912E-3</c:v>
                </c:pt>
                <c:pt idx="688">
                  <c:v>0</c:v>
                </c:pt>
                <c:pt idx="689">
                  <c:v>0</c:v>
                </c:pt>
                <c:pt idx="690">
                  <c:v>7.8562198027224469E-3</c:v>
                </c:pt>
                <c:pt idx="691">
                  <c:v>0</c:v>
                </c:pt>
                <c:pt idx="692">
                  <c:v>0</c:v>
                </c:pt>
                <c:pt idx="693">
                  <c:v>5.6792823835803089E-3</c:v>
                </c:pt>
                <c:pt idx="694">
                  <c:v>0</c:v>
                </c:pt>
                <c:pt idx="695">
                  <c:v>0</c:v>
                </c:pt>
                <c:pt idx="696">
                  <c:v>1.3486661199029431E-2</c:v>
                </c:pt>
                <c:pt idx="697">
                  <c:v>0</c:v>
                </c:pt>
                <c:pt idx="698">
                  <c:v>0</c:v>
                </c:pt>
                <c:pt idx="699">
                  <c:v>2.4558373055836402E-3</c:v>
                </c:pt>
                <c:pt idx="700">
                  <c:v>0</c:v>
                </c:pt>
                <c:pt idx="701">
                  <c:v>0</c:v>
                </c:pt>
                <c:pt idx="702">
                  <c:v>1.5045618810949951E-3</c:v>
                </c:pt>
                <c:pt idx="703">
                  <c:v>0</c:v>
                </c:pt>
                <c:pt idx="704">
                  <c:v>0</c:v>
                </c:pt>
                <c:pt idx="705">
                  <c:v>8.4371169635735783E-3</c:v>
                </c:pt>
                <c:pt idx="706">
                  <c:v>0</c:v>
                </c:pt>
                <c:pt idx="707">
                  <c:v>0</c:v>
                </c:pt>
                <c:pt idx="708">
                  <c:v>2.9359886061897439E-3</c:v>
                </c:pt>
                <c:pt idx="709">
                  <c:v>0</c:v>
                </c:pt>
                <c:pt idx="710">
                  <c:v>0</c:v>
                </c:pt>
                <c:pt idx="711">
                  <c:v>6.3843453008071297E-3</c:v>
                </c:pt>
                <c:pt idx="712">
                  <c:v>0</c:v>
                </c:pt>
                <c:pt idx="713">
                  <c:v>0</c:v>
                </c:pt>
                <c:pt idx="714">
                  <c:v>6.0230665745096982E-3</c:v>
                </c:pt>
                <c:pt idx="715">
                  <c:v>0</c:v>
                </c:pt>
                <c:pt idx="716">
                  <c:v>0</c:v>
                </c:pt>
                <c:pt idx="717">
                  <c:v>6.0964400264045121E-3</c:v>
                </c:pt>
                <c:pt idx="718">
                  <c:v>0</c:v>
                </c:pt>
                <c:pt idx="719">
                  <c:v>0</c:v>
                </c:pt>
                <c:pt idx="720">
                  <c:v>-4.0742947392000926E-3</c:v>
                </c:pt>
                <c:pt idx="721">
                  <c:v>0</c:v>
                </c:pt>
                <c:pt idx="722">
                  <c:v>0</c:v>
                </c:pt>
                <c:pt idx="723">
                  <c:v>5.7229534456869546E-3</c:v>
                </c:pt>
                <c:pt idx="724">
                  <c:v>0</c:v>
                </c:pt>
                <c:pt idx="725">
                  <c:v>0</c:v>
                </c:pt>
                <c:pt idx="726">
                  <c:v>-5.2689290221545849E-3</c:v>
                </c:pt>
                <c:pt idx="727">
                  <c:v>0</c:v>
                </c:pt>
                <c:pt idx="728">
                  <c:v>0</c:v>
                </c:pt>
                <c:pt idx="729">
                  <c:v>-2.1830971480936261E-2</c:v>
                </c:pt>
                <c:pt idx="730">
                  <c:v>0</c:v>
                </c:pt>
                <c:pt idx="731">
                  <c:v>0</c:v>
                </c:pt>
                <c:pt idx="732">
                  <c:v>-1.165722530679672E-2</c:v>
                </c:pt>
                <c:pt idx="733">
                  <c:v>0</c:v>
                </c:pt>
                <c:pt idx="734">
                  <c:v>0</c:v>
                </c:pt>
                <c:pt idx="735">
                  <c:v>-1.692381386635996E-3</c:v>
                </c:pt>
                <c:pt idx="736">
                  <c:v>0</c:v>
                </c:pt>
                <c:pt idx="737">
                  <c:v>0</c:v>
                </c:pt>
                <c:pt idx="738">
                  <c:v>3.6192999076888901E-3</c:v>
                </c:pt>
                <c:pt idx="739">
                  <c:v>0</c:v>
                </c:pt>
                <c:pt idx="740">
                  <c:v>0</c:v>
                </c:pt>
                <c:pt idx="741">
                  <c:v>1.0679619498303389E-2</c:v>
                </c:pt>
                <c:pt idx="742">
                  <c:v>0</c:v>
                </c:pt>
                <c:pt idx="743">
                  <c:v>0</c:v>
                </c:pt>
                <c:pt idx="744">
                  <c:v>5.0005348148190604E-3</c:v>
                </c:pt>
                <c:pt idx="745">
                  <c:v>0</c:v>
                </c:pt>
                <c:pt idx="746">
                  <c:v>0</c:v>
                </c:pt>
                <c:pt idx="747">
                  <c:v>9.6770463932624312E-3</c:v>
                </c:pt>
                <c:pt idx="748">
                  <c:v>0</c:v>
                </c:pt>
                <c:pt idx="749">
                  <c:v>0</c:v>
                </c:pt>
                <c:pt idx="750">
                  <c:v>7.7314415030268974E-3</c:v>
                </c:pt>
                <c:pt idx="751">
                  <c:v>0</c:v>
                </c:pt>
                <c:pt idx="752">
                  <c:v>0</c:v>
                </c:pt>
                <c:pt idx="753">
                  <c:v>5.1959515923726638E-3</c:v>
                </c:pt>
                <c:pt idx="754">
                  <c:v>0</c:v>
                </c:pt>
                <c:pt idx="755">
                  <c:v>0</c:v>
                </c:pt>
                <c:pt idx="756">
                  <c:v>-2.409160681035181E-3</c:v>
                </c:pt>
                <c:pt idx="757">
                  <c:v>0</c:v>
                </c:pt>
                <c:pt idx="758">
                  <c:v>0</c:v>
                </c:pt>
                <c:pt idx="759">
                  <c:v>6.7805075120588752E-3</c:v>
                </c:pt>
                <c:pt idx="760">
                  <c:v>0</c:v>
                </c:pt>
                <c:pt idx="761">
                  <c:v>0</c:v>
                </c:pt>
                <c:pt idx="762">
                  <c:v>-3.8767162657507928E-4</c:v>
                </c:pt>
                <c:pt idx="763">
                  <c:v>0</c:v>
                </c:pt>
                <c:pt idx="764">
                  <c:v>0</c:v>
                </c:pt>
                <c:pt idx="765">
                  <c:v>1.121678183498582E-2</c:v>
                </c:pt>
                <c:pt idx="766">
                  <c:v>0</c:v>
                </c:pt>
                <c:pt idx="767">
                  <c:v>0</c:v>
                </c:pt>
                <c:pt idx="768">
                  <c:v>8.1792284509988062E-3</c:v>
                </c:pt>
                <c:pt idx="769">
                  <c:v>0</c:v>
                </c:pt>
                <c:pt idx="770">
                  <c:v>0</c:v>
                </c:pt>
                <c:pt idx="771">
                  <c:v>4.5585998686771077E-3</c:v>
                </c:pt>
                <c:pt idx="772">
                  <c:v>0</c:v>
                </c:pt>
                <c:pt idx="773">
                  <c:v>0</c:v>
                </c:pt>
                <c:pt idx="774">
                  <c:v>1.748829776015621E-3</c:v>
                </c:pt>
                <c:pt idx="775">
                  <c:v>0</c:v>
                </c:pt>
                <c:pt idx="776">
                  <c:v>0</c:v>
                </c:pt>
                <c:pt idx="777">
                  <c:v>1.0983806746418219E-3</c:v>
                </c:pt>
                <c:pt idx="778">
                  <c:v>0</c:v>
                </c:pt>
                <c:pt idx="779">
                  <c:v>0</c:v>
                </c:pt>
                <c:pt idx="780">
                  <c:v>8.6778954769115967E-3</c:v>
                </c:pt>
                <c:pt idx="781">
                  <c:v>0</c:v>
                </c:pt>
                <c:pt idx="782">
                  <c:v>0</c:v>
                </c:pt>
                <c:pt idx="783">
                  <c:v>1.393852197657185E-3</c:v>
                </c:pt>
                <c:pt idx="784">
                  <c:v>0</c:v>
                </c:pt>
                <c:pt idx="785">
                  <c:v>0</c:v>
                </c:pt>
                <c:pt idx="786">
                  <c:v>7.9165341079500094E-3</c:v>
                </c:pt>
                <c:pt idx="787">
                  <c:v>0</c:v>
                </c:pt>
                <c:pt idx="788">
                  <c:v>0</c:v>
                </c:pt>
                <c:pt idx="789">
                  <c:v>7.1117100156356649E-3</c:v>
                </c:pt>
                <c:pt idx="790">
                  <c:v>0</c:v>
                </c:pt>
                <c:pt idx="791">
                  <c:v>0</c:v>
                </c:pt>
                <c:pt idx="792">
                  <c:v>-3.5010973651269459E-3</c:v>
                </c:pt>
                <c:pt idx="793">
                  <c:v>0</c:v>
                </c:pt>
                <c:pt idx="794">
                  <c:v>0</c:v>
                </c:pt>
                <c:pt idx="795">
                  <c:v>1.2841289071790579E-2</c:v>
                </c:pt>
                <c:pt idx="796">
                  <c:v>0</c:v>
                </c:pt>
                <c:pt idx="797">
                  <c:v>0</c:v>
                </c:pt>
                <c:pt idx="798">
                  <c:v>1.1649616444854689E-2</c:v>
                </c:pt>
                <c:pt idx="799">
                  <c:v>0</c:v>
                </c:pt>
                <c:pt idx="800">
                  <c:v>0</c:v>
                </c:pt>
                <c:pt idx="801">
                  <c:v>4.4899340248851054E-3</c:v>
                </c:pt>
                <c:pt idx="802">
                  <c:v>0</c:v>
                </c:pt>
                <c:pt idx="803">
                  <c:v>0</c:v>
                </c:pt>
                <c:pt idx="804">
                  <c:v>8.1331362646857273E-3</c:v>
                </c:pt>
                <c:pt idx="805">
                  <c:v>0</c:v>
                </c:pt>
                <c:pt idx="806">
                  <c:v>0</c:v>
                </c:pt>
                <c:pt idx="807">
                  <c:v>5.800014316593537E-3</c:v>
                </c:pt>
                <c:pt idx="808">
                  <c:v>0</c:v>
                </c:pt>
                <c:pt idx="809">
                  <c:v>0</c:v>
                </c:pt>
                <c:pt idx="810">
                  <c:v>3.233726725495796E-3</c:v>
                </c:pt>
                <c:pt idx="811">
                  <c:v>0</c:v>
                </c:pt>
                <c:pt idx="812">
                  <c:v>0</c:v>
                </c:pt>
                <c:pt idx="813">
                  <c:v>1.462343465763751E-3</c:v>
                </c:pt>
                <c:pt idx="814">
                  <c:v>0</c:v>
                </c:pt>
                <c:pt idx="815">
                  <c:v>0</c:v>
                </c:pt>
                <c:pt idx="816">
                  <c:v>5.8917986856350706E-3</c:v>
                </c:pt>
                <c:pt idx="817">
                  <c:v>0</c:v>
                </c:pt>
                <c:pt idx="818">
                  <c:v>0</c:v>
                </c:pt>
                <c:pt idx="819">
                  <c:v>3.0238880667262818E-3</c:v>
                </c:pt>
                <c:pt idx="820">
                  <c:v>0</c:v>
                </c:pt>
                <c:pt idx="821">
                  <c:v>0</c:v>
                </c:pt>
                <c:pt idx="822">
                  <c:v>6.0111537926921072E-3</c:v>
                </c:pt>
                <c:pt idx="823">
                  <c:v>0</c:v>
                </c:pt>
                <c:pt idx="824">
                  <c:v>0</c:v>
                </c:pt>
                <c:pt idx="825">
                  <c:v>4.9688879606063626E-3</c:v>
                </c:pt>
                <c:pt idx="826">
                  <c:v>0</c:v>
                </c:pt>
                <c:pt idx="827">
                  <c:v>0</c:v>
                </c:pt>
                <c:pt idx="828">
                  <c:v>4.2966311411722774E-3</c:v>
                </c:pt>
                <c:pt idx="829">
                  <c:v>0</c:v>
                </c:pt>
                <c:pt idx="830">
                  <c:v>0</c:v>
                </c:pt>
                <c:pt idx="831">
                  <c:v>5.0379298135500763E-3</c:v>
                </c:pt>
                <c:pt idx="832">
                  <c:v>0</c:v>
                </c:pt>
                <c:pt idx="833">
                  <c:v>0</c:v>
                </c:pt>
                <c:pt idx="834">
                  <c:v>8.2748871502641552E-3</c:v>
                </c:pt>
                <c:pt idx="835">
                  <c:v>0</c:v>
                </c:pt>
                <c:pt idx="836">
                  <c:v>0</c:v>
                </c:pt>
                <c:pt idx="837">
                  <c:v>1.0056600857215671E-2</c:v>
                </c:pt>
                <c:pt idx="838">
                  <c:v>0</c:v>
                </c:pt>
                <c:pt idx="839">
                  <c:v>0</c:v>
                </c:pt>
                <c:pt idx="840">
                  <c:v>6.9265386148780273E-3</c:v>
                </c:pt>
                <c:pt idx="841">
                  <c:v>0</c:v>
                </c:pt>
                <c:pt idx="842">
                  <c:v>0</c:v>
                </c:pt>
                <c:pt idx="843">
                  <c:v>6.9734292116119664E-3</c:v>
                </c:pt>
                <c:pt idx="844">
                  <c:v>0</c:v>
                </c:pt>
                <c:pt idx="845">
                  <c:v>0</c:v>
                </c:pt>
                <c:pt idx="846">
                  <c:v>7.2203591386846124E-3</c:v>
                </c:pt>
                <c:pt idx="847">
                  <c:v>0</c:v>
                </c:pt>
                <c:pt idx="848">
                  <c:v>0</c:v>
                </c:pt>
                <c:pt idx="849">
                  <c:v>1.8178319836182929E-3</c:v>
                </c:pt>
                <c:pt idx="850">
                  <c:v>0</c:v>
                </c:pt>
                <c:pt idx="851">
                  <c:v>0</c:v>
                </c:pt>
                <c:pt idx="852">
                  <c:v>5.4271060969615327E-3</c:v>
                </c:pt>
                <c:pt idx="853">
                  <c:v>0</c:v>
                </c:pt>
                <c:pt idx="854">
                  <c:v>0</c:v>
                </c:pt>
                <c:pt idx="855">
                  <c:v>6.7300894044732664E-3</c:v>
                </c:pt>
                <c:pt idx="856">
                  <c:v>0</c:v>
                </c:pt>
                <c:pt idx="857">
                  <c:v>0</c:v>
                </c:pt>
                <c:pt idx="858">
                  <c:v>8.8996647272795142E-3</c:v>
                </c:pt>
                <c:pt idx="859">
                  <c:v>0</c:v>
                </c:pt>
                <c:pt idx="860">
                  <c:v>0</c:v>
                </c:pt>
                <c:pt idx="861">
                  <c:v>4.4304689389935729E-3</c:v>
                </c:pt>
                <c:pt idx="862">
                  <c:v>0</c:v>
                </c:pt>
                <c:pt idx="863">
                  <c:v>0</c:v>
                </c:pt>
                <c:pt idx="864">
                  <c:v>-1.175154200803908E-2</c:v>
                </c:pt>
                <c:pt idx="865">
                  <c:v>0</c:v>
                </c:pt>
                <c:pt idx="866">
                  <c:v>0</c:v>
                </c:pt>
                <c:pt idx="867">
                  <c:v>-8.4843361544679877E-2</c:v>
                </c:pt>
                <c:pt idx="868">
                  <c:v>0</c:v>
                </c:pt>
                <c:pt idx="869">
                  <c:v>0</c:v>
                </c:pt>
                <c:pt idx="870">
                  <c:v>7.854483117045738E-2</c:v>
                </c:pt>
                <c:pt idx="871">
                  <c:v>0</c:v>
                </c:pt>
                <c:pt idx="872">
                  <c:v>0</c:v>
                </c:pt>
                <c:pt idx="873">
                  <c:v>9.6321327890086725E-3</c:v>
                </c:pt>
                <c:pt idx="874">
                  <c:v>0</c:v>
                </c:pt>
                <c:pt idx="875">
                  <c:v>0</c:v>
                </c:pt>
                <c:pt idx="876">
                  <c:v>1.5427919989693629E-2</c:v>
                </c:pt>
                <c:pt idx="877">
                  <c:v>0</c:v>
                </c:pt>
                <c:pt idx="878">
                  <c:v>0</c:v>
                </c:pt>
                <c:pt idx="879">
                  <c:v>1.707015904893705E-2</c:v>
                </c:pt>
                <c:pt idx="880">
                  <c:v>0</c:v>
                </c:pt>
                <c:pt idx="881">
                  <c:v>0</c:v>
                </c:pt>
                <c:pt idx="882">
                  <c:v>6.5669449139205242E-3</c:v>
                </c:pt>
                <c:pt idx="883">
                  <c:v>0</c:v>
                </c:pt>
                <c:pt idx="884">
                  <c:v>0</c:v>
                </c:pt>
                <c:pt idx="885">
                  <c:v>1.695694019812535E-2</c:v>
                </c:pt>
                <c:pt idx="886">
                  <c:v>0</c:v>
                </c:pt>
                <c:pt idx="887">
                  <c:v>0</c:v>
                </c:pt>
                <c:pt idx="888">
                  <c:v>-4.1033818498393453E-3</c:v>
                </c:pt>
                <c:pt idx="889">
                  <c:v>0</c:v>
                </c:pt>
                <c:pt idx="890">
                  <c:v>0</c:v>
                </c:pt>
                <c:pt idx="891">
                  <c:v>-1.4463397270680139E-3</c:v>
                </c:pt>
                <c:pt idx="892">
                  <c:v>0</c:v>
                </c:pt>
                <c:pt idx="893">
                  <c:v>0</c:v>
                </c:pt>
                <c:pt idx="894">
                  <c:v>8.0115520919518922E-3</c:v>
                </c:pt>
                <c:pt idx="895">
                  <c:v>0</c:v>
                </c:pt>
                <c:pt idx="896">
                  <c:v>0</c:v>
                </c:pt>
                <c:pt idx="897">
                  <c:v>7.1518529132102533E-3</c:v>
                </c:pt>
                <c:pt idx="898">
                  <c:v>0</c:v>
                </c:pt>
                <c:pt idx="899">
                  <c:v>0</c:v>
                </c:pt>
                <c:pt idx="900">
                  <c:v>0</c:v>
                </c:pt>
              </c:numCache>
            </c:numRef>
          </c:val>
          <c:extLst>
            <c:ext xmlns:c16="http://schemas.microsoft.com/office/drawing/2014/chart" uri="{C3380CC4-5D6E-409C-BE32-E72D297353CC}">
              <c16:uniqueId val="{00000000-5DD9-4906-A46B-06AF53E11B22}"/>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'ISM Manufacturing vs GDP'!$B$6:$B$906</c:f>
              <c:numCache>
                <c:formatCode>0.0</c:formatCode>
                <c:ptCount val="901"/>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pt idx="899">
                  <c:v>48.4</c:v>
                </c:pt>
                <c:pt idx="900">
                  <c:v>47.4</c:v>
                </c:pt>
              </c:numCache>
            </c:numRef>
          </c:val>
          <c:smooth val="0"/>
          <c:extLst>
            <c:ext xmlns:c16="http://schemas.microsoft.com/office/drawing/2014/chart" uri="{C3380CC4-5D6E-409C-BE32-E72D297353CC}">
              <c16:uniqueId val="{00000001-5DD9-4906-A46B-06AF53E11B22}"/>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GDP'!$A$6:$A$906</c:f>
              <c:numCache>
                <c:formatCode>m/d/yyyy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'ISM Manufacturing vs GDP'!$E$6:$E$906</c:f>
              <c:numCache>
                <c:formatCode>0.00%</c:formatCode>
                <c:ptCount val="901"/>
                <c:pt idx="0">
                  <c:v>6.1539249051736133E-2</c:v>
                </c:pt>
                <c:pt idx="1">
                  <c:v>0</c:v>
                </c:pt>
                <c:pt idx="2">
                  <c:v>0</c:v>
                </c:pt>
                <c:pt idx="3">
                  <c:v>6.768013659057992E-2</c:v>
                </c:pt>
                <c:pt idx="4">
                  <c:v>0</c:v>
                </c:pt>
                <c:pt idx="5">
                  <c:v>0</c:v>
                </c:pt>
                <c:pt idx="6">
                  <c:v>2.3114910387200819E-2</c:v>
                </c:pt>
                <c:pt idx="7">
                  <c:v>0</c:v>
                </c:pt>
                <c:pt idx="8">
                  <c:v>0</c:v>
                </c:pt>
                <c:pt idx="9">
                  <c:v>4.4759796419990838E-3</c:v>
                </c:pt>
                <c:pt idx="10">
                  <c:v>0</c:v>
                </c:pt>
                <c:pt idx="11">
                  <c:v>0</c:v>
                </c:pt>
                <c:pt idx="12">
                  <c:v>-5.3989047075999941E-2</c:v>
                </c:pt>
                <c:pt idx="13">
                  <c:v>0</c:v>
                </c:pt>
                <c:pt idx="14">
                  <c:v>0</c:v>
                </c:pt>
                <c:pt idx="15">
                  <c:v>-1.357438589464066E-2</c:v>
                </c:pt>
                <c:pt idx="16">
                  <c:v>0</c:v>
                </c:pt>
                <c:pt idx="17">
                  <c:v>0</c:v>
                </c:pt>
                <c:pt idx="18">
                  <c:v>4.1940944830040523E-2</c:v>
                </c:pt>
                <c:pt idx="19">
                  <c:v>0</c:v>
                </c:pt>
                <c:pt idx="20">
                  <c:v>0</c:v>
                </c:pt>
                <c:pt idx="21">
                  <c:v>-3.3150435372567788E-2</c:v>
                </c:pt>
                <c:pt idx="22">
                  <c:v>0</c:v>
                </c:pt>
                <c:pt idx="23">
                  <c:v>0</c:v>
                </c:pt>
                <c:pt idx="24">
                  <c:v>0.16671651982232771</c:v>
                </c:pt>
                <c:pt idx="25">
                  <c:v>0</c:v>
                </c:pt>
                <c:pt idx="26">
                  <c:v>0</c:v>
                </c:pt>
                <c:pt idx="27">
                  <c:v>0.1276875822943975</c:v>
                </c:pt>
                <c:pt idx="28">
                  <c:v>0</c:v>
                </c:pt>
                <c:pt idx="29">
                  <c:v>0</c:v>
                </c:pt>
                <c:pt idx="30">
                  <c:v>0.16376987446083291</c:v>
                </c:pt>
                <c:pt idx="31">
                  <c:v>0</c:v>
                </c:pt>
                <c:pt idx="32">
                  <c:v>0</c:v>
                </c:pt>
                <c:pt idx="33">
                  <c:v>7.8819251391700762E-2</c:v>
                </c:pt>
                <c:pt idx="34">
                  <c:v>0</c:v>
                </c:pt>
                <c:pt idx="35">
                  <c:v>0</c:v>
                </c:pt>
                <c:pt idx="36">
                  <c:v>5.5443162744754693E-2</c:v>
                </c:pt>
                <c:pt idx="37">
                  <c:v>0</c:v>
                </c:pt>
                <c:pt idx="38">
                  <c:v>0</c:v>
                </c:pt>
                <c:pt idx="39">
                  <c:v>7.1130687272042525E-2</c:v>
                </c:pt>
                <c:pt idx="40">
                  <c:v>0</c:v>
                </c:pt>
                <c:pt idx="41">
                  <c:v>0</c:v>
                </c:pt>
                <c:pt idx="42">
                  <c:v>8.5023780127983395E-2</c:v>
                </c:pt>
                <c:pt idx="43">
                  <c:v>0</c:v>
                </c:pt>
                <c:pt idx="44">
                  <c:v>0</c:v>
                </c:pt>
                <c:pt idx="45">
                  <c:v>8.8391316328653158E-3</c:v>
                </c:pt>
                <c:pt idx="46">
                  <c:v>0</c:v>
                </c:pt>
                <c:pt idx="47">
                  <c:v>0</c:v>
                </c:pt>
                <c:pt idx="48">
                  <c:v>4.3431328919264052E-2</c:v>
                </c:pt>
                <c:pt idx="49">
                  <c:v>0</c:v>
                </c:pt>
                <c:pt idx="50">
                  <c:v>0</c:v>
                </c:pt>
                <c:pt idx="51">
                  <c:v>8.6437452032444018E-3</c:v>
                </c:pt>
                <c:pt idx="52">
                  <c:v>0</c:v>
                </c:pt>
                <c:pt idx="53">
                  <c:v>0</c:v>
                </c:pt>
                <c:pt idx="54">
                  <c:v>2.918811561848789E-2</c:v>
                </c:pt>
                <c:pt idx="55">
                  <c:v>0</c:v>
                </c:pt>
                <c:pt idx="56">
                  <c:v>0</c:v>
                </c:pt>
                <c:pt idx="57">
                  <c:v>0.13798313070477031</c:v>
                </c:pt>
                <c:pt idx="58">
                  <c:v>0</c:v>
                </c:pt>
                <c:pt idx="59">
                  <c:v>0</c:v>
                </c:pt>
                <c:pt idx="60">
                  <c:v>7.6453744115379418E-2</c:v>
                </c:pt>
                <c:pt idx="61">
                  <c:v>0</c:v>
                </c:pt>
                <c:pt idx="62">
                  <c:v>0</c:v>
                </c:pt>
                <c:pt idx="63">
                  <c:v>3.1277831399421967E-2</c:v>
                </c:pt>
                <c:pt idx="64">
                  <c:v>0</c:v>
                </c:pt>
                <c:pt idx="65">
                  <c:v>0</c:v>
                </c:pt>
                <c:pt idx="66">
                  <c:v>-2.2317829566265272E-2</c:v>
                </c:pt>
                <c:pt idx="67">
                  <c:v>0</c:v>
                </c:pt>
                <c:pt idx="68">
                  <c:v>0</c:v>
                </c:pt>
                <c:pt idx="69">
                  <c:v>-5.9196242822145077E-2</c:v>
                </c:pt>
                <c:pt idx="70">
                  <c:v>0</c:v>
                </c:pt>
                <c:pt idx="71">
                  <c:v>0</c:v>
                </c:pt>
                <c:pt idx="72">
                  <c:v>-1.8984287809732381E-2</c:v>
                </c:pt>
                <c:pt idx="73">
                  <c:v>0</c:v>
                </c:pt>
                <c:pt idx="74">
                  <c:v>0</c:v>
                </c:pt>
                <c:pt idx="75">
                  <c:v>4.3668205818458983E-3</c:v>
                </c:pt>
                <c:pt idx="76">
                  <c:v>0</c:v>
                </c:pt>
                <c:pt idx="77">
                  <c:v>0</c:v>
                </c:pt>
                <c:pt idx="78">
                  <c:v>4.5944882715464493E-2</c:v>
                </c:pt>
                <c:pt idx="79">
                  <c:v>0</c:v>
                </c:pt>
                <c:pt idx="80">
                  <c:v>0</c:v>
                </c:pt>
                <c:pt idx="81">
                  <c:v>8.0594812306759467E-2</c:v>
                </c:pt>
                <c:pt idx="82">
                  <c:v>0</c:v>
                </c:pt>
                <c:pt idx="83">
                  <c:v>0</c:v>
                </c:pt>
                <c:pt idx="84">
                  <c:v>0.11923810308548791</c:v>
                </c:pt>
                <c:pt idx="85">
                  <c:v>0</c:v>
                </c:pt>
                <c:pt idx="86">
                  <c:v>0</c:v>
                </c:pt>
                <c:pt idx="87">
                  <c:v>6.669418000707128E-2</c:v>
                </c:pt>
                <c:pt idx="88">
                  <c:v>0</c:v>
                </c:pt>
                <c:pt idx="89">
                  <c:v>0</c:v>
                </c:pt>
                <c:pt idx="90">
                  <c:v>5.5122708699020251E-2</c:v>
                </c:pt>
                <c:pt idx="91">
                  <c:v>0</c:v>
                </c:pt>
                <c:pt idx="92">
                  <c:v>0</c:v>
                </c:pt>
                <c:pt idx="93">
                  <c:v>2.4230252975287799E-2</c:v>
                </c:pt>
                <c:pt idx="94">
                  <c:v>0</c:v>
                </c:pt>
                <c:pt idx="95">
                  <c:v>0</c:v>
                </c:pt>
                <c:pt idx="96">
                  <c:v>-1.5444949199477359E-2</c:v>
                </c:pt>
                <c:pt idx="97">
                  <c:v>0</c:v>
                </c:pt>
                <c:pt idx="98">
                  <c:v>0</c:v>
                </c:pt>
                <c:pt idx="99">
                  <c:v>3.3464720861821728E-2</c:v>
                </c:pt>
                <c:pt idx="100">
                  <c:v>0</c:v>
                </c:pt>
                <c:pt idx="101">
                  <c:v>0</c:v>
                </c:pt>
                <c:pt idx="102">
                  <c:v>-3.588743913787829E-3</c:v>
                </c:pt>
                <c:pt idx="103">
                  <c:v>0</c:v>
                </c:pt>
                <c:pt idx="104">
                  <c:v>0</c:v>
                </c:pt>
                <c:pt idx="105">
                  <c:v>6.7477789695216561E-2</c:v>
                </c:pt>
                <c:pt idx="106">
                  <c:v>0</c:v>
                </c:pt>
                <c:pt idx="107">
                  <c:v>0</c:v>
                </c:pt>
                <c:pt idx="108">
                  <c:v>2.5858681450808829E-2</c:v>
                </c:pt>
                <c:pt idx="109">
                  <c:v>0</c:v>
                </c:pt>
                <c:pt idx="110">
                  <c:v>0</c:v>
                </c:pt>
                <c:pt idx="111">
                  <c:v>-8.734679818856006E-3</c:v>
                </c:pt>
                <c:pt idx="112">
                  <c:v>0</c:v>
                </c:pt>
                <c:pt idx="113">
                  <c:v>0</c:v>
                </c:pt>
                <c:pt idx="114">
                  <c:v>3.9780771930417069E-2</c:v>
                </c:pt>
                <c:pt idx="115">
                  <c:v>0</c:v>
                </c:pt>
                <c:pt idx="116">
                  <c:v>0</c:v>
                </c:pt>
                <c:pt idx="117">
                  <c:v>-4.0733759741440001E-2</c:v>
                </c:pt>
                <c:pt idx="118">
                  <c:v>0</c:v>
                </c:pt>
                <c:pt idx="119">
                  <c:v>0</c:v>
                </c:pt>
                <c:pt idx="120">
                  <c:v>-9.984529734545633E-2</c:v>
                </c:pt>
                <c:pt idx="121">
                  <c:v>0</c:v>
                </c:pt>
                <c:pt idx="122">
                  <c:v>0</c:v>
                </c:pt>
                <c:pt idx="123">
                  <c:v>2.654937463692297E-2</c:v>
                </c:pt>
                <c:pt idx="124">
                  <c:v>0</c:v>
                </c:pt>
                <c:pt idx="125">
                  <c:v>0</c:v>
                </c:pt>
                <c:pt idx="126">
                  <c:v>9.5789063668671348E-2</c:v>
                </c:pt>
                <c:pt idx="127">
                  <c:v>0</c:v>
                </c:pt>
                <c:pt idx="128">
                  <c:v>0</c:v>
                </c:pt>
                <c:pt idx="129">
                  <c:v>9.6855862537051252E-2</c:v>
                </c:pt>
                <c:pt idx="130">
                  <c:v>0</c:v>
                </c:pt>
                <c:pt idx="131">
                  <c:v>0</c:v>
                </c:pt>
                <c:pt idx="132">
                  <c:v>7.9021349466726676E-2</c:v>
                </c:pt>
                <c:pt idx="133">
                  <c:v>0</c:v>
                </c:pt>
                <c:pt idx="134">
                  <c:v>0</c:v>
                </c:pt>
                <c:pt idx="135">
                  <c:v>9.3304390916545632E-2</c:v>
                </c:pt>
                <c:pt idx="136">
                  <c:v>0</c:v>
                </c:pt>
                <c:pt idx="137">
                  <c:v>0</c:v>
                </c:pt>
                <c:pt idx="138">
                  <c:v>2.8254023082616708E-3</c:v>
                </c:pt>
                <c:pt idx="139">
                  <c:v>0</c:v>
                </c:pt>
                <c:pt idx="140">
                  <c:v>0</c:v>
                </c:pt>
                <c:pt idx="141">
                  <c:v>1.144435183103387E-2</c:v>
                </c:pt>
                <c:pt idx="142">
                  <c:v>0</c:v>
                </c:pt>
                <c:pt idx="143">
                  <c:v>0</c:v>
                </c:pt>
                <c:pt idx="144">
                  <c:v>9.298558243454158E-2</c:v>
                </c:pt>
                <c:pt idx="145">
                  <c:v>0</c:v>
                </c:pt>
                <c:pt idx="146">
                  <c:v>0</c:v>
                </c:pt>
                <c:pt idx="147">
                  <c:v>-2.138920017185875E-2</c:v>
                </c:pt>
                <c:pt idx="148">
                  <c:v>0</c:v>
                </c:pt>
                <c:pt idx="149">
                  <c:v>0</c:v>
                </c:pt>
                <c:pt idx="150">
                  <c:v>1.9721040613348121E-2</c:v>
                </c:pt>
                <c:pt idx="151">
                  <c:v>0</c:v>
                </c:pt>
                <c:pt idx="152">
                  <c:v>0</c:v>
                </c:pt>
                <c:pt idx="153">
                  <c:v>-5.0356287283370382E-2</c:v>
                </c:pt>
                <c:pt idx="154">
                  <c:v>0</c:v>
                </c:pt>
                <c:pt idx="155">
                  <c:v>0</c:v>
                </c:pt>
                <c:pt idx="156">
                  <c:v>2.7270711035208169E-2</c:v>
                </c:pt>
                <c:pt idx="157">
                  <c:v>0</c:v>
                </c:pt>
                <c:pt idx="158">
                  <c:v>0</c:v>
                </c:pt>
                <c:pt idx="159">
                  <c:v>6.9645786784463759E-2</c:v>
                </c:pt>
                <c:pt idx="160">
                  <c:v>0</c:v>
                </c:pt>
                <c:pt idx="161">
                  <c:v>0</c:v>
                </c:pt>
                <c:pt idx="162">
                  <c:v>7.9022797586295823E-2</c:v>
                </c:pt>
                <c:pt idx="163">
                  <c:v>0</c:v>
                </c:pt>
                <c:pt idx="164">
                  <c:v>0</c:v>
                </c:pt>
                <c:pt idx="165">
                  <c:v>8.0781782598194907E-2</c:v>
                </c:pt>
                <c:pt idx="166">
                  <c:v>0</c:v>
                </c:pt>
                <c:pt idx="167">
                  <c:v>0</c:v>
                </c:pt>
                <c:pt idx="168">
                  <c:v>7.3277593508693117E-2</c:v>
                </c:pt>
                <c:pt idx="169">
                  <c:v>0</c:v>
                </c:pt>
                <c:pt idx="170">
                  <c:v>0</c:v>
                </c:pt>
                <c:pt idx="171">
                  <c:v>3.6639476329429772E-2</c:v>
                </c:pt>
                <c:pt idx="172">
                  <c:v>0</c:v>
                </c:pt>
                <c:pt idx="173">
                  <c:v>0</c:v>
                </c:pt>
                <c:pt idx="174">
                  <c:v>5.0053507783781807E-2</c:v>
                </c:pt>
                <c:pt idx="175">
                  <c:v>0</c:v>
                </c:pt>
                <c:pt idx="176">
                  <c:v>0</c:v>
                </c:pt>
                <c:pt idx="177">
                  <c:v>1.3221111225523609E-2</c:v>
                </c:pt>
                <c:pt idx="178">
                  <c:v>0</c:v>
                </c:pt>
                <c:pt idx="179">
                  <c:v>0</c:v>
                </c:pt>
                <c:pt idx="180">
                  <c:v>4.4383110795709342E-2</c:v>
                </c:pt>
                <c:pt idx="181">
                  <c:v>0</c:v>
                </c:pt>
                <c:pt idx="182">
                  <c:v>0</c:v>
                </c:pt>
                <c:pt idx="183">
                  <c:v>4.5646019606860877E-2</c:v>
                </c:pt>
                <c:pt idx="184">
                  <c:v>0</c:v>
                </c:pt>
                <c:pt idx="185">
                  <c:v>0</c:v>
                </c:pt>
                <c:pt idx="186">
                  <c:v>9.0879981544722765E-2</c:v>
                </c:pt>
                <c:pt idx="187">
                  <c:v>0</c:v>
                </c:pt>
                <c:pt idx="188">
                  <c:v>0</c:v>
                </c:pt>
                <c:pt idx="189">
                  <c:v>2.6483115193417731E-2</c:v>
                </c:pt>
                <c:pt idx="190">
                  <c:v>0</c:v>
                </c:pt>
                <c:pt idx="191">
                  <c:v>0</c:v>
                </c:pt>
                <c:pt idx="192">
                  <c:v>8.7034600081078217E-2</c:v>
                </c:pt>
                <c:pt idx="193">
                  <c:v>0</c:v>
                </c:pt>
                <c:pt idx="194">
                  <c:v>0</c:v>
                </c:pt>
                <c:pt idx="195">
                  <c:v>4.426572835975362E-2</c:v>
                </c:pt>
                <c:pt idx="196">
                  <c:v>0</c:v>
                </c:pt>
                <c:pt idx="197">
                  <c:v>0</c:v>
                </c:pt>
                <c:pt idx="198">
                  <c:v>6.3971809202924224E-2</c:v>
                </c:pt>
                <c:pt idx="199">
                  <c:v>0</c:v>
                </c:pt>
                <c:pt idx="200">
                  <c:v>0</c:v>
                </c:pt>
                <c:pt idx="201">
                  <c:v>1.2412233383173101E-2</c:v>
                </c:pt>
                <c:pt idx="202">
                  <c:v>0</c:v>
                </c:pt>
                <c:pt idx="203">
                  <c:v>0</c:v>
                </c:pt>
                <c:pt idx="204">
                  <c:v>0.10036021002518369</c:v>
                </c:pt>
                <c:pt idx="205">
                  <c:v>0</c:v>
                </c:pt>
                <c:pt idx="206">
                  <c:v>0</c:v>
                </c:pt>
                <c:pt idx="207">
                  <c:v>5.1497573394729379E-2</c:v>
                </c:pt>
                <c:pt idx="208">
                  <c:v>0</c:v>
                </c:pt>
                <c:pt idx="209">
                  <c:v>0</c:v>
                </c:pt>
                <c:pt idx="210">
                  <c:v>9.1940002828739154E-2</c:v>
                </c:pt>
                <c:pt idx="211">
                  <c:v>0</c:v>
                </c:pt>
                <c:pt idx="212">
                  <c:v>0</c:v>
                </c:pt>
                <c:pt idx="213">
                  <c:v>9.5395986872523153E-2</c:v>
                </c:pt>
                <c:pt idx="214">
                  <c:v>0</c:v>
                </c:pt>
                <c:pt idx="215">
                  <c:v>0</c:v>
                </c:pt>
                <c:pt idx="216">
                  <c:v>0.100982479057544</c:v>
                </c:pt>
                <c:pt idx="217">
                  <c:v>0</c:v>
                </c:pt>
                <c:pt idx="218">
                  <c:v>0</c:v>
                </c:pt>
                <c:pt idx="219">
                  <c:v>1.373425320265032E-2</c:v>
                </c:pt>
                <c:pt idx="220">
                  <c:v>0</c:v>
                </c:pt>
                <c:pt idx="221">
                  <c:v>0</c:v>
                </c:pt>
                <c:pt idx="222">
                  <c:v>3.4308985871634563E-2</c:v>
                </c:pt>
                <c:pt idx="223">
                  <c:v>0</c:v>
                </c:pt>
                <c:pt idx="224">
                  <c:v>0</c:v>
                </c:pt>
                <c:pt idx="225">
                  <c:v>3.3222338325639138E-2</c:v>
                </c:pt>
                <c:pt idx="226">
                  <c:v>0</c:v>
                </c:pt>
                <c:pt idx="227">
                  <c:v>0</c:v>
                </c:pt>
                <c:pt idx="228">
                  <c:v>3.5895409464262729E-2</c:v>
                </c:pt>
                <c:pt idx="229">
                  <c:v>0</c:v>
                </c:pt>
                <c:pt idx="230">
                  <c:v>0</c:v>
                </c:pt>
                <c:pt idx="231">
                  <c:v>2.4541678795020339E-3</c:v>
                </c:pt>
                <c:pt idx="232">
                  <c:v>0</c:v>
                </c:pt>
                <c:pt idx="233">
                  <c:v>0</c:v>
                </c:pt>
                <c:pt idx="234">
                  <c:v>3.8385319245969551E-2</c:v>
                </c:pt>
                <c:pt idx="235">
                  <c:v>0</c:v>
                </c:pt>
                <c:pt idx="236">
                  <c:v>0</c:v>
                </c:pt>
                <c:pt idx="237">
                  <c:v>3.0503528184631978E-2</c:v>
                </c:pt>
                <c:pt idx="238">
                  <c:v>0</c:v>
                </c:pt>
                <c:pt idx="239">
                  <c:v>0</c:v>
                </c:pt>
                <c:pt idx="240">
                  <c:v>8.4110145813841353E-2</c:v>
                </c:pt>
                <c:pt idx="241">
                  <c:v>0</c:v>
                </c:pt>
                <c:pt idx="242">
                  <c:v>0</c:v>
                </c:pt>
                <c:pt idx="243">
                  <c:v>6.852565923772147E-2</c:v>
                </c:pt>
                <c:pt idx="244">
                  <c:v>0</c:v>
                </c:pt>
                <c:pt idx="245">
                  <c:v>0</c:v>
                </c:pt>
                <c:pt idx="246">
                  <c:v>3.1360425530983838E-2</c:v>
                </c:pt>
                <c:pt idx="247">
                  <c:v>0</c:v>
                </c:pt>
                <c:pt idx="248">
                  <c:v>0</c:v>
                </c:pt>
                <c:pt idx="249">
                  <c:v>1.5825865664408582E-2</c:v>
                </c:pt>
                <c:pt idx="250">
                  <c:v>0</c:v>
                </c:pt>
                <c:pt idx="251">
                  <c:v>0</c:v>
                </c:pt>
                <c:pt idx="252">
                  <c:v>6.4089767847923085E-2</c:v>
                </c:pt>
                <c:pt idx="253">
                  <c:v>0</c:v>
                </c:pt>
                <c:pt idx="254">
                  <c:v>0</c:v>
                </c:pt>
                <c:pt idx="255">
                  <c:v>1.221537317702515E-2</c:v>
                </c:pt>
                <c:pt idx="256">
                  <c:v>0</c:v>
                </c:pt>
                <c:pt idx="257">
                  <c:v>0</c:v>
                </c:pt>
                <c:pt idx="258">
                  <c:v>2.6683490197652041E-2</c:v>
                </c:pt>
                <c:pt idx="259">
                  <c:v>0</c:v>
                </c:pt>
                <c:pt idx="260">
                  <c:v>0</c:v>
                </c:pt>
                <c:pt idx="261">
                  <c:v>-1.9365539313737409E-2</c:v>
                </c:pt>
                <c:pt idx="262">
                  <c:v>0</c:v>
                </c:pt>
                <c:pt idx="263">
                  <c:v>0</c:v>
                </c:pt>
                <c:pt idx="264">
                  <c:v>-5.9256150066525626E-3</c:v>
                </c:pt>
                <c:pt idx="265">
                  <c:v>0</c:v>
                </c:pt>
                <c:pt idx="266">
                  <c:v>0</c:v>
                </c:pt>
                <c:pt idx="267">
                  <c:v>5.6892979569385096E-3</c:v>
                </c:pt>
                <c:pt idx="268">
                  <c:v>0</c:v>
                </c:pt>
                <c:pt idx="269">
                  <c:v>0</c:v>
                </c:pt>
                <c:pt idx="270">
                  <c:v>3.7374724507416517E-2</c:v>
                </c:pt>
                <c:pt idx="271">
                  <c:v>0</c:v>
                </c:pt>
                <c:pt idx="272">
                  <c:v>0</c:v>
                </c:pt>
                <c:pt idx="273">
                  <c:v>-4.2181388825872079E-2</c:v>
                </c:pt>
                <c:pt idx="274">
                  <c:v>0</c:v>
                </c:pt>
                <c:pt idx="275">
                  <c:v>0</c:v>
                </c:pt>
                <c:pt idx="276">
                  <c:v>0.1131463651735802</c:v>
                </c:pt>
                <c:pt idx="277">
                  <c:v>0</c:v>
                </c:pt>
                <c:pt idx="278">
                  <c:v>0</c:v>
                </c:pt>
                <c:pt idx="279">
                  <c:v>2.1821124394593161E-2</c:v>
                </c:pt>
                <c:pt idx="280">
                  <c:v>0</c:v>
                </c:pt>
                <c:pt idx="281">
                  <c:v>0</c:v>
                </c:pt>
                <c:pt idx="282">
                  <c:v>3.3327282382066732E-2</c:v>
                </c:pt>
                <c:pt idx="283">
                  <c:v>0</c:v>
                </c:pt>
                <c:pt idx="284">
                  <c:v>0</c:v>
                </c:pt>
                <c:pt idx="285">
                  <c:v>9.464762427640272E-3</c:v>
                </c:pt>
                <c:pt idx="286">
                  <c:v>0</c:v>
                </c:pt>
                <c:pt idx="287">
                  <c:v>0</c:v>
                </c:pt>
                <c:pt idx="288">
                  <c:v>7.5612407343295995E-2</c:v>
                </c:pt>
                <c:pt idx="289">
                  <c:v>0</c:v>
                </c:pt>
                <c:pt idx="290">
                  <c:v>0</c:v>
                </c:pt>
                <c:pt idx="291">
                  <c:v>9.3929053762295656E-2</c:v>
                </c:pt>
                <c:pt idx="292">
                  <c:v>0</c:v>
                </c:pt>
                <c:pt idx="293">
                  <c:v>0</c:v>
                </c:pt>
                <c:pt idx="294">
                  <c:v>3.8313766779282547E-2</c:v>
                </c:pt>
                <c:pt idx="295">
                  <c:v>0</c:v>
                </c:pt>
                <c:pt idx="296">
                  <c:v>0</c:v>
                </c:pt>
                <c:pt idx="297">
                  <c:v>6.8679494830585552E-2</c:v>
                </c:pt>
                <c:pt idx="298">
                  <c:v>0</c:v>
                </c:pt>
                <c:pt idx="299">
                  <c:v>0</c:v>
                </c:pt>
                <c:pt idx="300">
                  <c:v>0.1027280596009803</c:v>
                </c:pt>
                <c:pt idx="301">
                  <c:v>0</c:v>
                </c:pt>
                <c:pt idx="302">
                  <c:v>0</c:v>
                </c:pt>
                <c:pt idx="303">
                  <c:v>4.4262787966369732E-2</c:v>
                </c:pt>
                <c:pt idx="304">
                  <c:v>0</c:v>
                </c:pt>
                <c:pt idx="305">
                  <c:v>0</c:v>
                </c:pt>
                <c:pt idx="306">
                  <c:v>-2.0870580913895931E-2</c:v>
                </c:pt>
                <c:pt idx="307">
                  <c:v>0</c:v>
                </c:pt>
                <c:pt idx="308">
                  <c:v>0</c:v>
                </c:pt>
                <c:pt idx="309">
                  <c:v>3.8512677530483819E-2</c:v>
                </c:pt>
                <c:pt idx="310">
                  <c:v>0</c:v>
                </c:pt>
                <c:pt idx="311">
                  <c:v>0</c:v>
                </c:pt>
                <c:pt idx="312">
                  <c:v>-3.3949914388930691E-2</c:v>
                </c:pt>
                <c:pt idx="313">
                  <c:v>0</c:v>
                </c:pt>
                <c:pt idx="314">
                  <c:v>0</c:v>
                </c:pt>
                <c:pt idx="315">
                  <c:v>9.5412788260365033E-3</c:v>
                </c:pt>
                <c:pt idx="316">
                  <c:v>0</c:v>
                </c:pt>
                <c:pt idx="317">
                  <c:v>0</c:v>
                </c:pt>
                <c:pt idx="318">
                  <c:v>-3.7273103393761782E-2</c:v>
                </c:pt>
                <c:pt idx="319">
                  <c:v>0</c:v>
                </c:pt>
                <c:pt idx="320">
                  <c:v>0</c:v>
                </c:pt>
                <c:pt idx="321">
                  <c:v>-1.5435473022839759E-2</c:v>
                </c:pt>
                <c:pt idx="322">
                  <c:v>0</c:v>
                </c:pt>
                <c:pt idx="323">
                  <c:v>0</c:v>
                </c:pt>
                <c:pt idx="324">
                  <c:v>-4.7809557156305638E-2</c:v>
                </c:pt>
                <c:pt idx="325">
                  <c:v>0</c:v>
                </c:pt>
                <c:pt idx="326">
                  <c:v>0</c:v>
                </c:pt>
                <c:pt idx="327">
                  <c:v>2.888924771416268E-2</c:v>
                </c:pt>
                <c:pt idx="328">
                  <c:v>0</c:v>
                </c:pt>
                <c:pt idx="329">
                  <c:v>0</c:v>
                </c:pt>
                <c:pt idx="330">
                  <c:v>7.0244074865320139E-2</c:v>
                </c:pt>
                <c:pt idx="331">
                  <c:v>0</c:v>
                </c:pt>
                <c:pt idx="332">
                  <c:v>0</c:v>
                </c:pt>
                <c:pt idx="333">
                  <c:v>5.4958641008029607E-2</c:v>
                </c:pt>
                <c:pt idx="334">
                  <c:v>0</c:v>
                </c:pt>
                <c:pt idx="335">
                  <c:v>0</c:v>
                </c:pt>
                <c:pt idx="336">
                  <c:v>9.3030301011741479E-2</c:v>
                </c:pt>
                <c:pt idx="337">
                  <c:v>0</c:v>
                </c:pt>
                <c:pt idx="338">
                  <c:v>0</c:v>
                </c:pt>
                <c:pt idx="339">
                  <c:v>2.9672595741234709E-2</c:v>
                </c:pt>
                <c:pt idx="340">
                  <c:v>0</c:v>
                </c:pt>
                <c:pt idx="341">
                  <c:v>0</c:v>
                </c:pt>
                <c:pt idx="342">
                  <c:v>2.2129539098495469E-2</c:v>
                </c:pt>
                <c:pt idx="343">
                  <c:v>0</c:v>
                </c:pt>
                <c:pt idx="344">
                  <c:v>0</c:v>
                </c:pt>
                <c:pt idx="345">
                  <c:v>2.931081062144569E-2</c:v>
                </c:pt>
                <c:pt idx="346">
                  <c:v>0</c:v>
                </c:pt>
                <c:pt idx="347">
                  <c:v>0</c:v>
                </c:pt>
                <c:pt idx="348">
                  <c:v>4.8103502453763942E-2</c:v>
                </c:pt>
                <c:pt idx="349">
                  <c:v>0</c:v>
                </c:pt>
                <c:pt idx="350">
                  <c:v>0</c:v>
                </c:pt>
                <c:pt idx="351">
                  <c:v>8.0061803046076241E-2</c:v>
                </c:pt>
                <c:pt idx="352">
                  <c:v>0</c:v>
                </c:pt>
                <c:pt idx="353">
                  <c:v>0</c:v>
                </c:pt>
                <c:pt idx="354">
                  <c:v>7.4151259847902606E-2</c:v>
                </c:pt>
                <c:pt idx="355">
                  <c:v>0</c:v>
                </c:pt>
                <c:pt idx="356">
                  <c:v>0</c:v>
                </c:pt>
                <c:pt idx="357">
                  <c:v>8.7433743543918752E-5</c:v>
                </c:pt>
                <c:pt idx="358">
                  <c:v>0</c:v>
                </c:pt>
                <c:pt idx="359">
                  <c:v>0</c:v>
                </c:pt>
                <c:pt idx="360">
                  <c:v>1.282777891271847E-2</c:v>
                </c:pt>
                <c:pt idx="361">
                  <c:v>0</c:v>
                </c:pt>
                <c:pt idx="362">
                  <c:v>0</c:v>
                </c:pt>
                <c:pt idx="363">
                  <c:v>0.16376340193805031</c:v>
                </c:pt>
                <c:pt idx="364">
                  <c:v>0</c:v>
                </c:pt>
                <c:pt idx="365">
                  <c:v>0</c:v>
                </c:pt>
                <c:pt idx="366">
                  <c:v>4.0831400694179898E-2</c:v>
                </c:pt>
                <c:pt idx="367">
                  <c:v>0</c:v>
                </c:pt>
                <c:pt idx="368">
                  <c:v>0</c:v>
                </c:pt>
                <c:pt idx="369">
                  <c:v>5.4859501505211572E-2</c:v>
                </c:pt>
                <c:pt idx="370">
                  <c:v>0</c:v>
                </c:pt>
                <c:pt idx="371">
                  <c:v>0</c:v>
                </c:pt>
                <c:pt idx="372">
                  <c:v>7.2109088409857414E-3</c:v>
                </c:pt>
                <c:pt idx="373">
                  <c:v>0</c:v>
                </c:pt>
                <c:pt idx="374">
                  <c:v>0</c:v>
                </c:pt>
                <c:pt idx="375">
                  <c:v>4.2836572536188999E-3</c:v>
                </c:pt>
                <c:pt idx="376">
                  <c:v>0</c:v>
                </c:pt>
                <c:pt idx="377">
                  <c:v>0</c:v>
                </c:pt>
                <c:pt idx="378">
                  <c:v>3.0047616412103961E-2</c:v>
                </c:pt>
                <c:pt idx="379">
                  <c:v>0</c:v>
                </c:pt>
                <c:pt idx="380">
                  <c:v>0</c:v>
                </c:pt>
                <c:pt idx="381">
                  <c:v>1.0040586479814319E-2</c:v>
                </c:pt>
                <c:pt idx="382">
                  <c:v>0</c:v>
                </c:pt>
                <c:pt idx="383">
                  <c:v>0</c:v>
                </c:pt>
                <c:pt idx="384">
                  <c:v>1.264024091996396E-2</c:v>
                </c:pt>
                <c:pt idx="385">
                  <c:v>0</c:v>
                </c:pt>
                <c:pt idx="386">
                  <c:v>0</c:v>
                </c:pt>
                <c:pt idx="387">
                  <c:v>-7.9906370318043152E-2</c:v>
                </c:pt>
                <c:pt idx="388">
                  <c:v>0</c:v>
                </c:pt>
                <c:pt idx="389">
                  <c:v>0</c:v>
                </c:pt>
                <c:pt idx="390">
                  <c:v>-4.745416622351839E-3</c:v>
                </c:pt>
                <c:pt idx="391">
                  <c:v>0</c:v>
                </c:pt>
                <c:pt idx="392">
                  <c:v>0</c:v>
                </c:pt>
                <c:pt idx="393">
                  <c:v>7.6709858133567232E-2</c:v>
                </c:pt>
                <c:pt idx="394">
                  <c:v>0</c:v>
                </c:pt>
                <c:pt idx="395">
                  <c:v>0</c:v>
                </c:pt>
                <c:pt idx="396">
                  <c:v>8.0711035982251378E-2</c:v>
                </c:pt>
                <c:pt idx="397">
                  <c:v>0</c:v>
                </c:pt>
                <c:pt idx="398">
                  <c:v>0</c:v>
                </c:pt>
                <c:pt idx="399">
                  <c:v>-2.931466422968176E-2</c:v>
                </c:pt>
                <c:pt idx="400">
                  <c:v>0</c:v>
                </c:pt>
                <c:pt idx="401">
                  <c:v>0</c:v>
                </c:pt>
                <c:pt idx="402">
                  <c:v>4.8768338275421819E-2</c:v>
                </c:pt>
                <c:pt idx="403">
                  <c:v>0</c:v>
                </c:pt>
                <c:pt idx="404">
                  <c:v>0</c:v>
                </c:pt>
                <c:pt idx="405">
                  <c:v>-4.2875433350734633E-2</c:v>
                </c:pt>
                <c:pt idx="406">
                  <c:v>0</c:v>
                </c:pt>
                <c:pt idx="407">
                  <c:v>0</c:v>
                </c:pt>
                <c:pt idx="408">
                  <c:v>-6.0708618578961808E-2</c:v>
                </c:pt>
                <c:pt idx="409">
                  <c:v>0</c:v>
                </c:pt>
                <c:pt idx="410">
                  <c:v>0</c:v>
                </c:pt>
                <c:pt idx="411">
                  <c:v>1.8373191068485228E-2</c:v>
                </c:pt>
                <c:pt idx="412">
                  <c:v>0</c:v>
                </c:pt>
                <c:pt idx="413">
                  <c:v>0</c:v>
                </c:pt>
                <c:pt idx="414">
                  <c:v>-1.520450261025641E-2</c:v>
                </c:pt>
                <c:pt idx="415">
                  <c:v>0</c:v>
                </c:pt>
                <c:pt idx="416">
                  <c:v>0</c:v>
                </c:pt>
                <c:pt idx="417">
                  <c:v>1.5988086330049891E-3</c:v>
                </c:pt>
                <c:pt idx="418">
                  <c:v>0</c:v>
                </c:pt>
                <c:pt idx="419">
                  <c:v>0</c:v>
                </c:pt>
                <c:pt idx="420">
                  <c:v>5.3765121497419077E-2</c:v>
                </c:pt>
                <c:pt idx="421">
                  <c:v>0</c:v>
                </c:pt>
                <c:pt idx="422">
                  <c:v>0</c:v>
                </c:pt>
                <c:pt idx="423">
                  <c:v>9.4178949150713009E-2</c:v>
                </c:pt>
                <c:pt idx="424">
                  <c:v>0</c:v>
                </c:pt>
                <c:pt idx="425">
                  <c:v>0</c:v>
                </c:pt>
                <c:pt idx="426">
                  <c:v>8.2392441412500128E-2</c:v>
                </c:pt>
                <c:pt idx="427">
                  <c:v>0</c:v>
                </c:pt>
                <c:pt idx="428">
                  <c:v>0</c:v>
                </c:pt>
                <c:pt idx="429">
                  <c:v>8.6096590027290532E-2</c:v>
                </c:pt>
                <c:pt idx="430">
                  <c:v>0</c:v>
                </c:pt>
                <c:pt idx="431">
                  <c:v>0</c:v>
                </c:pt>
                <c:pt idx="432">
                  <c:v>8.0513511399357585E-2</c:v>
                </c:pt>
                <c:pt idx="433">
                  <c:v>0</c:v>
                </c:pt>
                <c:pt idx="434">
                  <c:v>0</c:v>
                </c:pt>
                <c:pt idx="435">
                  <c:v>7.0923587812259603E-2</c:v>
                </c:pt>
                <c:pt idx="436">
                  <c:v>0</c:v>
                </c:pt>
                <c:pt idx="437">
                  <c:v>0</c:v>
                </c:pt>
                <c:pt idx="438">
                  <c:v>3.9123789055161673E-2</c:v>
                </c:pt>
                <c:pt idx="439">
                  <c:v>0</c:v>
                </c:pt>
                <c:pt idx="440">
                  <c:v>0</c:v>
                </c:pt>
                <c:pt idx="441">
                  <c:v>3.3240786663843558E-2</c:v>
                </c:pt>
                <c:pt idx="442">
                  <c:v>0</c:v>
                </c:pt>
                <c:pt idx="443">
                  <c:v>0</c:v>
                </c:pt>
                <c:pt idx="444">
                  <c:v>3.9330001743275167E-2</c:v>
                </c:pt>
                <c:pt idx="445">
                  <c:v>0</c:v>
                </c:pt>
                <c:pt idx="446">
                  <c:v>0</c:v>
                </c:pt>
                <c:pt idx="447">
                  <c:v>3.568652295878616E-2</c:v>
                </c:pt>
                <c:pt idx="448">
                  <c:v>0</c:v>
                </c:pt>
                <c:pt idx="449">
                  <c:v>0</c:v>
                </c:pt>
                <c:pt idx="450">
                  <c:v>6.2498410129544053E-2</c:v>
                </c:pt>
                <c:pt idx="451">
                  <c:v>0</c:v>
                </c:pt>
                <c:pt idx="452">
                  <c:v>0</c:v>
                </c:pt>
                <c:pt idx="453">
                  <c:v>3.006626101659382E-2</c:v>
                </c:pt>
                <c:pt idx="454">
                  <c:v>0</c:v>
                </c:pt>
                <c:pt idx="455">
                  <c:v>0</c:v>
                </c:pt>
                <c:pt idx="456">
                  <c:v>3.7867131071648297E-2</c:v>
                </c:pt>
                <c:pt idx="457">
                  <c:v>0</c:v>
                </c:pt>
                <c:pt idx="458">
                  <c:v>0</c:v>
                </c:pt>
                <c:pt idx="459">
                  <c:v>1.813716419389122E-2</c:v>
                </c:pt>
                <c:pt idx="460">
                  <c:v>0</c:v>
                </c:pt>
                <c:pt idx="461">
                  <c:v>0</c:v>
                </c:pt>
                <c:pt idx="462">
                  <c:v>3.8832730867670813E-2</c:v>
                </c:pt>
                <c:pt idx="463">
                  <c:v>0</c:v>
                </c:pt>
                <c:pt idx="464">
                  <c:v>0</c:v>
                </c:pt>
                <c:pt idx="465">
                  <c:v>2.1653061124957459E-2</c:v>
                </c:pt>
                <c:pt idx="466">
                  <c:v>0</c:v>
                </c:pt>
                <c:pt idx="467">
                  <c:v>0</c:v>
                </c:pt>
                <c:pt idx="468">
                  <c:v>3.013547493148994E-2</c:v>
                </c:pt>
                <c:pt idx="469">
                  <c:v>0</c:v>
                </c:pt>
                <c:pt idx="470">
                  <c:v>0</c:v>
                </c:pt>
                <c:pt idx="471">
                  <c:v>4.3857069297295492E-2</c:v>
                </c:pt>
                <c:pt idx="472">
                  <c:v>0</c:v>
                </c:pt>
                <c:pt idx="473">
                  <c:v>0</c:v>
                </c:pt>
                <c:pt idx="474">
                  <c:v>3.5156895213603212E-2</c:v>
                </c:pt>
                <c:pt idx="475">
                  <c:v>0</c:v>
                </c:pt>
                <c:pt idx="476">
                  <c:v>0</c:v>
                </c:pt>
                <c:pt idx="477">
                  <c:v>7.0470707277670686E-2</c:v>
                </c:pt>
                <c:pt idx="478">
                  <c:v>0</c:v>
                </c:pt>
                <c:pt idx="479">
                  <c:v>0</c:v>
                </c:pt>
                <c:pt idx="480">
                  <c:v>2.0826877962181412E-2</c:v>
                </c:pt>
                <c:pt idx="481">
                  <c:v>0</c:v>
                </c:pt>
                <c:pt idx="482">
                  <c:v>0</c:v>
                </c:pt>
                <c:pt idx="483">
                  <c:v>5.3600928330452602E-2</c:v>
                </c:pt>
                <c:pt idx="484">
                  <c:v>0</c:v>
                </c:pt>
                <c:pt idx="485">
                  <c:v>0</c:v>
                </c:pt>
                <c:pt idx="486">
                  <c:v>2.364392556959816E-2</c:v>
                </c:pt>
                <c:pt idx="487">
                  <c:v>0</c:v>
                </c:pt>
                <c:pt idx="488">
                  <c:v>0</c:v>
                </c:pt>
                <c:pt idx="489">
                  <c:v>5.4374852018120423E-2</c:v>
                </c:pt>
                <c:pt idx="490">
                  <c:v>0</c:v>
                </c:pt>
                <c:pt idx="491">
                  <c:v>0</c:v>
                </c:pt>
                <c:pt idx="492">
                  <c:v>4.1288202625324288E-2</c:v>
                </c:pt>
                <c:pt idx="493">
                  <c:v>0</c:v>
                </c:pt>
                <c:pt idx="494">
                  <c:v>0</c:v>
                </c:pt>
                <c:pt idx="495">
                  <c:v>3.0881952971449911E-2</c:v>
                </c:pt>
                <c:pt idx="496">
                  <c:v>0</c:v>
                </c:pt>
                <c:pt idx="497">
                  <c:v>0</c:v>
                </c:pt>
                <c:pt idx="498">
                  <c:v>2.9966048660892589E-2</c:v>
                </c:pt>
                <c:pt idx="499">
                  <c:v>0</c:v>
                </c:pt>
                <c:pt idx="500">
                  <c:v>0</c:v>
                </c:pt>
                <c:pt idx="501">
                  <c:v>7.9053670440918378E-3</c:v>
                </c:pt>
                <c:pt idx="502">
                  <c:v>0</c:v>
                </c:pt>
                <c:pt idx="503">
                  <c:v>0</c:v>
                </c:pt>
                <c:pt idx="504">
                  <c:v>4.4433572064092493E-2</c:v>
                </c:pt>
                <c:pt idx="505">
                  <c:v>0</c:v>
                </c:pt>
                <c:pt idx="506">
                  <c:v>0</c:v>
                </c:pt>
                <c:pt idx="507">
                  <c:v>1.459568596150662E-2</c:v>
                </c:pt>
                <c:pt idx="508">
                  <c:v>0</c:v>
                </c:pt>
                <c:pt idx="509">
                  <c:v>0</c:v>
                </c:pt>
                <c:pt idx="510">
                  <c:v>2.6631528059206659E-3</c:v>
                </c:pt>
                <c:pt idx="511">
                  <c:v>0</c:v>
                </c:pt>
                <c:pt idx="512">
                  <c:v>0</c:v>
                </c:pt>
                <c:pt idx="513">
                  <c:v>-3.5921502051109888E-2</c:v>
                </c:pt>
                <c:pt idx="514">
                  <c:v>0</c:v>
                </c:pt>
                <c:pt idx="515">
                  <c:v>0</c:v>
                </c:pt>
                <c:pt idx="516">
                  <c:v>-1.858377250133569E-2</c:v>
                </c:pt>
                <c:pt idx="517">
                  <c:v>0</c:v>
                </c:pt>
                <c:pt idx="518">
                  <c:v>0</c:v>
                </c:pt>
                <c:pt idx="519">
                  <c:v>3.1555397477190723E-2</c:v>
                </c:pt>
                <c:pt idx="520">
                  <c:v>0</c:v>
                </c:pt>
                <c:pt idx="521">
                  <c:v>0</c:v>
                </c:pt>
                <c:pt idx="522">
                  <c:v>2.0367274229972528E-2</c:v>
                </c:pt>
                <c:pt idx="523">
                  <c:v>0</c:v>
                </c:pt>
                <c:pt idx="524">
                  <c:v>0</c:v>
                </c:pt>
                <c:pt idx="525">
                  <c:v>1.401562371143839E-2</c:v>
                </c:pt>
                <c:pt idx="526">
                  <c:v>0</c:v>
                </c:pt>
                <c:pt idx="527">
                  <c:v>0</c:v>
                </c:pt>
                <c:pt idx="528">
                  <c:v>4.8753098259492589E-2</c:v>
                </c:pt>
                <c:pt idx="529">
                  <c:v>0</c:v>
                </c:pt>
                <c:pt idx="530">
                  <c:v>0</c:v>
                </c:pt>
                <c:pt idx="531">
                  <c:v>4.4083388249948292E-2</c:v>
                </c:pt>
                <c:pt idx="532">
                  <c:v>0</c:v>
                </c:pt>
                <c:pt idx="533">
                  <c:v>0</c:v>
                </c:pt>
                <c:pt idx="534">
                  <c:v>4.0113969545816142E-2</c:v>
                </c:pt>
                <c:pt idx="535">
                  <c:v>0</c:v>
                </c:pt>
                <c:pt idx="536">
                  <c:v>0</c:v>
                </c:pt>
                <c:pt idx="537">
                  <c:v>4.2372302676989992E-2</c:v>
                </c:pt>
                <c:pt idx="538">
                  <c:v>0</c:v>
                </c:pt>
                <c:pt idx="539">
                  <c:v>0</c:v>
                </c:pt>
                <c:pt idx="540">
                  <c:v>6.6959115187377183E-3</c:v>
                </c:pt>
                <c:pt idx="541">
                  <c:v>0</c:v>
                </c:pt>
                <c:pt idx="542">
                  <c:v>0</c:v>
                </c:pt>
                <c:pt idx="543">
                  <c:v>2.348864193376721E-2</c:v>
                </c:pt>
                <c:pt idx="544">
                  <c:v>0</c:v>
                </c:pt>
                <c:pt idx="545">
                  <c:v>0</c:v>
                </c:pt>
                <c:pt idx="546">
                  <c:v>1.9223305608814249E-2</c:v>
                </c:pt>
                <c:pt idx="547">
                  <c:v>0</c:v>
                </c:pt>
                <c:pt idx="548">
                  <c:v>0</c:v>
                </c:pt>
                <c:pt idx="549">
                  <c:v>5.5523003439976508E-2</c:v>
                </c:pt>
                <c:pt idx="550">
                  <c:v>0</c:v>
                </c:pt>
                <c:pt idx="551">
                  <c:v>0</c:v>
                </c:pt>
                <c:pt idx="552">
                  <c:v>3.9381080899375531E-2</c:v>
                </c:pt>
                <c:pt idx="553">
                  <c:v>0</c:v>
                </c:pt>
                <c:pt idx="554">
                  <c:v>0</c:v>
                </c:pt>
                <c:pt idx="555">
                  <c:v>5.5315754474926093E-2</c:v>
                </c:pt>
                <c:pt idx="556">
                  <c:v>0</c:v>
                </c:pt>
                <c:pt idx="557">
                  <c:v>0</c:v>
                </c:pt>
                <c:pt idx="558">
                  <c:v>2.358725012773033E-2</c:v>
                </c:pt>
                <c:pt idx="559">
                  <c:v>0</c:v>
                </c:pt>
                <c:pt idx="560">
                  <c:v>0</c:v>
                </c:pt>
                <c:pt idx="561">
                  <c:v>4.6614087713841679E-2</c:v>
                </c:pt>
                <c:pt idx="562">
                  <c:v>0</c:v>
                </c:pt>
                <c:pt idx="563">
                  <c:v>0</c:v>
                </c:pt>
                <c:pt idx="564">
                  <c:v>1.426348278840983E-2</c:v>
                </c:pt>
                <c:pt idx="565">
                  <c:v>0</c:v>
                </c:pt>
                <c:pt idx="566">
                  <c:v>0</c:v>
                </c:pt>
                <c:pt idx="567">
                  <c:v>1.198572599682368E-2</c:v>
                </c:pt>
                <c:pt idx="568">
                  <c:v>0</c:v>
                </c:pt>
                <c:pt idx="569">
                  <c:v>0</c:v>
                </c:pt>
                <c:pt idx="570">
                  <c:v>3.4463240659767143E-2</c:v>
                </c:pt>
                <c:pt idx="571">
                  <c:v>0</c:v>
                </c:pt>
                <c:pt idx="572">
                  <c:v>0</c:v>
                </c:pt>
                <c:pt idx="573">
                  <c:v>2.743937030821075E-2</c:v>
                </c:pt>
                <c:pt idx="574">
                  <c:v>0</c:v>
                </c:pt>
                <c:pt idx="575">
                  <c:v>0</c:v>
                </c:pt>
                <c:pt idx="576">
                  <c:v>3.0297111703896821E-2</c:v>
                </c:pt>
                <c:pt idx="577">
                  <c:v>0</c:v>
                </c:pt>
                <c:pt idx="578">
                  <c:v>0</c:v>
                </c:pt>
                <c:pt idx="579">
                  <c:v>6.8403096521844287E-2</c:v>
                </c:pt>
                <c:pt idx="580">
                  <c:v>0</c:v>
                </c:pt>
                <c:pt idx="581">
                  <c:v>0</c:v>
                </c:pt>
                <c:pt idx="582">
                  <c:v>3.6366108120872383E-2</c:v>
                </c:pt>
                <c:pt idx="583">
                  <c:v>0</c:v>
                </c:pt>
                <c:pt idx="584">
                  <c:v>0</c:v>
                </c:pt>
                <c:pt idx="585">
                  <c:v>4.2187358088936922E-2</c:v>
                </c:pt>
                <c:pt idx="586">
                  <c:v>0</c:v>
                </c:pt>
                <c:pt idx="587">
                  <c:v>0</c:v>
                </c:pt>
                <c:pt idx="588">
                  <c:v>2.6073558191095358E-2</c:v>
                </c:pt>
                <c:pt idx="589">
                  <c:v>0</c:v>
                </c:pt>
                <c:pt idx="590">
                  <c:v>0</c:v>
                </c:pt>
                <c:pt idx="591">
                  <c:v>6.8154865904908712E-2</c:v>
                </c:pt>
                <c:pt idx="592">
                  <c:v>0</c:v>
                </c:pt>
                <c:pt idx="593">
                  <c:v>0</c:v>
                </c:pt>
                <c:pt idx="594">
                  <c:v>5.0977662738524332E-2</c:v>
                </c:pt>
                <c:pt idx="595">
                  <c:v>0</c:v>
                </c:pt>
                <c:pt idx="596">
                  <c:v>0</c:v>
                </c:pt>
                <c:pt idx="597">
                  <c:v>3.4794745335392292E-2</c:v>
                </c:pt>
                <c:pt idx="598">
                  <c:v>0</c:v>
                </c:pt>
                <c:pt idx="599">
                  <c:v>0</c:v>
                </c:pt>
                <c:pt idx="600">
                  <c:v>4.0578269241347893E-2</c:v>
                </c:pt>
                <c:pt idx="601">
                  <c:v>0</c:v>
                </c:pt>
                <c:pt idx="602">
                  <c:v>0</c:v>
                </c:pt>
                <c:pt idx="603">
                  <c:v>3.7550288034241763E-2</c:v>
                </c:pt>
                <c:pt idx="604">
                  <c:v>0</c:v>
                </c:pt>
                <c:pt idx="605">
                  <c:v>0</c:v>
                </c:pt>
                <c:pt idx="606">
                  <c:v>5.1060122602257341E-2</c:v>
                </c:pt>
                <c:pt idx="607">
                  <c:v>0</c:v>
                </c:pt>
                <c:pt idx="608">
                  <c:v>0</c:v>
                </c:pt>
                <c:pt idx="609">
                  <c:v>6.6231826182913345E-2</c:v>
                </c:pt>
                <c:pt idx="610">
                  <c:v>0</c:v>
                </c:pt>
                <c:pt idx="611">
                  <c:v>0</c:v>
                </c:pt>
                <c:pt idx="612">
                  <c:v>3.8290920801855137E-2</c:v>
                </c:pt>
                <c:pt idx="613">
                  <c:v>0</c:v>
                </c:pt>
                <c:pt idx="614">
                  <c:v>0</c:v>
                </c:pt>
                <c:pt idx="615">
                  <c:v>3.3820669815360922E-2</c:v>
                </c:pt>
                <c:pt idx="616">
                  <c:v>0</c:v>
                </c:pt>
                <c:pt idx="617">
                  <c:v>0</c:v>
                </c:pt>
                <c:pt idx="618">
                  <c:v>5.3980615300018853E-2</c:v>
                </c:pt>
                <c:pt idx="619">
                  <c:v>0</c:v>
                </c:pt>
                <c:pt idx="620">
                  <c:v>0</c:v>
                </c:pt>
                <c:pt idx="621">
                  <c:v>6.734820036933864E-2</c:v>
                </c:pt>
                <c:pt idx="622">
                  <c:v>0</c:v>
                </c:pt>
                <c:pt idx="623">
                  <c:v>0</c:v>
                </c:pt>
                <c:pt idx="624">
                  <c:v>1.46577813755211E-2</c:v>
                </c:pt>
                <c:pt idx="625">
                  <c:v>0</c:v>
                </c:pt>
                <c:pt idx="626">
                  <c:v>0</c:v>
                </c:pt>
                <c:pt idx="627">
                  <c:v>7.4836281142319105E-2</c:v>
                </c:pt>
                <c:pt idx="628">
                  <c:v>0</c:v>
                </c:pt>
                <c:pt idx="629">
                  <c:v>0</c:v>
                </c:pt>
                <c:pt idx="630">
                  <c:v>3.9969420303305192E-3</c:v>
                </c:pt>
                <c:pt idx="631">
                  <c:v>0</c:v>
                </c:pt>
                <c:pt idx="632">
                  <c:v>0</c:v>
                </c:pt>
                <c:pt idx="633">
                  <c:v>2.3987270862187989E-2</c:v>
                </c:pt>
                <c:pt idx="634">
                  <c:v>0</c:v>
                </c:pt>
                <c:pt idx="635">
                  <c:v>0</c:v>
                </c:pt>
                <c:pt idx="636">
                  <c:v>-1.2905904790564421E-2</c:v>
                </c:pt>
                <c:pt idx="637">
                  <c:v>0</c:v>
                </c:pt>
                <c:pt idx="638">
                  <c:v>0</c:v>
                </c:pt>
                <c:pt idx="639">
                  <c:v>2.508820455389205E-2</c:v>
                </c:pt>
                <c:pt idx="640">
                  <c:v>0</c:v>
                </c:pt>
                <c:pt idx="641">
                  <c:v>0</c:v>
                </c:pt>
                <c:pt idx="642">
                  <c:v>-1.5918049455029729E-2</c:v>
                </c:pt>
                <c:pt idx="643">
                  <c:v>0</c:v>
                </c:pt>
                <c:pt idx="644">
                  <c:v>0</c:v>
                </c:pt>
                <c:pt idx="645">
                  <c:v>1.113880165656167E-2</c:v>
                </c:pt>
                <c:pt idx="646">
                  <c:v>0</c:v>
                </c:pt>
                <c:pt idx="647">
                  <c:v>0</c:v>
                </c:pt>
                <c:pt idx="648">
                  <c:v>3.354294204519781E-2</c:v>
                </c:pt>
                <c:pt idx="649">
                  <c:v>0</c:v>
                </c:pt>
                <c:pt idx="650">
                  <c:v>0</c:v>
                </c:pt>
                <c:pt idx="651">
                  <c:v>2.484833834627009E-2</c:v>
                </c:pt>
                <c:pt idx="652">
                  <c:v>0</c:v>
                </c:pt>
                <c:pt idx="653">
                  <c:v>0</c:v>
                </c:pt>
                <c:pt idx="654">
                  <c:v>1.6239112509100821E-2</c:v>
                </c:pt>
                <c:pt idx="655">
                  <c:v>0</c:v>
                </c:pt>
                <c:pt idx="656">
                  <c:v>0</c:v>
                </c:pt>
                <c:pt idx="657">
                  <c:v>5.2364821646193596E-3</c:v>
                </c:pt>
                <c:pt idx="658">
                  <c:v>0</c:v>
                </c:pt>
                <c:pt idx="659">
                  <c:v>0</c:v>
                </c:pt>
                <c:pt idx="660">
                  <c:v>2.0829681766981079E-2</c:v>
                </c:pt>
                <c:pt idx="661">
                  <c:v>0</c:v>
                </c:pt>
                <c:pt idx="662">
                  <c:v>0</c:v>
                </c:pt>
                <c:pt idx="663">
                  <c:v>3.621684485857446E-2</c:v>
                </c:pt>
                <c:pt idx="664">
                  <c:v>0</c:v>
                </c:pt>
                <c:pt idx="665">
                  <c:v>0</c:v>
                </c:pt>
                <c:pt idx="666">
                  <c:v>6.8361580068855954E-2</c:v>
                </c:pt>
                <c:pt idx="667">
                  <c:v>0</c:v>
                </c:pt>
                <c:pt idx="668">
                  <c:v>0</c:v>
                </c:pt>
                <c:pt idx="669">
                  <c:v>4.6967087698897902E-2</c:v>
                </c:pt>
                <c:pt idx="670">
                  <c:v>0</c:v>
                </c:pt>
                <c:pt idx="671">
                  <c:v>0</c:v>
                </c:pt>
                <c:pt idx="672">
                  <c:v>2.3114352701243179E-2</c:v>
                </c:pt>
                <c:pt idx="673">
                  <c:v>0</c:v>
                </c:pt>
                <c:pt idx="674">
                  <c:v>0</c:v>
                </c:pt>
                <c:pt idx="675">
                  <c:v>3.1515303444719089E-2</c:v>
                </c:pt>
                <c:pt idx="676">
                  <c:v>0</c:v>
                </c:pt>
                <c:pt idx="677">
                  <c:v>0</c:v>
                </c:pt>
                <c:pt idx="678">
                  <c:v>3.8184800216271693E-2</c:v>
                </c:pt>
                <c:pt idx="679">
                  <c:v>0</c:v>
                </c:pt>
                <c:pt idx="680">
                  <c:v>0</c:v>
                </c:pt>
                <c:pt idx="681">
                  <c:v>4.1512099828914462E-2</c:v>
                </c:pt>
                <c:pt idx="682">
                  <c:v>0</c:v>
                </c:pt>
                <c:pt idx="683">
                  <c:v>0</c:v>
                </c:pt>
                <c:pt idx="684">
                  <c:v>4.5181235086873883E-2</c:v>
                </c:pt>
                <c:pt idx="685">
                  <c:v>0</c:v>
                </c:pt>
                <c:pt idx="686">
                  <c:v>0</c:v>
                </c:pt>
                <c:pt idx="687">
                  <c:v>1.9606710928381729E-2</c:v>
                </c:pt>
                <c:pt idx="688">
                  <c:v>0</c:v>
                </c:pt>
                <c:pt idx="689">
                  <c:v>0</c:v>
                </c:pt>
                <c:pt idx="690">
                  <c:v>3.1797143707306803E-2</c:v>
                </c:pt>
                <c:pt idx="691">
                  <c:v>0</c:v>
                </c:pt>
                <c:pt idx="692">
                  <c:v>0</c:v>
                </c:pt>
                <c:pt idx="693">
                  <c:v>2.2911388788951159E-2</c:v>
                </c:pt>
                <c:pt idx="694">
                  <c:v>0</c:v>
                </c:pt>
                <c:pt idx="695">
                  <c:v>0</c:v>
                </c:pt>
                <c:pt idx="696">
                  <c:v>5.5047830418741617E-2</c:v>
                </c:pt>
                <c:pt idx="697">
                  <c:v>0</c:v>
                </c:pt>
                <c:pt idx="698">
                  <c:v>0</c:v>
                </c:pt>
                <c:pt idx="699">
                  <c:v>9.8595953259017488E-3</c:v>
                </c:pt>
                <c:pt idx="700">
                  <c:v>0</c:v>
                </c:pt>
                <c:pt idx="701">
                  <c:v>0</c:v>
                </c:pt>
                <c:pt idx="702">
                  <c:v>6.0318433917740943E-3</c:v>
                </c:pt>
                <c:pt idx="703">
                  <c:v>0</c:v>
                </c:pt>
                <c:pt idx="704">
                  <c:v>0</c:v>
                </c:pt>
                <c:pt idx="705">
                  <c:v>3.4177984960281238E-2</c:v>
                </c:pt>
                <c:pt idx="706">
                  <c:v>0</c:v>
                </c:pt>
                <c:pt idx="707">
                  <c:v>0</c:v>
                </c:pt>
                <c:pt idx="708">
                  <c:v>1.1795775906866529E-2</c:v>
                </c:pt>
                <c:pt idx="709">
                  <c:v>0</c:v>
                </c:pt>
                <c:pt idx="710">
                  <c:v>0</c:v>
                </c:pt>
                <c:pt idx="711">
                  <c:v>2.578298295432346E-2</c:v>
                </c:pt>
                <c:pt idx="712">
                  <c:v>0</c:v>
                </c:pt>
                <c:pt idx="713">
                  <c:v>0</c:v>
                </c:pt>
                <c:pt idx="714">
                  <c:v>2.4310805602967941E-2</c:v>
                </c:pt>
                <c:pt idx="715">
                  <c:v>0</c:v>
                </c:pt>
                <c:pt idx="716">
                  <c:v>0</c:v>
                </c:pt>
                <c:pt idx="717">
                  <c:v>2.46096673082743E-2</c:v>
                </c:pt>
                <c:pt idx="718">
                  <c:v>0</c:v>
                </c:pt>
                <c:pt idx="719">
                  <c:v>0</c:v>
                </c:pt>
                <c:pt idx="720">
                  <c:v>-1.619784994668938E-2</c:v>
                </c:pt>
                <c:pt idx="721">
                  <c:v>0</c:v>
                </c:pt>
                <c:pt idx="722">
                  <c:v>0</c:v>
                </c:pt>
                <c:pt idx="723">
                  <c:v>2.3089077789477889E-2</c:v>
                </c:pt>
                <c:pt idx="724">
                  <c:v>0</c:v>
                </c:pt>
                <c:pt idx="725">
                  <c:v>0</c:v>
                </c:pt>
                <c:pt idx="726">
                  <c:v>-2.0909730735542809E-2</c:v>
                </c:pt>
                <c:pt idx="727">
                  <c:v>0</c:v>
                </c:pt>
                <c:pt idx="728">
                  <c:v>0</c:v>
                </c:pt>
                <c:pt idx="729">
                  <c:v>-8.4505728695347337E-2</c:v>
                </c:pt>
                <c:pt idx="730">
                  <c:v>0</c:v>
                </c:pt>
                <c:pt idx="731">
                  <c:v>0</c:v>
                </c:pt>
                <c:pt idx="732">
                  <c:v>-4.5819873793169208E-2</c:v>
                </c:pt>
                <c:pt idx="733">
                  <c:v>0</c:v>
                </c:pt>
                <c:pt idx="734">
                  <c:v>0</c:v>
                </c:pt>
                <c:pt idx="735">
                  <c:v>-6.7523599987623362E-3</c:v>
                </c:pt>
                <c:pt idx="736">
                  <c:v>0</c:v>
                </c:pt>
                <c:pt idx="737">
                  <c:v>0</c:v>
                </c:pt>
                <c:pt idx="738">
                  <c:v>1.4555985434920871E-2</c:v>
                </c:pt>
                <c:pt idx="739">
                  <c:v>0</c:v>
                </c:pt>
                <c:pt idx="740">
                  <c:v>0</c:v>
                </c:pt>
                <c:pt idx="741">
                  <c:v>4.34076888622974E-2</c:v>
                </c:pt>
                <c:pt idx="742">
                  <c:v>0</c:v>
                </c:pt>
                <c:pt idx="743">
                  <c:v>0</c:v>
                </c:pt>
                <c:pt idx="744">
                  <c:v>2.0152672135610231E-2</c:v>
                </c:pt>
                <c:pt idx="745">
                  <c:v>0</c:v>
                </c:pt>
                <c:pt idx="746">
                  <c:v>0</c:v>
                </c:pt>
                <c:pt idx="747">
                  <c:v>3.9273690540683408E-2</c:v>
                </c:pt>
                <c:pt idx="748">
                  <c:v>0</c:v>
                </c:pt>
                <c:pt idx="749">
                  <c:v>0</c:v>
                </c:pt>
                <c:pt idx="750">
                  <c:v>3.128626930493783E-2</c:v>
                </c:pt>
                <c:pt idx="751">
                  <c:v>0</c:v>
                </c:pt>
                <c:pt idx="752">
                  <c:v>0</c:v>
                </c:pt>
                <c:pt idx="753">
                  <c:v>2.094635569547498E-2</c:v>
                </c:pt>
                <c:pt idx="754">
                  <c:v>0</c:v>
                </c:pt>
                <c:pt idx="755">
                  <c:v>0</c:v>
                </c:pt>
                <c:pt idx="756">
                  <c:v>-9.6018742909373955E-3</c:v>
                </c:pt>
                <c:pt idx="757">
                  <c:v>0</c:v>
                </c:pt>
                <c:pt idx="758">
                  <c:v>0</c:v>
                </c:pt>
                <c:pt idx="759">
                  <c:v>2.739913079767153E-2</c:v>
                </c:pt>
                <c:pt idx="760">
                  <c:v>0</c:v>
                </c:pt>
                <c:pt idx="761">
                  <c:v>0</c:v>
                </c:pt>
                <c:pt idx="762">
                  <c:v>-1.5497850035888221E-3</c:v>
                </c:pt>
                <c:pt idx="763">
                  <c:v>0</c:v>
                </c:pt>
                <c:pt idx="764">
                  <c:v>0</c:v>
                </c:pt>
                <c:pt idx="765">
                  <c:v>4.5627685349290507E-2</c:v>
                </c:pt>
                <c:pt idx="766">
                  <c:v>0</c:v>
                </c:pt>
                <c:pt idx="767">
                  <c:v>0</c:v>
                </c:pt>
                <c:pt idx="768">
                  <c:v>3.3120505702169067E-2</c:v>
                </c:pt>
                <c:pt idx="769">
                  <c:v>0</c:v>
                </c:pt>
                <c:pt idx="770">
                  <c:v>0</c:v>
                </c:pt>
                <c:pt idx="771">
                  <c:v>1.8359463829133341E-2</c:v>
                </c:pt>
                <c:pt idx="772">
                  <c:v>0</c:v>
                </c:pt>
                <c:pt idx="773">
                  <c:v>0</c:v>
                </c:pt>
                <c:pt idx="774">
                  <c:v>7.0136909414519888E-3</c:v>
                </c:pt>
                <c:pt idx="775">
                  <c:v>0</c:v>
                </c:pt>
                <c:pt idx="776">
                  <c:v>0</c:v>
                </c:pt>
                <c:pt idx="777">
                  <c:v>4.4007666411833854E-3</c:v>
                </c:pt>
                <c:pt idx="778">
                  <c:v>0</c:v>
                </c:pt>
                <c:pt idx="779">
                  <c:v>0</c:v>
                </c:pt>
                <c:pt idx="780">
                  <c:v>3.5166036783941028E-2</c:v>
                </c:pt>
                <c:pt idx="781">
                  <c:v>0</c:v>
                </c:pt>
                <c:pt idx="782">
                  <c:v>0</c:v>
                </c:pt>
                <c:pt idx="783">
                  <c:v>5.5870765701340197E-3</c:v>
                </c:pt>
                <c:pt idx="784">
                  <c:v>0</c:v>
                </c:pt>
                <c:pt idx="785">
                  <c:v>0</c:v>
                </c:pt>
                <c:pt idx="786">
                  <c:v>3.2044153997870417E-2</c:v>
                </c:pt>
                <c:pt idx="787">
                  <c:v>0</c:v>
                </c:pt>
                <c:pt idx="788">
                  <c:v>0</c:v>
                </c:pt>
                <c:pt idx="789">
                  <c:v>2.875173987590807E-2</c:v>
                </c:pt>
                <c:pt idx="790">
                  <c:v>0</c:v>
                </c:pt>
                <c:pt idx="791">
                  <c:v>0</c:v>
                </c:pt>
                <c:pt idx="792">
                  <c:v>-1.393101487505966E-2</c:v>
                </c:pt>
                <c:pt idx="793">
                  <c:v>0</c:v>
                </c:pt>
                <c:pt idx="794">
                  <c:v>0</c:v>
                </c:pt>
                <c:pt idx="795">
                  <c:v>5.2363045756652182E-2</c:v>
                </c:pt>
                <c:pt idx="796">
                  <c:v>0</c:v>
                </c:pt>
                <c:pt idx="797">
                  <c:v>0</c:v>
                </c:pt>
                <c:pt idx="798">
                  <c:v>4.7419089621299371E-2</c:v>
                </c:pt>
                <c:pt idx="799">
                  <c:v>0</c:v>
                </c:pt>
                <c:pt idx="800">
                  <c:v>0</c:v>
                </c:pt>
                <c:pt idx="801">
                  <c:v>1.808105561066875E-2</c:v>
                </c:pt>
                <c:pt idx="802">
                  <c:v>0</c:v>
                </c:pt>
                <c:pt idx="803">
                  <c:v>0</c:v>
                </c:pt>
                <c:pt idx="804">
                  <c:v>3.2931588827004088E-2</c:v>
                </c:pt>
                <c:pt idx="805">
                  <c:v>0</c:v>
                </c:pt>
                <c:pt idx="806">
                  <c:v>0</c:v>
                </c:pt>
                <c:pt idx="807">
                  <c:v>2.3402679848250289E-2</c:v>
                </c:pt>
                <c:pt idx="808">
                  <c:v>0</c:v>
                </c:pt>
                <c:pt idx="809">
                  <c:v>0</c:v>
                </c:pt>
                <c:pt idx="810">
                  <c:v>1.299778420271624E-2</c:v>
                </c:pt>
                <c:pt idx="811">
                  <c:v>0</c:v>
                </c:pt>
                <c:pt idx="812">
                  <c:v>0</c:v>
                </c:pt>
                <c:pt idx="813">
                  <c:v>5.8622170666831064E-3</c:v>
                </c:pt>
                <c:pt idx="814">
                  <c:v>0</c:v>
                </c:pt>
                <c:pt idx="815">
                  <c:v>0</c:v>
                </c:pt>
                <c:pt idx="816">
                  <c:v>2.377629379297197E-2</c:v>
                </c:pt>
                <c:pt idx="817">
                  <c:v>0</c:v>
                </c:pt>
                <c:pt idx="818">
                  <c:v>0</c:v>
                </c:pt>
                <c:pt idx="819">
                  <c:v>1.21505263452657E-2</c:v>
                </c:pt>
                <c:pt idx="820">
                  <c:v>0</c:v>
                </c:pt>
                <c:pt idx="821">
                  <c:v>0</c:v>
                </c:pt>
                <c:pt idx="822">
                  <c:v>2.426228912334993E-2</c:v>
                </c:pt>
                <c:pt idx="823">
                  <c:v>0</c:v>
                </c:pt>
                <c:pt idx="824">
                  <c:v>0</c:v>
                </c:pt>
                <c:pt idx="825">
                  <c:v>2.002418226174996E-2</c:v>
                </c:pt>
                <c:pt idx="826">
                  <c:v>0</c:v>
                </c:pt>
                <c:pt idx="827">
                  <c:v>0</c:v>
                </c:pt>
                <c:pt idx="828">
                  <c:v>1.72976084215819E-2</c:v>
                </c:pt>
                <c:pt idx="829">
                  <c:v>0</c:v>
                </c:pt>
                <c:pt idx="830">
                  <c:v>0</c:v>
                </c:pt>
                <c:pt idx="831">
                  <c:v>2.0304515784702382E-2</c:v>
                </c:pt>
                <c:pt idx="832">
                  <c:v>0</c:v>
                </c:pt>
                <c:pt idx="833">
                  <c:v>0</c:v>
                </c:pt>
                <c:pt idx="834">
                  <c:v>3.3512662284269412E-2</c:v>
                </c:pt>
                <c:pt idx="835">
                  <c:v>0</c:v>
                </c:pt>
                <c:pt idx="836">
                  <c:v>0</c:v>
                </c:pt>
                <c:pt idx="837">
                  <c:v>4.0837293288196193E-2</c:v>
                </c:pt>
                <c:pt idx="838">
                  <c:v>0</c:v>
                </c:pt>
                <c:pt idx="839">
                  <c:v>0</c:v>
                </c:pt>
                <c:pt idx="840">
                  <c:v>2.7995347640831E-2</c:v>
                </c:pt>
                <c:pt idx="841">
                  <c:v>0</c:v>
                </c:pt>
                <c:pt idx="842">
                  <c:v>0</c:v>
                </c:pt>
                <c:pt idx="843">
                  <c:v>2.8186847936621851E-2</c:v>
                </c:pt>
                <c:pt idx="844">
                  <c:v>0</c:v>
                </c:pt>
                <c:pt idx="845">
                  <c:v>0</c:v>
                </c:pt>
                <c:pt idx="846">
                  <c:v>2.9195746482057579E-2</c:v>
                </c:pt>
                <c:pt idx="847">
                  <c:v>0</c:v>
                </c:pt>
                <c:pt idx="848">
                  <c:v>0</c:v>
                </c:pt>
                <c:pt idx="849">
                  <c:v>7.2911790523160214E-3</c:v>
                </c:pt>
                <c:pt idx="850">
                  <c:v>0</c:v>
                </c:pt>
                <c:pt idx="851">
                  <c:v>0</c:v>
                </c:pt>
                <c:pt idx="852">
                  <c:v>2.1885785527535839E-2</c:v>
                </c:pt>
                <c:pt idx="853">
                  <c:v>0</c:v>
                </c:pt>
                <c:pt idx="854">
                  <c:v>0</c:v>
                </c:pt>
                <c:pt idx="855">
                  <c:v>2.7193343623263418E-2</c:v>
                </c:pt>
                <c:pt idx="856">
                  <c:v>0</c:v>
                </c:pt>
                <c:pt idx="857">
                  <c:v>0</c:v>
                </c:pt>
                <c:pt idx="858">
                  <c:v>3.6076708933272972E-2</c:v>
                </c:pt>
                <c:pt idx="859">
                  <c:v>0</c:v>
                </c:pt>
                <c:pt idx="860">
                  <c:v>0</c:v>
                </c:pt>
                <c:pt idx="861">
                  <c:v>1.7839998335064559E-2</c:v>
                </c:pt>
                <c:pt idx="862">
                  <c:v>0</c:v>
                </c:pt>
                <c:pt idx="863">
                  <c:v>0</c:v>
                </c:pt>
                <c:pt idx="864">
                  <c:v>-4.6184048016051249E-2</c:v>
                </c:pt>
                <c:pt idx="865">
                  <c:v>0</c:v>
                </c:pt>
                <c:pt idx="866">
                  <c:v>0</c:v>
                </c:pt>
                <c:pt idx="867">
                  <c:v>-0.29857419774143368</c:v>
                </c:pt>
                <c:pt idx="868">
                  <c:v>0</c:v>
                </c:pt>
                <c:pt idx="869">
                  <c:v>0</c:v>
                </c:pt>
                <c:pt idx="870">
                  <c:v>0.35317139137290637</c:v>
                </c:pt>
                <c:pt idx="871">
                  <c:v>0</c:v>
                </c:pt>
                <c:pt idx="872">
                  <c:v>0</c:v>
                </c:pt>
                <c:pt idx="873">
                  <c:v>3.9088782255552117E-2</c:v>
                </c:pt>
                <c:pt idx="874">
                  <c:v>0</c:v>
                </c:pt>
                <c:pt idx="875">
                  <c:v>0</c:v>
                </c:pt>
                <c:pt idx="876">
                  <c:v>6.3154549562086215E-2</c:v>
                </c:pt>
                <c:pt idx="877">
                  <c:v>0</c:v>
                </c:pt>
                <c:pt idx="878">
                  <c:v>0</c:v>
                </c:pt>
                <c:pt idx="879">
                  <c:v>7.0048959400919264E-2</c:v>
                </c:pt>
                <c:pt idx="880">
                  <c:v>0</c:v>
                </c:pt>
                <c:pt idx="881">
                  <c:v>0</c:v>
                </c:pt>
                <c:pt idx="882">
                  <c:v>2.6527662900280191E-2</c:v>
                </c:pt>
                <c:pt idx="883">
                  <c:v>0</c:v>
                </c:pt>
                <c:pt idx="884">
                  <c:v>0</c:v>
                </c:pt>
                <c:pt idx="885">
                  <c:v>6.9572573442330254E-2</c:v>
                </c:pt>
                <c:pt idx="886">
                  <c:v>0</c:v>
                </c:pt>
                <c:pt idx="887">
                  <c:v>0</c:v>
                </c:pt>
                <c:pt idx="888">
                  <c:v>-1.6312777026963991E-2</c:v>
                </c:pt>
                <c:pt idx="889">
                  <c:v>0</c:v>
                </c:pt>
                <c:pt idx="890">
                  <c:v>0</c:v>
                </c:pt>
                <c:pt idx="891">
                  <c:v>-5.7728196146435984E-3</c:v>
                </c:pt>
                <c:pt idx="892">
                  <c:v>0</c:v>
                </c:pt>
                <c:pt idx="893">
                  <c:v>0</c:v>
                </c:pt>
                <c:pt idx="894">
                  <c:v>3.2433379173874011E-2</c:v>
                </c:pt>
                <c:pt idx="895">
                  <c:v>0</c:v>
                </c:pt>
                <c:pt idx="896">
                  <c:v>0</c:v>
                </c:pt>
                <c:pt idx="897">
                  <c:v>2.891577151011537E-2</c:v>
                </c:pt>
                <c:pt idx="898">
                  <c:v>0</c:v>
                </c:pt>
                <c:pt idx="899">
                  <c:v>0</c:v>
                </c:pt>
                <c:pt idx="900">
                  <c:v>0</c:v>
                </c:pt>
              </c:numCache>
            </c:numRef>
          </c:val>
          <c:extLst>
            <c:ext xmlns:c16="http://schemas.microsoft.com/office/drawing/2014/chart" uri="{C3380CC4-5D6E-409C-BE32-E72D297353CC}">
              <c16:uniqueId val="{00000000-1C26-496D-B2CF-A350AC611850}"/>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GDP'!$A$6:$A$912</c:f>
              <c:numCache>
                <c:formatCode>m/d/yyyy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'ISM Manufacturing vs GDP'!$B$6:$B$912</c:f>
              <c:numCache>
                <c:formatCode>0.0</c:formatCode>
                <c:ptCount val="90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pt idx="894">
                  <c:v>52.8</c:v>
                </c:pt>
                <c:pt idx="895">
                  <c:v>52.8</c:v>
                </c:pt>
                <c:pt idx="896">
                  <c:v>50.9</c:v>
                </c:pt>
                <c:pt idx="897">
                  <c:v>50.2</c:v>
                </c:pt>
                <c:pt idx="898">
                  <c:v>49</c:v>
                </c:pt>
                <c:pt idx="899">
                  <c:v>48.4</c:v>
                </c:pt>
                <c:pt idx="900">
                  <c:v>47.4</c:v>
                </c:pt>
              </c:numCache>
            </c:numRef>
          </c:val>
          <c:smooth val="0"/>
          <c:extLst>
            <c:ext xmlns:c16="http://schemas.microsoft.com/office/drawing/2014/chart" uri="{C3380CC4-5D6E-409C-BE32-E72D297353CC}">
              <c16:uniqueId val="{00000001-1C26-496D-B2CF-A350AC611850}"/>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pt idx="270">
                  <c:v>-6.0285339363741031E-2</c:v>
                </c:pt>
                <c:pt idx="271">
                  <c:v>-0.12551853186991907</c:v>
                </c:pt>
                <c:pt idx="272">
                  <c:v>-0.16759447743453124</c:v>
                </c:pt>
                <c:pt idx="273">
                  <c:v>-0.15924851391322437</c:v>
                </c:pt>
                <c:pt idx="274">
                  <c:v>-0.10661044286799322</c:v>
                </c:pt>
                <c:pt idx="275">
                  <c:v>-0.19442827203429272</c:v>
                </c:pt>
                <c:pt idx="276">
                  <c:v>-9.7208474276063855E-2</c:v>
                </c:pt>
              </c:numCache>
            </c:numRef>
          </c:val>
          <c:smooth val="0"/>
          <c:extLst>
            <c:ext xmlns:c16="http://schemas.microsoft.com/office/drawing/2014/chart" uri="{C3380CC4-5D6E-409C-BE32-E72D297353CC}">
              <c16:uniqueId val="{00000000-7016-4DB3-B2DB-31761E8C13D7}"/>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pt idx="270">
                  <c:v>52.8</c:v>
                </c:pt>
                <c:pt idx="271">
                  <c:v>52.8</c:v>
                </c:pt>
                <c:pt idx="272">
                  <c:v>50.9</c:v>
                </c:pt>
                <c:pt idx="273">
                  <c:v>50.2</c:v>
                </c:pt>
                <c:pt idx="274">
                  <c:v>49</c:v>
                </c:pt>
                <c:pt idx="275">
                  <c:v>48.4</c:v>
                </c:pt>
              </c:numCache>
            </c:numRef>
          </c:val>
          <c:smooth val="0"/>
          <c:extLst>
            <c:ext xmlns:c16="http://schemas.microsoft.com/office/drawing/2014/chart" uri="{C3380CC4-5D6E-409C-BE32-E72D297353CC}">
              <c16:uniqueId val="{00000001-7016-4DB3-B2DB-31761E8C13D7}"/>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Manufacturing'!$A$510:$A$912</c:f>
              <c:numCache>
                <c:formatCode>m/d/yyyy</c:formatCode>
                <c:ptCount val="403"/>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pt idx="390">
                  <c:v>44743</c:v>
                </c:pt>
                <c:pt idx="391">
                  <c:v>44774</c:v>
                </c:pt>
                <c:pt idx="392">
                  <c:v>44805</c:v>
                </c:pt>
                <c:pt idx="393">
                  <c:v>44835</c:v>
                </c:pt>
                <c:pt idx="394">
                  <c:v>44866</c:v>
                </c:pt>
                <c:pt idx="395">
                  <c:v>44896</c:v>
                </c:pt>
                <c:pt idx="396">
                  <c:v>44927</c:v>
                </c:pt>
              </c:numCache>
            </c:numRef>
          </c:cat>
          <c:val>
            <c:numRef>
              <c:f>'ISM Manufacturing'!$B$510:$B$912</c:f>
              <c:numCache>
                <c:formatCode>General</c:formatCode>
                <c:ptCount val="403"/>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pt idx="390">
                  <c:v>52.8</c:v>
                </c:pt>
                <c:pt idx="391">
                  <c:v>52.8</c:v>
                </c:pt>
                <c:pt idx="392">
                  <c:v>50.9</c:v>
                </c:pt>
                <c:pt idx="393">
                  <c:v>50.2</c:v>
                </c:pt>
                <c:pt idx="394">
                  <c:v>49</c:v>
                </c:pt>
                <c:pt idx="395">
                  <c:v>48.4</c:v>
                </c:pt>
                <c:pt idx="396">
                  <c:v>47.4</c:v>
                </c:pt>
              </c:numCache>
            </c:numRef>
          </c:val>
          <c:smooth val="0"/>
          <c:extLst>
            <c:ext xmlns:c16="http://schemas.microsoft.com/office/drawing/2014/chart" uri="{C3380CC4-5D6E-409C-BE32-E72D297353CC}">
              <c16:uniqueId val="{00000000-B663-4692-BBB7-D06B9371AA81}"/>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Manufacturing'!$A$822:$A$910</c:f>
              <c:numCache>
                <c:formatCode>m/d/yyyy</c:formatCode>
                <c:ptCount val="89"/>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pt idx="78">
                  <c:v>44743</c:v>
                </c:pt>
                <c:pt idx="79">
                  <c:v>44774</c:v>
                </c:pt>
                <c:pt idx="80">
                  <c:v>44805</c:v>
                </c:pt>
                <c:pt idx="81">
                  <c:v>44835</c:v>
                </c:pt>
                <c:pt idx="82">
                  <c:v>44866</c:v>
                </c:pt>
                <c:pt idx="83">
                  <c:v>44896</c:v>
                </c:pt>
                <c:pt idx="84">
                  <c:v>44927</c:v>
                </c:pt>
              </c:numCache>
            </c:numRef>
          </c:cat>
          <c:val>
            <c:numRef>
              <c:f>'ISM Manufacturing'!$B$822:$B$910</c:f>
              <c:numCache>
                <c:formatCode>General</c:formatCode>
                <c:ptCount val="89"/>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pt idx="78">
                  <c:v>52.8</c:v>
                </c:pt>
                <c:pt idx="79">
                  <c:v>52.8</c:v>
                </c:pt>
                <c:pt idx="80">
                  <c:v>50.9</c:v>
                </c:pt>
                <c:pt idx="81">
                  <c:v>50.2</c:v>
                </c:pt>
                <c:pt idx="82">
                  <c:v>49</c:v>
                </c:pt>
                <c:pt idx="83">
                  <c:v>48.4</c:v>
                </c:pt>
                <c:pt idx="84">
                  <c:v>47.4</c:v>
                </c:pt>
              </c:numCache>
            </c:numRef>
          </c:val>
          <c:smooth val="0"/>
          <c:extLst>
            <c:ext xmlns:c16="http://schemas.microsoft.com/office/drawing/2014/chart" uri="{C3380CC4-5D6E-409C-BE32-E72D297353CC}">
              <c16:uniqueId val="{00000000-B3BE-4626-B619-E366D81DA69C}"/>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8.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172399</xdr:colOff>
      <xdr:row>872</xdr:row>
      <xdr:rowOff>58616</xdr:rowOff>
    </xdr:from>
    <xdr:to>
      <xdr:col>13</xdr:col>
      <xdr:colOff>496250</xdr:colOff>
      <xdr:row>889</xdr:row>
      <xdr:rowOff>174065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181926</xdr:colOff>
      <xdr:row>889</xdr:row>
      <xdr:rowOff>164540</xdr:rowOff>
    </xdr:from>
    <xdr:to>
      <xdr:col>13</xdr:col>
      <xdr:colOff>505776</xdr:colOff>
      <xdr:row>907</xdr:row>
      <xdr:rowOff>164539</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148479</xdr:colOff>
      <xdr:row>885</xdr:row>
      <xdr:rowOff>7471</xdr:rowOff>
    </xdr:from>
    <xdr:to>
      <xdr:col>20</xdr:col>
      <xdr:colOff>138766</xdr:colOff>
      <xdr:row>904</xdr:row>
      <xdr:rowOff>100571</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6350</xdr:colOff>
      <xdr:row>873</xdr:row>
      <xdr:rowOff>92075</xdr:rowOff>
    </xdr:from>
    <xdr:to>
      <xdr:col>13</xdr:col>
      <xdr:colOff>38100</xdr:colOff>
      <xdr:row>873</xdr:row>
      <xdr:rowOff>95250</xdr:rowOff>
    </xdr:to>
    <xdr:cxnSp macro="">
      <xdr:nvCxnSpPr>
        <xdr:cNvPr id="5" name="Straight Connector 4">
          <a:extLst>
            <a:ext uri="{FF2B5EF4-FFF2-40B4-BE49-F238E27FC236}">
              <a16:creationId xmlns:a16="http://schemas.microsoft.com/office/drawing/2014/main" id="{D0D61A79-2B1B-F699-9C8A-6BD39A440513}"/>
            </a:ext>
          </a:extLst>
        </xdr:cNvPr>
        <xdr:cNvCxnSpPr/>
      </xdr:nvCxnSpPr>
      <xdr:spPr>
        <a:xfrm>
          <a:off x="3473450" y="158102300"/>
          <a:ext cx="6794500" cy="317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900</xdr:row>
      <xdr:rowOff>53975</xdr:rowOff>
    </xdr:from>
    <xdr:to>
      <xdr:col>13</xdr:col>
      <xdr:colOff>63500</xdr:colOff>
      <xdr:row>900</xdr:row>
      <xdr:rowOff>57150</xdr:rowOff>
    </xdr:to>
    <xdr:cxnSp macro="">
      <xdr:nvCxnSpPr>
        <xdr:cNvPr id="7" name="Straight Connector 6">
          <a:extLst>
            <a:ext uri="{FF2B5EF4-FFF2-40B4-BE49-F238E27FC236}">
              <a16:creationId xmlns:a16="http://schemas.microsoft.com/office/drawing/2014/main" id="{AE1EA002-6EC2-4537-8610-AC06012A42D4}"/>
            </a:ext>
          </a:extLst>
        </xdr:cNvPr>
        <xdr:cNvCxnSpPr/>
      </xdr:nvCxnSpPr>
      <xdr:spPr>
        <a:xfrm>
          <a:off x="3505200" y="162950525"/>
          <a:ext cx="6788150" cy="3175"/>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80" headerRowCellStyle="Normal 3">
  <tableColumns count="12">
    <tableColumn id="1" xr3:uid="{00000000-0010-0000-0000-000001000000}" name="DATE" dataDxfId="79"/>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906" totalsRowShown="0" headerRowDxfId="78" dataDxfId="76" headerRowBorderDxfId="77">
  <autoFilter ref="A5:L906" xr:uid="{00000000-0009-0000-0100-000002000000}"/>
  <tableColumns count="12">
    <tableColumn id="1" xr3:uid="{00000000-0010-0000-0100-000001000000}" name="Date" dataDxfId="75"/>
    <tableColumn id="5" xr3:uid="{00000000-0010-0000-0100-000005000000}" name="New Orders" dataDxfId="74">
      <calculatedColumnFormula>VLOOKUP(Table91213[[#This Row],[Date]],'DB Details'!$A:$L,2)</calculatedColumnFormula>
    </tableColumn>
    <tableColumn id="3" xr3:uid="{00000000-0010-0000-0100-000003000000}" name="Imports" dataDxfId="73"/>
    <tableColumn id="2" xr3:uid="{00000000-0010-0000-0100-000002000000}" name="Backlog Of Orders" dataDxfId="72"/>
    <tableColumn id="4" xr3:uid="{00000000-0010-0000-0100-000004000000}" name="Prices" dataDxfId="71">
      <calculatedColumnFormula>VLOOKUP(Table91213[[#This Row],[Date]],'DB Details'!$A:$L,5)</calculatedColumnFormula>
    </tableColumn>
    <tableColumn id="6" xr3:uid="{00000000-0010-0000-0100-000006000000}" name="Production" dataDxfId="70">
      <calculatedColumnFormula>VLOOKUP(Table91213[[#This Row],[Date]],'DB Details'!$A:$L,6)</calculatedColumnFormula>
    </tableColumn>
    <tableColumn id="7" xr3:uid="{00000000-0010-0000-0100-000007000000}" name="Customers Inventories" dataDxfId="69"/>
    <tableColumn id="8" xr3:uid="{00000000-0010-0000-0100-000008000000}" name="Inventories" dataDxfId="68">
      <calculatedColumnFormula>VLOOKUP(Table91213[[#This Row],[Date]],'DB Details'!$A:$L,8)</calculatedColumnFormula>
    </tableColumn>
    <tableColumn id="9" xr3:uid="{00000000-0010-0000-0100-000009000000}" name="Deliveries" dataDxfId="67">
      <calculatedColumnFormula>VLOOKUP(Table91213[[#This Row],[Date]],'DB Details'!$A:$L,9)</calculatedColumnFormula>
    </tableColumn>
    <tableColumn id="10" xr3:uid="{00000000-0010-0000-0100-00000A000000}" name="Employment" dataDxfId="66">
      <calculatedColumnFormula>VLOOKUP(Table91213[[#This Row],[Date]],'DB Details'!$A:$L,10)</calculatedColumnFormula>
    </tableColumn>
    <tableColumn id="11" xr3:uid="{00000000-0010-0000-0100-00000B000000}" name="Exports" dataDxfId="65"/>
    <tableColumn id="13" xr3:uid="{00000000-0010-0000-0100-00000D000000}"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906" totalsRowShown="0" headerRowDxfId="63" dataDxfId="61" headerRowBorderDxfId="62" tableBorderDxfId="60" totalsRowBorderDxfId="59">
  <autoFilter ref="A5:E906" xr:uid="{00000000-0009-0000-0100-000003000000}"/>
  <tableColumns count="5">
    <tableColumn id="1" xr3:uid="{00000000-0010-0000-0200-000001000000}" name="Date" dataDxfId="58"/>
    <tableColumn id="2" xr3:uid="{00000000-0010-0000-0200-000002000000}" name="PMI" dataDxfId="57">
      <calculatedColumnFormula>VLOOKUP(Table311[[#This Row],[Date]],'DB Details'!$A:$L,12)</calculatedColumnFormula>
    </tableColumn>
    <tableColumn id="6" xr3:uid="{00000000-0010-0000-0200-000006000000}" name="GDP growth yoy %" dataDxfId="56">
      <calculatedColumnFormula>VLOOKUP(Table311[[#This Row],[Date]],'DB Details'!$A:$T,20)</calculatedColumnFormula>
    </tableColumn>
    <tableColumn id="5" xr3:uid="{00000000-0010-0000-0200-000005000000}" name="GDP growth qoq %" dataDxfId="55">
      <calculatedColumnFormula>VLOOKUP(Table311[[#This Row],[Date]],'DB Details'!$A:$T,18)</calculatedColumnFormula>
    </tableColumn>
    <tableColumn id="4" xr3:uid="{00000000-0010-0000-0200-000004000000}" name="GDP growth q/q % (annualised)" dataDxfId="54">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906" totalsRowShown="0" headerRowDxfId="53" dataDxfId="51" headerRowBorderDxfId="52">
  <autoFilter ref="A5:D906" xr:uid="{00000000-0009-0000-0100-000004000000}"/>
  <tableColumns count="4">
    <tableColumn id="1" xr3:uid="{00000000-0010-0000-0300-000001000000}" name="Date" dataDxfId="50"/>
    <tableColumn id="2" xr3:uid="{00000000-0010-0000-0300-000002000000}" name="PMI" dataDxfId="49">
      <calculatedColumnFormula>VLOOKUP(Table7[[#This Row],[Date]],'DB Details'!$A:$L,12)</calculatedColumnFormula>
    </tableColumn>
    <tableColumn id="4" xr3:uid="{00000000-0010-0000-0300-000004000000}" name="S&amp;P" dataDxfId="48">
      <calculatedColumnFormula>_xll.BDH(#REF!,#REF!,#REF!)</calculatedColumnFormula>
    </tableColumn>
    <tableColumn id="5" xr3:uid="{00000000-0010-0000-0300-000005000000}" name="S&amp;P yoy %"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906" totalsRowShown="0" headerRowDxfId="46" dataDxfId="44" headerRowBorderDxfId="45">
  <autoFilter ref="A5:C906" xr:uid="{00000000-0009-0000-0100-000005000000}"/>
  <tableColumns count="3">
    <tableColumn id="1" xr3:uid="{00000000-0010-0000-0400-000001000000}" name="Date" dataDxfId="43"/>
    <tableColumn id="3" xr3:uid="{00000000-0010-0000-0400-000003000000}" name="PMI" dataDxfId="42">
      <calculatedColumnFormula>VLOOKUP(Table9[[#This Row],[Date]],'DB Details'!$A:$L,12)</calculatedColumnFormula>
    </tableColumn>
    <tableColumn id="2" xr3:uid="{00000000-0010-0000-0400-000002000000}"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7" zoomScale="160" zoomScaleNormal="160" workbookViewId="0">
      <selection activeCell="C68" sqref="C68"/>
    </sheetView>
  </sheetViews>
  <sheetFormatPr defaultColWidth="9.1796875" defaultRowHeight="14.5" x14ac:dyDescent="0.35"/>
  <cols>
    <col min="1" max="1" width="2" style="90" customWidth="1"/>
    <col min="2" max="2" width="16.1796875" style="90" customWidth="1"/>
    <col min="3" max="3" width="14" style="90" customWidth="1"/>
    <col min="4" max="18" width="9.1796875" style="90" customWidth="1"/>
    <col min="19" max="19" width="39.36328125" style="90" customWidth="1"/>
    <col min="20" max="60" width="9.1796875" style="90" customWidth="1"/>
    <col min="61" max="16384" width="9.1796875" style="90"/>
  </cols>
  <sheetData>
    <row r="3" spans="2:20" x14ac:dyDescent="0.35">
      <c r="B3" s="87" t="s">
        <v>0</v>
      </c>
    </row>
    <row r="5" spans="2:20" x14ac:dyDescent="0.35">
      <c r="C5" s="84" t="s">
        <v>1</v>
      </c>
    </row>
    <row r="7" spans="2:20" x14ac:dyDescent="0.35">
      <c r="C7" s="92" t="s">
        <v>2</v>
      </c>
    </row>
    <row r="9" spans="2:20" x14ac:dyDescent="0.35">
      <c r="C9" s="90" t="s">
        <v>3</v>
      </c>
    </row>
    <row r="11" spans="2:20" ht="16" customHeight="1" x14ac:dyDescent="0.35">
      <c r="C11" s="85"/>
      <c r="S11" s="86" t="s">
        <v>4</v>
      </c>
    </row>
    <row r="12" spans="2:20" x14ac:dyDescent="0.35">
      <c r="S12" s="90" t="s">
        <v>5</v>
      </c>
    </row>
    <row r="15" spans="2:20" x14ac:dyDescent="0.35">
      <c r="S15" s="93" t="s">
        <v>6</v>
      </c>
      <c r="T15" s="90">
        <v>15</v>
      </c>
    </row>
    <row r="16" spans="2:20" x14ac:dyDescent="0.35">
      <c r="S16" s="93" t="s">
        <v>7</v>
      </c>
      <c r="T16" s="90">
        <v>14</v>
      </c>
    </row>
    <row r="17" spans="19:20" x14ac:dyDescent="0.35">
      <c r="S17" s="93" t="s">
        <v>8</v>
      </c>
      <c r="T17" s="90">
        <v>13</v>
      </c>
    </row>
    <row r="18" spans="19:20" x14ac:dyDescent="0.35">
      <c r="S18" s="93" t="s">
        <v>9</v>
      </c>
      <c r="T18" s="90">
        <v>12</v>
      </c>
    </row>
    <row r="19" spans="19:20" x14ac:dyDescent="0.35">
      <c r="S19" s="93" t="s">
        <v>10</v>
      </c>
      <c r="T19" s="90">
        <v>11</v>
      </c>
    </row>
    <row r="20" spans="19:20" x14ac:dyDescent="0.35">
      <c r="S20" s="93" t="s">
        <v>11</v>
      </c>
      <c r="T20" s="90">
        <v>10</v>
      </c>
    </row>
    <row r="21" spans="19:20" x14ac:dyDescent="0.35">
      <c r="S21" s="93" t="s">
        <v>12</v>
      </c>
      <c r="T21" s="90">
        <v>9</v>
      </c>
    </row>
    <row r="22" spans="19:20" x14ac:dyDescent="0.35">
      <c r="S22" s="93" t="s">
        <v>13</v>
      </c>
      <c r="T22" s="90">
        <v>8</v>
      </c>
    </row>
    <row r="23" spans="19:20" x14ac:dyDescent="0.35">
      <c r="S23" s="93" t="s">
        <v>14</v>
      </c>
      <c r="T23" s="90">
        <v>7</v>
      </c>
    </row>
    <row r="24" spans="19:20" x14ac:dyDescent="0.35">
      <c r="S24" s="93" t="s">
        <v>15</v>
      </c>
      <c r="T24" s="90">
        <v>6</v>
      </c>
    </row>
    <row r="25" spans="19:20" x14ac:dyDescent="0.35">
      <c r="S25" s="93" t="s">
        <v>16</v>
      </c>
      <c r="T25" s="90">
        <v>5</v>
      </c>
    </row>
    <row r="26" spans="19:20" x14ac:dyDescent="0.35">
      <c r="S26" s="93" t="s">
        <v>17</v>
      </c>
      <c r="T26" s="90">
        <v>4</v>
      </c>
    </row>
    <row r="27" spans="19:20" x14ac:dyDescent="0.35">
      <c r="S27" s="93" t="s">
        <v>18</v>
      </c>
      <c r="T27" s="90">
        <v>3</v>
      </c>
    </row>
    <row r="28" spans="19:20" x14ac:dyDescent="0.35">
      <c r="S28" s="93" t="s">
        <v>19</v>
      </c>
      <c r="T28" s="90">
        <v>2</v>
      </c>
    </row>
    <row r="29" spans="19:20" x14ac:dyDescent="0.35">
      <c r="S29" s="93" t="s">
        <v>20</v>
      </c>
      <c r="T29" s="90">
        <v>1</v>
      </c>
    </row>
    <row r="30" spans="19:20" x14ac:dyDescent="0.35">
      <c r="S30" s="93" t="s">
        <v>21</v>
      </c>
      <c r="T30" s="90">
        <v>0</v>
      </c>
    </row>
    <row r="31" spans="19:20" x14ac:dyDescent="0.35">
      <c r="S31" s="93" t="s">
        <v>22</v>
      </c>
      <c r="T31" s="90">
        <v>0</v>
      </c>
    </row>
    <row r="32" spans="19:20" x14ac:dyDescent="0.35">
      <c r="S32" s="93" t="s">
        <v>23</v>
      </c>
      <c r="T32" s="90">
        <v>-1</v>
      </c>
    </row>
    <row r="34" spans="19:19" x14ac:dyDescent="0.35">
      <c r="S34" s="90" t="s">
        <v>24</v>
      </c>
    </row>
    <row r="36" spans="19:19" x14ac:dyDescent="0.35">
      <c r="S36" s="90" t="s">
        <v>25</v>
      </c>
    </row>
    <row r="38" spans="19:19" x14ac:dyDescent="0.35">
      <c r="S38" s="90" t="s">
        <v>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abSelected="1" zoomScale="120" zoomScaleNormal="120" workbookViewId="0">
      <selection activeCell="E26" sqref="E26"/>
    </sheetView>
  </sheetViews>
  <sheetFormatPr defaultColWidth="9.1796875" defaultRowHeight="14.5" x14ac:dyDescent="0.35"/>
  <cols>
    <col min="1" max="1" width="4" style="90" customWidth="1"/>
    <col min="2" max="5" width="12.81640625" style="90" customWidth="1"/>
    <col min="6" max="6" width="13.6328125" style="90" customWidth="1"/>
    <col min="7" max="10" width="12.81640625" style="90" customWidth="1"/>
    <col min="11" max="13" width="2" style="90" customWidth="1"/>
    <col min="14" max="14" width="9.1796875" style="90" customWidth="1"/>
    <col min="15" max="15" width="15.6328125" style="90" customWidth="1"/>
    <col min="16" max="18" width="12.6328125" style="90" customWidth="1"/>
    <col min="19" max="19" width="5.36328125" style="90" customWidth="1"/>
    <col min="20" max="20" width="32.6328125" style="90" customWidth="1"/>
    <col min="21" max="61" width="9.1796875" style="90" customWidth="1"/>
    <col min="62" max="16384" width="9.1796875" style="90"/>
  </cols>
  <sheetData>
    <row r="1" spans="2:21" x14ac:dyDescent="0.35">
      <c r="B1" s="96"/>
      <c r="C1" s="97"/>
      <c r="D1" s="97"/>
      <c r="E1" s="97"/>
      <c r="F1" s="97"/>
      <c r="G1" s="97"/>
      <c r="H1" s="97"/>
      <c r="I1" s="97"/>
      <c r="J1" s="97"/>
    </row>
    <row r="2" spans="2:21" ht="16" customHeight="1" thickBot="1" x14ac:dyDescent="0.4">
      <c r="B2" s="98"/>
      <c r="C2" s="98"/>
      <c r="D2" s="98"/>
      <c r="E2" s="98"/>
      <c r="F2" s="98"/>
      <c r="G2" s="98"/>
      <c r="H2" s="98"/>
      <c r="I2" s="98"/>
      <c r="J2" s="98"/>
    </row>
    <row r="3" spans="2:21" ht="16" customHeight="1" thickBot="1" x14ac:dyDescent="0.4">
      <c r="B3" s="99" t="s">
        <v>27</v>
      </c>
      <c r="C3" s="100"/>
      <c r="D3" s="100"/>
      <c r="E3" s="100"/>
      <c r="F3" s="100"/>
      <c r="G3" s="100"/>
      <c r="H3" s="100"/>
      <c r="I3" s="100"/>
      <c r="J3" s="101"/>
    </row>
    <row r="5" spans="2:21" x14ac:dyDescent="0.35">
      <c r="B5" s="102" t="s">
        <v>28</v>
      </c>
      <c r="C5" s="103"/>
      <c r="D5" s="103"/>
      <c r="E5" s="103"/>
      <c r="F5" s="103"/>
      <c r="G5" s="103"/>
      <c r="H5" s="103"/>
      <c r="I5" s="103"/>
      <c r="J5" s="104"/>
    </row>
    <row r="7" spans="2:21" ht="172.5" customHeight="1" x14ac:dyDescent="0.35">
      <c r="B7" s="105" t="s">
        <v>29</v>
      </c>
      <c r="C7" s="97"/>
      <c r="D7" s="97"/>
      <c r="E7" s="97"/>
      <c r="F7" s="97"/>
      <c r="G7" s="97"/>
      <c r="H7" s="97"/>
      <c r="I7" s="97"/>
      <c r="J7" s="97"/>
    </row>
    <row r="8" spans="2:21" ht="24" customHeight="1" x14ac:dyDescent="0.35">
      <c r="B8" s="7"/>
      <c r="C8" s="91"/>
      <c r="D8" s="91"/>
      <c r="E8" s="91"/>
      <c r="F8" s="91"/>
      <c r="G8" s="91"/>
      <c r="H8" s="91"/>
      <c r="I8" s="91"/>
      <c r="J8" s="91"/>
    </row>
    <row r="9" spans="2:21" ht="16" customHeight="1" thickBot="1" x14ac:dyDescent="0.4">
      <c r="B9" s="30"/>
      <c r="C9" s="31"/>
      <c r="D9" s="31"/>
      <c r="E9" s="31"/>
    </row>
    <row r="10" spans="2:21" ht="16" customHeight="1" thickBot="1" x14ac:dyDescent="0.4">
      <c r="B10" s="102" t="s">
        <v>30</v>
      </c>
      <c r="C10" s="103"/>
      <c r="D10" s="103"/>
      <c r="E10" s="103"/>
      <c r="F10" s="103"/>
      <c r="G10" s="103"/>
      <c r="H10" s="103"/>
      <c r="I10" s="103"/>
      <c r="J10" s="104"/>
      <c r="N10" s="111" t="s">
        <v>31</v>
      </c>
      <c r="O10" s="100"/>
      <c r="P10" s="100"/>
      <c r="Q10" s="100"/>
      <c r="R10" s="100"/>
      <c r="S10" s="100"/>
      <c r="T10" s="100"/>
      <c r="U10" s="101"/>
    </row>
    <row r="11" spans="2:21" x14ac:dyDescent="0.35">
      <c r="N11" s="33" t="s">
        <v>32</v>
      </c>
      <c r="T11" s="33" t="s">
        <v>33</v>
      </c>
    </row>
    <row r="12" spans="2:21" ht="16" customHeight="1" thickBot="1" x14ac:dyDescent="0.4">
      <c r="B12" s="102" t="s">
        <v>34</v>
      </c>
      <c r="C12" s="103"/>
      <c r="D12" s="103"/>
      <c r="E12" s="103"/>
      <c r="F12" s="104"/>
      <c r="G12" s="102" t="s">
        <v>35</v>
      </c>
      <c r="H12" s="103"/>
      <c r="I12" s="103"/>
      <c r="J12" s="104"/>
    </row>
    <row r="13" spans="2:21" x14ac:dyDescent="0.35">
      <c r="P13" s="72">
        <v>44927</v>
      </c>
      <c r="Q13" s="73">
        <f>DATE(YEAR(P13),MONTH(P13)-1,DAY(P13))</f>
        <v>44896</v>
      </c>
      <c r="R13" s="74"/>
    </row>
    <row r="14" spans="2:21" ht="16" customHeight="1" thickBot="1" x14ac:dyDescent="0.4">
      <c r="B14" s="97" t="s">
        <v>36</v>
      </c>
      <c r="C14" s="97"/>
      <c r="D14" s="97"/>
      <c r="E14" s="97"/>
      <c r="F14" s="97"/>
      <c r="G14" s="97" t="s">
        <v>37</v>
      </c>
      <c r="H14" s="97"/>
      <c r="I14" s="97"/>
      <c r="J14" s="97"/>
      <c r="P14" s="75" t="s">
        <v>38</v>
      </c>
      <c r="Q14" s="75" t="s">
        <v>38</v>
      </c>
      <c r="R14" s="76" t="s">
        <v>39</v>
      </c>
    </row>
    <row r="15" spans="2:21" ht="30.75" customHeight="1" x14ac:dyDescent="0.35">
      <c r="G15" s="109" t="s">
        <v>40</v>
      </c>
      <c r="H15" s="97"/>
      <c r="I15" s="97"/>
      <c r="J15" s="97"/>
      <c r="N15" s="107" t="s">
        <v>38</v>
      </c>
      <c r="O15" s="108"/>
      <c r="P15" s="77">
        <f>VLOOKUP($P$13,Details!$A:$L,MATCH(Note!N15,Table91213[#Headers],),)</f>
        <v>47.4</v>
      </c>
      <c r="Q15" s="77">
        <f>VLOOKUP($Q$13,Details!$A:$L,MATCH(Note!N15,Table91213[#Headers],),)</f>
        <v>48.4</v>
      </c>
      <c r="R15" s="78">
        <f t="shared" ref="R15:R25" si="0">P15-Q15</f>
        <v>-1</v>
      </c>
    </row>
    <row r="16" spans="2:21" x14ac:dyDescent="0.35">
      <c r="B16" s="109" t="s">
        <v>41</v>
      </c>
      <c r="C16" s="97"/>
      <c r="D16" s="97"/>
      <c r="E16" s="97"/>
      <c r="F16" s="97"/>
      <c r="G16" s="97"/>
      <c r="H16" s="97"/>
      <c r="I16" s="97"/>
      <c r="J16" s="97"/>
      <c r="N16" s="106" t="s">
        <v>42</v>
      </c>
      <c r="O16" s="104"/>
      <c r="P16" s="94">
        <f>VLOOKUP($P$13,Details!$A:$L,MATCH(Note!N16,Table91213[#Headers],),)</f>
        <v>42.5</v>
      </c>
      <c r="Q16" s="94">
        <f>VLOOKUP($Q$13,Details!$A:$L,MATCH(Note!N16,Table91213[#Headers],),)</f>
        <v>45.2</v>
      </c>
      <c r="R16" s="79">
        <f t="shared" si="0"/>
        <v>-2.7000000000000028</v>
      </c>
    </row>
    <row r="17" spans="2:18" x14ac:dyDescent="0.35">
      <c r="B17" s="97" t="s">
        <v>43</v>
      </c>
      <c r="C17" s="97"/>
      <c r="D17" s="97"/>
      <c r="E17" s="97"/>
      <c r="F17" s="97"/>
      <c r="N17" s="106" t="s">
        <v>44</v>
      </c>
      <c r="O17" s="104"/>
      <c r="P17" s="94">
        <f>VLOOKUP($P$13,Details!$A:$L,MATCH(Note!N17,Table91213[#Headers],),)</f>
        <v>47.8</v>
      </c>
      <c r="Q17" s="94">
        <f>VLOOKUP($Q$13,Details!$A:$L,MATCH(Note!N17,Table91213[#Headers],),)</f>
        <v>45.1</v>
      </c>
      <c r="R17" s="79">
        <f t="shared" si="0"/>
        <v>2.6999999999999957</v>
      </c>
    </row>
    <row r="18" spans="2:18" x14ac:dyDescent="0.35">
      <c r="B18" s="97" t="s">
        <v>45</v>
      </c>
      <c r="C18" s="97"/>
      <c r="D18" s="97"/>
      <c r="E18" s="97"/>
      <c r="F18" s="97"/>
      <c r="N18" s="106" t="s">
        <v>46</v>
      </c>
      <c r="O18" s="104"/>
      <c r="P18" s="94">
        <f>VLOOKUP($P$13,Details!$A:$L,MATCH(Note!N18,Table91213[#Headers],),)</f>
        <v>43.4</v>
      </c>
      <c r="Q18" s="94">
        <f>VLOOKUP($Q$13,Details!$A:$L,MATCH(Note!N18,Table91213[#Headers],),)</f>
        <v>41.4</v>
      </c>
      <c r="R18" s="79">
        <f t="shared" si="0"/>
        <v>2</v>
      </c>
    </row>
    <row r="19" spans="2:18" x14ac:dyDescent="0.35">
      <c r="N19" s="106" t="s">
        <v>47</v>
      </c>
      <c r="O19" s="104"/>
      <c r="P19" s="94">
        <f>VLOOKUP($P$13,Details!$A:$L,MATCH(Note!N19,Table91213[#Headers],),)</f>
        <v>44.5</v>
      </c>
      <c r="Q19" s="94">
        <f>VLOOKUP($Q$13,Details!$A:$L,MATCH(Note!N19,Table91213[#Headers],),)</f>
        <v>39.4</v>
      </c>
      <c r="R19" s="79">
        <f t="shared" si="0"/>
        <v>5.1000000000000014</v>
      </c>
    </row>
    <row r="20" spans="2:18" x14ac:dyDescent="0.35">
      <c r="B20" s="110" t="s">
        <v>2</v>
      </c>
      <c r="C20" s="97"/>
      <c r="D20" s="97"/>
      <c r="E20" s="97"/>
      <c r="F20" s="97"/>
      <c r="G20" s="97"/>
      <c r="H20" s="97"/>
      <c r="I20" s="97"/>
      <c r="J20" s="97"/>
      <c r="N20" s="106" t="s">
        <v>48</v>
      </c>
      <c r="O20" s="104"/>
      <c r="P20" s="94">
        <f>VLOOKUP($P$13,Details!$A:$L,MATCH(Note!N20,Table91213[#Headers],),)</f>
        <v>48</v>
      </c>
      <c r="Q20" s="94">
        <f>VLOOKUP($Q$13,Details!$A:$L,MATCH(Note!N20,Table91213[#Headers],),)</f>
        <v>48.5</v>
      </c>
      <c r="R20" s="79">
        <f t="shared" si="0"/>
        <v>-0.5</v>
      </c>
    </row>
    <row r="21" spans="2:18" x14ac:dyDescent="0.35">
      <c r="B21" s="110" t="s">
        <v>49</v>
      </c>
      <c r="C21" s="97"/>
      <c r="D21" s="97"/>
      <c r="E21" s="97"/>
      <c r="F21" s="97"/>
      <c r="G21" s="97"/>
      <c r="H21" s="97"/>
      <c r="I21" s="97"/>
      <c r="J21" s="97"/>
      <c r="N21" s="106" t="s">
        <v>50</v>
      </c>
      <c r="O21" s="104"/>
      <c r="P21" s="94">
        <f>VLOOKUP($P$13,Details!$A:$L,MATCH(Note!N21,Table91213[#Headers],),)</f>
        <v>47.4</v>
      </c>
      <c r="Q21" s="94">
        <f>VLOOKUP($Q$13,Details!$A:$L,MATCH(Note!N21,Table91213[#Headers],),)</f>
        <v>48.2</v>
      </c>
      <c r="R21" s="79">
        <f t="shared" si="0"/>
        <v>-0.80000000000000426</v>
      </c>
    </row>
    <row r="22" spans="2:18" x14ac:dyDescent="0.35">
      <c r="B22" s="97"/>
      <c r="C22" s="97"/>
      <c r="D22" s="97"/>
      <c r="E22" s="97"/>
      <c r="F22" s="97"/>
      <c r="G22" s="97"/>
      <c r="H22" s="97"/>
      <c r="I22" s="97"/>
      <c r="J22" s="97"/>
      <c r="N22" s="106" t="s">
        <v>51</v>
      </c>
      <c r="O22" s="104"/>
      <c r="P22" s="94">
        <f>VLOOKUP($P$13,Details!$A:$L,MATCH(Note!N22,Table91213[#Headers],),)</f>
        <v>50.2</v>
      </c>
      <c r="Q22" s="94">
        <f>VLOOKUP($Q$13,Details!$A:$L,MATCH(Note!N22,Table91213[#Headers],),)</f>
        <v>51.8</v>
      </c>
      <c r="R22" s="79">
        <f t="shared" si="0"/>
        <v>-1.5999999999999943</v>
      </c>
    </row>
    <row r="23" spans="2:18" x14ac:dyDescent="0.35">
      <c r="B23" s="97"/>
      <c r="C23" s="97"/>
      <c r="D23" s="97"/>
      <c r="E23" s="97"/>
      <c r="F23" s="97"/>
      <c r="N23" s="106" t="s">
        <v>52</v>
      </c>
      <c r="O23" s="104"/>
      <c r="P23" s="94">
        <f>VLOOKUP($P$13,Details!$A:$L,MATCH(Note!N23,Table91213[#Headers],),)</f>
        <v>45.6</v>
      </c>
      <c r="Q23" s="94">
        <f>VLOOKUP($Q$13,Details!$A:$L,MATCH(Note!N23,Table91213[#Headers],),)</f>
        <v>45.1</v>
      </c>
      <c r="R23" s="79">
        <f t="shared" si="0"/>
        <v>0.5</v>
      </c>
    </row>
    <row r="24" spans="2:18" x14ac:dyDescent="0.35">
      <c r="B24" s="97"/>
      <c r="C24" s="97"/>
      <c r="D24" s="97"/>
      <c r="E24" s="97"/>
      <c r="F24" s="97"/>
      <c r="N24" s="106" t="s">
        <v>53</v>
      </c>
      <c r="O24" s="104"/>
      <c r="P24" s="94">
        <f>VLOOKUP($P$13,Details!$A:$L,MATCH(Note!N24,Table91213[#Headers],),)</f>
        <v>50.6</v>
      </c>
      <c r="Q24" s="94">
        <f>VLOOKUP($Q$13,Details!$A:$L,MATCH(Note!N24,Table91213[#Headers],),)</f>
        <v>51.4</v>
      </c>
      <c r="R24" s="79">
        <f t="shared" si="0"/>
        <v>-0.79999999999999716</v>
      </c>
    </row>
    <row r="25" spans="2:18" ht="16" customHeight="1" thickBot="1" x14ac:dyDescent="0.4">
      <c r="N25" s="114" t="s">
        <v>54</v>
      </c>
      <c r="O25" s="115"/>
      <c r="P25" s="80">
        <f>VLOOKUP($P$13,Details!$A:$L,MATCH(Note!N25,Table91213[#Headers],),)</f>
        <v>49.4</v>
      </c>
      <c r="Q25" s="80">
        <f>VLOOKUP($Q$13,Details!$A:$L,MATCH(Note!N25,Table91213[#Headers],),)</f>
        <v>46.2</v>
      </c>
      <c r="R25" s="81">
        <f t="shared" si="0"/>
        <v>3.1999999999999957</v>
      </c>
    </row>
    <row r="31" spans="2:18" ht="30" customHeight="1" x14ac:dyDescent="0.35"/>
    <row r="34" spans="2:21" x14ac:dyDescent="0.35">
      <c r="B34" s="113"/>
      <c r="C34" s="97"/>
      <c r="D34" s="97"/>
      <c r="E34" s="97"/>
      <c r="F34" s="97"/>
      <c r="G34" s="97"/>
      <c r="H34" s="97"/>
      <c r="I34" s="97"/>
      <c r="J34" s="97"/>
      <c r="K34" s="97"/>
      <c r="L34" s="97"/>
      <c r="M34" s="97"/>
      <c r="N34" s="97"/>
      <c r="O34" s="97"/>
      <c r="P34" s="97"/>
      <c r="Q34" s="97"/>
      <c r="R34" s="97"/>
      <c r="S34" s="97"/>
      <c r="T34" s="97"/>
      <c r="U34" s="97"/>
    </row>
    <row r="35" spans="2:21" x14ac:dyDescent="0.35">
      <c r="B35" s="109"/>
      <c r="C35" s="97"/>
      <c r="D35" s="97"/>
      <c r="E35" s="97"/>
      <c r="F35" s="97"/>
      <c r="G35" s="97"/>
      <c r="H35" s="97"/>
      <c r="I35" s="97"/>
      <c r="J35" s="97"/>
      <c r="K35" s="97"/>
      <c r="L35" s="97"/>
      <c r="M35" s="97"/>
      <c r="N35" s="97"/>
      <c r="O35" s="97"/>
      <c r="P35" s="97"/>
      <c r="Q35" s="97"/>
      <c r="R35" s="97"/>
      <c r="S35" s="97"/>
      <c r="T35" s="97"/>
      <c r="U35" s="97"/>
    </row>
    <row r="36" spans="2:21" x14ac:dyDescent="0.35">
      <c r="B36" s="112"/>
      <c r="C36" s="97"/>
      <c r="D36" s="97"/>
      <c r="E36" s="97"/>
      <c r="F36" s="97"/>
      <c r="G36" s="97"/>
      <c r="H36" s="97"/>
      <c r="I36" s="97"/>
      <c r="J36" s="97"/>
      <c r="K36" s="97"/>
      <c r="L36" s="97"/>
      <c r="M36" s="97"/>
      <c r="N36" s="97"/>
      <c r="O36" s="97"/>
      <c r="P36" s="97"/>
      <c r="Q36" s="97"/>
      <c r="R36" s="97"/>
      <c r="S36" s="97"/>
      <c r="T36" s="97"/>
      <c r="U36" s="97"/>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40" priority="6" operator="lessThan">
      <formula>0</formula>
    </cfRule>
    <cfRule type="cellIs" dxfId="3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9"/>
  <sheetViews>
    <sheetView zoomScale="170" zoomScaleNormal="170" workbookViewId="0">
      <pane ySplit="1" topLeftCell="A26" activePane="bottomLeft" state="frozen"/>
      <selection pane="bottomLeft" activeCell="D40" sqref="D40"/>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5">
        <v>43497</v>
      </c>
      <c r="B2">
        <v>0</v>
      </c>
      <c r="C2">
        <v>8</v>
      </c>
      <c r="D2">
        <v>14</v>
      </c>
      <c r="E2">
        <v>13</v>
      </c>
      <c r="F2">
        <v>12</v>
      </c>
      <c r="G2">
        <v>7</v>
      </c>
      <c r="H2">
        <v>2</v>
      </c>
      <c r="I2">
        <v>3</v>
      </c>
      <c r="J2">
        <v>6</v>
      </c>
      <c r="K2">
        <v>-1</v>
      </c>
      <c r="L2">
        <v>11</v>
      </c>
      <c r="M2">
        <v>5</v>
      </c>
      <c r="N2">
        <v>1</v>
      </c>
      <c r="O2">
        <v>9</v>
      </c>
      <c r="P2">
        <v>16</v>
      </c>
      <c r="Q2">
        <v>15</v>
      </c>
      <c r="R2">
        <v>4</v>
      </c>
      <c r="S2">
        <v>10</v>
      </c>
    </row>
    <row r="3" spans="1:19" x14ac:dyDescent="0.35">
      <c r="A3" s="95">
        <v>43525</v>
      </c>
      <c r="B3">
        <v>-2</v>
      </c>
      <c r="C3">
        <v>9</v>
      </c>
      <c r="D3">
        <v>12</v>
      </c>
      <c r="E3">
        <v>11</v>
      </c>
      <c r="F3">
        <v>3</v>
      </c>
      <c r="G3">
        <v>14</v>
      </c>
      <c r="H3">
        <v>10</v>
      </c>
      <c r="I3">
        <v>1</v>
      </c>
      <c r="J3">
        <v>4</v>
      </c>
      <c r="K3">
        <v>6</v>
      </c>
      <c r="L3">
        <v>-1</v>
      </c>
      <c r="M3">
        <v>13</v>
      </c>
      <c r="N3">
        <v>8</v>
      </c>
      <c r="O3">
        <v>2</v>
      </c>
      <c r="P3">
        <v>16</v>
      </c>
      <c r="Q3">
        <v>15</v>
      </c>
      <c r="R3">
        <v>5</v>
      </c>
      <c r="S3">
        <v>7</v>
      </c>
    </row>
    <row r="4" spans="1:19" x14ac:dyDescent="0.35">
      <c r="A4" s="95">
        <v>43556</v>
      </c>
      <c r="B4">
        <v>-5</v>
      </c>
      <c r="C4">
        <v>9</v>
      </c>
      <c r="D4">
        <v>3</v>
      </c>
      <c r="E4">
        <v>12</v>
      </c>
      <c r="F4">
        <v>1</v>
      </c>
      <c r="G4">
        <v>4</v>
      </c>
      <c r="H4">
        <v>5</v>
      </c>
      <c r="I4">
        <v>6</v>
      </c>
      <c r="J4">
        <v>11</v>
      </c>
      <c r="K4">
        <v>8</v>
      </c>
      <c r="L4">
        <v>2</v>
      </c>
      <c r="M4">
        <v>-2</v>
      </c>
      <c r="N4">
        <v>7</v>
      </c>
      <c r="O4">
        <v>-4</v>
      </c>
      <c r="P4">
        <v>10</v>
      </c>
      <c r="Q4">
        <v>13</v>
      </c>
      <c r="R4">
        <v>-1</v>
      </c>
      <c r="S4">
        <v>-3</v>
      </c>
    </row>
    <row r="5" spans="1:19" x14ac:dyDescent="0.35">
      <c r="A5" s="95">
        <v>43586</v>
      </c>
      <c r="B5">
        <v>-6</v>
      </c>
      <c r="C5">
        <v>4</v>
      </c>
      <c r="D5">
        <v>5</v>
      </c>
      <c r="E5">
        <v>6</v>
      </c>
      <c r="F5">
        <v>-1</v>
      </c>
      <c r="G5">
        <v>3</v>
      </c>
      <c r="H5">
        <v>10</v>
      </c>
      <c r="I5">
        <v>1</v>
      </c>
      <c r="J5">
        <v>7</v>
      </c>
      <c r="K5">
        <v>2</v>
      </c>
      <c r="L5">
        <v>-2</v>
      </c>
      <c r="M5">
        <v>-4</v>
      </c>
      <c r="N5">
        <v>9</v>
      </c>
      <c r="O5">
        <v>-5</v>
      </c>
      <c r="P5">
        <v>11</v>
      </c>
      <c r="Q5">
        <v>8</v>
      </c>
      <c r="R5">
        <v>0</v>
      </c>
      <c r="S5">
        <v>-3</v>
      </c>
    </row>
    <row r="6" spans="1:19" x14ac:dyDescent="0.35">
      <c r="A6" s="95">
        <v>43617</v>
      </c>
      <c r="B6">
        <v>-5</v>
      </c>
      <c r="C6">
        <v>6</v>
      </c>
      <c r="D6">
        <v>5</v>
      </c>
      <c r="E6">
        <v>2</v>
      </c>
      <c r="F6">
        <v>-1</v>
      </c>
      <c r="G6">
        <v>8</v>
      </c>
      <c r="H6">
        <v>12</v>
      </c>
      <c r="I6">
        <v>1</v>
      </c>
      <c r="J6">
        <v>3</v>
      </c>
      <c r="K6">
        <v>9</v>
      </c>
      <c r="L6">
        <v>4</v>
      </c>
      <c r="M6">
        <v>7</v>
      </c>
      <c r="N6">
        <v>0</v>
      </c>
      <c r="O6">
        <v>-4</v>
      </c>
      <c r="P6">
        <v>11</v>
      </c>
      <c r="Q6">
        <v>10</v>
      </c>
      <c r="R6">
        <v>-2</v>
      </c>
      <c r="S6">
        <v>-3</v>
      </c>
    </row>
    <row r="7" spans="1:19" x14ac:dyDescent="0.35">
      <c r="A7" s="95">
        <v>43647</v>
      </c>
      <c r="B7">
        <v>-9</v>
      </c>
      <c r="C7">
        <v>1</v>
      </c>
      <c r="D7">
        <v>4</v>
      </c>
      <c r="E7">
        <v>-2</v>
      </c>
      <c r="F7">
        <v>-8</v>
      </c>
      <c r="G7">
        <v>6</v>
      </c>
      <c r="H7">
        <v>7</v>
      </c>
      <c r="I7">
        <v>-1</v>
      </c>
      <c r="J7">
        <v>-3</v>
      </c>
      <c r="K7">
        <v>-6</v>
      </c>
      <c r="L7">
        <v>-4</v>
      </c>
      <c r="M7">
        <v>2</v>
      </c>
      <c r="N7">
        <v>5</v>
      </c>
      <c r="O7">
        <v>-7</v>
      </c>
      <c r="P7">
        <v>8</v>
      </c>
      <c r="Q7">
        <v>3</v>
      </c>
      <c r="R7">
        <v>-5</v>
      </c>
      <c r="S7">
        <v>0</v>
      </c>
    </row>
    <row r="8" spans="1:19" x14ac:dyDescent="0.35">
      <c r="A8" s="95">
        <v>43678</v>
      </c>
      <c r="B8">
        <v>-7</v>
      </c>
      <c r="C8">
        <v>1</v>
      </c>
      <c r="D8">
        <v>0</v>
      </c>
      <c r="E8">
        <v>-1</v>
      </c>
      <c r="F8">
        <v>-6</v>
      </c>
      <c r="G8">
        <v>7</v>
      </c>
      <c r="H8">
        <v>8</v>
      </c>
      <c r="I8">
        <v>3</v>
      </c>
      <c r="J8">
        <v>2</v>
      </c>
      <c r="K8">
        <v>4</v>
      </c>
      <c r="L8">
        <v>-2</v>
      </c>
      <c r="M8">
        <v>5</v>
      </c>
      <c r="N8">
        <v>-3</v>
      </c>
      <c r="O8">
        <v>-4</v>
      </c>
      <c r="P8">
        <v>0</v>
      </c>
      <c r="Q8">
        <v>9</v>
      </c>
      <c r="R8">
        <v>-5</v>
      </c>
      <c r="S8">
        <v>6</v>
      </c>
    </row>
    <row r="9" spans="1:19" x14ac:dyDescent="0.35">
      <c r="A9" s="95">
        <v>43709</v>
      </c>
      <c r="B9">
        <v>-15</v>
      </c>
      <c r="C9">
        <v>1</v>
      </c>
      <c r="D9">
        <v>-1</v>
      </c>
      <c r="E9">
        <v>-12</v>
      </c>
      <c r="F9">
        <v>-9</v>
      </c>
      <c r="G9">
        <v>2</v>
      </c>
      <c r="H9">
        <v>-2</v>
      </c>
      <c r="I9">
        <v>-3</v>
      </c>
      <c r="J9">
        <v>3</v>
      </c>
      <c r="K9">
        <v>-4</v>
      </c>
      <c r="L9">
        <v>-10</v>
      </c>
      <c r="M9">
        <v>-7</v>
      </c>
      <c r="N9">
        <v>-8</v>
      </c>
      <c r="O9">
        <v>-6</v>
      </c>
      <c r="P9">
        <v>-14</v>
      </c>
      <c r="Q9">
        <v>-11</v>
      </c>
      <c r="R9">
        <v>-5</v>
      </c>
      <c r="S9">
        <v>-13</v>
      </c>
    </row>
    <row r="10" spans="1:19" x14ac:dyDescent="0.35">
      <c r="A10" s="95">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35">
      <c r="A11" s="95">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35">
      <c r="A12" s="95">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35">
      <c r="A13" s="95">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35">
      <c r="A14" s="95">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35">
      <c r="A15" s="95">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35">
      <c r="A16" s="95">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35">
      <c r="A17" s="95">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35">
      <c r="A18" s="95">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35">
      <c r="A19" s="95">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35">
      <c r="A20" s="95">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35">
      <c r="A21" s="95">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35">
      <c r="A22" s="95">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35">
      <c r="A23" s="95">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35">
      <c r="A24" s="95">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35">
      <c r="A25" s="95">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35">
      <c r="A26" s="95">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35">
      <c r="A27" s="95">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35">
      <c r="A28" s="95">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35">
      <c r="A29" s="95">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35">
      <c r="A30" s="95">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35">
      <c r="A31" s="95">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35">
      <c r="A32" s="95">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35">
      <c r="A33" s="95">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35">
      <c r="A34" s="95">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35">
      <c r="A35" s="95">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35">
      <c r="A36" s="95">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35">
      <c r="A37" s="95">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35">
      <c r="A38" s="95">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35">
      <c r="A39" s="95">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35">
      <c r="A40" s="95">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35">
      <c r="A41" s="95">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35">
      <c r="A42" s="95">
        <v>44713</v>
      </c>
      <c r="B42">
        <v>15</v>
      </c>
      <c r="C42">
        <v>1</v>
      </c>
      <c r="D42">
        <v>12</v>
      </c>
      <c r="E42">
        <v>10</v>
      </c>
      <c r="F42">
        <v>5</v>
      </c>
      <c r="G42">
        <v>2</v>
      </c>
      <c r="H42">
        <v>-1</v>
      </c>
      <c r="I42">
        <v>11</v>
      </c>
      <c r="J42">
        <v>4</v>
      </c>
      <c r="K42">
        <v>8</v>
      </c>
      <c r="L42">
        <v>-3</v>
      </c>
      <c r="M42">
        <v>3</v>
      </c>
      <c r="N42">
        <v>7</v>
      </c>
      <c r="O42">
        <v>9</v>
      </c>
      <c r="P42">
        <v>13</v>
      </c>
      <c r="Q42">
        <v>14</v>
      </c>
      <c r="R42">
        <v>6</v>
      </c>
      <c r="S42">
        <v>-2</v>
      </c>
    </row>
    <row r="43" spans="1:19" x14ac:dyDescent="0.35">
      <c r="A43" s="95">
        <v>44743</v>
      </c>
      <c r="B43">
        <v>11</v>
      </c>
      <c r="C43">
        <v>-1</v>
      </c>
      <c r="D43">
        <v>7</v>
      </c>
      <c r="E43">
        <v>1</v>
      </c>
      <c r="F43">
        <v>-3</v>
      </c>
      <c r="G43">
        <v>-2</v>
      </c>
      <c r="H43">
        <v>-6</v>
      </c>
      <c r="I43">
        <v>5</v>
      </c>
      <c r="J43">
        <v>-4</v>
      </c>
      <c r="K43">
        <v>10</v>
      </c>
      <c r="L43">
        <v>-5</v>
      </c>
      <c r="M43">
        <v>9</v>
      </c>
      <c r="N43">
        <v>2</v>
      </c>
      <c r="O43">
        <v>3</v>
      </c>
      <c r="P43">
        <v>8</v>
      </c>
      <c r="Q43">
        <v>4</v>
      </c>
      <c r="R43">
        <v>6</v>
      </c>
      <c r="S43">
        <v>-7</v>
      </c>
    </row>
    <row r="44" spans="1:19" x14ac:dyDescent="0.35">
      <c r="A44" s="95">
        <v>44774</v>
      </c>
      <c r="B44">
        <v>-6</v>
      </c>
      <c r="C44">
        <v>-3</v>
      </c>
      <c r="D44">
        <v>7</v>
      </c>
      <c r="E44">
        <v>-1</v>
      </c>
      <c r="F44">
        <v>-2</v>
      </c>
      <c r="G44">
        <v>1</v>
      </c>
      <c r="H44">
        <v>-5</v>
      </c>
      <c r="I44">
        <v>3</v>
      </c>
      <c r="J44">
        <v>2</v>
      </c>
      <c r="K44">
        <v>10</v>
      </c>
      <c r="L44">
        <v>-4</v>
      </c>
      <c r="M44">
        <v>9</v>
      </c>
      <c r="N44">
        <v>5</v>
      </c>
      <c r="O44">
        <v>4</v>
      </c>
      <c r="P44">
        <v>6</v>
      </c>
      <c r="Q44">
        <v>0</v>
      </c>
      <c r="R44">
        <v>8</v>
      </c>
      <c r="S44">
        <v>-7</v>
      </c>
    </row>
    <row r="45" spans="1:19" x14ac:dyDescent="0.35">
      <c r="A45" s="95">
        <v>44805</v>
      </c>
      <c r="B45">
        <v>5</v>
      </c>
      <c r="C45">
        <v>-2</v>
      </c>
      <c r="D45">
        <v>2</v>
      </c>
      <c r="E45">
        <v>1</v>
      </c>
      <c r="F45">
        <v>-1</v>
      </c>
      <c r="G45">
        <v>3</v>
      </c>
      <c r="H45">
        <v>-7</v>
      </c>
      <c r="I45">
        <v>8</v>
      </c>
      <c r="J45">
        <v>6</v>
      </c>
      <c r="K45">
        <v>9</v>
      </c>
      <c r="L45">
        <v>-3</v>
      </c>
      <c r="M45">
        <v>0</v>
      </c>
      <c r="N45">
        <v>7</v>
      </c>
      <c r="O45">
        <v>0</v>
      </c>
      <c r="P45">
        <v>-4</v>
      </c>
      <c r="Q45">
        <v>-6</v>
      </c>
      <c r="R45">
        <v>4</v>
      </c>
      <c r="S45">
        <v>-5</v>
      </c>
    </row>
    <row r="46" spans="1:19" x14ac:dyDescent="0.35">
      <c r="A46" s="95">
        <v>44835</v>
      </c>
      <c r="B46">
        <v>8</v>
      </c>
      <c r="C46">
        <v>-4</v>
      </c>
      <c r="D46">
        <v>-2</v>
      </c>
      <c r="E46">
        <v>1</v>
      </c>
      <c r="F46">
        <v>-5</v>
      </c>
      <c r="G46">
        <v>-1</v>
      </c>
      <c r="H46">
        <v>-10</v>
      </c>
      <c r="I46">
        <v>6</v>
      </c>
      <c r="J46">
        <v>3</v>
      </c>
      <c r="K46">
        <v>7</v>
      </c>
      <c r="L46">
        <v>-8</v>
      </c>
      <c r="M46">
        <v>5</v>
      </c>
      <c r="N46">
        <v>2</v>
      </c>
      <c r="O46">
        <v>-3</v>
      </c>
      <c r="P46">
        <v>-6</v>
      </c>
      <c r="Q46">
        <v>-7</v>
      </c>
      <c r="R46">
        <v>4</v>
      </c>
      <c r="S46">
        <v>-9</v>
      </c>
    </row>
    <row r="47" spans="1:19" x14ac:dyDescent="0.35">
      <c r="A47" s="95">
        <v>44866</v>
      </c>
      <c r="B47">
        <v>6</v>
      </c>
      <c r="C47">
        <v>-6</v>
      </c>
      <c r="D47">
        <v>-4</v>
      </c>
      <c r="E47">
        <v>-1</v>
      </c>
      <c r="F47">
        <v>-8</v>
      </c>
      <c r="G47">
        <v>-3</v>
      </c>
      <c r="H47">
        <v>-7</v>
      </c>
      <c r="I47">
        <v>-2</v>
      </c>
      <c r="J47">
        <v>3</v>
      </c>
      <c r="K47">
        <v>5</v>
      </c>
      <c r="L47">
        <v>-10</v>
      </c>
      <c r="M47">
        <v>2</v>
      </c>
      <c r="N47">
        <v>-5</v>
      </c>
      <c r="O47">
        <v>4</v>
      </c>
      <c r="P47">
        <v>-12</v>
      </c>
      <c r="Q47">
        <v>-9</v>
      </c>
      <c r="R47">
        <v>1</v>
      </c>
      <c r="S47">
        <v>-11</v>
      </c>
    </row>
    <row r="48" spans="1:19" x14ac:dyDescent="0.35">
      <c r="A48" s="95">
        <v>44896</v>
      </c>
      <c r="B48">
        <v>-6</v>
      </c>
      <c r="C48">
        <v>-11</v>
      </c>
      <c r="D48">
        <v>-5</v>
      </c>
      <c r="E48">
        <v>-8</v>
      </c>
      <c r="F48">
        <v>-12</v>
      </c>
      <c r="G48">
        <v>-3</v>
      </c>
      <c r="H48">
        <v>-7</v>
      </c>
      <c r="I48">
        <v>-4</v>
      </c>
      <c r="J48">
        <v>-1</v>
      </c>
      <c r="K48">
        <v>0</v>
      </c>
      <c r="L48">
        <v>-10</v>
      </c>
      <c r="M48">
        <v>1</v>
      </c>
      <c r="N48">
        <v>-9</v>
      </c>
      <c r="O48">
        <v>2</v>
      </c>
      <c r="P48">
        <v>0</v>
      </c>
      <c r="Q48">
        <v>0</v>
      </c>
      <c r="R48">
        <v>-2</v>
      </c>
      <c r="S48">
        <v>-13</v>
      </c>
    </row>
    <row r="49" spans="1:19" x14ac:dyDescent="0.35">
      <c r="A49" s="95">
        <v>44927</v>
      </c>
      <c r="B49">
        <v>15</v>
      </c>
      <c r="C49">
        <v>3</v>
      </c>
      <c r="D49">
        <v>2</v>
      </c>
      <c r="E49">
        <v>12</v>
      </c>
      <c r="F49">
        <v>8</v>
      </c>
      <c r="G49">
        <v>5</v>
      </c>
      <c r="H49">
        <v>11</v>
      </c>
      <c r="I49">
        <v>7</v>
      </c>
      <c r="J49">
        <v>4</v>
      </c>
      <c r="K49">
        <v>13</v>
      </c>
      <c r="L49">
        <v>14</v>
      </c>
      <c r="M49">
        <v>6</v>
      </c>
      <c r="N49">
        <v>10</v>
      </c>
      <c r="O49">
        <v>9</v>
      </c>
      <c r="P49">
        <v>0</v>
      </c>
      <c r="Q49">
        <v>16</v>
      </c>
      <c r="R49">
        <v>1</v>
      </c>
      <c r="S49">
        <v>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9"/>
  <sheetViews>
    <sheetView topLeftCell="D1" zoomScale="160" zoomScaleNormal="160" workbookViewId="0">
      <pane ySplit="1" topLeftCell="A23" activePane="bottomLeft" state="frozen"/>
      <selection pane="bottomLeft" activeCell="H39" sqref="H39"/>
    </sheetView>
  </sheetViews>
  <sheetFormatPr defaultColWidth="10.90625" defaultRowHeight="14.5" x14ac:dyDescent="0.35"/>
  <sheetData>
    <row r="1" spans="1:19" x14ac:dyDescent="0.35">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35">
      <c r="A2" s="95">
        <v>43497</v>
      </c>
      <c r="B2">
        <v>0</v>
      </c>
      <c r="C2">
        <v>6</v>
      </c>
      <c r="D2">
        <v>12</v>
      </c>
      <c r="E2">
        <v>2</v>
      </c>
      <c r="F2">
        <v>10</v>
      </c>
      <c r="G2">
        <v>3</v>
      </c>
      <c r="H2">
        <v>8</v>
      </c>
      <c r="I2">
        <v>1</v>
      </c>
      <c r="J2">
        <v>5</v>
      </c>
      <c r="K2">
        <v>-1</v>
      </c>
      <c r="L2">
        <v>4</v>
      </c>
      <c r="M2">
        <v>0</v>
      </c>
      <c r="N2">
        <v>7</v>
      </c>
      <c r="O2">
        <v>9</v>
      </c>
      <c r="P2">
        <v>11</v>
      </c>
      <c r="Q2">
        <v>0</v>
      </c>
      <c r="R2">
        <v>0</v>
      </c>
      <c r="S2">
        <v>13</v>
      </c>
    </row>
    <row r="3" spans="1:19" x14ac:dyDescent="0.35">
      <c r="A3" s="95">
        <v>43525</v>
      </c>
      <c r="B3">
        <v>-2</v>
      </c>
      <c r="C3">
        <v>8</v>
      </c>
      <c r="D3">
        <v>7</v>
      </c>
      <c r="E3">
        <v>3</v>
      </c>
      <c r="F3">
        <v>4</v>
      </c>
      <c r="G3">
        <v>12</v>
      </c>
      <c r="H3">
        <v>0</v>
      </c>
      <c r="I3">
        <v>2</v>
      </c>
      <c r="J3">
        <v>1</v>
      </c>
      <c r="K3">
        <v>0</v>
      </c>
      <c r="L3">
        <v>-1</v>
      </c>
      <c r="M3">
        <v>11</v>
      </c>
      <c r="N3">
        <v>6</v>
      </c>
      <c r="O3">
        <v>9</v>
      </c>
      <c r="P3">
        <v>13</v>
      </c>
      <c r="Q3">
        <v>10</v>
      </c>
      <c r="R3">
        <v>5</v>
      </c>
      <c r="S3">
        <v>14</v>
      </c>
    </row>
    <row r="4" spans="1:19" x14ac:dyDescent="0.35">
      <c r="A4" s="95">
        <v>43556</v>
      </c>
      <c r="B4">
        <v>0</v>
      </c>
      <c r="C4">
        <v>6</v>
      </c>
      <c r="D4">
        <v>5</v>
      </c>
      <c r="E4">
        <v>12</v>
      </c>
      <c r="F4">
        <v>4</v>
      </c>
      <c r="G4">
        <v>1</v>
      </c>
      <c r="H4">
        <v>8</v>
      </c>
      <c r="I4">
        <v>3</v>
      </c>
      <c r="J4">
        <v>11</v>
      </c>
      <c r="K4">
        <v>14</v>
      </c>
      <c r="L4">
        <v>7</v>
      </c>
      <c r="M4">
        <v>-2</v>
      </c>
      <c r="N4">
        <v>2</v>
      </c>
      <c r="O4">
        <v>-3</v>
      </c>
      <c r="P4">
        <v>10</v>
      </c>
      <c r="Q4">
        <v>9</v>
      </c>
      <c r="R4">
        <v>-1</v>
      </c>
      <c r="S4">
        <v>13</v>
      </c>
    </row>
    <row r="5" spans="1:19" x14ac:dyDescent="0.35">
      <c r="A5" s="95">
        <v>43586</v>
      </c>
      <c r="B5">
        <v>-4</v>
      </c>
      <c r="C5">
        <v>3</v>
      </c>
      <c r="D5">
        <v>9</v>
      </c>
      <c r="E5">
        <v>7</v>
      </c>
      <c r="F5">
        <v>1</v>
      </c>
      <c r="G5">
        <v>0</v>
      </c>
      <c r="H5">
        <v>12</v>
      </c>
      <c r="I5">
        <v>4</v>
      </c>
      <c r="J5">
        <v>6</v>
      </c>
      <c r="K5">
        <v>5</v>
      </c>
      <c r="L5">
        <v>-1</v>
      </c>
      <c r="M5">
        <v>-3</v>
      </c>
      <c r="N5">
        <v>10</v>
      </c>
      <c r="O5">
        <v>-2</v>
      </c>
      <c r="P5">
        <v>11</v>
      </c>
      <c r="Q5">
        <v>8</v>
      </c>
      <c r="R5">
        <v>2</v>
      </c>
      <c r="S5">
        <v>0</v>
      </c>
    </row>
    <row r="6" spans="1:19" x14ac:dyDescent="0.35">
      <c r="A6" s="95">
        <v>43617</v>
      </c>
      <c r="B6">
        <v>-6</v>
      </c>
      <c r="C6">
        <v>6</v>
      </c>
      <c r="D6">
        <v>1</v>
      </c>
      <c r="E6">
        <v>0</v>
      </c>
      <c r="F6">
        <v>-1</v>
      </c>
      <c r="G6">
        <v>5</v>
      </c>
      <c r="H6">
        <v>10</v>
      </c>
      <c r="I6">
        <v>-2</v>
      </c>
      <c r="J6">
        <v>3</v>
      </c>
      <c r="K6">
        <v>9</v>
      </c>
      <c r="L6">
        <v>2</v>
      </c>
      <c r="M6">
        <v>0</v>
      </c>
      <c r="N6">
        <v>4</v>
      </c>
      <c r="O6">
        <v>-5</v>
      </c>
      <c r="P6">
        <v>7</v>
      </c>
      <c r="Q6">
        <v>8</v>
      </c>
      <c r="R6">
        <v>-3</v>
      </c>
      <c r="S6">
        <v>-4</v>
      </c>
    </row>
    <row r="7" spans="1:19" x14ac:dyDescent="0.35">
      <c r="A7" s="95">
        <v>43647</v>
      </c>
      <c r="B7">
        <v>-10</v>
      </c>
      <c r="C7">
        <v>2</v>
      </c>
      <c r="D7">
        <v>1</v>
      </c>
      <c r="E7">
        <v>-6</v>
      </c>
      <c r="F7">
        <v>-7</v>
      </c>
      <c r="G7">
        <v>4</v>
      </c>
      <c r="H7">
        <v>0</v>
      </c>
      <c r="I7">
        <v>0</v>
      </c>
      <c r="J7">
        <v>-3</v>
      </c>
      <c r="K7">
        <v>-4</v>
      </c>
      <c r="L7">
        <v>-2</v>
      </c>
      <c r="M7">
        <v>-8</v>
      </c>
      <c r="N7">
        <v>-1</v>
      </c>
      <c r="O7">
        <v>-9</v>
      </c>
      <c r="P7">
        <v>5</v>
      </c>
      <c r="Q7">
        <v>3</v>
      </c>
      <c r="R7">
        <v>-5</v>
      </c>
      <c r="S7">
        <v>6</v>
      </c>
    </row>
    <row r="8" spans="1:19" x14ac:dyDescent="0.35">
      <c r="A8" s="95">
        <v>43678</v>
      </c>
      <c r="B8">
        <v>-11</v>
      </c>
      <c r="C8">
        <v>1</v>
      </c>
      <c r="D8">
        <v>-1</v>
      </c>
      <c r="E8">
        <v>0</v>
      </c>
      <c r="F8">
        <v>-6</v>
      </c>
      <c r="G8">
        <v>0</v>
      </c>
      <c r="H8">
        <v>0</v>
      </c>
      <c r="I8">
        <v>2</v>
      </c>
      <c r="J8">
        <v>-2</v>
      </c>
      <c r="K8">
        <v>3</v>
      </c>
      <c r="L8">
        <v>-10</v>
      </c>
      <c r="M8">
        <v>-5</v>
      </c>
      <c r="N8">
        <v>-4</v>
      </c>
      <c r="O8">
        <v>-3</v>
      </c>
      <c r="P8">
        <v>0</v>
      </c>
      <c r="Q8">
        <v>-7</v>
      </c>
      <c r="R8">
        <v>-8</v>
      </c>
      <c r="S8">
        <v>-9</v>
      </c>
    </row>
    <row r="9" spans="1:19" x14ac:dyDescent="0.35">
      <c r="A9" s="95">
        <v>43678.000001157408</v>
      </c>
      <c r="B9">
        <v>-11</v>
      </c>
      <c r="C9">
        <v>0</v>
      </c>
      <c r="D9">
        <v>-3</v>
      </c>
      <c r="E9">
        <v>-8</v>
      </c>
      <c r="F9">
        <v>-2</v>
      </c>
      <c r="G9">
        <v>2</v>
      </c>
      <c r="H9">
        <v>0</v>
      </c>
      <c r="I9">
        <v>0</v>
      </c>
      <c r="J9">
        <v>3</v>
      </c>
      <c r="K9">
        <v>-7</v>
      </c>
      <c r="L9">
        <v>-4</v>
      </c>
      <c r="M9">
        <v>-6</v>
      </c>
      <c r="N9">
        <v>-1</v>
      </c>
      <c r="O9">
        <v>0</v>
      </c>
      <c r="P9">
        <v>0</v>
      </c>
      <c r="Q9">
        <v>-10</v>
      </c>
      <c r="R9">
        <v>-5</v>
      </c>
      <c r="S9">
        <v>-9</v>
      </c>
    </row>
    <row r="10" spans="1:19" x14ac:dyDescent="0.35">
      <c r="A10" s="95">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35">
      <c r="A11" s="95">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35">
      <c r="A12" s="95">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35">
      <c r="A13" s="95">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35">
      <c r="A14" s="95">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35">
      <c r="A15" s="95">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35">
      <c r="A16" s="95">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35">
      <c r="A17" s="95">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35">
      <c r="A18" s="95">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35">
      <c r="A19" s="95">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35">
      <c r="A20" s="95">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35">
      <c r="A21" s="95">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35">
      <c r="A22" s="95">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35">
      <c r="A23" s="95">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35">
      <c r="A24" s="95">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35">
      <c r="A25" s="95">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35">
      <c r="A26" s="95">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35">
      <c r="A27" s="95">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35">
      <c r="A28" s="95">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35">
      <c r="A29" s="95">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35">
      <c r="A30" s="95">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35">
      <c r="A31" s="95">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35">
      <c r="A32" s="95">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35">
      <c r="A33" s="95">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35">
      <c r="A34" s="95">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35">
      <c r="A35" s="95">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35">
      <c r="A36" s="95">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35">
      <c r="A37" s="95">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35">
      <c r="A38" s="95">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35">
      <c r="A39" s="95">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35">
      <c r="A40" s="95">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35">
      <c r="A41" s="95">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35">
      <c r="A42" s="95">
        <v>44713</v>
      </c>
      <c r="B42">
        <v>7</v>
      </c>
      <c r="C42">
        <v>-2</v>
      </c>
      <c r="D42">
        <v>2</v>
      </c>
      <c r="E42">
        <v>-3</v>
      </c>
      <c r="F42">
        <v>0</v>
      </c>
      <c r="G42">
        <v>-1</v>
      </c>
      <c r="H42">
        <v>-6</v>
      </c>
      <c r="I42">
        <v>0</v>
      </c>
      <c r="J42">
        <v>1</v>
      </c>
      <c r="K42">
        <v>6</v>
      </c>
      <c r="L42">
        <v>-5</v>
      </c>
      <c r="M42">
        <v>5</v>
      </c>
      <c r="N42">
        <v>3</v>
      </c>
      <c r="O42">
        <v>4</v>
      </c>
      <c r="P42">
        <v>0</v>
      </c>
      <c r="Q42">
        <v>8</v>
      </c>
      <c r="R42">
        <v>-4</v>
      </c>
      <c r="S42">
        <v>-7</v>
      </c>
    </row>
    <row r="43" spans="1:19" x14ac:dyDescent="0.35">
      <c r="A43" s="95">
        <v>44743</v>
      </c>
      <c r="B43">
        <v>0</v>
      </c>
      <c r="C43">
        <v>2</v>
      </c>
      <c r="D43">
        <v>0</v>
      </c>
      <c r="E43">
        <v>0</v>
      </c>
      <c r="F43">
        <v>5</v>
      </c>
      <c r="G43">
        <v>0</v>
      </c>
      <c r="H43">
        <v>6</v>
      </c>
      <c r="I43">
        <v>1</v>
      </c>
      <c r="J43">
        <v>4</v>
      </c>
      <c r="K43">
        <v>0</v>
      </c>
      <c r="L43">
        <v>0</v>
      </c>
      <c r="M43">
        <v>0</v>
      </c>
      <c r="N43">
        <v>3</v>
      </c>
      <c r="O43">
        <v>0</v>
      </c>
      <c r="P43">
        <v>0</v>
      </c>
      <c r="Q43">
        <v>0</v>
      </c>
      <c r="R43">
        <v>0</v>
      </c>
      <c r="S43">
        <v>7</v>
      </c>
    </row>
    <row r="44" spans="1:19" x14ac:dyDescent="0.35">
      <c r="A44" s="95">
        <v>44774</v>
      </c>
      <c r="B44">
        <v>0</v>
      </c>
      <c r="C44">
        <v>-5</v>
      </c>
      <c r="D44">
        <v>5</v>
      </c>
      <c r="E44">
        <v>-6</v>
      </c>
      <c r="F44">
        <v>-4</v>
      </c>
      <c r="G44">
        <v>-3</v>
      </c>
      <c r="H44">
        <v>-7</v>
      </c>
      <c r="I44">
        <v>-2</v>
      </c>
      <c r="J44">
        <v>-1</v>
      </c>
      <c r="K44">
        <v>4</v>
      </c>
      <c r="L44">
        <v>0</v>
      </c>
      <c r="M44">
        <v>0</v>
      </c>
      <c r="N44">
        <v>1</v>
      </c>
      <c r="O44">
        <v>2</v>
      </c>
      <c r="P44">
        <v>0</v>
      </c>
      <c r="Q44">
        <v>6</v>
      </c>
      <c r="R44">
        <v>3</v>
      </c>
      <c r="S44">
        <v>-8</v>
      </c>
    </row>
    <row r="45" spans="1:19" x14ac:dyDescent="0.35">
      <c r="A45" s="95">
        <v>44805</v>
      </c>
      <c r="B45">
        <v>7</v>
      </c>
      <c r="C45">
        <v>4</v>
      </c>
      <c r="D45">
        <v>0</v>
      </c>
      <c r="E45">
        <v>3</v>
      </c>
      <c r="F45">
        <v>5</v>
      </c>
      <c r="G45">
        <v>1</v>
      </c>
      <c r="H45">
        <v>11</v>
      </c>
      <c r="I45">
        <v>0</v>
      </c>
      <c r="J45">
        <v>0</v>
      </c>
      <c r="K45">
        <v>0</v>
      </c>
      <c r="L45">
        <v>6</v>
      </c>
      <c r="M45">
        <v>0</v>
      </c>
      <c r="N45">
        <v>0</v>
      </c>
      <c r="O45">
        <v>2</v>
      </c>
      <c r="P45">
        <v>8</v>
      </c>
      <c r="Q45">
        <v>9</v>
      </c>
      <c r="R45">
        <v>0</v>
      </c>
      <c r="S45">
        <v>10</v>
      </c>
    </row>
    <row r="46" spans="1:19" x14ac:dyDescent="0.35">
      <c r="A46" s="95">
        <v>44835</v>
      </c>
      <c r="B46">
        <v>0</v>
      </c>
      <c r="C46">
        <v>2</v>
      </c>
      <c r="D46">
        <v>0</v>
      </c>
      <c r="E46">
        <v>0</v>
      </c>
      <c r="F46">
        <v>7</v>
      </c>
      <c r="G46">
        <v>4</v>
      </c>
      <c r="H46">
        <v>11</v>
      </c>
      <c r="I46">
        <v>0</v>
      </c>
      <c r="J46">
        <v>1</v>
      </c>
      <c r="K46">
        <v>5</v>
      </c>
      <c r="L46">
        <v>9</v>
      </c>
      <c r="M46">
        <v>0</v>
      </c>
      <c r="N46">
        <v>0</v>
      </c>
      <c r="O46">
        <v>6</v>
      </c>
      <c r="P46">
        <v>10</v>
      </c>
      <c r="Q46">
        <v>8</v>
      </c>
      <c r="R46">
        <v>3</v>
      </c>
      <c r="S46">
        <v>12</v>
      </c>
    </row>
    <row r="47" spans="1:19" x14ac:dyDescent="0.35">
      <c r="A47" s="95">
        <v>44866</v>
      </c>
      <c r="B47">
        <v>0</v>
      </c>
      <c r="C47">
        <v>5</v>
      </c>
      <c r="D47">
        <v>1</v>
      </c>
      <c r="E47">
        <v>9</v>
      </c>
      <c r="F47">
        <v>8</v>
      </c>
      <c r="G47">
        <v>2</v>
      </c>
      <c r="H47">
        <v>0</v>
      </c>
      <c r="I47">
        <v>7</v>
      </c>
      <c r="J47">
        <v>3</v>
      </c>
      <c r="K47">
        <v>10</v>
      </c>
      <c r="L47">
        <v>12</v>
      </c>
      <c r="M47">
        <v>0</v>
      </c>
      <c r="N47">
        <v>6</v>
      </c>
      <c r="O47">
        <v>11</v>
      </c>
      <c r="P47">
        <v>13</v>
      </c>
      <c r="Q47">
        <v>0</v>
      </c>
      <c r="R47">
        <v>4</v>
      </c>
      <c r="S47">
        <v>14</v>
      </c>
    </row>
    <row r="48" spans="1:19" x14ac:dyDescent="0.35">
      <c r="A48" s="95">
        <v>44896</v>
      </c>
      <c r="B48">
        <v>0</v>
      </c>
      <c r="C48">
        <v>7</v>
      </c>
      <c r="D48">
        <v>2</v>
      </c>
      <c r="E48">
        <v>4</v>
      </c>
      <c r="F48">
        <v>9</v>
      </c>
      <c r="G48">
        <v>8</v>
      </c>
      <c r="H48">
        <v>6</v>
      </c>
      <c r="I48">
        <v>1</v>
      </c>
      <c r="J48">
        <v>3</v>
      </c>
      <c r="K48">
        <v>10</v>
      </c>
      <c r="L48">
        <v>0</v>
      </c>
      <c r="M48">
        <v>0</v>
      </c>
      <c r="N48">
        <v>5</v>
      </c>
      <c r="O48">
        <v>0</v>
      </c>
      <c r="P48">
        <v>0</v>
      </c>
      <c r="Q48">
        <v>0</v>
      </c>
      <c r="R48">
        <v>0</v>
      </c>
      <c r="S48">
        <v>11</v>
      </c>
    </row>
    <row r="49" spans="1:19" x14ac:dyDescent="0.35">
      <c r="A49" s="95">
        <v>44927</v>
      </c>
      <c r="B49">
        <v>15</v>
      </c>
      <c r="C49">
        <v>3</v>
      </c>
      <c r="D49">
        <v>2</v>
      </c>
      <c r="E49">
        <v>12</v>
      </c>
      <c r="F49">
        <v>8</v>
      </c>
      <c r="G49">
        <v>5</v>
      </c>
      <c r="H49">
        <v>11</v>
      </c>
      <c r="I49">
        <v>7</v>
      </c>
      <c r="J49">
        <v>4</v>
      </c>
      <c r="K49">
        <v>13</v>
      </c>
      <c r="L49">
        <v>14</v>
      </c>
      <c r="M49">
        <v>6</v>
      </c>
      <c r="N49">
        <v>10</v>
      </c>
      <c r="O49">
        <v>9</v>
      </c>
      <c r="P49">
        <v>0</v>
      </c>
      <c r="Q49">
        <v>16</v>
      </c>
      <c r="R49">
        <v>1</v>
      </c>
      <c r="S49">
        <v>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9"/>
  <sheetViews>
    <sheetView zoomScale="160" zoomScaleNormal="160" workbookViewId="0">
      <pane ySplit="1" topLeftCell="A20" activePane="bottomLeft" state="frozen"/>
      <selection pane="bottomLeft" activeCell="I38" sqref="I38"/>
    </sheetView>
  </sheetViews>
  <sheetFormatPr defaultColWidth="10.90625" defaultRowHeight="14.5" x14ac:dyDescent="0.35"/>
  <cols>
    <col min="19" max="19" width="10.36328125" customWidth="1"/>
  </cols>
  <sheetData>
    <row r="1" spans="1:19" x14ac:dyDescent="0.35">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35">
      <c r="A2" s="95">
        <v>43497</v>
      </c>
      <c r="B2">
        <v>0</v>
      </c>
      <c r="C2">
        <v>1</v>
      </c>
      <c r="D2">
        <v>4</v>
      </c>
      <c r="E2">
        <v>8</v>
      </c>
      <c r="F2">
        <v>7</v>
      </c>
      <c r="G2">
        <v>5</v>
      </c>
      <c r="H2">
        <v>12</v>
      </c>
      <c r="I2">
        <v>-2</v>
      </c>
      <c r="J2">
        <v>3</v>
      </c>
      <c r="K2">
        <v>11</v>
      </c>
      <c r="L2">
        <v>2</v>
      </c>
      <c r="M2">
        <v>10</v>
      </c>
      <c r="N2">
        <v>9</v>
      </c>
      <c r="O2">
        <v>-1</v>
      </c>
      <c r="P2">
        <v>6</v>
      </c>
      <c r="Q2">
        <v>0</v>
      </c>
      <c r="R2">
        <v>-4</v>
      </c>
      <c r="S2">
        <v>-3</v>
      </c>
    </row>
    <row r="3" spans="1:19" x14ac:dyDescent="0.35">
      <c r="A3" s="95">
        <v>43525</v>
      </c>
      <c r="B3">
        <v>-4</v>
      </c>
      <c r="C3">
        <v>-2</v>
      </c>
      <c r="D3">
        <v>-3</v>
      </c>
      <c r="E3">
        <v>5</v>
      </c>
      <c r="F3">
        <v>2</v>
      </c>
      <c r="G3">
        <v>0</v>
      </c>
      <c r="H3">
        <v>8</v>
      </c>
      <c r="I3">
        <v>0</v>
      </c>
      <c r="J3">
        <v>0</v>
      </c>
      <c r="K3">
        <v>3</v>
      </c>
      <c r="L3">
        <v>9</v>
      </c>
      <c r="M3">
        <v>-1</v>
      </c>
      <c r="N3">
        <v>4</v>
      </c>
      <c r="O3">
        <v>0</v>
      </c>
      <c r="P3">
        <v>1</v>
      </c>
      <c r="Q3">
        <v>0</v>
      </c>
      <c r="R3">
        <v>6</v>
      </c>
      <c r="S3">
        <v>7</v>
      </c>
    </row>
    <row r="4" spans="1:19" x14ac:dyDescent="0.35">
      <c r="A4" s="95">
        <v>43556</v>
      </c>
      <c r="B4">
        <v>-3</v>
      </c>
      <c r="C4">
        <v>6</v>
      </c>
      <c r="D4">
        <v>5</v>
      </c>
      <c r="E4">
        <v>2</v>
      </c>
      <c r="F4">
        <v>0</v>
      </c>
      <c r="G4">
        <v>-2</v>
      </c>
      <c r="H4">
        <v>11</v>
      </c>
      <c r="I4">
        <v>8</v>
      </c>
      <c r="J4">
        <v>-1</v>
      </c>
      <c r="K4">
        <v>7</v>
      </c>
      <c r="L4">
        <v>4</v>
      </c>
      <c r="M4">
        <v>3</v>
      </c>
      <c r="N4">
        <v>13</v>
      </c>
      <c r="O4">
        <v>1</v>
      </c>
      <c r="P4">
        <v>9</v>
      </c>
      <c r="Q4">
        <v>0</v>
      </c>
      <c r="R4">
        <v>10</v>
      </c>
      <c r="S4">
        <v>12</v>
      </c>
    </row>
    <row r="5" spans="1:19" x14ac:dyDescent="0.35">
      <c r="A5" s="95">
        <v>43586</v>
      </c>
      <c r="B5">
        <v>-4</v>
      </c>
      <c r="C5">
        <v>0</v>
      </c>
      <c r="D5">
        <v>-1</v>
      </c>
      <c r="E5">
        <v>4</v>
      </c>
      <c r="F5">
        <v>-3</v>
      </c>
      <c r="G5">
        <v>-2</v>
      </c>
      <c r="H5">
        <v>10</v>
      </c>
      <c r="I5">
        <v>11</v>
      </c>
      <c r="J5">
        <v>1</v>
      </c>
      <c r="K5">
        <v>7</v>
      </c>
      <c r="L5">
        <v>3</v>
      </c>
      <c r="M5">
        <v>9</v>
      </c>
      <c r="N5">
        <v>6</v>
      </c>
      <c r="O5">
        <v>8</v>
      </c>
      <c r="P5">
        <v>2</v>
      </c>
      <c r="Q5">
        <v>0</v>
      </c>
      <c r="R5">
        <v>0</v>
      </c>
      <c r="S5">
        <v>5</v>
      </c>
    </row>
    <row r="6" spans="1:19" x14ac:dyDescent="0.35">
      <c r="A6" s="95">
        <v>43617</v>
      </c>
      <c r="B6">
        <v>-5</v>
      </c>
      <c r="C6">
        <v>1</v>
      </c>
      <c r="D6">
        <v>3</v>
      </c>
      <c r="E6">
        <v>4</v>
      </c>
      <c r="F6">
        <v>9</v>
      </c>
      <c r="G6">
        <v>-3</v>
      </c>
      <c r="H6">
        <v>10</v>
      </c>
      <c r="I6">
        <v>12</v>
      </c>
      <c r="J6">
        <v>-4</v>
      </c>
      <c r="K6">
        <v>6</v>
      </c>
      <c r="L6">
        <v>7</v>
      </c>
      <c r="M6">
        <v>2</v>
      </c>
      <c r="N6">
        <v>5</v>
      </c>
      <c r="O6">
        <v>-1</v>
      </c>
      <c r="P6">
        <v>-2</v>
      </c>
      <c r="Q6">
        <v>13</v>
      </c>
      <c r="R6">
        <v>11</v>
      </c>
      <c r="S6">
        <v>8</v>
      </c>
    </row>
    <row r="7" spans="1:19" x14ac:dyDescent="0.35">
      <c r="A7" s="95">
        <v>43647</v>
      </c>
      <c r="B7">
        <v>-10</v>
      </c>
      <c r="C7">
        <v>-2</v>
      </c>
      <c r="D7">
        <v>-9</v>
      </c>
      <c r="E7">
        <v>1</v>
      </c>
      <c r="F7">
        <v>-5</v>
      </c>
      <c r="G7">
        <v>3</v>
      </c>
      <c r="H7">
        <v>7</v>
      </c>
      <c r="I7">
        <v>6</v>
      </c>
      <c r="J7">
        <v>-6</v>
      </c>
      <c r="K7">
        <v>2</v>
      </c>
      <c r="L7">
        <v>5</v>
      </c>
      <c r="M7">
        <v>-3</v>
      </c>
      <c r="N7">
        <v>-8</v>
      </c>
      <c r="O7">
        <v>-1</v>
      </c>
      <c r="P7">
        <v>-4</v>
      </c>
      <c r="Q7">
        <v>8</v>
      </c>
      <c r="R7">
        <v>4</v>
      </c>
      <c r="S7">
        <v>-7</v>
      </c>
    </row>
    <row r="8" spans="1:19" x14ac:dyDescent="0.35">
      <c r="A8" s="95">
        <v>43678</v>
      </c>
      <c r="B8">
        <v>-9</v>
      </c>
      <c r="C8">
        <v>-1</v>
      </c>
      <c r="D8">
        <v>-8</v>
      </c>
      <c r="E8">
        <v>0</v>
      </c>
      <c r="F8">
        <v>-7</v>
      </c>
      <c r="G8">
        <v>-5</v>
      </c>
      <c r="H8">
        <v>0</v>
      </c>
      <c r="I8">
        <v>0</v>
      </c>
      <c r="J8">
        <v>-6</v>
      </c>
      <c r="K8">
        <v>1</v>
      </c>
      <c r="L8">
        <v>3</v>
      </c>
      <c r="M8">
        <v>0</v>
      </c>
      <c r="N8">
        <v>-4</v>
      </c>
      <c r="O8">
        <v>-3</v>
      </c>
      <c r="P8">
        <v>-2</v>
      </c>
      <c r="Q8">
        <v>0</v>
      </c>
      <c r="R8">
        <v>4</v>
      </c>
      <c r="S8">
        <v>2</v>
      </c>
    </row>
    <row r="9" spans="1:19" x14ac:dyDescent="0.35">
      <c r="A9" s="95">
        <v>43678.000001157408</v>
      </c>
      <c r="B9">
        <v>-11</v>
      </c>
      <c r="C9">
        <v>-4</v>
      </c>
      <c r="D9">
        <v>-5</v>
      </c>
      <c r="E9">
        <v>2</v>
      </c>
      <c r="F9">
        <v>-8</v>
      </c>
      <c r="G9">
        <v>-6</v>
      </c>
      <c r="H9">
        <v>0</v>
      </c>
      <c r="I9">
        <v>0</v>
      </c>
      <c r="J9">
        <v>0</v>
      </c>
      <c r="K9">
        <v>3</v>
      </c>
      <c r="L9">
        <v>0</v>
      </c>
      <c r="M9">
        <v>1</v>
      </c>
      <c r="N9">
        <v>-2</v>
      </c>
      <c r="O9">
        <v>-3</v>
      </c>
      <c r="P9">
        <v>-1</v>
      </c>
      <c r="Q9">
        <v>-10</v>
      </c>
      <c r="R9">
        <v>-9</v>
      </c>
      <c r="S9">
        <v>-7</v>
      </c>
    </row>
    <row r="10" spans="1:19" x14ac:dyDescent="0.35">
      <c r="A10" s="95">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35">
      <c r="A11" s="95">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35">
      <c r="A12" s="95">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35">
      <c r="A13" s="95">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35">
      <c r="A14" s="95">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35">
      <c r="A15" s="95">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35">
      <c r="A16" s="95">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35">
      <c r="A17" s="95">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35">
      <c r="A18" s="95">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35">
      <c r="A19" s="95">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35">
      <c r="A20" s="95">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35">
      <c r="A21" s="95">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35">
      <c r="A22" s="95">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35">
      <c r="A23" s="95">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35">
      <c r="A24" s="95">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35">
      <c r="A25" s="95">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35">
      <c r="A26" s="95">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35">
      <c r="A27" s="95">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35">
      <c r="A28" s="95">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35">
      <c r="A29" s="95">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35">
      <c r="A30" s="95">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35">
      <c r="A31" s="95">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35">
      <c r="A32" s="95">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35">
      <c r="A33" s="95">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35">
      <c r="A34" s="95">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35">
      <c r="A35" s="95">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35">
      <c r="A36" s="95">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35">
      <c r="A37" s="95">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35">
      <c r="A38" s="95">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35">
      <c r="A39" s="95">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35">
      <c r="A40" s="95">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35">
      <c r="A41" s="95">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35">
      <c r="A42" s="95">
        <v>44713</v>
      </c>
      <c r="B42">
        <v>10</v>
      </c>
      <c r="C42">
        <v>0</v>
      </c>
      <c r="D42">
        <v>-2</v>
      </c>
      <c r="E42">
        <v>6</v>
      </c>
      <c r="F42">
        <v>8</v>
      </c>
      <c r="G42">
        <v>0</v>
      </c>
      <c r="H42">
        <v>9</v>
      </c>
      <c r="I42">
        <v>-1</v>
      </c>
      <c r="J42">
        <v>5</v>
      </c>
      <c r="K42">
        <v>3</v>
      </c>
      <c r="L42">
        <v>0</v>
      </c>
      <c r="M42">
        <v>0</v>
      </c>
      <c r="N42">
        <v>4</v>
      </c>
      <c r="O42">
        <v>2</v>
      </c>
      <c r="P42">
        <v>1</v>
      </c>
      <c r="Q42">
        <v>0</v>
      </c>
      <c r="R42">
        <v>-3</v>
      </c>
      <c r="S42">
        <v>7</v>
      </c>
    </row>
    <row r="43" spans="1:19" x14ac:dyDescent="0.35">
      <c r="A43" s="95">
        <v>44743</v>
      </c>
      <c r="B43">
        <v>0</v>
      </c>
      <c r="C43">
        <v>0</v>
      </c>
      <c r="D43">
        <v>0</v>
      </c>
      <c r="E43">
        <v>0</v>
      </c>
      <c r="F43">
        <v>0</v>
      </c>
      <c r="G43">
        <v>0</v>
      </c>
      <c r="H43">
        <v>0</v>
      </c>
      <c r="I43">
        <v>0</v>
      </c>
      <c r="J43">
        <v>0</v>
      </c>
      <c r="K43">
        <v>0</v>
      </c>
      <c r="L43">
        <v>1</v>
      </c>
      <c r="M43">
        <v>4</v>
      </c>
      <c r="N43">
        <v>2</v>
      </c>
      <c r="O43">
        <v>0</v>
      </c>
      <c r="P43">
        <v>3</v>
      </c>
      <c r="Q43">
        <v>6</v>
      </c>
      <c r="R43">
        <v>5</v>
      </c>
      <c r="S43">
        <v>0</v>
      </c>
    </row>
    <row r="44" spans="1:19" x14ac:dyDescent="0.35">
      <c r="A44" s="95">
        <v>44774</v>
      </c>
      <c r="B44">
        <v>-9</v>
      </c>
      <c r="C44">
        <v>2</v>
      </c>
      <c r="D44">
        <v>-6</v>
      </c>
      <c r="E44">
        <v>0</v>
      </c>
      <c r="F44">
        <v>4</v>
      </c>
      <c r="G44">
        <v>-5</v>
      </c>
      <c r="H44">
        <v>0</v>
      </c>
      <c r="I44">
        <v>0</v>
      </c>
      <c r="J44">
        <v>3</v>
      </c>
      <c r="K44">
        <v>-4</v>
      </c>
      <c r="L44">
        <v>-3</v>
      </c>
      <c r="M44">
        <v>-2</v>
      </c>
      <c r="N44">
        <v>5</v>
      </c>
      <c r="O44">
        <v>1</v>
      </c>
      <c r="P44">
        <v>-1</v>
      </c>
      <c r="Q44">
        <v>-7</v>
      </c>
      <c r="R44">
        <v>-8</v>
      </c>
      <c r="S44">
        <v>6</v>
      </c>
    </row>
    <row r="45" spans="1:19" x14ac:dyDescent="0.35">
      <c r="A45" s="95">
        <v>44805</v>
      </c>
      <c r="B45">
        <v>0</v>
      </c>
      <c r="C45">
        <v>5</v>
      </c>
      <c r="D45">
        <v>0</v>
      </c>
      <c r="E45">
        <v>1</v>
      </c>
      <c r="F45">
        <v>-3</v>
      </c>
      <c r="G45">
        <v>7</v>
      </c>
      <c r="H45">
        <v>-6</v>
      </c>
      <c r="I45">
        <v>-5</v>
      </c>
      <c r="J45">
        <v>0</v>
      </c>
      <c r="K45">
        <v>-2</v>
      </c>
      <c r="L45">
        <v>-1</v>
      </c>
      <c r="M45">
        <v>3</v>
      </c>
      <c r="N45">
        <v>4</v>
      </c>
      <c r="O45">
        <v>6</v>
      </c>
      <c r="P45">
        <v>2</v>
      </c>
      <c r="Q45">
        <v>-4</v>
      </c>
      <c r="R45">
        <v>-7</v>
      </c>
      <c r="S45">
        <v>8</v>
      </c>
    </row>
    <row r="46" spans="1:19" x14ac:dyDescent="0.35">
      <c r="A46" s="95">
        <v>44835</v>
      </c>
      <c r="B46">
        <v>0</v>
      </c>
      <c r="C46">
        <v>2</v>
      </c>
      <c r="D46">
        <v>-5</v>
      </c>
      <c r="E46">
        <v>5</v>
      </c>
      <c r="F46">
        <v>-4</v>
      </c>
      <c r="G46">
        <v>3</v>
      </c>
      <c r="H46">
        <v>0</v>
      </c>
      <c r="I46">
        <v>-7</v>
      </c>
      <c r="J46">
        <v>4</v>
      </c>
      <c r="K46">
        <v>-1</v>
      </c>
      <c r="L46">
        <v>-2</v>
      </c>
      <c r="M46">
        <v>0</v>
      </c>
      <c r="N46">
        <v>-3</v>
      </c>
      <c r="O46">
        <v>6</v>
      </c>
      <c r="P46">
        <v>1</v>
      </c>
      <c r="Q46">
        <v>-6</v>
      </c>
      <c r="R46">
        <v>-8</v>
      </c>
      <c r="S46">
        <v>0</v>
      </c>
    </row>
    <row r="47" spans="1:19" x14ac:dyDescent="0.35">
      <c r="A47" s="95">
        <v>44866</v>
      </c>
      <c r="B47">
        <v>7</v>
      </c>
      <c r="C47">
        <v>-4</v>
      </c>
      <c r="D47">
        <v>0</v>
      </c>
      <c r="E47">
        <v>4</v>
      </c>
      <c r="F47">
        <v>0</v>
      </c>
      <c r="G47">
        <v>6</v>
      </c>
      <c r="H47">
        <v>-7</v>
      </c>
      <c r="I47">
        <v>-5</v>
      </c>
      <c r="J47">
        <v>2</v>
      </c>
      <c r="K47">
        <v>0</v>
      </c>
      <c r="L47">
        <v>-3</v>
      </c>
      <c r="M47">
        <v>-2</v>
      </c>
      <c r="N47">
        <v>1</v>
      </c>
      <c r="O47">
        <v>3</v>
      </c>
      <c r="P47">
        <v>-1</v>
      </c>
      <c r="Q47">
        <v>0</v>
      </c>
      <c r="R47">
        <v>-6</v>
      </c>
      <c r="S47">
        <v>5</v>
      </c>
    </row>
    <row r="48" spans="1:19" x14ac:dyDescent="0.35">
      <c r="A48" s="95">
        <v>44896</v>
      </c>
      <c r="B48">
        <v>0</v>
      </c>
      <c r="C48">
        <v>1</v>
      </c>
      <c r="D48">
        <v>-6</v>
      </c>
      <c r="E48">
        <v>-1</v>
      </c>
      <c r="F48">
        <v>0</v>
      </c>
      <c r="G48">
        <v>4</v>
      </c>
      <c r="H48">
        <v>0</v>
      </c>
      <c r="I48">
        <v>-4</v>
      </c>
      <c r="J48">
        <v>2</v>
      </c>
      <c r="K48">
        <v>-8</v>
      </c>
      <c r="L48">
        <v>0</v>
      </c>
      <c r="M48">
        <v>-2</v>
      </c>
      <c r="N48">
        <v>3</v>
      </c>
      <c r="O48">
        <v>-3</v>
      </c>
      <c r="P48">
        <v>-5</v>
      </c>
      <c r="Q48">
        <v>-7</v>
      </c>
      <c r="R48">
        <v>0</v>
      </c>
      <c r="S48">
        <v>0</v>
      </c>
    </row>
    <row r="49" spans="1:19" x14ac:dyDescent="0.35">
      <c r="A49" s="95">
        <v>44927</v>
      </c>
      <c r="B49">
        <v>0</v>
      </c>
      <c r="C49">
        <v>4</v>
      </c>
      <c r="D49">
        <v>11</v>
      </c>
      <c r="E49">
        <v>-1</v>
      </c>
      <c r="F49">
        <v>0</v>
      </c>
      <c r="G49">
        <v>8</v>
      </c>
      <c r="H49">
        <v>12</v>
      </c>
      <c r="I49">
        <v>7</v>
      </c>
      <c r="J49">
        <v>2</v>
      </c>
      <c r="K49">
        <v>1</v>
      </c>
      <c r="L49">
        <v>5</v>
      </c>
      <c r="M49">
        <v>3</v>
      </c>
      <c r="N49">
        <v>6</v>
      </c>
      <c r="O49">
        <v>10</v>
      </c>
      <c r="P49">
        <v>0</v>
      </c>
      <c r="Q49">
        <v>9</v>
      </c>
      <c r="R49">
        <v>14</v>
      </c>
      <c r="S49">
        <v>13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907"/>
  <sheetViews>
    <sheetView zoomScale="150" zoomScaleNormal="150" workbookViewId="0">
      <pane ySplit="1" topLeftCell="A885" activePane="bottomLeft" state="frozen"/>
      <selection activeCell="R895" sqref="R895"/>
      <selection pane="bottomLeft" activeCell="D912" sqref="D912"/>
    </sheetView>
  </sheetViews>
  <sheetFormatPr defaultColWidth="10.90625" defaultRowHeight="14.5" x14ac:dyDescent="0.35"/>
  <cols>
    <col min="16" max="16" width="20.6328125" customWidth="1"/>
  </cols>
  <sheetData>
    <row r="1" spans="1:20" x14ac:dyDescent="0.35">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35">
      <c r="A2" s="95">
        <v>17168</v>
      </c>
      <c r="N2">
        <v>2034.45</v>
      </c>
    </row>
    <row r="3" spans="1:20" x14ac:dyDescent="0.35">
      <c r="A3" s="95">
        <v>17258</v>
      </c>
      <c r="N3">
        <v>2029.0239999999999</v>
      </c>
      <c r="O3">
        <v>-2.6670598933373432E-3</v>
      </c>
      <c r="Q3">
        <v>-1.0625636157316039E-2</v>
      </c>
      <c r="R3">
        <v>-2.6670598933373432E-3</v>
      </c>
      <c r="S3">
        <v>-1.0625636157316039E-2</v>
      </c>
    </row>
    <row r="4" spans="1:20" x14ac:dyDescent="0.35">
      <c r="A4" s="95">
        <v>17349</v>
      </c>
      <c r="N4">
        <v>2024.8340000000001</v>
      </c>
      <c r="O4">
        <v>-2.0650322519594781E-3</v>
      </c>
      <c r="Q4">
        <v>-8.2345780645924904E-3</v>
      </c>
      <c r="R4">
        <v>-2.0650322519594781E-3</v>
      </c>
      <c r="S4">
        <v>-8.2345780645924904E-3</v>
      </c>
    </row>
    <row r="5" spans="1:20" x14ac:dyDescent="0.35">
      <c r="A5" s="95">
        <v>17441</v>
      </c>
      <c r="N5">
        <v>2056.5079999999998</v>
      </c>
      <c r="O5">
        <v>1.5642763801872031E-2</v>
      </c>
      <c r="Q5">
        <v>6.4054602330456234E-2</v>
      </c>
      <c r="R5">
        <v>1.5642763801872031E-2</v>
      </c>
      <c r="S5">
        <v>6.4054602330456234E-2</v>
      </c>
    </row>
    <row r="6" spans="1:20" x14ac:dyDescent="0.35">
      <c r="A6" s="95">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35">
      <c r="A7" s="95">
        <v>17564</v>
      </c>
      <c r="B7">
        <v>51.1</v>
      </c>
      <c r="E7">
        <v>62.7</v>
      </c>
      <c r="F7">
        <v>55.2</v>
      </c>
      <c r="H7">
        <v>43.9</v>
      </c>
      <c r="I7">
        <v>37.1</v>
      </c>
      <c r="J7">
        <v>55.8</v>
      </c>
      <c r="L7">
        <v>50.2</v>
      </c>
      <c r="O7">
        <v>1.5042003240444579E-2</v>
      </c>
      <c r="P7">
        <v>2.6047334660473331E-2</v>
      </c>
      <c r="Q7">
        <v>6.1539249051736133E-2</v>
      </c>
    </row>
    <row r="8" spans="1:20" x14ac:dyDescent="0.35">
      <c r="A8" s="95">
        <v>17593</v>
      </c>
      <c r="B8">
        <v>43.9</v>
      </c>
      <c r="E8">
        <v>69.3</v>
      </c>
      <c r="F8">
        <v>47.8</v>
      </c>
      <c r="H8">
        <v>44.5</v>
      </c>
      <c r="I8">
        <v>32.700000000000003</v>
      </c>
      <c r="J8">
        <v>44</v>
      </c>
      <c r="L8">
        <v>43.3</v>
      </c>
      <c r="O8">
        <v>1.5042003240444579E-2</v>
      </c>
      <c r="P8">
        <v>2.6047334660473331E-2</v>
      </c>
      <c r="Q8">
        <v>6.1539249051736133E-2</v>
      </c>
    </row>
    <row r="9" spans="1:20" x14ac:dyDescent="0.35">
      <c r="A9" s="95">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35">
      <c r="A10" s="95">
        <v>17654</v>
      </c>
      <c r="B10">
        <v>51.2</v>
      </c>
      <c r="E10">
        <v>70.8</v>
      </c>
      <c r="F10">
        <v>52.1</v>
      </c>
      <c r="H10">
        <v>47</v>
      </c>
      <c r="I10">
        <v>40.4</v>
      </c>
      <c r="J10">
        <v>51.8</v>
      </c>
      <c r="L10">
        <v>49.5</v>
      </c>
      <c r="O10">
        <v>1.6506805937602041E-2</v>
      </c>
      <c r="P10">
        <v>4.5773238759127553E-2</v>
      </c>
      <c r="Q10">
        <v>6.768013659057992E-2</v>
      </c>
    </row>
    <row r="11" spans="1:20" x14ac:dyDescent="0.35">
      <c r="A11" s="95">
        <v>17685</v>
      </c>
      <c r="B11">
        <v>58.1</v>
      </c>
      <c r="E11">
        <v>78.5</v>
      </c>
      <c r="F11">
        <v>56.8</v>
      </c>
      <c r="H11">
        <v>54.7</v>
      </c>
      <c r="I11">
        <v>38.4</v>
      </c>
      <c r="J11">
        <v>50.8</v>
      </c>
      <c r="L11">
        <v>53</v>
      </c>
      <c r="O11">
        <v>1.6506805937602041E-2</v>
      </c>
      <c r="P11">
        <v>4.5773238759127553E-2</v>
      </c>
      <c r="Q11">
        <v>6.768013659057992E-2</v>
      </c>
    </row>
    <row r="12" spans="1:20" x14ac:dyDescent="0.35">
      <c r="A12" s="95">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35">
      <c r="A13" s="95">
        <v>17746</v>
      </c>
      <c r="B13">
        <v>46</v>
      </c>
      <c r="E13">
        <v>77</v>
      </c>
      <c r="F13">
        <v>51</v>
      </c>
      <c r="H13">
        <v>46.6</v>
      </c>
      <c r="I13">
        <v>31.2</v>
      </c>
      <c r="J13">
        <v>46.1</v>
      </c>
      <c r="L13">
        <v>45.1</v>
      </c>
      <c r="O13">
        <v>5.7293019130506004E-3</v>
      </c>
      <c r="P13">
        <v>5.3941211970956623E-2</v>
      </c>
      <c r="Q13">
        <v>2.3114910387200819E-2</v>
      </c>
    </row>
    <row r="14" spans="1:20" x14ac:dyDescent="0.35">
      <c r="A14" s="95">
        <v>17777</v>
      </c>
      <c r="B14">
        <v>40.6</v>
      </c>
      <c r="E14">
        <v>66</v>
      </c>
      <c r="F14">
        <v>47.9</v>
      </c>
      <c r="H14">
        <v>45.2</v>
      </c>
      <c r="I14">
        <v>28.3</v>
      </c>
      <c r="J14">
        <v>46.1</v>
      </c>
      <c r="L14">
        <v>42.1</v>
      </c>
      <c r="O14">
        <v>5.7293019130506004E-3</v>
      </c>
      <c r="P14">
        <v>5.3941211970956623E-2</v>
      </c>
      <c r="Q14">
        <v>2.3114910387200819E-2</v>
      </c>
    </row>
    <row r="15" spans="1:20" x14ac:dyDescent="0.35">
      <c r="A15" s="95">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35">
      <c r="A16" s="95">
        <v>17838</v>
      </c>
      <c r="B16">
        <v>43.2</v>
      </c>
      <c r="E16">
        <v>51</v>
      </c>
      <c r="F16">
        <v>48.9</v>
      </c>
      <c r="H16">
        <v>42.6</v>
      </c>
      <c r="I16">
        <v>28</v>
      </c>
      <c r="J16">
        <v>44</v>
      </c>
      <c r="L16">
        <v>42.4</v>
      </c>
      <c r="O16">
        <v>1.117121575066453E-3</v>
      </c>
      <c r="P16">
        <v>3.8867828377035368E-2</v>
      </c>
      <c r="Q16">
        <v>4.4759796419990838E-3</v>
      </c>
    </row>
    <row r="17" spans="1:20" x14ac:dyDescent="0.35">
      <c r="A17" s="95">
        <v>17868</v>
      </c>
      <c r="B17">
        <v>34.5</v>
      </c>
      <c r="E17">
        <v>47.5</v>
      </c>
      <c r="F17">
        <v>42.1</v>
      </c>
      <c r="H17">
        <v>37</v>
      </c>
      <c r="I17">
        <v>17.7</v>
      </c>
      <c r="J17">
        <v>39</v>
      </c>
      <c r="L17">
        <v>35</v>
      </c>
      <c r="O17">
        <v>1.117121575066453E-3</v>
      </c>
      <c r="P17">
        <v>3.8867828377035368E-2</v>
      </c>
      <c r="Q17">
        <v>4.4759796419990838E-3</v>
      </c>
    </row>
    <row r="18" spans="1:20" x14ac:dyDescent="0.35">
      <c r="A18" s="95">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35">
      <c r="A19" s="95">
        <v>17930</v>
      </c>
      <c r="B19">
        <v>34.200000000000003</v>
      </c>
      <c r="E19">
        <v>31.3</v>
      </c>
      <c r="F19">
        <v>39.6</v>
      </c>
      <c r="H19">
        <v>34.9</v>
      </c>
      <c r="I19">
        <v>13.1</v>
      </c>
      <c r="J19">
        <v>28.3</v>
      </c>
      <c r="L19">
        <v>31.3</v>
      </c>
      <c r="O19">
        <v>-1.377946490423314E-2</v>
      </c>
      <c r="P19">
        <v>9.3698411740303182E-3</v>
      </c>
      <c r="Q19">
        <v>-5.3989047075999941E-2</v>
      </c>
    </row>
    <row r="20" spans="1:20" x14ac:dyDescent="0.35">
      <c r="A20" s="95">
        <v>17958</v>
      </c>
      <c r="B20">
        <v>42.1</v>
      </c>
      <c r="E20">
        <v>31.8</v>
      </c>
      <c r="F20">
        <v>41.9</v>
      </c>
      <c r="H20">
        <v>33.299999999999997</v>
      </c>
      <c r="I20">
        <v>12.4</v>
      </c>
      <c r="J20">
        <v>31.1</v>
      </c>
      <c r="L20">
        <v>34.5</v>
      </c>
      <c r="O20">
        <v>-1.377946490423314E-2</v>
      </c>
      <c r="P20">
        <v>9.3698411740303182E-3</v>
      </c>
      <c r="Q20">
        <v>-5.3989047075999941E-2</v>
      </c>
    </row>
    <row r="21" spans="1:20" x14ac:dyDescent="0.35">
      <c r="A21" s="95">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35">
      <c r="A22" s="95">
        <v>18019</v>
      </c>
      <c r="B22">
        <v>41.1</v>
      </c>
      <c r="E22">
        <v>20.100000000000001</v>
      </c>
      <c r="F22">
        <v>38.200000000000003</v>
      </c>
      <c r="H22">
        <v>25.5</v>
      </c>
      <c r="I22">
        <v>15.5</v>
      </c>
      <c r="J22">
        <v>29</v>
      </c>
      <c r="L22">
        <v>32.6</v>
      </c>
      <c r="O22">
        <v>-3.4110092971006431E-3</v>
      </c>
      <c r="P22">
        <v>-1.0408129698915939E-2</v>
      </c>
      <c r="Q22">
        <v>-1.357438589464066E-2</v>
      </c>
    </row>
    <row r="23" spans="1:20" x14ac:dyDescent="0.35">
      <c r="A23" s="95">
        <v>18050</v>
      </c>
      <c r="B23">
        <v>39.799999999999997</v>
      </c>
      <c r="E23">
        <v>10.6</v>
      </c>
      <c r="F23">
        <v>38.4</v>
      </c>
      <c r="H23">
        <v>24.1</v>
      </c>
      <c r="I23">
        <v>15</v>
      </c>
      <c r="J23">
        <v>27.2</v>
      </c>
      <c r="L23">
        <v>31.6</v>
      </c>
      <c r="O23">
        <v>-3.4110092971006431E-3</v>
      </c>
      <c r="P23">
        <v>-1.0408129698915939E-2</v>
      </c>
      <c r="Q23">
        <v>-1.357438589464066E-2</v>
      </c>
    </row>
    <row r="24" spans="1:20" x14ac:dyDescent="0.35">
      <c r="A24" s="95">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35">
      <c r="A25" s="95">
        <v>18111</v>
      </c>
      <c r="B25">
        <v>55.7</v>
      </c>
      <c r="E25">
        <v>42.7</v>
      </c>
      <c r="F25">
        <v>58.5</v>
      </c>
      <c r="H25">
        <v>26.8</v>
      </c>
      <c r="I25">
        <v>33</v>
      </c>
      <c r="J25">
        <v>40</v>
      </c>
      <c r="L25">
        <v>47</v>
      </c>
      <c r="O25">
        <v>1.0324247766707E-2</v>
      </c>
      <c r="P25">
        <v>-5.8869120585402172E-3</v>
      </c>
      <c r="Q25">
        <v>4.1940944830040523E-2</v>
      </c>
    </row>
    <row r="26" spans="1:20" x14ac:dyDescent="0.35">
      <c r="A26" s="95">
        <v>18142</v>
      </c>
      <c r="B26">
        <v>58</v>
      </c>
      <c r="E26">
        <v>47.5</v>
      </c>
      <c r="F26">
        <v>60.3</v>
      </c>
      <c r="H26">
        <v>35.799999999999997</v>
      </c>
      <c r="I26">
        <v>39.9</v>
      </c>
      <c r="J26">
        <v>51.4</v>
      </c>
      <c r="L26">
        <v>52.3</v>
      </c>
      <c r="O26">
        <v>1.0324247766707E-2</v>
      </c>
      <c r="P26">
        <v>-5.8869120585402172E-3</v>
      </c>
      <c r="Q26">
        <v>4.1940944830040523E-2</v>
      </c>
    </row>
    <row r="27" spans="1:20" x14ac:dyDescent="0.35">
      <c r="A27" s="95">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35">
      <c r="A28" s="95">
        <v>18203</v>
      </c>
      <c r="B28">
        <v>58.7</v>
      </c>
      <c r="E28">
        <v>51.1</v>
      </c>
      <c r="F28">
        <v>55.7</v>
      </c>
      <c r="H28">
        <v>31.3</v>
      </c>
      <c r="I28">
        <v>51.5</v>
      </c>
      <c r="J28">
        <v>42.9</v>
      </c>
      <c r="L28">
        <v>51</v>
      </c>
      <c r="O28">
        <v>-8.3926744042991594E-3</v>
      </c>
      <c r="P28">
        <v>-1.5330175432027089E-2</v>
      </c>
      <c r="Q28">
        <v>-3.3150435372567788E-2</v>
      </c>
    </row>
    <row r="29" spans="1:20" x14ac:dyDescent="0.35">
      <c r="A29" s="95">
        <v>18233</v>
      </c>
      <c r="B29">
        <v>53.1</v>
      </c>
      <c r="E29">
        <v>49.9</v>
      </c>
      <c r="F29">
        <v>63.3</v>
      </c>
      <c r="H29">
        <v>41.7</v>
      </c>
      <c r="I29">
        <v>52.2</v>
      </c>
      <c r="J29">
        <v>52.6</v>
      </c>
      <c r="L29">
        <v>57.3</v>
      </c>
      <c r="O29">
        <v>-8.3926744042991594E-3</v>
      </c>
      <c r="P29">
        <v>-1.5330175432027089E-2</v>
      </c>
      <c r="Q29">
        <v>-3.3150435372567788E-2</v>
      </c>
    </row>
    <row r="30" spans="1:20" x14ac:dyDescent="0.35">
      <c r="A30" s="95">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35">
      <c r="A31" s="95">
        <v>18295</v>
      </c>
      <c r="B31">
        <v>62.5</v>
      </c>
      <c r="E31">
        <v>70.900000000000006</v>
      </c>
      <c r="F31">
        <v>66.7</v>
      </c>
      <c r="H31">
        <v>46.4</v>
      </c>
      <c r="I31">
        <v>68</v>
      </c>
      <c r="J31">
        <v>51.1</v>
      </c>
      <c r="L31">
        <v>60.5</v>
      </c>
      <c r="O31">
        <v>3.9300979993230782E-2</v>
      </c>
      <c r="P31">
        <v>3.7666806992497658E-2</v>
      </c>
      <c r="Q31">
        <v>0.16671651982232771</v>
      </c>
    </row>
    <row r="32" spans="1:20" x14ac:dyDescent="0.35">
      <c r="A32" s="95">
        <v>18323</v>
      </c>
      <c r="B32">
        <v>61.8</v>
      </c>
      <c r="E32">
        <v>77</v>
      </c>
      <c r="F32">
        <v>65.8</v>
      </c>
      <c r="H32">
        <v>48.8</v>
      </c>
      <c r="I32">
        <v>72</v>
      </c>
      <c r="J32">
        <v>56.9</v>
      </c>
      <c r="L32">
        <v>62.1</v>
      </c>
      <c r="O32">
        <v>3.9300979993230782E-2</v>
      </c>
      <c r="P32">
        <v>3.7666806992497658E-2</v>
      </c>
      <c r="Q32">
        <v>0.16671651982232771</v>
      </c>
    </row>
    <row r="33" spans="1:20" x14ac:dyDescent="0.35">
      <c r="A33" s="95">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35">
      <c r="A34" s="95">
        <v>18384</v>
      </c>
      <c r="B34">
        <v>76.599999999999994</v>
      </c>
      <c r="E34">
        <v>98.2</v>
      </c>
      <c r="F34">
        <v>78.099999999999994</v>
      </c>
      <c r="H34">
        <v>58.2</v>
      </c>
      <c r="I34">
        <v>82.9</v>
      </c>
      <c r="J34">
        <v>69.8</v>
      </c>
      <c r="L34">
        <v>74.7</v>
      </c>
      <c r="O34">
        <v>3.0498109876438879E-2</v>
      </c>
      <c r="P34">
        <v>7.2973606233695101E-2</v>
      </c>
      <c r="Q34">
        <v>0.1276875822943975</v>
      </c>
    </row>
    <row r="35" spans="1:20" x14ac:dyDescent="0.35">
      <c r="A35" s="95">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35">
      <c r="A36" s="95">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35">
      <c r="A37" s="95">
        <v>18476</v>
      </c>
      <c r="B37">
        <v>77.099999999999994</v>
      </c>
      <c r="E37">
        <v>84.8</v>
      </c>
      <c r="F37">
        <v>78.7</v>
      </c>
      <c r="H37">
        <v>62.3</v>
      </c>
      <c r="I37">
        <v>81.7</v>
      </c>
      <c r="J37">
        <v>72.3</v>
      </c>
      <c r="L37">
        <v>75.8</v>
      </c>
      <c r="O37">
        <v>3.864414603347914E-2</v>
      </c>
      <c r="P37">
        <v>0.1030495976182812</v>
      </c>
      <c r="Q37">
        <v>0.16376987446083291</v>
      </c>
    </row>
    <row r="38" spans="1:20" x14ac:dyDescent="0.35">
      <c r="A38" s="95">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35">
      <c r="A39" s="95">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35">
      <c r="A40" s="95">
        <v>18568</v>
      </c>
      <c r="B40">
        <v>57.2</v>
      </c>
      <c r="E40">
        <v>85.1</v>
      </c>
      <c r="F40">
        <v>63.6</v>
      </c>
      <c r="H40">
        <v>48.3</v>
      </c>
      <c r="I40">
        <v>79.099999999999994</v>
      </c>
      <c r="J40">
        <v>66.7</v>
      </c>
      <c r="L40">
        <v>63.1</v>
      </c>
      <c r="O40">
        <v>1.9147801472750019E-2</v>
      </c>
      <c r="P40">
        <v>0.1336852232840611</v>
      </c>
      <c r="Q40">
        <v>7.8819251391700762E-2</v>
      </c>
    </row>
    <row r="41" spans="1:20" x14ac:dyDescent="0.35">
      <c r="A41" s="95">
        <v>18598</v>
      </c>
      <c r="B41">
        <v>67.7</v>
      </c>
      <c r="E41">
        <v>91.1</v>
      </c>
      <c r="F41">
        <v>62.5</v>
      </c>
      <c r="H41">
        <v>49.7</v>
      </c>
      <c r="I41">
        <v>87.5</v>
      </c>
      <c r="J41">
        <v>65.099999999999994</v>
      </c>
      <c r="L41">
        <v>67.099999999999994</v>
      </c>
      <c r="O41">
        <v>1.9147801472750019E-2</v>
      </c>
      <c r="P41">
        <v>0.1336852232840611</v>
      </c>
      <c r="Q41">
        <v>7.8819251391700762E-2</v>
      </c>
    </row>
    <row r="42" spans="1:20" x14ac:dyDescent="0.35">
      <c r="A42" s="95">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35">
      <c r="A43" s="95">
        <v>18660</v>
      </c>
      <c r="B43">
        <v>70</v>
      </c>
      <c r="E43">
        <v>86.5</v>
      </c>
      <c r="F43">
        <v>61.4</v>
      </c>
      <c r="H43">
        <v>42.1</v>
      </c>
      <c r="I43">
        <v>93.3</v>
      </c>
      <c r="J43">
        <v>73.7</v>
      </c>
      <c r="L43">
        <v>69.3</v>
      </c>
      <c r="O43">
        <v>1.3581587642352811E-2</v>
      </c>
      <c r="P43">
        <v>0.1056301212286148</v>
      </c>
      <c r="Q43">
        <v>5.5443162744754693E-2</v>
      </c>
    </row>
    <row r="44" spans="1:20" x14ac:dyDescent="0.35">
      <c r="A44" s="95">
        <v>18688</v>
      </c>
      <c r="B44">
        <v>61</v>
      </c>
      <c r="E44">
        <v>76.599999999999994</v>
      </c>
      <c r="F44">
        <v>61.2</v>
      </c>
      <c r="H44">
        <v>47.4</v>
      </c>
      <c r="I44">
        <v>85.1</v>
      </c>
      <c r="J44">
        <v>72</v>
      </c>
      <c r="L44">
        <v>65.5</v>
      </c>
      <c r="O44">
        <v>1.3581587642352811E-2</v>
      </c>
      <c r="P44">
        <v>0.1056301212286148</v>
      </c>
      <c r="Q44">
        <v>5.5443162744754693E-2</v>
      </c>
    </row>
    <row r="45" spans="1:20" x14ac:dyDescent="0.35">
      <c r="A45" s="95">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35">
      <c r="A46" s="95">
        <v>18749</v>
      </c>
      <c r="B46">
        <v>45.2</v>
      </c>
      <c r="E46">
        <v>63.6</v>
      </c>
      <c r="F46">
        <v>54.2</v>
      </c>
      <c r="H46">
        <v>51.2</v>
      </c>
      <c r="I46">
        <v>45</v>
      </c>
      <c r="J46">
        <v>58.8</v>
      </c>
      <c r="L46">
        <v>50.7</v>
      </c>
      <c r="O46">
        <v>1.7327104373413171E-2</v>
      </c>
      <c r="P46">
        <v>9.1498838238916594E-2</v>
      </c>
      <c r="Q46">
        <v>7.1130687272042525E-2</v>
      </c>
    </row>
    <row r="47" spans="1:20" x14ac:dyDescent="0.35">
      <c r="A47" s="95">
        <v>18780</v>
      </c>
      <c r="B47">
        <v>39.1</v>
      </c>
      <c r="E47">
        <v>52.1</v>
      </c>
      <c r="F47">
        <v>48.6</v>
      </c>
      <c r="H47">
        <v>48.4</v>
      </c>
      <c r="I47">
        <v>36.700000000000003</v>
      </c>
      <c r="J47">
        <v>56.4</v>
      </c>
      <c r="L47">
        <v>45.5</v>
      </c>
      <c r="O47">
        <v>1.7327104373413171E-2</v>
      </c>
      <c r="P47">
        <v>9.1498838238916594E-2</v>
      </c>
      <c r="Q47">
        <v>7.1130687272042525E-2</v>
      </c>
    </row>
    <row r="48" spans="1:20" x14ac:dyDescent="0.35">
      <c r="A48" s="95">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35">
      <c r="A49" s="95">
        <v>18841</v>
      </c>
      <c r="B49">
        <v>38.5</v>
      </c>
      <c r="E49">
        <v>43.2</v>
      </c>
      <c r="F49">
        <v>48.4</v>
      </c>
      <c r="H49">
        <v>46.7</v>
      </c>
      <c r="I49">
        <v>32</v>
      </c>
      <c r="J49">
        <v>51.7</v>
      </c>
      <c r="L49">
        <v>43.6</v>
      </c>
      <c r="O49">
        <v>2.0609987979811371E-2</v>
      </c>
      <c r="P49">
        <v>7.2546955017537634E-2</v>
      </c>
      <c r="Q49">
        <v>8.5023780127983395E-2</v>
      </c>
    </row>
    <row r="50" spans="1:20" x14ac:dyDescent="0.35">
      <c r="A50" s="95">
        <v>18872</v>
      </c>
      <c r="B50">
        <v>48.2</v>
      </c>
      <c r="E50">
        <v>45.7</v>
      </c>
      <c r="F50">
        <v>50.2</v>
      </c>
      <c r="H50">
        <v>43.8</v>
      </c>
      <c r="I50">
        <v>46.4</v>
      </c>
      <c r="J50">
        <v>48.6</v>
      </c>
      <c r="L50">
        <v>48.1</v>
      </c>
      <c r="O50">
        <v>2.0609987979811371E-2</v>
      </c>
      <c r="P50">
        <v>7.2546955017537634E-2</v>
      </c>
      <c r="Q50">
        <v>8.5023780127983395E-2</v>
      </c>
    </row>
    <row r="51" spans="1:20" x14ac:dyDescent="0.35">
      <c r="A51" s="95">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35">
      <c r="A52" s="95">
        <v>18933</v>
      </c>
      <c r="B52">
        <v>49.3</v>
      </c>
      <c r="E52">
        <v>55.6</v>
      </c>
      <c r="F52">
        <v>50.9</v>
      </c>
      <c r="H52">
        <v>44.5</v>
      </c>
      <c r="I52">
        <v>34.9</v>
      </c>
      <c r="J52">
        <v>50.2</v>
      </c>
      <c r="L52">
        <v>47.2</v>
      </c>
      <c r="O52">
        <v>2.202495736847894E-3</v>
      </c>
      <c r="P52">
        <v>5.4713784948761307E-2</v>
      </c>
      <c r="Q52">
        <v>8.8391316328653158E-3</v>
      </c>
    </row>
    <row r="53" spans="1:20" x14ac:dyDescent="0.35">
      <c r="A53" s="95">
        <v>18963</v>
      </c>
      <c r="B53">
        <v>45.3</v>
      </c>
      <c r="E53">
        <v>56.6</v>
      </c>
      <c r="F53">
        <v>52.8</v>
      </c>
      <c r="H53">
        <v>42.6</v>
      </c>
      <c r="I53">
        <v>33.6</v>
      </c>
      <c r="J53">
        <v>51.8</v>
      </c>
      <c r="L53">
        <v>46.5</v>
      </c>
      <c r="O53">
        <v>2.202495736847894E-3</v>
      </c>
      <c r="P53">
        <v>5.4713784948761307E-2</v>
      </c>
      <c r="Q53">
        <v>8.8391316328653158E-3</v>
      </c>
    </row>
    <row r="54" spans="1:20" x14ac:dyDescent="0.35">
      <c r="A54" s="95">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35">
      <c r="A55" s="95">
        <v>19025</v>
      </c>
      <c r="B55">
        <v>42.3</v>
      </c>
      <c r="E55">
        <v>52.7</v>
      </c>
      <c r="F55">
        <v>49.9</v>
      </c>
      <c r="H55">
        <v>39.299999999999997</v>
      </c>
      <c r="I55">
        <v>24.9</v>
      </c>
      <c r="J55">
        <v>44.8</v>
      </c>
      <c r="L55">
        <v>41.8</v>
      </c>
      <c r="O55">
        <v>1.0685344087321091E-2</v>
      </c>
      <c r="P55">
        <v>5.1700008811443751E-2</v>
      </c>
      <c r="Q55">
        <v>4.3431328919264052E-2</v>
      </c>
    </row>
    <row r="56" spans="1:20" x14ac:dyDescent="0.35">
      <c r="A56" s="95">
        <v>19054</v>
      </c>
      <c r="B56">
        <v>43.7</v>
      </c>
      <c r="E56">
        <v>44.7</v>
      </c>
      <c r="F56">
        <v>48.7</v>
      </c>
      <c r="H56">
        <v>35.6</v>
      </c>
      <c r="I56">
        <v>18.8</v>
      </c>
      <c r="J56">
        <v>41.8</v>
      </c>
      <c r="L56">
        <v>40</v>
      </c>
      <c r="O56">
        <v>1.0685344087321091E-2</v>
      </c>
      <c r="P56">
        <v>5.1700008811443751E-2</v>
      </c>
      <c r="Q56">
        <v>4.3431328919264052E-2</v>
      </c>
    </row>
    <row r="57" spans="1:20" x14ac:dyDescent="0.35">
      <c r="A57" s="95">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35">
      <c r="A58" s="95">
        <v>19115</v>
      </c>
      <c r="B58">
        <v>43.9</v>
      </c>
      <c r="E58">
        <v>38.799999999999997</v>
      </c>
      <c r="F58">
        <v>45.7</v>
      </c>
      <c r="H58">
        <v>30.3</v>
      </c>
      <c r="I58">
        <v>22.4</v>
      </c>
      <c r="J58">
        <v>42.7</v>
      </c>
      <c r="L58">
        <v>39.5</v>
      </c>
      <c r="O58">
        <v>2.153966941563661E-3</v>
      </c>
      <c r="P58">
        <v>3.601420952213661E-2</v>
      </c>
      <c r="Q58">
        <v>8.6437452032444018E-3</v>
      </c>
    </row>
    <row r="59" spans="1:20" x14ac:dyDescent="0.35">
      <c r="A59" s="95">
        <v>19146</v>
      </c>
      <c r="B59">
        <v>46.3</v>
      </c>
      <c r="E59">
        <v>40.4</v>
      </c>
      <c r="F59">
        <v>49.5</v>
      </c>
      <c r="H59">
        <v>33.799999999999997</v>
      </c>
      <c r="I59">
        <v>33</v>
      </c>
      <c r="J59">
        <v>43.5</v>
      </c>
      <c r="L59">
        <v>43.3</v>
      </c>
      <c r="O59">
        <v>2.153966941563661E-3</v>
      </c>
      <c r="P59">
        <v>3.601420952213661E-2</v>
      </c>
      <c r="Q59">
        <v>8.6437452032444018E-3</v>
      </c>
    </row>
    <row r="60" spans="1:20" x14ac:dyDescent="0.35">
      <c r="A60" s="95">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35">
      <c r="A61" s="95">
        <v>19207</v>
      </c>
      <c r="B61">
        <v>58.5</v>
      </c>
      <c r="E61">
        <v>54.7</v>
      </c>
      <c r="F61">
        <v>84</v>
      </c>
      <c r="H61">
        <v>30.5</v>
      </c>
      <c r="I61">
        <v>41.2</v>
      </c>
      <c r="J61">
        <v>63.1</v>
      </c>
      <c r="L61">
        <v>60.4</v>
      </c>
      <c r="O61">
        <v>7.2184921511505469E-3</v>
      </c>
      <c r="P61">
        <v>2.2420593813249911E-2</v>
      </c>
      <c r="Q61">
        <v>2.918811561848789E-2</v>
      </c>
    </row>
    <row r="62" spans="1:20" x14ac:dyDescent="0.35">
      <c r="A62" s="95">
        <v>19238</v>
      </c>
      <c r="B62">
        <v>60.3</v>
      </c>
      <c r="E62">
        <v>57.9</v>
      </c>
      <c r="F62">
        <v>66</v>
      </c>
      <c r="H62">
        <v>38.6</v>
      </c>
      <c r="I62">
        <v>42.7</v>
      </c>
      <c r="J62">
        <v>56.2</v>
      </c>
      <c r="L62">
        <v>56.1</v>
      </c>
      <c r="O62">
        <v>7.2184921511505469E-3</v>
      </c>
      <c r="P62">
        <v>2.2420593813249911E-2</v>
      </c>
      <c r="Q62">
        <v>2.918811561848789E-2</v>
      </c>
    </row>
    <row r="63" spans="1:20" x14ac:dyDescent="0.35">
      <c r="A63" s="95">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35">
      <c r="A64" s="95">
        <v>19299</v>
      </c>
      <c r="B64">
        <v>58.8</v>
      </c>
      <c r="E64">
        <v>49.7</v>
      </c>
      <c r="F64">
        <v>65</v>
      </c>
      <c r="H64">
        <v>39.9</v>
      </c>
      <c r="I64">
        <v>45</v>
      </c>
      <c r="J64">
        <v>60.9</v>
      </c>
      <c r="L64">
        <v>56.8</v>
      </c>
      <c r="O64">
        <v>3.2842157112222173E-2</v>
      </c>
      <c r="P64">
        <v>5.3678369473262447E-2</v>
      </c>
      <c r="Q64">
        <v>0.13798313070477031</v>
      </c>
    </row>
    <row r="65" spans="1:20" x14ac:dyDescent="0.35">
      <c r="A65" s="95">
        <v>19329</v>
      </c>
      <c r="B65">
        <v>60.4</v>
      </c>
      <c r="E65">
        <v>48.2</v>
      </c>
      <c r="F65">
        <v>64.3</v>
      </c>
      <c r="H65">
        <v>40</v>
      </c>
      <c r="I65">
        <v>43.5</v>
      </c>
      <c r="J65">
        <v>55.6</v>
      </c>
      <c r="L65">
        <v>55.8</v>
      </c>
      <c r="O65">
        <v>3.2842157112222173E-2</v>
      </c>
      <c r="P65">
        <v>5.3678369473262447E-2</v>
      </c>
      <c r="Q65">
        <v>0.13798313070477031</v>
      </c>
    </row>
    <row r="66" spans="1:20" x14ac:dyDescent="0.35">
      <c r="A66" s="95">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35">
      <c r="A67" s="95">
        <v>19391</v>
      </c>
      <c r="B67">
        <v>56</v>
      </c>
      <c r="E67">
        <v>54.5</v>
      </c>
      <c r="F67">
        <v>62.4</v>
      </c>
      <c r="H67">
        <v>44.3</v>
      </c>
      <c r="I67">
        <v>41.8</v>
      </c>
      <c r="J67">
        <v>61.7</v>
      </c>
      <c r="L67">
        <v>55.4</v>
      </c>
      <c r="O67">
        <v>1.8588674823075951E-2</v>
      </c>
      <c r="P67">
        <v>6.1917895940897291E-2</v>
      </c>
      <c r="Q67">
        <v>7.6453744115379418E-2</v>
      </c>
    </row>
    <row r="68" spans="1:20" x14ac:dyDescent="0.35">
      <c r="A68" s="95">
        <v>19419</v>
      </c>
      <c r="B68">
        <v>47.2</v>
      </c>
      <c r="E68">
        <v>73.3</v>
      </c>
      <c r="F68">
        <v>54</v>
      </c>
      <c r="H68">
        <v>46.4</v>
      </c>
      <c r="I68">
        <v>41.8</v>
      </c>
      <c r="J68">
        <v>59.4</v>
      </c>
      <c r="L68">
        <v>50.5</v>
      </c>
      <c r="O68">
        <v>1.8588674823075951E-2</v>
      </c>
      <c r="P68">
        <v>6.1917895940897291E-2</v>
      </c>
      <c r="Q68">
        <v>7.6453744115379418E-2</v>
      </c>
    </row>
    <row r="69" spans="1:20" x14ac:dyDescent="0.35">
      <c r="A69" s="95">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35">
      <c r="A70" s="95">
        <v>19480</v>
      </c>
      <c r="B70">
        <v>49.3</v>
      </c>
      <c r="E70">
        <v>72.3</v>
      </c>
      <c r="F70">
        <v>57.1</v>
      </c>
      <c r="H70">
        <v>41.2</v>
      </c>
      <c r="I70">
        <v>35.1</v>
      </c>
      <c r="J70">
        <v>52.3</v>
      </c>
      <c r="L70">
        <v>48.9</v>
      </c>
      <c r="O70">
        <v>7.7293802012741919E-3</v>
      </c>
      <c r="P70">
        <v>6.7825801625112397E-2</v>
      </c>
      <c r="Q70">
        <v>3.1277831399421967E-2</v>
      </c>
    </row>
    <row r="71" spans="1:20" x14ac:dyDescent="0.35">
      <c r="A71" s="95">
        <v>19511</v>
      </c>
      <c r="B71">
        <v>48.3</v>
      </c>
      <c r="E71">
        <v>69.7</v>
      </c>
      <c r="F71">
        <v>55.2</v>
      </c>
      <c r="H71">
        <v>44.6</v>
      </c>
      <c r="I71">
        <v>33.299999999999997</v>
      </c>
      <c r="J71">
        <v>53.8</v>
      </c>
      <c r="L71">
        <v>48.5</v>
      </c>
      <c r="O71">
        <v>7.7293802012741919E-3</v>
      </c>
      <c r="P71">
        <v>6.7825801625112397E-2</v>
      </c>
      <c r="Q71">
        <v>3.1277831399421967E-2</v>
      </c>
    </row>
    <row r="72" spans="1:20" x14ac:dyDescent="0.35">
      <c r="A72" s="95">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35">
      <c r="A73" s="95">
        <v>19572</v>
      </c>
      <c r="B73">
        <v>42.1</v>
      </c>
      <c r="E73">
        <v>55.8</v>
      </c>
      <c r="F73">
        <v>50.7</v>
      </c>
      <c r="H73">
        <v>46.2</v>
      </c>
      <c r="I73">
        <v>26.5</v>
      </c>
      <c r="J73">
        <v>48.1</v>
      </c>
      <c r="L73">
        <v>43.5</v>
      </c>
      <c r="O73">
        <v>-5.6267703117660051E-3</v>
      </c>
      <c r="P73">
        <v>5.4207601807062959E-2</v>
      </c>
      <c r="Q73">
        <v>-2.2317829566265272E-2</v>
      </c>
    </row>
    <row r="74" spans="1:20" x14ac:dyDescent="0.35">
      <c r="A74" s="95">
        <v>19603</v>
      </c>
      <c r="B74">
        <v>39.9</v>
      </c>
      <c r="E74">
        <v>43.8</v>
      </c>
      <c r="F74">
        <v>46.8</v>
      </c>
      <c r="H74">
        <v>43.3</v>
      </c>
      <c r="I74">
        <v>23.2</v>
      </c>
      <c r="J74">
        <v>43.8</v>
      </c>
      <c r="L74">
        <v>40.200000000000003</v>
      </c>
      <c r="O74">
        <v>-5.6267703117660051E-3</v>
      </c>
      <c r="P74">
        <v>5.4207601807062959E-2</v>
      </c>
      <c r="Q74">
        <v>-2.2317829566265272E-2</v>
      </c>
    </row>
    <row r="75" spans="1:20" x14ac:dyDescent="0.35">
      <c r="A75" s="95">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35">
      <c r="A76" s="95">
        <v>19664</v>
      </c>
      <c r="B76">
        <v>40.9</v>
      </c>
      <c r="E76">
        <v>47</v>
      </c>
      <c r="F76">
        <v>43.4</v>
      </c>
      <c r="H76">
        <v>35.5</v>
      </c>
      <c r="I76">
        <v>20.2</v>
      </c>
      <c r="J76">
        <v>35.799999999999997</v>
      </c>
      <c r="L76">
        <v>36.9</v>
      </c>
      <c r="O76">
        <v>-1.5139406296922391E-2</v>
      </c>
      <c r="P76">
        <v>5.2334884401820294E-3</v>
      </c>
      <c r="Q76">
        <v>-5.9196242822145077E-2</v>
      </c>
    </row>
    <row r="77" spans="1:20" x14ac:dyDescent="0.35">
      <c r="A77" s="95">
        <v>19694</v>
      </c>
      <c r="B77">
        <v>37.5</v>
      </c>
      <c r="E77">
        <v>47.7</v>
      </c>
      <c r="F77">
        <v>41.3</v>
      </c>
      <c r="H77">
        <v>34.200000000000003</v>
      </c>
      <c r="I77">
        <v>21.8</v>
      </c>
      <c r="J77">
        <v>36.6</v>
      </c>
      <c r="L77">
        <v>35.6</v>
      </c>
      <c r="O77">
        <v>-1.5139406296922391E-2</v>
      </c>
      <c r="P77">
        <v>5.2334884401820294E-3</v>
      </c>
      <c r="Q77">
        <v>-5.9196242822145077E-2</v>
      </c>
    </row>
    <row r="78" spans="1:20" x14ac:dyDescent="0.35">
      <c r="A78" s="95">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35">
      <c r="A79" s="95">
        <v>19756</v>
      </c>
      <c r="B79">
        <v>50.3</v>
      </c>
      <c r="E79">
        <v>41.6</v>
      </c>
      <c r="F79">
        <v>46</v>
      </c>
      <c r="H79">
        <v>30.9</v>
      </c>
      <c r="I79">
        <v>26.9</v>
      </c>
      <c r="J79">
        <v>34.799999999999997</v>
      </c>
      <c r="L79">
        <v>40.700000000000003</v>
      </c>
      <c r="O79">
        <v>-4.780238876824148E-3</v>
      </c>
      <c r="P79">
        <v>-1.7829024643117721E-2</v>
      </c>
      <c r="Q79">
        <v>-1.8984287809732381E-2</v>
      </c>
    </row>
    <row r="80" spans="1:20" x14ac:dyDescent="0.35">
      <c r="A80" s="95">
        <v>19784</v>
      </c>
      <c r="B80">
        <v>54.7</v>
      </c>
      <c r="E80">
        <v>46.6</v>
      </c>
      <c r="F80">
        <v>51.5</v>
      </c>
      <c r="H80">
        <v>31.6</v>
      </c>
      <c r="I80">
        <v>28</v>
      </c>
      <c r="J80">
        <v>40.200000000000003</v>
      </c>
      <c r="L80">
        <v>44.7</v>
      </c>
      <c r="O80">
        <v>-4.780238876824148E-3</v>
      </c>
      <c r="P80">
        <v>-1.7829024643117721E-2</v>
      </c>
      <c r="Q80">
        <v>-1.8984287809732381E-2</v>
      </c>
    </row>
    <row r="81" spans="1:20" x14ac:dyDescent="0.35">
      <c r="A81" s="95">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35">
      <c r="A82" s="95">
        <v>19845</v>
      </c>
      <c r="B82">
        <v>60.2</v>
      </c>
      <c r="E82">
        <v>45.6</v>
      </c>
      <c r="F82">
        <v>56.3</v>
      </c>
      <c r="H82">
        <v>39.1</v>
      </c>
      <c r="I82">
        <v>34.299999999999997</v>
      </c>
      <c r="J82">
        <v>44.5</v>
      </c>
      <c r="L82">
        <v>50.1</v>
      </c>
      <c r="O82">
        <v>1.0899219555539361E-3</v>
      </c>
      <c r="P82">
        <v>-2.430009049587464E-2</v>
      </c>
      <c r="Q82">
        <v>4.3668205818458983E-3</v>
      </c>
    </row>
    <row r="83" spans="1:20" x14ac:dyDescent="0.35">
      <c r="A83" s="95">
        <v>19876</v>
      </c>
      <c r="B83">
        <v>64.599999999999994</v>
      </c>
      <c r="E83">
        <v>52.5</v>
      </c>
      <c r="F83">
        <v>59.4</v>
      </c>
      <c r="H83">
        <v>34.4</v>
      </c>
      <c r="I83">
        <v>35.799999999999997</v>
      </c>
      <c r="J83">
        <v>45.2</v>
      </c>
      <c r="L83">
        <v>52.1</v>
      </c>
      <c r="O83">
        <v>1.0899219555539361E-3</v>
      </c>
      <c r="P83">
        <v>-2.430009049587464E-2</v>
      </c>
      <c r="Q83">
        <v>4.3668205818458983E-3</v>
      </c>
    </row>
    <row r="84" spans="1:20" x14ac:dyDescent="0.35">
      <c r="A84" s="95">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35">
      <c r="A85" s="95">
        <v>19937</v>
      </c>
      <c r="B85">
        <v>56.6</v>
      </c>
      <c r="E85">
        <v>41.7</v>
      </c>
      <c r="F85">
        <v>56.2</v>
      </c>
      <c r="H85">
        <v>37.700000000000003</v>
      </c>
      <c r="I85">
        <v>36.4</v>
      </c>
      <c r="J85">
        <v>37.700000000000003</v>
      </c>
      <c r="L85">
        <v>54.4</v>
      </c>
      <c r="O85">
        <v>1.129346276600556E-2</v>
      </c>
      <c r="P85">
        <v>-7.697602225000209E-3</v>
      </c>
      <c r="Q85">
        <v>4.5944882715464493E-2</v>
      </c>
    </row>
    <row r="86" spans="1:20" x14ac:dyDescent="0.35">
      <c r="A86" s="95">
        <v>19968</v>
      </c>
      <c r="B86">
        <v>62.2</v>
      </c>
      <c r="E86">
        <v>53</v>
      </c>
      <c r="F86">
        <v>57</v>
      </c>
      <c r="H86">
        <v>40.799999999999997</v>
      </c>
      <c r="I86">
        <v>43.6</v>
      </c>
      <c r="J86">
        <v>49.7</v>
      </c>
      <c r="L86">
        <v>53.5</v>
      </c>
      <c r="O86">
        <v>1.129346276600556E-2</v>
      </c>
      <c r="P86">
        <v>-7.697602225000209E-3</v>
      </c>
      <c r="Q86">
        <v>4.5944882715464493E-2</v>
      </c>
    </row>
    <row r="87" spans="1:20" x14ac:dyDescent="0.35">
      <c r="A87" s="95">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35">
      <c r="A88" s="95">
        <v>20029</v>
      </c>
      <c r="B88">
        <v>66</v>
      </c>
      <c r="E88">
        <v>57.8</v>
      </c>
      <c r="F88">
        <v>63</v>
      </c>
      <c r="H88">
        <v>44.7</v>
      </c>
      <c r="I88">
        <v>51.9</v>
      </c>
      <c r="J88">
        <v>55.1</v>
      </c>
      <c r="L88">
        <v>58.8</v>
      </c>
      <c r="O88">
        <v>1.9566880765181729E-2</v>
      </c>
      <c r="P88">
        <v>2.7270932499393798E-2</v>
      </c>
      <c r="Q88">
        <v>8.0594812306759467E-2</v>
      </c>
    </row>
    <row r="89" spans="1:20" x14ac:dyDescent="0.35">
      <c r="A89" s="95">
        <v>20059</v>
      </c>
      <c r="B89">
        <v>73.599999999999994</v>
      </c>
      <c r="E89">
        <v>59.1</v>
      </c>
      <c r="F89">
        <v>70.5</v>
      </c>
      <c r="H89">
        <v>47.1</v>
      </c>
      <c r="I89">
        <v>54.5</v>
      </c>
      <c r="J89">
        <v>55.8</v>
      </c>
      <c r="L89">
        <v>63.8</v>
      </c>
      <c r="O89">
        <v>1.9566880765181729E-2</v>
      </c>
      <c r="P89">
        <v>2.7270932499393798E-2</v>
      </c>
      <c r="Q89">
        <v>8.0594812306759467E-2</v>
      </c>
    </row>
    <row r="90" spans="1:20" x14ac:dyDescent="0.35">
      <c r="A90" s="95">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35">
      <c r="A91" s="95">
        <v>20121</v>
      </c>
      <c r="B91">
        <v>73.900000000000006</v>
      </c>
      <c r="E91">
        <v>82</v>
      </c>
      <c r="F91">
        <v>70.900000000000006</v>
      </c>
      <c r="H91">
        <v>51.3</v>
      </c>
      <c r="I91">
        <v>67.2</v>
      </c>
      <c r="J91">
        <v>63.4</v>
      </c>
      <c r="L91">
        <v>67.8</v>
      </c>
      <c r="O91">
        <v>2.85623465450719E-2</v>
      </c>
      <c r="P91">
        <v>6.1687319870597307E-2</v>
      </c>
      <c r="Q91">
        <v>0.11923810308548791</v>
      </c>
    </row>
    <row r="92" spans="1:20" x14ac:dyDescent="0.35">
      <c r="A92" s="95">
        <v>20149</v>
      </c>
      <c r="B92">
        <v>71.5</v>
      </c>
      <c r="E92">
        <v>69.8</v>
      </c>
      <c r="F92">
        <v>71</v>
      </c>
      <c r="H92">
        <v>54.4</v>
      </c>
      <c r="I92">
        <v>68.5</v>
      </c>
      <c r="J92">
        <v>63</v>
      </c>
      <c r="L92">
        <v>67.5</v>
      </c>
      <c r="O92">
        <v>2.85623465450719E-2</v>
      </c>
      <c r="P92">
        <v>6.1687319870597307E-2</v>
      </c>
      <c r="Q92">
        <v>0.11923810308548791</v>
      </c>
    </row>
    <row r="93" spans="1:20" x14ac:dyDescent="0.35">
      <c r="A93" s="95">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35">
      <c r="A94" s="95">
        <v>20210</v>
      </c>
      <c r="B94">
        <v>72.900000000000006</v>
      </c>
      <c r="E94">
        <v>81</v>
      </c>
      <c r="F94">
        <v>73.5</v>
      </c>
      <c r="H94">
        <v>56.6</v>
      </c>
      <c r="I94">
        <v>68.7</v>
      </c>
      <c r="J94">
        <v>66.2</v>
      </c>
      <c r="L94">
        <v>69.5</v>
      </c>
      <c r="O94">
        <v>1.6272049572063001E-2</v>
      </c>
      <c r="P94">
        <v>7.7788443281787259E-2</v>
      </c>
      <c r="Q94">
        <v>6.669418000707128E-2</v>
      </c>
    </row>
    <row r="95" spans="1:20" x14ac:dyDescent="0.35">
      <c r="A95" s="95">
        <v>20241</v>
      </c>
      <c r="B95">
        <v>60.9</v>
      </c>
      <c r="E95">
        <v>75.900000000000006</v>
      </c>
      <c r="F95">
        <v>65.5</v>
      </c>
      <c r="H95">
        <v>65.2</v>
      </c>
      <c r="I95">
        <v>65.7</v>
      </c>
      <c r="J95">
        <v>61.2</v>
      </c>
      <c r="L95">
        <v>63.3</v>
      </c>
      <c r="O95">
        <v>1.6272049572063001E-2</v>
      </c>
      <c r="P95">
        <v>7.7788443281787259E-2</v>
      </c>
      <c r="Q95">
        <v>6.669418000707128E-2</v>
      </c>
    </row>
    <row r="96" spans="1:20" x14ac:dyDescent="0.35">
      <c r="A96" s="95">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35">
      <c r="A97" s="95">
        <v>20302</v>
      </c>
      <c r="B97">
        <v>70.400000000000006</v>
      </c>
      <c r="E97">
        <v>79.5</v>
      </c>
      <c r="F97">
        <v>67.099999999999994</v>
      </c>
      <c r="H97">
        <v>54.2</v>
      </c>
      <c r="I97">
        <v>64.3</v>
      </c>
      <c r="J97">
        <v>59.2</v>
      </c>
      <c r="L97">
        <v>64.8</v>
      </c>
      <c r="O97">
        <v>1.350464287636728E-2</v>
      </c>
      <c r="P97">
        <v>8.0145013809242382E-2</v>
      </c>
      <c r="Q97">
        <v>5.5122708699020251E-2</v>
      </c>
    </row>
    <row r="98" spans="1:20" x14ac:dyDescent="0.35">
      <c r="A98" s="95">
        <v>20333</v>
      </c>
      <c r="B98">
        <v>63.7</v>
      </c>
      <c r="E98">
        <v>82.2</v>
      </c>
      <c r="F98">
        <v>64.3</v>
      </c>
      <c r="H98">
        <v>53.5</v>
      </c>
      <c r="I98">
        <v>66.3</v>
      </c>
      <c r="J98">
        <v>59.7</v>
      </c>
      <c r="L98">
        <v>62.4</v>
      </c>
      <c r="O98">
        <v>1.350464287636728E-2</v>
      </c>
      <c r="P98">
        <v>8.0145013809242382E-2</v>
      </c>
      <c r="Q98">
        <v>5.5122708699020251E-2</v>
      </c>
    </row>
    <row r="99" spans="1:20" x14ac:dyDescent="0.35">
      <c r="A99" s="95">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35">
      <c r="A100" s="95">
        <v>20394</v>
      </c>
      <c r="B100">
        <v>61.5</v>
      </c>
      <c r="E100">
        <v>77.3</v>
      </c>
      <c r="F100">
        <v>63.9</v>
      </c>
      <c r="H100">
        <v>55.5</v>
      </c>
      <c r="I100">
        <v>64.900000000000006</v>
      </c>
      <c r="J100">
        <v>61.3</v>
      </c>
      <c r="L100">
        <v>62</v>
      </c>
      <c r="O100">
        <v>6.0032873749215074E-3</v>
      </c>
      <c r="P100">
        <v>6.5775531977084092E-2</v>
      </c>
      <c r="Q100">
        <v>2.4230252975287799E-2</v>
      </c>
    </row>
    <row r="101" spans="1:20" x14ac:dyDescent="0.35">
      <c r="A101" s="95">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35">
      <c r="A102" s="95">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35">
      <c r="A103" s="95">
        <v>20486</v>
      </c>
      <c r="B103">
        <v>56.2</v>
      </c>
      <c r="E103">
        <v>83.5</v>
      </c>
      <c r="F103">
        <v>63.5</v>
      </c>
      <c r="H103">
        <v>56.1</v>
      </c>
      <c r="I103">
        <v>51.3</v>
      </c>
      <c r="J103">
        <v>61</v>
      </c>
      <c r="L103">
        <v>58.2</v>
      </c>
      <c r="O103">
        <v>-3.8838046818890659E-3</v>
      </c>
      <c r="P103">
        <v>3.2155485316151887E-2</v>
      </c>
      <c r="Q103">
        <v>-1.5444949199477359E-2</v>
      </c>
    </row>
    <row r="104" spans="1:20" x14ac:dyDescent="0.35">
      <c r="A104" s="95">
        <v>20515</v>
      </c>
      <c r="B104">
        <v>57.3</v>
      </c>
      <c r="E104">
        <v>87.7</v>
      </c>
      <c r="F104">
        <v>61</v>
      </c>
      <c r="H104">
        <v>57.2</v>
      </c>
      <c r="I104">
        <v>51</v>
      </c>
      <c r="J104">
        <v>56.9</v>
      </c>
      <c r="L104">
        <v>57.2</v>
      </c>
      <c r="O104">
        <v>-3.8838046818890659E-3</v>
      </c>
      <c r="P104">
        <v>3.2155485316151887E-2</v>
      </c>
      <c r="Q104">
        <v>-1.5444949199477359E-2</v>
      </c>
    </row>
    <row r="105" spans="1:20" x14ac:dyDescent="0.35">
      <c r="A105" s="95">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35">
      <c r="A106" s="95">
        <v>20576</v>
      </c>
      <c r="B106">
        <v>53</v>
      </c>
      <c r="E106">
        <v>81.7</v>
      </c>
      <c r="F106">
        <v>52.8</v>
      </c>
      <c r="H106">
        <v>60.3</v>
      </c>
      <c r="I106">
        <v>38.6</v>
      </c>
      <c r="J106">
        <v>51.4</v>
      </c>
      <c r="L106">
        <v>51.2</v>
      </c>
      <c r="O106">
        <v>8.2631942666303998E-3</v>
      </c>
      <c r="P106">
        <v>2.4021458666411331E-2</v>
      </c>
      <c r="Q106">
        <v>3.3464720861821728E-2</v>
      </c>
    </row>
    <row r="107" spans="1:20" x14ac:dyDescent="0.35">
      <c r="A107" s="95">
        <v>20607</v>
      </c>
      <c r="B107">
        <v>48.9</v>
      </c>
      <c r="E107">
        <v>65.7</v>
      </c>
      <c r="F107">
        <v>49.2</v>
      </c>
      <c r="H107">
        <v>58.4</v>
      </c>
      <c r="I107">
        <v>41</v>
      </c>
      <c r="J107">
        <v>43.9</v>
      </c>
      <c r="L107">
        <v>47.7</v>
      </c>
      <c r="O107">
        <v>8.2631942666303998E-3</v>
      </c>
      <c r="P107">
        <v>2.4021458666411331E-2</v>
      </c>
      <c r="Q107">
        <v>3.3464720861821728E-2</v>
      </c>
    </row>
    <row r="108" spans="1:20" x14ac:dyDescent="0.35">
      <c r="A108" s="95">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35">
      <c r="A109" s="95">
        <v>20668</v>
      </c>
      <c r="B109">
        <v>54.3</v>
      </c>
      <c r="E109">
        <v>76.3</v>
      </c>
      <c r="F109">
        <v>51.5</v>
      </c>
      <c r="H109">
        <v>52.1</v>
      </c>
      <c r="I109">
        <v>46.8</v>
      </c>
      <c r="J109">
        <v>50.3</v>
      </c>
      <c r="L109">
        <v>51.5</v>
      </c>
      <c r="O109">
        <v>-8.9839592636159265E-4</v>
      </c>
      <c r="P109">
        <v>9.4689641044317929E-3</v>
      </c>
      <c r="Q109">
        <v>-3.588743913787829E-3</v>
      </c>
    </row>
    <row r="110" spans="1:20" x14ac:dyDescent="0.35">
      <c r="A110" s="95">
        <v>20699</v>
      </c>
      <c r="B110">
        <v>60.5</v>
      </c>
      <c r="E110">
        <v>79.5</v>
      </c>
      <c r="F110">
        <v>60.2</v>
      </c>
      <c r="H110">
        <v>53.1</v>
      </c>
      <c r="I110">
        <v>42.8</v>
      </c>
      <c r="J110">
        <v>52.9</v>
      </c>
      <c r="L110">
        <v>55.5</v>
      </c>
      <c r="O110">
        <v>-8.9839592636159265E-4</v>
      </c>
      <c r="P110">
        <v>9.4689641044317929E-3</v>
      </c>
      <c r="Q110">
        <v>-3.588743913787829E-3</v>
      </c>
    </row>
    <row r="111" spans="1:20" x14ac:dyDescent="0.35">
      <c r="A111" s="95">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35">
      <c r="A112" s="95">
        <v>20760</v>
      </c>
      <c r="B112">
        <v>57</v>
      </c>
      <c r="E112">
        <v>80.099999999999994</v>
      </c>
      <c r="F112">
        <v>62.3</v>
      </c>
      <c r="H112">
        <v>44.6</v>
      </c>
      <c r="I112">
        <v>44.6</v>
      </c>
      <c r="J112">
        <v>56</v>
      </c>
      <c r="L112">
        <v>55</v>
      </c>
      <c r="O112">
        <v>1.6458640384771659E-2</v>
      </c>
      <c r="P112">
        <v>1.9960335757640061E-2</v>
      </c>
      <c r="Q112">
        <v>6.7477789695216561E-2</v>
      </c>
    </row>
    <row r="113" spans="1:20" x14ac:dyDescent="0.35">
      <c r="A113" s="95">
        <v>20790</v>
      </c>
      <c r="B113">
        <v>52.8</v>
      </c>
      <c r="E113">
        <v>78.900000000000006</v>
      </c>
      <c r="F113">
        <v>57.7</v>
      </c>
      <c r="H113">
        <v>54.3</v>
      </c>
      <c r="I113">
        <v>39.5</v>
      </c>
      <c r="J113">
        <v>55.4</v>
      </c>
      <c r="L113">
        <v>52.7</v>
      </c>
      <c r="O113">
        <v>1.6458640384771659E-2</v>
      </c>
      <c r="P113">
        <v>1.9960335757640061E-2</v>
      </c>
      <c r="Q113">
        <v>6.7477789695216561E-2</v>
      </c>
    </row>
    <row r="114" spans="1:20" x14ac:dyDescent="0.35">
      <c r="A114" s="95">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35">
      <c r="A115" s="95">
        <v>20852</v>
      </c>
      <c r="B115">
        <v>52.5</v>
      </c>
      <c r="E115">
        <v>76.900000000000006</v>
      </c>
      <c r="F115">
        <v>57.9</v>
      </c>
      <c r="H115">
        <v>53.1</v>
      </c>
      <c r="I115">
        <v>31.2</v>
      </c>
      <c r="J115">
        <v>53.8</v>
      </c>
      <c r="L115">
        <v>51</v>
      </c>
      <c r="O115">
        <v>6.4029115265516424E-3</v>
      </c>
      <c r="P115">
        <v>3.0493286197677931E-2</v>
      </c>
      <c r="Q115">
        <v>2.5858681450808829E-2</v>
      </c>
    </row>
    <row r="116" spans="1:20" x14ac:dyDescent="0.35">
      <c r="A116" s="95">
        <v>20880</v>
      </c>
      <c r="B116">
        <v>51.1</v>
      </c>
      <c r="E116">
        <v>65.3</v>
      </c>
      <c r="F116">
        <v>52.1</v>
      </c>
      <c r="H116">
        <v>46.6</v>
      </c>
      <c r="I116">
        <v>26.3</v>
      </c>
      <c r="J116">
        <v>52.5</v>
      </c>
      <c r="L116">
        <v>47.5</v>
      </c>
      <c r="O116">
        <v>6.4029115265516424E-3</v>
      </c>
      <c r="P116">
        <v>3.0493286197677931E-2</v>
      </c>
      <c r="Q116">
        <v>2.5858681450808829E-2</v>
      </c>
    </row>
    <row r="117" spans="1:20" x14ac:dyDescent="0.35">
      <c r="A117" s="95">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35">
      <c r="A118" s="95">
        <v>20941</v>
      </c>
      <c r="B118">
        <v>46.1</v>
      </c>
      <c r="E118">
        <v>57.4</v>
      </c>
      <c r="F118">
        <v>49.9</v>
      </c>
      <c r="H118">
        <v>41.8</v>
      </c>
      <c r="I118">
        <v>30</v>
      </c>
      <c r="J118">
        <v>41.9</v>
      </c>
      <c r="L118">
        <v>43.4</v>
      </c>
      <c r="O118">
        <v>-2.1908592409674459E-3</v>
      </c>
      <c r="P118">
        <v>1.9808742703093081E-2</v>
      </c>
      <c r="Q118">
        <v>-8.734679818856006E-3</v>
      </c>
    </row>
    <row r="119" spans="1:20" x14ac:dyDescent="0.35">
      <c r="A119" s="95">
        <v>20972</v>
      </c>
      <c r="B119">
        <v>49.8</v>
      </c>
      <c r="E119">
        <v>62.9</v>
      </c>
      <c r="F119">
        <v>53.6</v>
      </c>
      <c r="H119">
        <v>40.700000000000003</v>
      </c>
      <c r="I119">
        <v>30</v>
      </c>
      <c r="J119">
        <v>45.1</v>
      </c>
      <c r="L119">
        <v>45.9</v>
      </c>
      <c r="O119">
        <v>-2.1908592409674459E-3</v>
      </c>
      <c r="P119">
        <v>1.9808742703093081E-2</v>
      </c>
      <c r="Q119">
        <v>-8.734679818856006E-3</v>
      </c>
    </row>
    <row r="120" spans="1:20" x14ac:dyDescent="0.35">
      <c r="A120" s="95">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35">
      <c r="A121" s="95">
        <v>21033</v>
      </c>
      <c r="B121">
        <v>48.8</v>
      </c>
      <c r="E121">
        <v>65.7</v>
      </c>
      <c r="F121">
        <v>51.3</v>
      </c>
      <c r="H121">
        <v>46</v>
      </c>
      <c r="I121">
        <v>30.8</v>
      </c>
      <c r="J121">
        <v>43.1</v>
      </c>
      <c r="L121">
        <v>45.3</v>
      </c>
      <c r="O121">
        <v>9.8001840212149031E-3</v>
      </c>
      <c r="P121">
        <v>3.0729058835667681E-2</v>
      </c>
      <c r="Q121">
        <v>3.9780771930417069E-2</v>
      </c>
    </row>
    <row r="122" spans="1:20" x14ac:dyDescent="0.35">
      <c r="A122" s="95">
        <v>21064</v>
      </c>
      <c r="B122">
        <v>53.8</v>
      </c>
      <c r="E122">
        <v>63</v>
      </c>
      <c r="F122">
        <v>50.6</v>
      </c>
      <c r="H122">
        <v>42.6</v>
      </c>
      <c r="I122">
        <v>28.8</v>
      </c>
      <c r="J122">
        <v>42.1</v>
      </c>
      <c r="L122">
        <v>45.8</v>
      </c>
      <c r="O122">
        <v>9.8001840212149031E-3</v>
      </c>
      <c r="P122">
        <v>3.0729058835667681E-2</v>
      </c>
      <c r="Q122">
        <v>3.9780771930417069E-2</v>
      </c>
    </row>
    <row r="123" spans="1:20" x14ac:dyDescent="0.35">
      <c r="A123" s="95">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35">
      <c r="A124" s="95">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35">
      <c r="A125" s="95">
        <v>21155</v>
      </c>
      <c r="B125">
        <v>42.8</v>
      </c>
      <c r="E125">
        <v>55.5</v>
      </c>
      <c r="F125">
        <v>40</v>
      </c>
      <c r="H125">
        <v>38</v>
      </c>
      <c r="I125">
        <v>27.3</v>
      </c>
      <c r="J125">
        <v>30.4</v>
      </c>
      <c r="L125">
        <v>36.799999999999997</v>
      </c>
      <c r="O125">
        <v>-1.0342796552445251E-2</v>
      </c>
      <c r="P125">
        <v>3.551347149057514E-3</v>
      </c>
      <c r="Q125">
        <v>-4.0733759741440001E-2</v>
      </c>
    </row>
    <row r="126" spans="1:20" x14ac:dyDescent="0.35">
      <c r="A126" s="95">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35">
      <c r="A127" s="95">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35">
      <c r="A128" s="95">
        <v>21245</v>
      </c>
      <c r="B128">
        <v>45.3</v>
      </c>
      <c r="E128">
        <v>47.6</v>
      </c>
      <c r="F128">
        <v>45.1</v>
      </c>
      <c r="H128">
        <v>31.3</v>
      </c>
      <c r="I128">
        <v>34</v>
      </c>
      <c r="J128">
        <v>33.4</v>
      </c>
      <c r="L128">
        <v>39.799999999999997</v>
      </c>
      <c r="O128">
        <v>-2.595440044879475E-2</v>
      </c>
      <c r="P128">
        <v>-2.8714282899375131E-2</v>
      </c>
      <c r="Q128">
        <v>-9.984529734545633E-2</v>
      </c>
    </row>
    <row r="129" spans="1:20" x14ac:dyDescent="0.35">
      <c r="A129" s="95">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35">
      <c r="A130" s="95">
        <v>21306</v>
      </c>
      <c r="B130">
        <v>56.7</v>
      </c>
      <c r="E130">
        <v>45.8</v>
      </c>
      <c r="F130">
        <v>52.6</v>
      </c>
      <c r="H130">
        <v>27.7</v>
      </c>
      <c r="I130">
        <v>38.5</v>
      </c>
      <c r="J130">
        <v>39.700000000000003</v>
      </c>
      <c r="L130">
        <v>46.6</v>
      </c>
      <c r="O130">
        <v>6.5722672602819441E-3</v>
      </c>
      <c r="P130">
        <v>-2.0184094850251012E-2</v>
      </c>
      <c r="Q130">
        <v>2.654937463692297E-2</v>
      </c>
    </row>
    <row r="131" spans="1:20" x14ac:dyDescent="0.35">
      <c r="A131" s="95">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35">
      <c r="A132" s="95">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35">
      <c r="A133" s="95">
        <v>21398</v>
      </c>
      <c r="B133">
        <v>65.2</v>
      </c>
      <c r="E133">
        <v>65.2</v>
      </c>
      <c r="F133">
        <v>64.5</v>
      </c>
      <c r="H133">
        <v>44.8</v>
      </c>
      <c r="I133">
        <v>44.7</v>
      </c>
      <c r="J133">
        <v>52.1</v>
      </c>
      <c r="L133">
        <v>57.3</v>
      </c>
      <c r="O133">
        <v>2.3132170410894361E-2</v>
      </c>
      <c r="P133">
        <v>-7.2479788556697733E-3</v>
      </c>
      <c r="Q133">
        <v>9.5789063668671348E-2</v>
      </c>
    </row>
    <row r="134" spans="1:20" x14ac:dyDescent="0.35">
      <c r="A134" s="95">
        <v>21429</v>
      </c>
      <c r="B134">
        <v>67</v>
      </c>
      <c r="E134">
        <v>62.6</v>
      </c>
      <c r="F134">
        <v>66.8</v>
      </c>
      <c r="H134">
        <v>42.5</v>
      </c>
      <c r="I134">
        <v>51.1</v>
      </c>
      <c r="J134">
        <v>55.5</v>
      </c>
      <c r="L134">
        <v>59.8</v>
      </c>
      <c r="O134">
        <v>2.3132170410894361E-2</v>
      </c>
      <c r="P134">
        <v>-7.2479788556697733E-3</v>
      </c>
      <c r="Q134">
        <v>9.5789063668671348E-2</v>
      </c>
    </row>
    <row r="135" spans="1:20" x14ac:dyDescent="0.35">
      <c r="A135" s="95">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35">
      <c r="A136" s="95">
        <v>21490</v>
      </c>
      <c r="B136">
        <v>68.5</v>
      </c>
      <c r="E136">
        <v>66.3</v>
      </c>
      <c r="F136">
        <v>68.3</v>
      </c>
      <c r="H136">
        <v>51</v>
      </c>
      <c r="I136">
        <v>55.8</v>
      </c>
      <c r="J136">
        <v>58</v>
      </c>
      <c r="L136">
        <v>62.7</v>
      </c>
      <c r="O136">
        <v>2.338109559842837E-2</v>
      </c>
      <c r="P136">
        <v>2.6581373345278859E-2</v>
      </c>
      <c r="Q136">
        <v>9.6855862537051252E-2</v>
      </c>
    </row>
    <row r="137" spans="1:20" x14ac:dyDescent="0.35">
      <c r="A137" s="95">
        <v>21520</v>
      </c>
      <c r="B137">
        <v>64.7</v>
      </c>
      <c r="E137">
        <v>63.2</v>
      </c>
      <c r="F137">
        <v>63.9</v>
      </c>
      <c r="H137">
        <v>49</v>
      </c>
      <c r="I137">
        <v>56.4</v>
      </c>
      <c r="J137">
        <v>59</v>
      </c>
      <c r="L137">
        <v>60.5</v>
      </c>
      <c r="O137">
        <v>2.338109559842837E-2</v>
      </c>
      <c r="P137">
        <v>2.6581373345278859E-2</v>
      </c>
      <c r="Q137">
        <v>9.6855862537051252E-2</v>
      </c>
    </row>
    <row r="138" spans="1:20" x14ac:dyDescent="0.35">
      <c r="A138" s="95">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35">
      <c r="A139" s="95">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35">
      <c r="A140" s="95">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35">
      <c r="A141" s="95">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35">
      <c r="A142" s="95">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35">
      <c r="A143" s="95">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35">
      <c r="A144" s="95">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35">
      <c r="A145" s="95">
        <v>21763</v>
      </c>
      <c r="B145">
        <v>54.4</v>
      </c>
      <c r="E145">
        <v>57.6</v>
      </c>
      <c r="F145">
        <v>57.4</v>
      </c>
      <c r="H145">
        <v>50.9</v>
      </c>
      <c r="I145">
        <v>57.4</v>
      </c>
      <c r="J145">
        <v>53.6</v>
      </c>
      <c r="L145">
        <v>55.1</v>
      </c>
      <c r="O145">
        <v>7.0560341143907266E-4</v>
      </c>
      <c r="P145">
        <v>6.7299987446212337E-2</v>
      </c>
      <c r="Q145">
        <v>2.8254023082616708E-3</v>
      </c>
    </row>
    <row r="146" spans="1:20" x14ac:dyDescent="0.35">
      <c r="A146" s="95">
        <v>21794</v>
      </c>
      <c r="B146">
        <v>43.7</v>
      </c>
      <c r="E146">
        <v>61.6</v>
      </c>
      <c r="F146">
        <v>50.9</v>
      </c>
      <c r="H146">
        <v>42.3</v>
      </c>
      <c r="I146">
        <v>57.5</v>
      </c>
      <c r="J146">
        <v>48</v>
      </c>
      <c r="L146">
        <v>48.3</v>
      </c>
      <c r="O146">
        <v>7.0560341143907266E-4</v>
      </c>
      <c r="P146">
        <v>6.7299987446212337E-2</v>
      </c>
      <c r="Q146">
        <v>2.8254023082616708E-3</v>
      </c>
    </row>
    <row r="147" spans="1:20" x14ac:dyDescent="0.35">
      <c r="A147" s="95">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35">
      <c r="A148" s="95">
        <v>21855</v>
      </c>
      <c r="B148">
        <v>51.1</v>
      </c>
      <c r="E148">
        <v>65.099999999999994</v>
      </c>
      <c r="F148">
        <v>51.9</v>
      </c>
      <c r="H148">
        <v>43.4</v>
      </c>
      <c r="I148">
        <v>54.6</v>
      </c>
      <c r="J148">
        <v>48.8</v>
      </c>
      <c r="L148">
        <v>50.6</v>
      </c>
      <c r="O148">
        <v>2.8488905531139528E-3</v>
      </c>
      <c r="P148">
        <v>4.588663294771754E-2</v>
      </c>
      <c r="Q148">
        <v>1.144435183103387E-2</v>
      </c>
    </row>
    <row r="149" spans="1:20" x14ac:dyDescent="0.35">
      <c r="A149" s="95">
        <v>21885</v>
      </c>
      <c r="B149">
        <v>62.8</v>
      </c>
      <c r="E149">
        <v>63.6</v>
      </c>
      <c r="F149">
        <v>61.7</v>
      </c>
      <c r="H149">
        <v>49.1</v>
      </c>
      <c r="I149">
        <v>53.7</v>
      </c>
      <c r="J149">
        <v>54.8</v>
      </c>
      <c r="L149">
        <v>58.2</v>
      </c>
      <c r="O149">
        <v>2.8488905531139528E-3</v>
      </c>
      <c r="P149">
        <v>4.588663294771754E-2</v>
      </c>
      <c r="Q149">
        <v>1.144435183103387E-2</v>
      </c>
    </row>
    <row r="150" spans="1:20" x14ac:dyDescent="0.35">
      <c r="A150" s="95">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35">
      <c r="A151" s="95">
        <v>21947</v>
      </c>
      <c r="B151">
        <v>52.5</v>
      </c>
      <c r="E151">
        <v>60.9</v>
      </c>
      <c r="F151">
        <v>58.6</v>
      </c>
      <c r="H151">
        <v>56.6</v>
      </c>
      <c r="I151">
        <v>31.7</v>
      </c>
      <c r="J151">
        <v>57.2</v>
      </c>
      <c r="L151">
        <v>52.3</v>
      </c>
      <c r="O151">
        <v>2.2477142919530051E-2</v>
      </c>
      <c r="P151">
        <v>4.9254188089672891E-2</v>
      </c>
      <c r="Q151">
        <v>9.298558243454158E-2</v>
      </c>
    </row>
    <row r="152" spans="1:20" x14ac:dyDescent="0.35">
      <c r="A152" s="95">
        <v>21976</v>
      </c>
      <c r="B152">
        <v>52.2</v>
      </c>
      <c r="E152">
        <v>57.3</v>
      </c>
      <c r="F152">
        <v>52.4</v>
      </c>
      <c r="H152">
        <v>50.7</v>
      </c>
      <c r="I152">
        <v>28.8</v>
      </c>
      <c r="J152">
        <v>48</v>
      </c>
      <c r="L152">
        <v>47.8</v>
      </c>
      <c r="O152">
        <v>2.2477142919530051E-2</v>
      </c>
      <c r="P152">
        <v>4.9254188089672891E-2</v>
      </c>
      <c r="Q152">
        <v>9.298558243454158E-2</v>
      </c>
    </row>
    <row r="153" spans="1:20" x14ac:dyDescent="0.35">
      <c r="A153" s="95">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35">
      <c r="A154" s="95">
        <v>22037</v>
      </c>
      <c r="B154">
        <v>45.8</v>
      </c>
      <c r="E154">
        <v>57</v>
      </c>
      <c r="F154">
        <v>45</v>
      </c>
      <c r="H154">
        <v>42.5</v>
      </c>
      <c r="I154">
        <v>32.299999999999997</v>
      </c>
      <c r="J154">
        <v>42.5</v>
      </c>
      <c r="L154">
        <v>42.6</v>
      </c>
      <c r="O154">
        <v>-5.3907336126427109E-3</v>
      </c>
      <c r="P154">
        <v>2.0582082118588349E-2</v>
      </c>
      <c r="Q154">
        <v>-2.138920017185875E-2</v>
      </c>
    </row>
    <row r="155" spans="1:20" x14ac:dyDescent="0.35">
      <c r="A155" s="95">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35">
      <c r="A156" s="95">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35">
      <c r="A157" s="95">
        <v>22129</v>
      </c>
      <c r="B157">
        <v>55.6</v>
      </c>
      <c r="E157">
        <v>50.6</v>
      </c>
      <c r="F157">
        <v>50.3</v>
      </c>
      <c r="H157">
        <v>39.1</v>
      </c>
      <c r="I157">
        <v>38</v>
      </c>
      <c r="J157">
        <v>43.6</v>
      </c>
      <c r="L157">
        <v>47.6</v>
      </c>
      <c r="O157">
        <v>4.8942127988755441E-3</v>
      </c>
      <c r="P157">
        <v>2.4853887607873479E-2</v>
      </c>
      <c r="Q157">
        <v>1.9721040613348121E-2</v>
      </c>
    </row>
    <row r="158" spans="1:20" x14ac:dyDescent="0.35">
      <c r="A158" s="95">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35">
      <c r="A159" s="95">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35">
      <c r="A160" s="95">
        <v>22221</v>
      </c>
      <c r="B160">
        <v>48.2</v>
      </c>
      <c r="E160">
        <v>46.9</v>
      </c>
      <c r="F160">
        <v>45.6</v>
      </c>
      <c r="H160">
        <v>41.7</v>
      </c>
      <c r="I160">
        <v>37.6</v>
      </c>
      <c r="J160">
        <v>43</v>
      </c>
      <c r="L160">
        <v>44.3</v>
      </c>
      <c r="O160">
        <v>-1.283403329474103E-2</v>
      </c>
      <c r="P160">
        <v>8.8268414337807615E-3</v>
      </c>
      <c r="Q160">
        <v>-5.0356287283370382E-2</v>
      </c>
    </row>
    <row r="161" spans="1:20" x14ac:dyDescent="0.35">
      <c r="A161" s="95">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35">
      <c r="A162" s="95">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35">
      <c r="A163" s="95">
        <v>22313</v>
      </c>
      <c r="B163">
        <v>48.7</v>
      </c>
      <c r="E163">
        <v>50.3</v>
      </c>
      <c r="F163">
        <v>49.2</v>
      </c>
      <c r="H163">
        <v>36.6</v>
      </c>
      <c r="I163">
        <v>41.1</v>
      </c>
      <c r="J163">
        <v>34.200000000000003</v>
      </c>
      <c r="L163">
        <v>43.6</v>
      </c>
      <c r="O163">
        <v>6.7490454029221309E-3</v>
      </c>
      <c r="P163">
        <v>-6.6912824180018144E-3</v>
      </c>
      <c r="Q163">
        <v>2.7270711035208169E-2</v>
      </c>
    </row>
    <row r="164" spans="1:20" x14ac:dyDescent="0.35">
      <c r="A164" s="95">
        <v>22341</v>
      </c>
      <c r="B164">
        <v>55.2</v>
      </c>
      <c r="E164">
        <v>50.2</v>
      </c>
      <c r="F164">
        <v>55.4</v>
      </c>
      <c r="H164">
        <v>38.9</v>
      </c>
      <c r="I164">
        <v>42.1</v>
      </c>
      <c r="J164">
        <v>42.2</v>
      </c>
      <c r="L164">
        <v>49.1</v>
      </c>
      <c r="O164">
        <v>6.7490454029221309E-3</v>
      </c>
      <c r="P164">
        <v>-6.6912824180018144E-3</v>
      </c>
      <c r="Q164">
        <v>2.7270711035208169E-2</v>
      </c>
    </row>
    <row r="165" spans="1:20" x14ac:dyDescent="0.35">
      <c r="A165" s="95">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35">
      <c r="A166" s="95">
        <v>22402</v>
      </c>
      <c r="B166">
        <v>64.8</v>
      </c>
      <c r="E166">
        <v>55</v>
      </c>
      <c r="F166">
        <v>66.599999999999994</v>
      </c>
      <c r="H166">
        <v>44</v>
      </c>
      <c r="I166">
        <v>47.9</v>
      </c>
      <c r="J166">
        <v>56.3</v>
      </c>
      <c r="L166">
        <v>58.9</v>
      </c>
      <c r="O166">
        <v>1.697434268841248E-2</v>
      </c>
      <c r="P166">
        <v>1.564454936035679E-2</v>
      </c>
      <c r="Q166">
        <v>6.9645786784463759E-2</v>
      </c>
    </row>
    <row r="167" spans="1:20" x14ac:dyDescent="0.35">
      <c r="A167" s="95">
        <v>22433</v>
      </c>
      <c r="B167">
        <v>64</v>
      </c>
      <c r="E167">
        <v>50</v>
      </c>
      <c r="F167">
        <v>65.3</v>
      </c>
      <c r="H167">
        <v>42</v>
      </c>
      <c r="I167">
        <v>49.3</v>
      </c>
      <c r="J167">
        <v>55.1</v>
      </c>
      <c r="L167">
        <v>58.1</v>
      </c>
      <c r="O167">
        <v>1.697434268841248E-2</v>
      </c>
      <c r="P167">
        <v>1.564454936035679E-2</v>
      </c>
      <c r="Q167">
        <v>6.9645786784463759E-2</v>
      </c>
    </row>
    <row r="168" spans="1:20" x14ac:dyDescent="0.35">
      <c r="A168" s="95">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35">
      <c r="A169" s="95">
        <v>22494</v>
      </c>
      <c r="B169">
        <v>62.9</v>
      </c>
      <c r="E169">
        <v>52.2</v>
      </c>
      <c r="F169">
        <v>68.400000000000006</v>
      </c>
      <c r="H169">
        <v>54.5</v>
      </c>
      <c r="I169">
        <v>50.6</v>
      </c>
      <c r="J169">
        <v>58.3</v>
      </c>
      <c r="L169">
        <v>60.7</v>
      </c>
      <c r="O169">
        <v>1.9195869993213949E-2</v>
      </c>
      <c r="P169">
        <v>3.009920537414091E-2</v>
      </c>
      <c r="Q169">
        <v>7.9022797586295823E-2</v>
      </c>
    </row>
    <row r="170" spans="1:20" x14ac:dyDescent="0.35">
      <c r="A170" s="95">
        <v>22525</v>
      </c>
      <c r="B170">
        <v>69.5</v>
      </c>
      <c r="E170">
        <v>53.9</v>
      </c>
      <c r="F170">
        <v>66.8</v>
      </c>
      <c r="H170">
        <v>56.3</v>
      </c>
      <c r="I170">
        <v>50.7</v>
      </c>
      <c r="J170">
        <v>61.1</v>
      </c>
      <c r="L170">
        <v>63</v>
      </c>
      <c r="O170">
        <v>1.9195869993213949E-2</v>
      </c>
      <c r="P170">
        <v>3.009920537414091E-2</v>
      </c>
      <c r="Q170">
        <v>7.9022797586295823E-2</v>
      </c>
    </row>
    <row r="171" spans="1:20" x14ac:dyDescent="0.35">
      <c r="A171" s="95">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35">
      <c r="A172" s="95">
        <v>22586</v>
      </c>
      <c r="B172">
        <v>65.099999999999994</v>
      </c>
      <c r="E172">
        <v>51.9</v>
      </c>
      <c r="F172">
        <v>58.3</v>
      </c>
      <c r="H172">
        <v>54.6</v>
      </c>
      <c r="I172">
        <v>51.1</v>
      </c>
      <c r="J172">
        <v>59</v>
      </c>
      <c r="L172">
        <v>59</v>
      </c>
      <c r="O172">
        <v>1.9610980632000841E-2</v>
      </c>
      <c r="P172">
        <v>6.3955298666980812E-2</v>
      </c>
      <c r="Q172">
        <v>8.0781782598194907E-2</v>
      </c>
    </row>
    <row r="173" spans="1:20" x14ac:dyDescent="0.35">
      <c r="A173" s="95">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35">
      <c r="A174" s="95">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35">
      <c r="A175" s="95">
        <v>22678</v>
      </c>
      <c r="B175">
        <v>61.8</v>
      </c>
      <c r="E175">
        <v>54.7</v>
      </c>
      <c r="F175">
        <v>64.7</v>
      </c>
      <c r="H175">
        <v>58.6</v>
      </c>
      <c r="I175">
        <v>56.2</v>
      </c>
      <c r="J175">
        <v>60.5</v>
      </c>
      <c r="L175">
        <v>61.1</v>
      </c>
      <c r="O175">
        <v>1.783648810610167E-2</v>
      </c>
      <c r="P175">
        <v>7.5672760398462477E-2</v>
      </c>
      <c r="Q175">
        <v>7.3277593508693117E-2</v>
      </c>
    </row>
    <row r="176" spans="1:20" x14ac:dyDescent="0.35">
      <c r="A176" s="95">
        <v>22706</v>
      </c>
      <c r="B176">
        <v>60.1</v>
      </c>
      <c r="E176">
        <v>56.8</v>
      </c>
      <c r="F176">
        <v>66.900000000000006</v>
      </c>
      <c r="H176">
        <v>57.5</v>
      </c>
      <c r="I176">
        <v>57</v>
      </c>
      <c r="J176">
        <v>57.6</v>
      </c>
      <c r="L176">
        <v>60.6</v>
      </c>
      <c r="O176">
        <v>1.783648810610167E-2</v>
      </c>
      <c r="P176">
        <v>7.5672760398462477E-2</v>
      </c>
      <c r="Q176">
        <v>7.3277593508693117E-2</v>
      </c>
    </row>
    <row r="177" spans="1:20" x14ac:dyDescent="0.35">
      <c r="A177" s="95">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35">
      <c r="A178" s="95">
        <v>22767</v>
      </c>
      <c r="B178">
        <v>53.6</v>
      </c>
      <c r="E178">
        <v>52</v>
      </c>
      <c r="F178">
        <v>55.3</v>
      </c>
      <c r="H178">
        <v>50.3</v>
      </c>
      <c r="I178">
        <v>45.2</v>
      </c>
      <c r="J178">
        <v>52.3</v>
      </c>
      <c r="L178">
        <v>52.2</v>
      </c>
      <c r="O178">
        <v>9.0366382300993073E-3</v>
      </c>
      <c r="P178">
        <v>6.7276902108341433E-2</v>
      </c>
      <c r="Q178">
        <v>3.6639476329429772E-2</v>
      </c>
    </row>
    <row r="179" spans="1:20" x14ac:dyDescent="0.35">
      <c r="A179" s="95">
        <v>22798</v>
      </c>
      <c r="B179">
        <v>52.5</v>
      </c>
      <c r="E179">
        <v>51.7</v>
      </c>
      <c r="F179">
        <v>54.8</v>
      </c>
      <c r="H179">
        <v>46.4</v>
      </c>
      <c r="I179">
        <v>43.3</v>
      </c>
      <c r="J179">
        <v>51.6</v>
      </c>
      <c r="L179">
        <v>50.8</v>
      </c>
      <c r="O179">
        <v>9.0366382300993073E-3</v>
      </c>
      <c r="P179">
        <v>6.7276902108341433E-2</v>
      </c>
      <c r="Q179">
        <v>3.6639476329429772E-2</v>
      </c>
    </row>
    <row r="180" spans="1:20" x14ac:dyDescent="0.35">
      <c r="A180" s="95">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35">
      <c r="A181" s="95">
        <v>22859</v>
      </c>
      <c r="B181">
        <v>52.9</v>
      </c>
      <c r="E181">
        <v>47.7</v>
      </c>
      <c r="F181">
        <v>52.5</v>
      </c>
      <c r="H181">
        <v>45.2</v>
      </c>
      <c r="I181">
        <v>43.7</v>
      </c>
      <c r="J181">
        <v>47</v>
      </c>
      <c r="L181">
        <v>49.5</v>
      </c>
      <c r="O181">
        <v>1.228513047875363E-2</v>
      </c>
      <c r="P181">
        <v>6.0040145291106663E-2</v>
      </c>
      <c r="Q181">
        <v>5.0053507783781807E-2</v>
      </c>
    </row>
    <row r="182" spans="1:20" x14ac:dyDescent="0.35">
      <c r="A182" s="95">
        <v>22890</v>
      </c>
      <c r="B182">
        <v>53</v>
      </c>
      <c r="E182">
        <v>45.4</v>
      </c>
      <c r="F182">
        <v>52.4</v>
      </c>
      <c r="H182">
        <v>42.5</v>
      </c>
      <c r="I182">
        <v>45.1</v>
      </c>
      <c r="J182">
        <v>49.7</v>
      </c>
      <c r="L182">
        <v>50</v>
      </c>
      <c r="O182">
        <v>1.228513047875363E-2</v>
      </c>
      <c r="P182">
        <v>6.0040145291106663E-2</v>
      </c>
      <c r="Q182">
        <v>5.0053507783781807E-2</v>
      </c>
    </row>
    <row r="183" spans="1:20" x14ac:dyDescent="0.35">
      <c r="A183" s="95">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35">
      <c r="A184" s="95">
        <v>22951</v>
      </c>
      <c r="B184">
        <v>57.8</v>
      </c>
      <c r="E184">
        <v>47.1</v>
      </c>
      <c r="F184">
        <v>56.9</v>
      </c>
      <c r="H184">
        <v>51.5</v>
      </c>
      <c r="I184">
        <v>48.7</v>
      </c>
      <c r="J184">
        <v>48.7</v>
      </c>
      <c r="L184">
        <v>53.8</v>
      </c>
      <c r="O184">
        <v>3.2890157607756991E-3</v>
      </c>
      <c r="P184">
        <v>4.3070989071540139E-2</v>
      </c>
      <c r="Q184">
        <v>1.3221111225523609E-2</v>
      </c>
    </row>
    <row r="185" spans="1:20" x14ac:dyDescent="0.35">
      <c r="A185" s="95">
        <v>22981</v>
      </c>
      <c r="B185">
        <v>59.7</v>
      </c>
      <c r="E185">
        <v>47.3</v>
      </c>
      <c r="F185">
        <v>63.3</v>
      </c>
      <c r="H185">
        <v>50.1</v>
      </c>
      <c r="I185">
        <v>50.1</v>
      </c>
      <c r="J185">
        <v>54.6</v>
      </c>
      <c r="L185">
        <v>57.2</v>
      </c>
      <c r="O185">
        <v>3.2890157607756991E-3</v>
      </c>
      <c r="P185">
        <v>4.3070989071540139E-2</v>
      </c>
      <c r="Q185">
        <v>1.3221111225523609E-2</v>
      </c>
    </row>
    <row r="186" spans="1:20" x14ac:dyDescent="0.35">
      <c r="A186" s="95">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35">
      <c r="A187" s="95">
        <v>23043</v>
      </c>
      <c r="B187">
        <v>60.4</v>
      </c>
      <c r="E187">
        <v>51.7</v>
      </c>
      <c r="F187">
        <v>57.7</v>
      </c>
      <c r="H187">
        <v>48.3</v>
      </c>
      <c r="I187">
        <v>51</v>
      </c>
      <c r="J187">
        <v>50.2</v>
      </c>
      <c r="L187">
        <v>55.1</v>
      </c>
      <c r="O187">
        <v>1.0915743322612029E-2</v>
      </c>
      <c r="P187">
        <v>3.5978663152021979E-2</v>
      </c>
      <c r="Q187">
        <v>4.4383110795709342E-2</v>
      </c>
    </row>
    <row r="188" spans="1:20" x14ac:dyDescent="0.35">
      <c r="A188" s="95">
        <v>23071</v>
      </c>
      <c r="B188">
        <v>57.5</v>
      </c>
      <c r="E188">
        <v>47.5</v>
      </c>
      <c r="F188">
        <v>56.3</v>
      </c>
      <c r="H188">
        <v>46.8</v>
      </c>
      <c r="I188">
        <v>54.9</v>
      </c>
      <c r="J188">
        <v>52.4</v>
      </c>
      <c r="L188">
        <v>54.7</v>
      </c>
      <c r="O188">
        <v>1.0915743322612029E-2</v>
      </c>
      <c r="P188">
        <v>3.5978663152021979E-2</v>
      </c>
      <c r="Q188">
        <v>4.4383110795709342E-2</v>
      </c>
    </row>
    <row r="189" spans="1:20" x14ac:dyDescent="0.35">
      <c r="A189" s="95">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35">
      <c r="A190" s="95">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35">
      <c r="A191" s="95">
        <v>23163</v>
      </c>
      <c r="B191">
        <v>61.9</v>
      </c>
      <c r="E191">
        <v>58.7</v>
      </c>
      <c r="F191">
        <v>60.6</v>
      </c>
      <c r="H191">
        <v>55</v>
      </c>
      <c r="I191">
        <v>56.3</v>
      </c>
      <c r="J191">
        <v>52.6</v>
      </c>
      <c r="L191">
        <v>58.2</v>
      </c>
      <c r="O191">
        <v>1.122121452821232E-2</v>
      </c>
      <c r="P191">
        <v>3.8221569253868229E-2</v>
      </c>
      <c r="Q191">
        <v>4.5646019606860877E-2</v>
      </c>
    </row>
    <row r="192" spans="1:20" x14ac:dyDescent="0.35">
      <c r="A192" s="95">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35">
      <c r="A193" s="95">
        <v>23224</v>
      </c>
      <c r="B193">
        <v>62</v>
      </c>
      <c r="E193">
        <v>59.8</v>
      </c>
      <c r="F193">
        <v>56.8</v>
      </c>
      <c r="H193">
        <v>48.1</v>
      </c>
      <c r="I193">
        <v>48.5</v>
      </c>
      <c r="J193">
        <v>51.1</v>
      </c>
      <c r="L193">
        <v>55.1</v>
      </c>
      <c r="O193">
        <v>2.1984344593379179E-2</v>
      </c>
      <c r="P193">
        <v>4.8169293462612943E-2</v>
      </c>
      <c r="Q193">
        <v>9.0879981544722765E-2</v>
      </c>
    </row>
    <row r="194" spans="1:20" x14ac:dyDescent="0.35">
      <c r="A194" s="95">
        <v>23255</v>
      </c>
      <c r="B194">
        <v>59.8</v>
      </c>
      <c r="E194">
        <v>57.8</v>
      </c>
      <c r="F194">
        <v>63.2</v>
      </c>
      <c r="H194">
        <v>47.9</v>
      </c>
      <c r="I194">
        <v>49.7</v>
      </c>
      <c r="J194">
        <v>54.8</v>
      </c>
      <c r="L194">
        <v>56.9</v>
      </c>
      <c r="O194">
        <v>2.1984344593379179E-2</v>
      </c>
      <c r="P194">
        <v>4.8169293462612943E-2</v>
      </c>
      <c r="Q194">
        <v>9.0879981544722765E-2</v>
      </c>
    </row>
    <row r="195" spans="1:20" x14ac:dyDescent="0.35">
      <c r="A195" s="95">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35">
      <c r="A196" s="95">
        <v>23316</v>
      </c>
      <c r="B196">
        <v>63.7</v>
      </c>
      <c r="E196">
        <v>66.2</v>
      </c>
      <c r="F196">
        <v>64.099999999999994</v>
      </c>
      <c r="H196">
        <v>43.7</v>
      </c>
      <c r="I196">
        <v>48.7</v>
      </c>
      <c r="J196">
        <v>53.5</v>
      </c>
      <c r="L196">
        <v>57.5</v>
      </c>
      <c r="O196">
        <v>6.5560243658060744E-3</v>
      </c>
      <c r="P196">
        <v>5.158244565253732E-2</v>
      </c>
      <c r="Q196">
        <v>2.6483115193417731E-2</v>
      </c>
    </row>
    <row r="197" spans="1:20" x14ac:dyDescent="0.35">
      <c r="A197" s="95">
        <v>23346</v>
      </c>
      <c r="B197">
        <v>58.6</v>
      </c>
      <c r="E197">
        <v>64.400000000000006</v>
      </c>
      <c r="F197">
        <v>60.7</v>
      </c>
      <c r="H197">
        <v>44.2</v>
      </c>
      <c r="I197">
        <v>47.6</v>
      </c>
      <c r="J197">
        <v>48.4</v>
      </c>
      <c r="L197">
        <v>54</v>
      </c>
      <c r="O197">
        <v>6.5560243658060744E-3</v>
      </c>
      <c r="P197">
        <v>5.158244565253732E-2</v>
      </c>
      <c r="Q197">
        <v>2.6483115193417731E-2</v>
      </c>
    </row>
    <row r="198" spans="1:20" x14ac:dyDescent="0.35">
      <c r="A198" s="95">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35">
      <c r="A199" s="95">
        <v>23408</v>
      </c>
      <c r="B199">
        <v>61.8</v>
      </c>
      <c r="E199">
        <v>60.1</v>
      </c>
      <c r="F199">
        <v>64</v>
      </c>
      <c r="H199">
        <v>50.4</v>
      </c>
      <c r="I199">
        <v>51.9</v>
      </c>
      <c r="J199">
        <v>52.7</v>
      </c>
      <c r="L199">
        <v>57.9</v>
      </c>
      <c r="O199">
        <v>2.10825209895227E-2</v>
      </c>
      <c r="P199">
        <v>6.215820826578574E-2</v>
      </c>
      <c r="Q199">
        <v>8.7034600081078217E-2</v>
      </c>
    </row>
    <row r="200" spans="1:20" x14ac:dyDescent="0.35">
      <c r="A200" s="95">
        <v>23437</v>
      </c>
      <c r="B200">
        <v>61.7</v>
      </c>
      <c r="E200">
        <v>60.6</v>
      </c>
      <c r="F200">
        <v>64.400000000000006</v>
      </c>
      <c r="H200">
        <v>54.6</v>
      </c>
      <c r="I200">
        <v>60.3</v>
      </c>
      <c r="J200">
        <v>55.2</v>
      </c>
      <c r="L200">
        <v>60.2</v>
      </c>
      <c r="O200">
        <v>2.10825209895227E-2</v>
      </c>
      <c r="P200">
        <v>6.215820826578574E-2</v>
      </c>
      <c r="Q200">
        <v>8.7034600081078217E-2</v>
      </c>
    </row>
    <row r="201" spans="1:20" x14ac:dyDescent="0.35">
      <c r="A201" s="95">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35">
      <c r="A202" s="95">
        <v>23498</v>
      </c>
      <c r="B202">
        <v>59.9</v>
      </c>
      <c r="E202">
        <v>60.3</v>
      </c>
      <c r="F202">
        <v>61</v>
      </c>
      <c r="H202">
        <v>50.3</v>
      </c>
      <c r="I202">
        <v>61.4</v>
      </c>
      <c r="J202">
        <v>56</v>
      </c>
      <c r="L202">
        <v>58.7</v>
      </c>
      <c r="O202">
        <v>1.0887336899478069E-2</v>
      </c>
      <c r="P202">
        <v>6.1807512632801168E-2</v>
      </c>
      <c r="Q202">
        <v>4.426572835975362E-2</v>
      </c>
    </row>
    <row r="203" spans="1:20" x14ac:dyDescent="0.35">
      <c r="A203" s="95">
        <v>23529</v>
      </c>
      <c r="B203">
        <v>64.7</v>
      </c>
      <c r="E203">
        <v>58.9</v>
      </c>
      <c r="F203">
        <v>62.1</v>
      </c>
      <c r="H203">
        <v>53.5</v>
      </c>
      <c r="I203">
        <v>57.6</v>
      </c>
      <c r="J203">
        <v>55.7</v>
      </c>
      <c r="L203">
        <v>60.1</v>
      </c>
      <c r="O203">
        <v>1.0887336899478069E-2</v>
      </c>
      <c r="P203">
        <v>6.1807512632801168E-2</v>
      </c>
      <c r="Q203">
        <v>4.426572835975362E-2</v>
      </c>
    </row>
    <row r="204" spans="1:20" x14ac:dyDescent="0.35">
      <c r="A204" s="95">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35">
      <c r="A205" s="95">
        <v>23590</v>
      </c>
      <c r="B205">
        <v>68</v>
      </c>
      <c r="E205">
        <v>61.7</v>
      </c>
      <c r="F205">
        <v>63.9</v>
      </c>
      <c r="H205">
        <v>53.5</v>
      </c>
      <c r="I205">
        <v>66.2</v>
      </c>
      <c r="J205">
        <v>58</v>
      </c>
      <c r="L205">
        <v>63.3</v>
      </c>
      <c r="O205">
        <v>1.5623006663855091E-2</v>
      </c>
      <c r="P205">
        <v>5.5198295535006867E-2</v>
      </c>
      <c r="Q205">
        <v>6.3971809202924224E-2</v>
      </c>
    </row>
    <row r="206" spans="1:20" x14ac:dyDescent="0.35">
      <c r="A206" s="95">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35">
      <c r="A207" s="95">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35">
      <c r="A208" s="95">
        <v>23682</v>
      </c>
      <c r="B208">
        <v>60.7</v>
      </c>
      <c r="E208">
        <v>68.5</v>
      </c>
      <c r="F208">
        <v>62.1</v>
      </c>
      <c r="H208">
        <v>61</v>
      </c>
      <c r="I208">
        <v>70.3</v>
      </c>
      <c r="J208">
        <v>57.3</v>
      </c>
      <c r="L208">
        <v>61.8</v>
      </c>
      <c r="O208">
        <v>3.0887185823790142E-3</v>
      </c>
      <c r="P208">
        <v>5.1563430645021127E-2</v>
      </c>
      <c r="Q208">
        <v>1.2412233383173101E-2</v>
      </c>
    </row>
    <row r="209" spans="1:20" x14ac:dyDescent="0.35">
      <c r="A209" s="95">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35">
      <c r="A210" s="95">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35">
      <c r="A211" s="95">
        <v>23774</v>
      </c>
      <c r="B211">
        <v>63.2</v>
      </c>
      <c r="E211">
        <v>64.8</v>
      </c>
      <c r="F211">
        <v>59.8</v>
      </c>
      <c r="H211">
        <v>63.2</v>
      </c>
      <c r="I211">
        <v>68.099999999999994</v>
      </c>
      <c r="J211">
        <v>58.3</v>
      </c>
      <c r="L211">
        <v>62.1</v>
      </c>
      <c r="O211">
        <v>2.419751879498433E-2</v>
      </c>
      <c r="P211">
        <v>5.4771416005096198E-2</v>
      </c>
      <c r="Q211">
        <v>0.10036021002518369</v>
      </c>
    </row>
    <row r="212" spans="1:20" x14ac:dyDescent="0.35">
      <c r="A212" s="95">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35">
      <c r="A213" s="95">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35">
      <c r="A214" s="95">
        <v>23863</v>
      </c>
      <c r="B214">
        <v>60.2</v>
      </c>
      <c r="E214">
        <v>70</v>
      </c>
      <c r="F214">
        <v>62.4</v>
      </c>
      <c r="H214">
        <v>60.6</v>
      </c>
      <c r="I214">
        <v>68.900000000000006</v>
      </c>
      <c r="J214">
        <v>56.4</v>
      </c>
      <c r="L214">
        <v>61.3</v>
      </c>
      <c r="O214">
        <v>1.2632982485488589E-2</v>
      </c>
      <c r="P214">
        <v>5.6592842586862209E-2</v>
      </c>
      <c r="Q214">
        <v>5.1497573394729379E-2</v>
      </c>
    </row>
    <row r="215" spans="1:20" x14ac:dyDescent="0.35">
      <c r="A215" s="95">
        <v>23894</v>
      </c>
      <c r="B215">
        <v>57.4</v>
      </c>
      <c r="E215">
        <v>73.2</v>
      </c>
      <c r="F215">
        <v>57.5</v>
      </c>
      <c r="H215">
        <v>55.8</v>
      </c>
      <c r="I215">
        <v>69.3</v>
      </c>
      <c r="J215">
        <v>55.4</v>
      </c>
      <c r="L215">
        <v>58.7</v>
      </c>
      <c r="O215">
        <v>1.2632982485488589E-2</v>
      </c>
      <c r="P215">
        <v>5.6592842586862209E-2</v>
      </c>
      <c r="Q215">
        <v>5.1497573394729379E-2</v>
      </c>
    </row>
    <row r="216" spans="1:20" x14ac:dyDescent="0.35">
      <c r="A216" s="95">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35">
      <c r="A217" s="95">
        <v>23955</v>
      </c>
      <c r="B217">
        <v>56</v>
      </c>
      <c r="E217">
        <v>70.5</v>
      </c>
      <c r="F217">
        <v>56.6</v>
      </c>
      <c r="H217">
        <v>57.2</v>
      </c>
      <c r="I217">
        <v>65.400000000000006</v>
      </c>
      <c r="J217">
        <v>58</v>
      </c>
      <c r="L217">
        <v>58.1</v>
      </c>
      <c r="O217">
        <v>2.2232522817397491E-2</v>
      </c>
      <c r="P217">
        <v>6.3468984043853177E-2</v>
      </c>
      <c r="Q217">
        <v>9.1940002828739154E-2</v>
      </c>
    </row>
    <row r="218" spans="1:20" x14ac:dyDescent="0.35">
      <c r="A218" s="95">
        <v>23986</v>
      </c>
      <c r="B218">
        <v>63.6</v>
      </c>
      <c r="E218">
        <v>66.3</v>
      </c>
      <c r="F218">
        <v>63.8</v>
      </c>
      <c r="H218">
        <v>55.7</v>
      </c>
      <c r="I218">
        <v>61.2</v>
      </c>
      <c r="J218">
        <v>56.2</v>
      </c>
      <c r="L218">
        <v>61</v>
      </c>
      <c r="O218">
        <v>2.2232522817397491E-2</v>
      </c>
      <c r="P218">
        <v>6.3468984043853177E-2</v>
      </c>
      <c r="Q218">
        <v>9.1940002828739154E-2</v>
      </c>
    </row>
    <row r="219" spans="1:20" x14ac:dyDescent="0.35">
      <c r="A219" s="95">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35">
      <c r="A220" s="95">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35">
      <c r="A221" s="95">
        <v>24077</v>
      </c>
      <c r="B221">
        <v>62.9</v>
      </c>
      <c r="E221">
        <v>67</v>
      </c>
      <c r="F221">
        <v>64.400000000000006</v>
      </c>
      <c r="H221">
        <v>47.4</v>
      </c>
      <c r="I221">
        <v>73.5</v>
      </c>
      <c r="J221">
        <v>60.2</v>
      </c>
      <c r="L221">
        <v>62.8</v>
      </c>
      <c r="O221">
        <v>2.3040404659747011E-2</v>
      </c>
      <c r="P221">
        <v>8.4621648738005956E-2</v>
      </c>
      <c r="Q221">
        <v>9.5395986872523153E-2</v>
      </c>
    </row>
    <row r="222" spans="1:20" x14ac:dyDescent="0.35">
      <c r="A222" s="95">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35">
      <c r="A223" s="95">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35">
      <c r="A224" s="95">
        <v>24167</v>
      </c>
      <c r="B224">
        <v>64.3</v>
      </c>
      <c r="E224">
        <v>85.7</v>
      </c>
      <c r="F224">
        <v>63.8</v>
      </c>
      <c r="H224">
        <v>52.3</v>
      </c>
      <c r="I224">
        <v>86.4</v>
      </c>
      <c r="J224">
        <v>61.5</v>
      </c>
      <c r="L224">
        <v>65.7</v>
      </c>
      <c r="O224">
        <v>2.4342287590095699E-2</v>
      </c>
      <c r="P224">
        <v>8.477495839396397E-2</v>
      </c>
      <c r="Q224">
        <v>0.100982479057544</v>
      </c>
    </row>
    <row r="225" spans="1:20" x14ac:dyDescent="0.35">
      <c r="A225" s="95">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35">
      <c r="A226" s="95">
        <v>24228</v>
      </c>
      <c r="B226">
        <v>52.7</v>
      </c>
      <c r="E226">
        <v>83.3</v>
      </c>
      <c r="F226">
        <v>55.5</v>
      </c>
      <c r="H226">
        <v>53.8</v>
      </c>
      <c r="I226">
        <v>74.599999999999994</v>
      </c>
      <c r="J226">
        <v>57</v>
      </c>
      <c r="L226">
        <v>57.7</v>
      </c>
      <c r="O226">
        <v>3.4160196193779228E-3</v>
      </c>
      <c r="P226">
        <v>7.490136086896218E-2</v>
      </c>
      <c r="Q226">
        <v>1.373425320265032E-2</v>
      </c>
    </row>
    <row r="227" spans="1:20" x14ac:dyDescent="0.35">
      <c r="A227" s="95">
        <v>24259</v>
      </c>
      <c r="B227">
        <v>55.9</v>
      </c>
      <c r="E227">
        <v>81.5</v>
      </c>
      <c r="F227">
        <v>57.6</v>
      </c>
      <c r="H227">
        <v>53.3</v>
      </c>
      <c r="I227">
        <v>71.599999999999994</v>
      </c>
      <c r="J227">
        <v>58.8</v>
      </c>
      <c r="L227">
        <v>59</v>
      </c>
      <c r="O227">
        <v>3.4160196193779228E-3</v>
      </c>
      <c r="P227">
        <v>7.490136086896218E-2</v>
      </c>
      <c r="Q227">
        <v>1.373425320265032E-2</v>
      </c>
    </row>
    <row r="228" spans="1:20" x14ac:dyDescent="0.35">
      <c r="A228" s="95">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35">
      <c r="A229" s="95">
        <v>24320</v>
      </c>
      <c r="B229">
        <v>53.3</v>
      </c>
      <c r="E229">
        <v>79.5</v>
      </c>
      <c r="F229">
        <v>57.7</v>
      </c>
      <c r="H229">
        <v>57</v>
      </c>
      <c r="I229">
        <v>74.3</v>
      </c>
      <c r="J229">
        <v>56.4</v>
      </c>
      <c r="L229">
        <v>58.5</v>
      </c>
      <c r="O229">
        <v>8.4690505157436948E-3</v>
      </c>
      <c r="P229">
        <v>6.0428748447519318E-2</v>
      </c>
      <c r="Q229">
        <v>3.4308985871634563E-2</v>
      </c>
    </row>
    <row r="230" spans="1:20" x14ac:dyDescent="0.35">
      <c r="A230" s="95">
        <v>24351</v>
      </c>
      <c r="B230">
        <v>55.2</v>
      </c>
      <c r="E230">
        <v>73.7</v>
      </c>
      <c r="F230">
        <v>57.9</v>
      </c>
      <c r="H230">
        <v>54.8</v>
      </c>
      <c r="I230">
        <v>72.400000000000006</v>
      </c>
      <c r="J230">
        <v>56.5</v>
      </c>
      <c r="L230">
        <v>58.7</v>
      </c>
      <c r="O230">
        <v>8.4690505157436948E-3</v>
      </c>
      <c r="P230">
        <v>6.0428748447519318E-2</v>
      </c>
      <c r="Q230">
        <v>3.4308985871634563E-2</v>
      </c>
    </row>
    <row r="231" spans="1:20" x14ac:dyDescent="0.35">
      <c r="A231" s="95">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35">
      <c r="A232" s="95">
        <v>24412</v>
      </c>
      <c r="B232">
        <v>46.8</v>
      </c>
      <c r="E232">
        <v>71.900000000000006</v>
      </c>
      <c r="F232">
        <v>54.2</v>
      </c>
      <c r="H232">
        <v>55.6</v>
      </c>
      <c r="I232">
        <v>62.6</v>
      </c>
      <c r="J232">
        <v>55.6</v>
      </c>
      <c r="L232">
        <v>53.7</v>
      </c>
      <c r="O232">
        <v>8.2040710856639242E-3</v>
      </c>
      <c r="P232">
        <v>4.505020174315192E-2</v>
      </c>
      <c r="Q232">
        <v>3.3222338325639138E-2</v>
      </c>
    </row>
    <row r="233" spans="1:20" x14ac:dyDescent="0.35">
      <c r="A233" s="95">
        <v>24442</v>
      </c>
      <c r="B233">
        <v>48.8</v>
      </c>
      <c r="E233">
        <v>67.599999999999994</v>
      </c>
      <c r="F233">
        <v>54.1</v>
      </c>
      <c r="H233">
        <v>53.7</v>
      </c>
      <c r="I233">
        <v>57.9</v>
      </c>
      <c r="J233">
        <v>50.7</v>
      </c>
      <c r="L233">
        <v>52.4</v>
      </c>
      <c r="O233">
        <v>8.2040710856639242E-3</v>
      </c>
      <c r="P233">
        <v>4.505020174315192E-2</v>
      </c>
      <c r="Q233">
        <v>3.3222338325639138E-2</v>
      </c>
    </row>
    <row r="234" spans="1:20" x14ac:dyDescent="0.35">
      <c r="A234" s="95">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35">
      <c r="A235" s="95">
        <v>24504</v>
      </c>
      <c r="B235">
        <v>45.1</v>
      </c>
      <c r="E235">
        <v>61.8</v>
      </c>
      <c r="F235">
        <v>50.4</v>
      </c>
      <c r="H235">
        <v>45.3</v>
      </c>
      <c r="I235">
        <v>49.9</v>
      </c>
      <c r="J235">
        <v>47.6</v>
      </c>
      <c r="L235">
        <v>47.6</v>
      </c>
      <c r="O235">
        <v>8.8555258677027685E-3</v>
      </c>
      <c r="P235">
        <v>2.9250362511276641E-2</v>
      </c>
      <c r="Q235">
        <v>3.5895409464262729E-2</v>
      </c>
    </row>
    <row r="236" spans="1:20" x14ac:dyDescent="0.35">
      <c r="A236" s="95">
        <v>24532</v>
      </c>
      <c r="B236">
        <v>45.3</v>
      </c>
      <c r="E236">
        <v>54</v>
      </c>
      <c r="F236">
        <v>48.7</v>
      </c>
      <c r="H236">
        <v>45.6</v>
      </c>
      <c r="I236">
        <v>38</v>
      </c>
      <c r="J236">
        <v>46.3</v>
      </c>
      <c r="L236">
        <v>45.3</v>
      </c>
      <c r="O236">
        <v>8.8555258677027685E-3</v>
      </c>
      <c r="P236">
        <v>2.9250362511276641E-2</v>
      </c>
      <c r="Q236">
        <v>3.5895409464262729E-2</v>
      </c>
    </row>
    <row r="237" spans="1:20" x14ac:dyDescent="0.35">
      <c r="A237" s="95">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35">
      <c r="A238" s="95">
        <v>24593</v>
      </c>
      <c r="B238">
        <v>47.6</v>
      </c>
      <c r="E238">
        <v>56.1</v>
      </c>
      <c r="F238">
        <v>48</v>
      </c>
      <c r="H238">
        <v>39.700000000000003</v>
      </c>
      <c r="I238">
        <v>34.4</v>
      </c>
      <c r="J238">
        <v>45.5</v>
      </c>
      <c r="L238">
        <v>44.5</v>
      </c>
      <c r="O238">
        <v>6.1297812624356185E-4</v>
      </c>
      <c r="P238">
        <v>2.637515281107965E-2</v>
      </c>
      <c r="Q238">
        <v>2.4541678795020339E-3</v>
      </c>
    </row>
    <row r="239" spans="1:20" x14ac:dyDescent="0.35">
      <c r="A239" s="95">
        <v>24624</v>
      </c>
      <c r="B239">
        <v>51.8</v>
      </c>
      <c r="E239">
        <v>58.4</v>
      </c>
      <c r="F239">
        <v>50.7</v>
      </c>
      <c r="H239">
        <v>39.6</v>
      </c>
      <c r="I239">
        <v>36.5</v>
      </c>
      <c r="J239">
        <v>45.8</v>
      </c>
      <c r="L239">
        <v>46.8</v>
      </c>
      <c r="O239">
        <v>6.1297812624356185E-4</v>
      </c>
      <c r="P239">
        <v>2.637515281107965E-2</v>
      </c>
      <c r="Q239">
        <v>2.4541678795020339E-3</v>
      </c>
    </row>
    <row r="240" spans="1:20" x14ac:dyDescent="0.35">
      <c r="A240" s="95">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35">
      <c r="A241" s="95">
        <v>24685</v>
      </c>
      <c r="B241">
        <v>55.4</v>
      </c>
      <c r="E241">
        <v>67.5</v>
      </c>
      <c r="F241">
        <v>56.4</v>
      </c>
      <c r="H241">
        <v>41.7</v>
      </c>
      <c r="I241">
        <v>44.8</v>
      </c>
      <c r="J241">
        <v>52.9</v>
      </c>
      <c r="L241">
        <v>52.2</v>
      </c>
      <c r="O241">
        <v>9.4612091745059444E-3</v>
      </c>
      <c r="P241">
        <v>2.738492796925546E-2</v>
      </c>
      <c r="Q241">
        <v>3.8385319245969551E-2</v>
      </c>
    </row>
    <row r="242" spans="1:20" x14ac:dyDescent="0.35">
      <c r="A242" s="95">
        <v>24716</v>
      </c>
      <c r="B242">
        <v>62</v>
      </c>
      <c r="E242">
        <v>75.2</v>
      </c>
      <c r="F242">
        <v>57.4</v>
      </c>
      <c r="H242">
        <v>46.8</v>
      </c>
      <c r="I242">
        <v>46.5</v>
      </c>
      <c r="J242">
        <v>51.6</v>
      </c>
      <c r="L242">
        <v>54.9</v>
      </c>
      <c r="O242">
        <v>9.4612091745059444E-3</v>
      </c>
      <c r="P242">
        <v>2.738492796925546E-2</v>
      </c>
      <c r="Q242">
        <v>3.8385319245969551E-2</v>
      </c>
    </row>
    <row r="243" spans="1:20" x14ac:dyDescent="0.35">
      <c r="A243" s="95">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35">
      <c r="A244" s="95">
        <v>24777</v>
      </c>
      <c r="B244">
        <v>57</v>
      </c>
      <c r="E244">
        <v>83.8</v>
      </c>
      <c r="F244">
        <v>58.6</v>
      </c>
      <c r="H244">
        <v>44.4</v>
      </c>
      <c r="I244">
        <v>51.4</v>
      </c>
      <c r="J244">
        <v>51.5</v>
      </c>
      <c r="L244">
        <v>54.2</v>
      </c>
      <c r="O244">
        <v>7.5401712735310893E-3</v>
      </c>
      <c r="P244">
        <v>2.670839761173328E-2</v>
      </c>
      <c r="Q244">
        <v>3.0503528184631978E-2</v>
      </c>
    </row>
    <row r="245" spans="1:20" x14ac:dyDescent="0.35">
      <c r="A245" s="95">
        <v>24807</v>
      </c>
      <c r="B245">
        <v>59.4</v>
      </c>
      <c r="E245">
        <v>79.599999999999994</v>
      </c>
      <c r="F245">
        <v>58.7</v>
      </c>
      <c r="H245">
        <v>53.8</v>
      </c>
      <c r="I245">
        <v>49.9</v>
      </c>
      <c r="J245">
        <v>51.5</v>
      </c>
      <c r="L245">
        <v>55.6</v>
      </c>
      <c r="O245">
        <v>7.5401712735310893E-3</v>
      </c>
      <c r="P245">
        <v>2.670839761173328E-2</v>
      </c>
      <c r="Q245">
        <v>3.0503528184631978E-2</v>
      </c>
    </row>
    <row r="246" spans="1:20" x14ac:dyDescent="0.35">
      <c r="A246" s="95">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35">
      <c r="A247" s="95">
        <v>24869</v>
      </c>
      <c r="B247">
        <v>56.6</v>
      </c>
      <c r="E247">
        <v>76.3</v>
      </c>
      <c r="F247">
        <v>58.1</v>
      </c>
      <c r="H247">
        <v>53.7</v>
      </c>
      <c r="I247">
        <v>53.9</v>
      </c>
      <c r="J247">
        <v>50.3</v>
      </c>
      <c r="L247">
        <v>55</v>
      </c>
      <c r="O247">
        <v>2.0395071286729152E-2</v>
      </c>
      <c r="P247">
        <v>3.8452148706466398E-2</v>
      </c>
      <c r="Q247">
        <v>8.4110145813841353E-2</v>
      </c>
    </row>
    <row r="248" spans="1:20" x14ac:dyDescent="0.35">
      <c r="A248" s="95">
        <v>24898</v>
      </c>
      <c r="B248">
        <v>55.7</v>
      </c>
      <c r="E248">
        <v>76.099999999999994</v>
      </c>
      <c r="F248">
        <v>55.8</v>
      </c>
      <c r="H248">
        <v>50.7</v>
      </c>
      <c r="I248">
        <v>54</v>
      </c>
      <c r="J248">
        <v>50.1</v>
      </c>
      <c r="L248">
        <v>53.8</v>
      </c>
      <c r="O248">
        <v>2.0395071286729152E-2</v>
      </c>
      <c r="P248">
        <v>3.8452148706466398E-2</v>
      </c>
      <c r="Q248">
        <v>8.4110145813841353E-2</v>
      </c>
    </row>
    <row r="249" spans="1:20" x14ac:dyDescent="0.35">
      <c r="A249" s="95">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35">
      <c r="A250" s="95">
        <v>24959</v>
      </c>
      <c r="B250">
        <v>56.2</v>
      </c>
      <c r="E250">
        <v>69.2</v>
      </c>
      <c r="F250">
        <v>60</v>
      </c>
      <c r="H250">
        <v>54</v>
      </c>
      <c r="I250">
        <v>49.4</v>
      </c>
      <c r="J250">
        <v>53.1</v>
      </c>
      <c r="L250">
        <v>55.3</v>
      </c>
      <c r="O250">
        <v>1.6707995500967191E-2</v>
      </c>
      <c r="P250">
        <v>5.5155815100588403E-2</v>
      </c>
      <c r="Q250">
        <v>6.852565923772147E-2</v>
      </c>
    </row>
    <row r="251" spans="1:20" x14ac:dyDescent="0.35">
      <c r="A251" s="95">
        <v>24990</v>
      </c>
      <c r="B251">
        <v>54.3</v>
      </c>
      <c r="E251">
        <v>70.400000000000006</v>
      </c>
      <c r="F251">
        <v>54.9</v>
      </c>
      <c r="H251">
        <v>55</v>
      </c>
      <c r="I251">
        <v>49.9</v>
      </c>
      <c r="J251">
        <v>52.6</v>
      </c>
      <c r="L251">
        <v>53.5</v>
      </c>
      <c r="O251">
        <v>1.6707995500967191E-2</v>
      </c>
      <c r="P251">
        <v>5.5155815100588403E-2</v>
      </c>
      <c r="Q251">
        <v>6.852565923772147E-2</v>
      </c>
    </row>
    <row r="252" spans="1:20" x14ac:dyDescent="0.35">
      <c r="A252" s="95">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35">
      <c r="A253" s="95">
        <v>25051</v>
      </c>
      <c r="B253">
        <v>53.8</v>
      </c>
      <c r="E253">
        <v>74.3</v>
      </c>
      <c r="F253">
        <v>56.1</v>
      </c>
      <c r="H253">
        <v>54.2</v>
      </c>
      <c r="I253">
        <v>47.8</v>
      </c>
      <c r="J253">
        <v>49.5</v>
      </c>
      <c r="L253">
        <v>52.7</v>
      </c>
      <c r="O253">
        <v>7.7495566345378913E-3</v>
      </c>
      <c r="P253">
        <v>5.3366682329002352E-2</v>
      </c>
      <c r="Q253">
        <v>3.1360425530983838E-2</v>
      </c>
    </row>
    <row r="254" spans="1:20" x14ac:dyDescent="0.35">
      <c r="A254" s="95">
        <v>25082</v>
      </c>
      <c r="B254">
        <v>55.4</v>
      </c>
      <c r="E254">
        <v>72.400000000000006</v>
      </c>
      <c r="F254">
        <v>57</v>
      </c>
      <c r="H254">
        <v>42.4</v>
      </c>
      <c r="I254">
        <v>48.4</v>
      </c>
      <c r="J254">
        <v>47.1</v>
      </c>
      <c r="L254">
        <v>51.8</v>
      </c>
      <c r="O254">
        <v>7.7495566345378913E-3</v>
      </c>
      <c r="P254">
        <v>5.3366682329002352E-2</v>
      </c>
      <c r="Q254">
        <v>3.1360425530983838E-2</v>
      </c>
    </row>
    <row r="255" spans="1:20" x14ac:dyDescent="0.35">
      <c r="A255" s="95">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35">
      <c r="A256" s="95">
        <v>25143</v>
      </c>
      <c r="B256">
        <v>61.3</v>
      </c>
      <c r="E256">
        <v>69.5</v>
      </c>
      <c r="F256">
        <v>59.8</v>
      </c>
      <c r="H256">
        <v>43.5</v>
      </c>
      <c r="I256">
        <v>61</v>
      </c>
      <c r="J256">
        <v>56.4</v>
      </c>
      <c r="L256">
        <v>58.1</v>
      </c>
      <c r="O256">
        <v>3.9332004111917174E-3</v>
      </c>
      <c r="P256">
        <v>4.9595653600969333E-2</v>
      </c>
      <c r="Q256">
        <v>1.5825865664408582E-2</v>
      </c>
    </row>
    <row r="257" spans="1:20" x14ac:dyDescent="0.35">
      <c r="A257" s="95">
        <v>25173</v>
      </c>
      <c r="B257">
        <v>56.7</v>
      </c>
      <c r="E257">
        <v>76.8</v>
      </c>
      <c r="F257">
        <v>60.6</v>
      </c>
      <c r="H257">
        <v>46.3</v>
      </c>
      <c r="I257">
        <v>58.3</v>
      </c>
      <c r="J257">
        <v>52.8</v>
      </c>
      <c r="L257">
        <v>56.1</v>
      </c>
      <c r="O257">
        <v>3.9332004111917174E-3</v>
      </c>
      <c r="P257">
        <v>4.9595653600969333E-2</v>
      </c>
      <c r="Q257">
        <v>1.5825865664408582E-2</v>
      </c>
    </row>
    <row r="258" spans="1:20" x14ac:dyDescent="0.35">
      <c r="A258" s="95">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35">
      <c r="A259" s="95">
        <v>25235</v>
      </c>
      <c r="B259">
        <v>57.9</v>
      </c>
      <c r="E259">
        <v>79.599999999999994</v>
      </c>
      <c r="F259">
        <v>59.1</v>
      </c>
      <c r="H259">
        <v>46.3</v>
      </c>
      <c r="I259">
        <v>60.1</v>
      </c>
      <c r="J259">
        <v>56.1</v>
      </c>
      <c r="L259">
        <v>57</v>
      </c>
      <c r="O259">
        <v>1.565115509134396E-2</v>
      </c>
      <c r="P259">
        <v>4.4715981050763132E-2</v>
      </c>
      <c r="Q259">
        <v>6.4089767847923085E-2</v>
      </c>
    </row>
    <row r="260" spans="1:20" x14ac:dyDescent="0.35">
      <c r="A260" s="95">
        <v>25263</v>
      </c>
      <c r="B260">
        <v>59.3</v>
      </c>
      <c r="E260">
        <v>79.400000000000006</v>
      </c>
      <c r="F260">
        <v>58.8</v>
      </c>
      <c r="H260">
        <v>47.6</v>
      </c>
      <c r="I260">
        <v>60.5</v>
      </c>
      <c r="J260">
        <v>53.8</v>
      </c>
      <c r="L260">
        <v>57.1</v>
      </c>
      <c r="O260">
        <v>1.565115509134396E-2</v>
      </c>
      <c r="P260">
        <v>4.4715981050763132E-2</v>
      </c>
      <c r="Q260">
        <v>6.4089767847923085E-2</v>
      </c>
    </row>
    <row r="261" spans="1:20" x14ac:dyDescent="0.35">
      <c r="A261" s="95">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35">
      <c r="A262" s="95">
        <v>25324</v>
      </c>
      <c r="B262">
        <v>57.6</v>
      </c>
      <c r="E262">
        <v>79.3</v>
      </c>
      <c r="F262">
        <v>56.3</v>
      </c>
      <c r="H262">
        <v>50.7</v>
      </c>
      <c r="I262">
        <v>64.900000000000006</v>
      </c>
      <c r="J262">
        <v>52.8</v>
      </c>
      <c r="L262">
        <v>56.7</v>
      </c>
      <c r="O262">
        <v>3.039953206492568E-3</v>
      </c>
      <c r="P262">
        <v>3.067141537615219E-2</v>
      </c>
      <c r="Q262">
        <v>1.221537317702515E-2</v>
      </c>
    </row>
    <row r="263" spans="1:20" x14ac:dyDescent="0.35">
      <c r="A263" s="95">
        <v>25355</v>
      </c>
      <c r="B263">
        <v>52.7</v>
      </c>
      <c r="E263">
        <v>80.900000000000006</v>
      </c>
      <c r="F263">
        <v>56.9</v>
      </c>
      <c r="H263">
        <v>47.8</v>
      </c>
      <c r="I263">
        <v>67</v>
      </c>
      <c r="J263">
        <v>53.1</v>
      </c>
      <c r="L263">
        <v>55.5</v>
      </c>
      <c r="O263">
        <v>3.039953206492568E-3</v>
      </c>
      <c r="P263">
        <v>3.067141537615219E-2</v>
      </c>
      <c r="Q263">
        <v>1.221537317702515E-2</v>
      </c>
    </row>
    <row r="264" spans="1:20" x14ac:dyDescent="0.35">
      <c r="A264" s="95">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35">
      <c r="A265" s="95">
        <v>25416</v>
      </c>
      <c r="B265">
        <v>51.5</v>
      </c>
      <c r="E265">
        <v>84.4</v>
      </c>
      <c r="F265">
        <v>54.1</v>
      </c>
      <c r="H265">
        <v>50.9</v>
      </c>
      <c r="I265">
        <v>70.3</v>
      </c>
      <c r="J265">
        <v>51.2</v>
      </c>
      <c r="L265">
        <v>54.8</v>
      </c>
      <c r="O265">
        <v>6.6051420527715021E-3</v>
      </c>
      <c r="P265">
        <v>2.9500970408946881E-2</v>
      </c>
      <c r="Q265">
        <v>2.6683490197652041E-2</v>
      </c>
    </row>
    <row r="266" spans="1:20" x14ac:dyDescent="0.35">
      <c r="A266" s="95">
        <v>25447</v>
      </c>
      <c r="B266">
        <v>50.4</v>
      </c>
      <c r="E266">
        <v>83.2</v>
      </c>
      <c r="F266">
        <v>54.8</v>
      </c>
      <c r="H266">
        <v>49.4</v>
      </c>
      <c r="I266">
        <v>68.900000000000006</v>
      </c>
      <c r="J266">
        <v>50.3</v>
      </c>
      <c r="L266">
        <v>54.1</v>
      </c>
      <c r="O266">
        <v>6.6051420527715021E-3</v>
      </c>
      <c r="P266">
        <v>2.9500970408946881E-2</v>
      </c>
      <c r="Q266">
        <v>2.6683490197652041E-2</v>
      </c>
    </row>
    <row r="267" spans="1:20" x14ac:dyDescent="0.35">
      <c r="A267" s="95">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35">
      <c r="A268" s="95">
        <v>25508</v>
      </c>
      <c r="B268">
        <v>50.6</v>
      </c>
      <c r="E268">
        <v>81.8</v>
      </c>
      <c r="F268">
        <v>51.2</v>
      </c>
      <c r="H268">
        <v>55.6</v>
      </c>
      <c r="I268">
        <v>64.099999999999994</v>
      </c>
      <c r="J268">
        <v>50.4</v>
      </c>
      <c r="L268">
        <v>53.2</v>
      </c>
      <c r="O268">
        <v>-4.8769458752543609E-3</v>
      </c>
      <c r="P268">
        <v>2.0466450833714091E-2</v>
      </c>
      <c r="Q268">
        <v>-1.9365539313737409E-2</v>
      </c>
    </row>
    <row r="269" spans="1:20" x14ac:dyDescent="0.35">
      <c r="A269" s="95">
        <v>25538</v>
      </c>
      <c r="B269">
        <v>48</v>
      </c>
      <c r="E269">
        <v>82.2</v>
      </c>
      <c r="F269">
        <v>50.3</v>
      </c>
      <c r="H269">
        <v>51.5</v>
      </c>
      <c r="I269">
        <v>66.8</v>
      </c>
      <c r="J269">
        <v>49.6</v>
      </c>
      <c r="L269">
        <v>52</v>
      </c>
      <c r="O269">
        <v>-4.8769458752543609E-3</v>
      </c>
      <c r="P269">
        <v>2.0466450833714091E-2</v>
      </c>
      <c r="Q269">
        <v>-1.9365539313737409E-2</v>
      </c>
    </row>
    <row r="270" spans="1:20" x14ac:dyDescent="0.35">
      <c r="A270" s="95">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35">
      <c r="A271" s="95">
        <v>25600</v>
      </c>
      <c r="B271">
        <v>45.8</v>
      </c>
      <c r="E271">
        <v>74.5</v>
      </c>
      <c r="F271">
        <v>45.9</v>
      </c>
      <c r="H271">
        <v>48.6</v>
      </c>
      <c r="I271">
        <v>57.7</v>
      </c>
      <c r="J271">
        <v>43.3</v>
      </c>
      <c r="L271">
        <v>47.4</v>
      </c>
      <c r="O271">
        <v>-1.4847070124259069E-3</v>
      </c>
      <c r="P271">
        <v>3.249346028238541E-3</v>
      </c>
      <c r="Q271">
        <v>-5.9256150066525626E-3</v>
      </c>
    </row>
    <row r="272" spans="1:20" x14ac:dyDescent="0.35">
      <c r="A272" s="95">
        <v>25628</v>
      </c>
      <c r="B272">
        <v>45.2</v>
      </c>
      <c r="E272">
        <v>67.8</v>
      </c>
      <c r="F272">
        <v>47.3</v>
      </c>
      <c r="H272">
        <v>51.4</v>
      </c>
      <c r="I272">
        <v>49.3</v>
      </c>
      <c r="J272">
        <v>44.8</v>
      </c>
      <c r="L272">
        <v>46.9</v>
      </c>
      <c r="O272">
        <v>-1.4847070124259069E-3</v>
      </c>
      <c r="P272">
        <v>3.249346028238541E-3</v>
      </c>
      <c r="Q272">
        <v>-5.9256150066525626E-3</v>
      </c>
    </row>
    <row r="273" spans="1:20" x14ac:dyDescent="0.35">
      <c r="A273" s="95">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35">
      <c r="A274" s="95">
        <v>25689</v>
      </c>
      <c r="B274">
        <v>45.3</v>
      </c>
      <c r="E274">
        <v>78.3</v>
      </c>
      <c r="F274">
        <v>45.2</v>
      </c>
      <c r="H274">
        <v>40.4</v>
      </c>
      <c r="I274">
        <v>67.2</v>
      </c>
      <c r="J274">
        <v>40.799999999999997</v>
      </c>
      <c r="L274">
        <v>47.2</v>
      </c>
      <c r="O274">
        <v>1.419300010385208E-3</v>
      </c>
      <c r="P274">
        <v>1.628354507476494E-3</v>
      </c>
      <c r="Q274">
        <v>5.6892979569385096E-3</v>
      </c>
    </row>
    <row r="275" spans="1:20" x14ac:dyDescent="0.35">
      <c r="A275" s="95">
        <v>25720</v>
      </c>
      <c r="B275">
        <v>53.2</v>
      </c>
      <c r="E275">
        <v>73.8</v>
      </c>
      <c r="F275">
        <v>49.7</v>
      </c>
      <c r="H275">
        <v>45.3</v>
      </c>
      <c r="I275">
        <v>66.099999999999994</v>
      </c>
      <c r="J275">
        <v>41.4</v>
      </c>
      <c r="L275">
        <v>51.1</v>
      </c>
      <c r="O275">
        <v>1.419300010385208E-3</v>
      </c>
      <c r="P275">
        <v>1.628354507476494E-3</v>
      </c>
      <c r="Q275">
        <v>5.6892979569385096E-3</v>
      </c>
    </row>
    <row r="276" spans="1:20" x14ac:dyDescent="0.35">
      <c r="A276" s="95">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35">
      <c r="A277" s="95">
        <v>25781</v>
      </c>
      <c r="B277">
        <v>51.8</v>
      </c>
      <c r="E277">
        <v>68.599999999999994</v>
      </c>
      <c r="F277">
        <v>49.7</v>
      </c>
      <c r="H277">
        <v>43.8</v>
      </c>
      <c r="I277">
        <v>46.1</v>
      </c>
      <c r="J277">
        <v>40.1</v>
      </c>
      <c r="L277">
        <v>47.3</v>
      </c>
      <c r="O277">
        <v>9.2155083013763586E-3</v>
      </c>
      <c r="P277">
        <v>4.2258147637592551E-3</v>
      </c>
      <c r="Q277">
        <v>3.7374724507416517E-2</v>
      </c>
    </row>
    <row r="278" spans="1:20" x14ac:dyDescent="0.35">
      <c r="A278" s="95">
        <v>25812</v>
      </c>
      <c r="B278">
        <v>44.2</v>
      </c>
      <c r="E278">
        <v>70.599999999999994</v>
      </c>
      <c r="F278">
        <v>45.1</v>
      </c>
      <c r="H278">
        <v>47.2</v>
      </c>
      <c r="I278">
        <v>46.5</v>
      </c>
      <c r="J278">
        <v>39.5</v>
      </c>
      <c r="L278">
        <v>44.1</v>
      </c>
      <c r="O278">
        <v>9.2155083013763586E-3</v>
      </c>
      <c r="P278">
        <v>4.2258147637592551E-3</v>
      </c>
      <c r="Q278">
        <v>3.7374724507416517E-2</v>
      </c>
    </row>
    <row r="279" spans="1:20" x14ac:dyDescent="0.35">
      <c r="A279" s="95">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35">
      <c r="A280" s="95">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35">
      <c r="A281" s="95">
        <v>25903</v>
      </c>
      <c r="B281">
        <v>51.2</v>
      </c>
      <c r="E281">
        <v>64.5</v>
      </c>
      <c r="F281">
        <v>46.8</v>
      </c>
      <c r="H281">
        <v>44.4</v>
      </c>
      <c r="I281">
        <v>37.5</v>
      </c>
      <c r="J281">
        <v>41.4</v>
      </c>
      <c r="L281">
        <v>45.4</v>
      </c>
      <c r="O281">
        <v>-1.071638106008845E-2</v>
      </c>
      <c r="P281">
        <v>-1.667035906259561E-3</v>
      </c>
      <c r="Q281">
        <v>-4.2181388825872079E-2</v>
      </c>
    </row>
    <row r="282" spans="1:20" x14ac:dyDescent="0.35">
      <c r="A282" s="95">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35">
      <c r="A283" s="95">
        <v>25965</v>
      </c>
      <c r="B283">
        <v>62.8</v>
      </c>
      <c r="E283">
        <v>64.599999999999994</v>
      </c>
      <c r="F283">
        <v>60</v>
      </c>
      <c r="H283">
        <v>48</v>
      </c>
      <c r="I283">
        <v>44.2</v>
      </c>
      <c r="J283">
        <v>47.7</v>
      </c>
      <c r="L283">
        <v>54.8</v>
      </c>
      <c r="O283">
        <v>2.7159927894247621E-2</v>
      </c>
      <c r="P283">
        <v>2.697236849004174E-2</v>
      </c>
      <c r="Q283">
        <v>0.1131463651735802</v>
      </c>
    </row>
    <row r="284" spans="1:20" x14ac:dyDescent="0.35">
      <c r="A284" s="95">
        <v>25993</v>
      </c>
      <c r="B284">
        <v>56.2</v>
      </c>
      <c r="E284">
        <v>67</v>
      </c>
      <c r="F284">
        <v>54.4</v>
      </c>
      <c r="H284">
        <v>51.2</v>
      </c>
      <c r="I284">
        <v>45</v>
      </c>
      <c r="J284">
        <v>44.3</v>
      </c>
      <c r="L284">
        <v>51.2</v>
      </c>
      <c r="O284">
        <v>2.7159927894247621E-2</v>
      </c>
      <c r="P284">
        <v>2.697236849004174E-2</v>
      </c>
      <c r="Q284">
        <v>0.1131463651735802</v>
      </c>
    </row>
    <row r="285" spans="1:20" x14ac:dyDescent="0.35">
      <c r="A285" s="95">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35">
      <c r="A286" s="95">
        <v>26054</v>
      </c>
      <c r="B286">
        <v>57</v>
      </c>
      <c r="E286">
        <v>71.599999999999994</v>
      </c>
      <c r="F286">
        <v>58.9</v>
      </c>
      <c r="H286">
        <v>55.1</v>
      </c>
      <c r="I286">
        <v>49.4</v>
      </c>
      <c r="J286">
        <v>47.4</v>
      </c>
      <c r="L286">
        <v>54.2</v>
      </c>
      <c r="O286">
        <v>5.4112007973197733E-3</v>
      </c>
      <c r="P286">
        <v>3.106613002019493E-2</v>
      </c>
      <c r="Q286">
        <v>2.1821124394593161E-2</v>
      </c>
    </row>
    <row r="287" spans="1:20" x14ac:dyDescent="0.35">
      <c r="A287" s="95">
        <v>26085</v>
      </c>
      <c r="B287">
        <v>57.9</v>
      </c>
      <c r="E287">
        <v>78.099999999999994</v>
      </c>
      <c r="F287">
        <v>55.4</v>
      </c>
      <c r="H287">
        <v>59</v>
      </c>
      <c r="I287">
        <v>47.9</v>
      </c>
      <c r="J287">
        <v>47.5</v>
      </c>
      <c r="L287">
        <v>53.8</v>
      </c>
      <c r="O287">
        <v>5.4112007973197733E-3</v>
      </c>
      <c r="P287">
        <v>3.106613002019493E-2</v>
      </c>
      <c r="Q287">
        <v>2.1821124394593161E-2</v>
      </c>
    </row>
    <row r="288" spans="1:20" x14ac:dyDescent="0.35">
      <c r="A288" s="95">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35">
      <c r="A289" s="95">
        <v>26146</v>
      </c>
      <c r="B289">
        <v>58.4</v>
      </c>
      <c r="E289">
        <v>72.400000000000006</v>
      </c>
      <c r="F289">
        <v>55.6</v>
      </c>
      <c r="H289">
        <v>50.9</v>
      </c>
      <c r="I289">
        <v>49.7</v>
      </c>
      <c r="J289">
        <v>48.4</v>
      </c>
      <c r="L289">
        <v>53.6</v>
      </c>
      <c r="O289">
        <v>8.2296708504175139E-3</v>
      </c>
      <c r="P289">
        <v>3.0058948108077931E-2</v>
      </c>
      <c r="Q289">
        <v>3.3327282382066732E-2</v>
      </c>
    </row>
    <row r="290" spans="1:20" x14ac:dyDescent="0.35">
      <c r="A290" s="95">
        <v>26177</v>
      </c>
      <c r="B290">
        <v>61</v>
      </c>
      <c r="E290">
        <v>52.3</v>
      </c>
      <c r="F290">
        <v>59.3</v>
      </c>
      <c r="H290">
        <v>40.200000000000003</v>
      </c>
      <c r="I290">
        <v>48.9</v>
      </c>
      <c r="J290">
        <v>53</v>
      </c>
      <c r="L290">
        <v>55.1</v>
      </c>
      <c r="O290">
        <v>8.2296708504175139E-3</v>
      </c>
      <c r="P290">
        <v>3.0058948108077931E-2</v>
      </c>
      <c r="Q290">
        <v>3.3327282382066732E-2</v>
      </c>
    </row>
    <row r="291" spans="1:20" x14ac:dyDescent="0.35">
      <c r="A291" s="95">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35">
      <c r="A292" s="95">
        <v>26238</v>
      </c>
      <c r="B292">
        <v>55.4</v>
      </c>
      <c r="E292">
        <v>53.9</v>
      </c>
      <c r="F292">
        <v>56.1</v>
      </c>
      <c r="H292">
        <v>41.6</v>
      </c>
      <c r="I292">
        <v>50.9</v>
      </c>
      <c r="J292">
        <v>49.3</v>
      </c>
      <c r="L292">
        <v>52.3</v>
      </c>
      <c r="O292">
        <v>2.357838388214737E-3</v>
      </c>
      <c r="P292">
        <v>4.3672048006249138E-2</v>
      </c>
      <c r="Q292">
        <v>9.464762427640272E-3</v>
      </c>
    </row>
    <row r="293" spans="1:20" x14ac:dyDescent="0.35">
      <c r="A293" s="95">
        <v>26268</v>
      </c>
      <c r="B293">
        <v>63.5</v>
      </c>
      <c r="E293">
        <v>65.099999999999994</v>
      </c>
      <c r="F293">
        <v>63.9</v>
      </c>
      <c r="H293">
        <v>47.7</v>
      </c>
      <c r="I293">
        <v>53.3</v>
      </c>
      <c r="J293">
        <v>49</v>
      </c>
      <c r="L293">
        <v>57.6</v>
      </c>
      <c r="O293">
        <v>2.357838388214737E-3</v>
      </c>
      <c r="P293">
        <v>4.3672048006249138E-2</v>
      </c>
      <c r="Q293">
        <v>9.464762427640272E-3</v>
      </c>
    </row>
    <row r="294" spans="1:20" x14ac:dyDescent="0.35">
      <c r="A294" s="95">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35">
      <c r="A295" s="95">
        <v>26330</v>
      </c>
      <c r="B295">
        <v>66</v>
      </c>
      <c r="E295">
        <v>74.099999999999994</v>
      </c>
      <c r="F295">
        <v>67.7</v>
      </c>
      <c r="H295">
        <v>51.7</v>
      </c>
      <c r="I295">
        <v>52.6</v>
      </c>
      <c r="J295">
        <v>54.4</v>
      </c>
      <c r="L295">
        <v>60.6</v>
      </c>
      <c r="O295">
        <v>1.8389588842627851E-2</v>
      </c>
      <c r="P295">
        <v>3.4760721277919467E-2</v>
      </c>
      <c r="Q295">
        <v>7.5612407343295995E-2</v>
      </c>
    </row>
    <row r="296" spans="1:20" x14ac:dyDescent="0.35">
      <c r="A296" s="95">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35">
      <c r="A297" s="95">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35">
      <c r="A298" s="95">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35">
      <c r="A299" s="95">
        <v>26451</v>
      </c>
      <c r="B299">
        <v>62.1</v>
      </c>
      <c r="E299">
        <v>70.2</v>
      </c>
      <c r="F299">
        <v>62.2</v>
      </c>
      <c r="H299">
        <v>49.6</v>
      </c>
      <c r="I299">
        <v>57.7</v>
      </c>
      <c r="J299">
        <v>53.9</v>
      </c>
      <c r="L299">
        <v>58.6</v>
      </c>
      <c r="O299">
        <v>2.2697723541087039E-2</v>
      </c>
      <c r="P299">
        <v>5.2551864571869791E-2</v>
      </c>
      <c r="Q299">
        <v>9.3929053762295656E-2</v>
      </c>
    </row>
    <row r="300" spans="1:20" x14ac:dyDescent="0.35">
      <c r="A300" s="95">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35">
      <c r="A301" s="95">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35">
      <c r="A302" s="95">
        <v>26543</v>
      </c>
      <c r="B302">
        <v>69.3</v>
      </c>
      <c r="E302">
        <v>67.8</v>
      </c>
      <c r="F302">
        <v>68.3</v>
      </c>
      <c r="H302">
        <v>56.8</v>
      </c>
      <c r="I302">
        <v>65.5</v>
      </c>
      <c r="J302">
        <v>58.6</v>
      </c>
      <c r="L302">
        <v>65.099999999999994</v>
      </c>
      <c r="O302">
        <v>9.4438188800006935E-3</v>
      </c>
      <c r="P302">
        <v>5.3819387051471212E-2</v>
      </c>
      <c r="Q302">
        <v>3.8313766779282547E-2</v>
      </c>
    </row>
    <row r="303" spans="1:20" x14ac:dyDescent="0.35">
      <c r="A303" s="95">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35">
      <c r="A304" s="95">
        <v>26604</v>
      </c>
      <c r="B304">
        <v>73</v>
      </c>
      <c r="E304">
        <v>74.5</v>
      </c>
      <c r="F304">
        <v>72.7</v>
      </c>
      <c r="H304">
        <v>63.4</v>
      </c>
      <c r="I304">
        <v>74.5</v>
      </c>
      <c r="J304">
        <v>61.7</v>
      </c>
      <c r="L304">
        <v>69.900000000000006</v>
      </c>
      <c r="O304">
        <v>1.6744587376992581E-2</v>
      </c>
      <c r="P304">
        <v>6.8944758870178285E-2</v>
      </c>
      <c r="Q304">
        <v>6.8679494830585552E-2</v>
      </c>
    </row>
    <row r="305" spans="1:20" x14ac:dyDescent="0.35">
      <c r="A305" s="95">
        <v>26634</v>
      </c>
      <c r="B305">
        <v>71.900000000000006</v>
      </c>
      <c r="E305">
        <v>78</v>
      </c>
      <c r="F305">
        <v>71.8</v>
      </c>
      <c r="H305">
        <v>62.5</v>
      </c>
      <c r="I305">
        <v>80.7</v>
      </c>
      <c r="J305">
        <v>63.2</v>
      </c>
      <c r="L305">
        <v>70.5</v>
      </c>
      <c r="O305">
        <v>1.6744587376992581E-2</v>
      </c>
      <c r="P305">
        <v>6.8944758870178285E-2</v>
      </c>
      <c r="Q305">
        <v>6.8679494830585552E-2</v>
      </c>
    </row>
    <row r="306" spans="1:20" x14ac:dyDescent="0.35">
      <c r="A306" s="95">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35">
      <c r="A307" s="95">
        <v>26696</v>
      </c>
      <c r="B307">
        <v>69</v>
      </c>
      <c r="E307">
        <v>87.8</v>
      </c>
      <c r="F307">
        <v>68.5</v>
      </c>
      <c r="H307">
        <v>63.6</v>
      </c>
      <c r="I307">
        <v>85.2</v>
      </c>
      <c r="J307">
        <v>63.2</v>
      </c>
      <c r="L307">
        <v>69.599999999999994</v>
      </c>
      <c r="O307">
        <v>2.474806376709953E-2</v>
      </c>
      <c r="P307">
        <v>7.5618882917976041E-2</v>
      </c>
      <c r="Q307">
        <v>0.1027280596009803</v>
      </c>
    </row>
    <row r="308" spans="1:20" x14ac:dyDescent="0.35">
      <c r="A308" s="95">
        <v>26724</v>
      </c>
      <c r="B308">
        <v>68.8</v>
      </c>
      <c r="E308">
        <v>90</v>
      </c>
      <c r="F308">
        <v>67.7</v>
      </c>
      <c r="H308">
        <v>61.9</v>
      </c>
      <c r="I308">
        <v>87.5</v>
      </c>
      <c r="J308">
        <v>63.6</v>
      </c>
      <c r="L308">
        <v>69.599999999999994</v>
      </c>
      <c r="O308">
        <v>2.474806376709953E-2</v>
      </c>
      <c r="P308">
        <v>7.5618882917976041E-2</v>
      </c>
      <c r="Q308">
        <v>0.1027280596009803</v>
      </c>
    </row>
    <row r="309" spans="1:20" x14ac:dyDescent="0.35">
      <c r="A309" s="95">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35">
      <c r="A310" s="95">
        <v>26785</v>
      </c>
      <c r="B310">
        <v>63.5</v>
      </c>
      <c r="E310">
        <v>89.3</v>
      </c>
      <c r="F310">
        <v>59.2</v>
      </c>
      <c r="H310">
        <v>59.2</v>
      </c>
      <c r="I310">
        <v>86.6</v>
      </c>
      <c r="J310">
        <v>60.2</v>
      </c>
      <c r="L310">
        <v>64.8</v>
      </c>
      <c r="O310">
        <v>1.0886625296699469E-2</v>
      </c>
      <c r="P310">
        <v>6.3196600158145266E-2</v>
      </c>
      <c r="Q310">
        <v>4.4262787966369732E-2</v>
      </c>
    </row>
    <row r="311" spans="1:20" x14ac:dyDescent="0.35">
      <c r="A311" s="95">
        <v>26816</v>
      </c>
      <c r="B311">
        <v>61</v>
      </c>
      <c r="E311">
        <v>87.6</v>
      </c>
      <c r="F311">
        <v>62.7</v>
      </c>
      <c r="H311">
        <v>62.5</v>
      </c>
      <c r="I311">
        <v>85.6</v>
      </c>
      <c r="J311">
        <v>59.7</v>
      </c>
      <c r="L311">
        <v>65</v>
      </c>
      <c r="O311">
        <v>1.0886625296699469E-2</v>
      </c>
      <c r="P311">
        <v>6.3196600158145266E-2</v>
      </c>
      <c r="Q311">
        <v>4.4262787966369732E-2</v>
      </c>
    </row>
    <row r="312" spans="1:20" x14ac:dyDescent="0.35">
      <c r="A312" s="95">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35">
      <c r="A313" s="95">
        <v>26877</v>
      </c>
      <c r="B313">
        <v>59.1</v>
      </c>
      <c r="E313">
        <v>86.1</v>
      </c>
      <c r="F313">
        <v>59</v>
      </c>
      <c r="H313">
        <v>62.1</v>
      </c>
      <c r="I313">
        <v>86.7</v>
      </c>
      <c r="J313">
        <v>54.9</v>
      </c>
      <c r="L313">
        <v>62.7</v>
      </c>
      <c r="O313">
        <v>-5.2589853628965894E-3</v>
      </c>
      <c r="P313">
        <v>4.7710873076094118E-2</v>
      </c>
      <c r="Q313">
        <v>-2.0870580913895931E-2</v>
      </c>
    </row>
    <row r="314" spans="1:20" x14ac:dyDescent="0.35">
      <c r="A314" s="95">
        <v>26908</v>
      </c>
      <c r="B314">
        <v>60</v>
      </c>
      <c r="E314">
        <v>92.1</v>
      </c>
      <c r="F314">
        <v>58.2</v>
      </c>
      <c r="H314">
        <v>62.3</v>
      </c>
      <c r="I314">
        <v>90.1</v>
      </c>
      <c r="J314">
        <v>56.1</v>
      </c>
      <c r="L314">
        <v>63.5</v>
      </c>
      <c r="O314">
        <v>-5.2589853628965894E-3</v>
      </c>
      <c r="P314">
        <v>4.7710873076094118E-2</v>
      </c>
      <c r="Q314">
        <v>-2.0870580913895931E-2</v>
      </c>
    </row>
    <row r="315" spans="1:20" x14ac:dyDescent="0.35">
      <c r="A315" s="95">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35">
      <c r="A316" s="95">
        <v>26969</v>
      </c>
      <c r="B316">
        <v>65.2</v>
      </c>
      <c r="E316">
        <v>97.6</v>
      </c>
      <c r="F316">
        <v>62</v>
      </c>
      <c r="H316">
        <v>63.8</v>
      </c>
      <c r="I316">
        <v>96.8</v>
      </c>
      <c r="J316">
        <v>60.8</v>
      </c>
      <c r="L316">
        <v>68.099999999999994</v>
      </c>
      <c r="O316">
        <v>9.4921604343136869E-3</v>
      </c>
      <c r="P316">
        <v>4.0237563989062503E-2</v>
      </c>
      <c r="Q316">
        <v>3.8512677530483819E-2</v>
      </c>
    </row>
    <row r="317" spans="1:20" x14ac:dyDescent="0.35">
      <c r="A317" s="95">
        <v>26999</v>
      </c>
      <c r="B317">
        <v>59</v>
      </c>
      <c r="E317">
        <v>94.2</v>
      </c>
      <c r="F317">
        <v>56</v>
      </c>
      <c r="H317">
        <v>63.8</v>
      </c>
      <c r="I317">
        <v>92.8</v>
      </c>
      <c r="J317">
        <v>58</v>
      </c>
      <c r="L317">
        <v>63.6</v>
      </c>
      <c r="O317">
        <v>9.4921604343136869E-3</v>
      </c>
      <c r="P317">
        <v>4.0237563989062503E-2</v>
      </c>
      <c r="Q317">
        <v>3.8512677530483819E-2</v>
      </c>
    </row>
    <row r="318" spans="1:20" x14ac:dyDescent="0.35">
      <c r="A318" s="95">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35">
      <c r="A319" s="95">
        <v>27061</v>
      </c>
      <c r="B319">
        <v>56</v>
      </c>
      <c r="E319">
        <v>93.6</v>
      </c>
      <c r="F319">
        <v>49.7</v>
      </c>
      <c r="H319">
        <v>58.8</v>
      </c>
      <c r="I319">
        <v>88.8</v>
      </c>
      <c r="J319">
        <v>51</v>
      </c>
      <c r="L319">
        <v>58.6</v>
      </c>
      <c r="O319">
        <v>-8.5977257437322464E-3</v>
      </c>
      <c r="P319">
        <v>6.3877387719998612E-3</v>
      </c>
      <c r="Q319">
        <v>-3.3949914388930691E-2</v>
      </c>
    </row>
    <row r="320" spans="1:20" x14ac:dyDescent="0.35">
      <c r="A320" s="95">
        <v>27089</v>
      </c>
      <c r="B320">
        <v>58</v>
      </c>
      <c r="E320">
        <v>94</v>
      </c>
      <c r="F320">
        <v>55.8</v>
      </c>
      <c r="H320">
        <v>59.1</v>
      </c>
      <c r="I320">
        <v>88.9</v>
      </c>
      <c r="J320">
        <v>56.3</v>
      </c>
      <c r="L320">
        <v>61.8</v>
      </c>
      <c r="O320">
        <v>-8.5977257437322464E-3</v>
      </c>
      <c r="P320">
        <v>6.3877387719998612E-3</v>
      </c>
      <c r="Q320">
        <v>-3.3949914388930691E-2</v>
      </c>
    </row>
    <row r="321" spans="1:20" x14ac:dyDescent="0.35">
      <c r="A321" s="95">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35">
      <c r="A322" s="95">
        <v>27150</v>
      </c>
      <c r="B322">
        <v>51.6</v>
      </c>
      <c r="E322">
        <v>92.3</v>
      </c>
      <c r="F322">
        <v>51.6</v>
      </c>
      <c r="H322">
        <v>59.3</v>
      </c>
      <c r="I322">
        <v>74.5</v>
      </c>
      <c r="J322">
        <v>51.1</v>
      </c>
      <c r="L322">
        <v>55.7</v>
      </c>
      <c r="O322">
        <v>2.3768322735318119E-3</v>
      </c>
      <c r="P322">
        <v>-2.0841819594568669E-3</v>
      </c>
      <c r="Q322">
        <v>9.5412788260365033E-3</v>
      </c>
    </row>
    <row r="323" spans="1:20" x14ac:dyDescent="0.35">
      <c r="A323" s="95">
        <v>27181</v>
      </c>
      <c r="B323">
        <v>51.9</v>
      </c>
      <c r="E323">
        <v>88.6</v>
      </c>
      <c r="F323">
        <v>50.4</v>
      </c>
      <c r="H323">
        <v>55.9</v>
      </c>
      <c r="I323">
        <v>73.099999999999994</v>
      </c>
      <c r="J323">
        <v>49.9</v>
      </c>
      <c r="L323">
        <v>54.7</v>
      </c>
      <c r="O323">
        <v>2.3768322735318119E-3</v>
      </c>
      <c r="P323">
        <v>-2.0841819594568669E-3</v>
      </c>
      <c r="Q323">
        <v>9.5412788260365033E-3</v>
      </c>
    </row>
    <row r="324" spans="1:20" x14ac:dyDescent="0.35">
      <c r="A324" s="95">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35">
      <c r="A325" s="95">
        <v>27242</v>
      </c>
      <c r="B325">
        <v>50.2</v>
      </c>
      <c r="E325">
        <v>86.1</v>
      </c>
      <c r="F325">
        <v>49.6</v>
      </c>
      <c r="H325">
        <v>57</v>
      </c>
      <c r="I325">
        <v>66.3</v>
      </c>
      <c r="J325">
        <v>49.2</v>
      </c>
      <c r="L325">
        <v>52.9</v>
      </c>
      <c r="O325">
        <v>-9.4514277828859072E-3</v>
      </c>
      <c r="P325">
        <v>-6.2900049280189829E-3</v>
      </c>
      <c r="Q325">
        <v>-3.7273103393761782E-2</v>
      </c>
    </row>
    <row r="326" spans="1:20" x14ac:dyDescent="0.35">
      <c r="A326" s="95">
        <v>27273</v>
      </c>
      <c r="B326">
        <v>41.2</v>
      </c>
      <c r="E326">
        <v>81</v>
      </c>
      <c r="F326">
        <v>46.3</v>
      </c>
      <c r="H326">
        <v>54.8</v>
      </c>
      <c r="I326">
        <v>51.8</v>
      </c>
      <c r="J326">
        <v>44.9</v>
      </c>
      <c r="L326">
        <v>46.2</v>
      </c>
      <c r="O326">
        <v>-9.4514277828859072E-3</v>
      </c>
      <c r="P326">
        <v>-6.2900049280189829E-3</v>
      </c>
      <c r="Q326">
        <v>-3.7273103393761782E-2</v>
      </c>
    </row>
    <row r="327" spans="1:20" x14ac:dyDescent="0.35">
      <c r="A327" s="95">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35">
      <c r="A328" s="95">
        <v>27334</v>
      </c>
      <c r="B328">
        <v>33.1</v>
      </c>
      <c r="E328">
        <v>71</v>
      </c>
      <c r="F328">
        <v>40.9</v>
      </c>
      <c r="H328">
        <v>47.2</v>
      </c>
      <c r="I328">
        <v>34</v>
      </c>
      <c r="J328">
        <v>39.6</v>
      </c>
      <c r="L328">
        <v>37.9</v>
      </c>
      <c r="O328">
        <v>-3.881407827863123E-3</v>
      </c>
      <c r="P328">
        <v>-1.945449393820109E-2</v>
      </c>
      <c r="Q328">
        <v>-1.5435473022839759E-2</v>
      </c>
    </row>
    <row r="329" spans="1:20" x14ac:dyDescent="0.35">
      <c r="A329" s="95">
        <v>27364</v>
      </c>
      <c r="B329">
        <v>27.9</v>
      </c>
      <c r="E329">
        <v>64.7</v>
      </c>
      <c r="F329">
        <v>33.4</v>
      </c>
      <c r="H329">
        <v>40.6</v>
      </c>
      <c r="I329">
        <v>23.2</v>
      </c>
      <c r="J329">
        <v>33.299999999999997</v>
      </c>
      <c r="L329">
        <v>30.9</v>
      </c>
      <c r="O329">
        <v>-3.881407827863123E-3</v>
      </c>
      <c r="P329">
        <v>-1.945449393820109E-2</v>
      </c>
      <c r="Q329">
        <v>-1.5435473022839759E-2</v>
      </c>
    </row>
    <row r="330" spans="1:20" x14ac:dyDescent="0.35">
      <c r="A330" s="95">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35">
      <c r="A331" s="95">
        <v>27426</v>
      </c>
      <c r="B331">
        <v>40</v>
      </c>
      <c r="E331">
        <v>48.8</v>
      </c>
      <c r="F331">
        <v>41.5</v>
      </c>
      <c r="H331">
        <v>30.6</v>
      </c>
      <c r="I331">
        <v>15.9</v>
      </c>
      <c r="J331">
        <v>33.1</v>
      </c>
      <c r="L331">
        <v>34.4</v>
      </c>
      <c r="O331">
        <v>-1.217285875797099E-2</v>
      </c>
      <c r="P331">
        <v>-2.2990475952479598E-2</v>
      </c>
      <c r="Q331">
        <v>-4.7809557156305638E-2</v>
      </c>
    </row>
    <row r="332" spans="1:20" x14ac:dyDescent="0.35">
      <c r="A332" s="95">
        <v>27454</v>
      </c>
      <c r="B332">
        <v>37</v>
      </c>
      <c r="E332">
        <v>42.7</v>
      </c>
      <c r="F332">
        <v>33.1</v>
      </c>
      <c r="H332">
        <v>30.9</v>
      </c>
      <c r="I332">
        <v>17.3</v>
      </c>
      <c r="J332">
        <v>32.799999999999997</v>
      </c>
      <c r="L332">
        <v>31.6</v>
      </c>
      <c r="O332">
        <v>-1.217285875797099E-2</v>
      </c>
      <c r="P332">
        <v>-2.2990475952479598E-2</v>
      </c>
      <c r="Q332">
        <v>-4.7809557156305638E-2</v>
      </c>
    </row>
    <row r="333" spans="1:20" x14ac:dyDescent="0.35">
      <c r="A333" s="95">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35">
      <c r="A334" s="95">
        <v>27515</v>
      </c>
      <c r="B334">
        <v>47.2</v>
      </c>
      <c r="E334">
        <v>45.4</v>
      </c>
      <c r="F334">
        <v>50.5</v>
      </c>
      <c r="H334">
        <v>31</v>
      </c>
      <c r="I334">
        <v>22.7</v>
      </c>
      <c r="J334">
        <v>39.6</v>
      </c>
      <c r="L334">
        <v>41.2</v>
      </c>
      <c r="O334">
        <v>7.1453621611923873E-3</v>
      </c>
      <c r="P334">
        <v>-1.834262400105072E-2</v>
      </c>
      <c r="Q334">
        <v>2.888924771416268E-2</v>
      </c>
    </row>
    <row r="335" spans="1:20" x14ac:dyDescent="0.35">
      <c r="A335" s="95">
        <v>27546</v>
      </c>
      <c r="B335">
        <v>54.9</v>
      </c>
      <c r="E335">
        <v>44</v>
      </c>
      <c r="F335">
        <v>53.1</v>
      </c>
      <c r="H335">
        <v>28.7</v>
      </c>
      <c r="I335">
        <v>24.9</v>
      </c>
      <c r="J335">
        <v>43.9</v>
      </c>
      <c r="L335">
        <v>45.1</v>
      </c>
      <c r="O335">
        <v>7.1453621611923873E-3</v>
      </c>
      <c r="P335">
        <v>-1.834262400105072E-2</v>
      </c>
      <c r="Q335">
        <v>2.888924771416268E-2</v>
      </c>
    </row>
    <row r="336" spans="1:20" x14ac:dyDescent="0.35">
      <c r="A336" s="95">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35">
      <c r="A337" s="95">
        <v>27607</v>
      </c>
      <c r="B337">
        <v>60.3</v>
      </c>
      <c r="E337">
        <v>68.8</v>
      </c>
      <c r="F337">
        <v>61.1</v>
      </c>
      <c r="H337">
        <v>28.1</v>
      </c>
      <c r="I337">
        <v>35.1</v>
      </c>
      <c r="J337">
        <v>49.7</v>
      </c>
      <c r="L337">
        <v>51.4</v>
      </c>
      <c r="O337">
        <v>1.7116519672596298E-2</v>
      </c>
      <c r="P337">
        <v>7.9868486935100094E-3</v>
      </c>
      <c r="Q337">
        <v>7.0244074865320139E-2</v>
      </c>
    </row>
    <row r="338" spans="1:20" x14ac:dyDescent="0.35">
      <c r="A338" s="95">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35">
      <c r="A339" s="95">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35">
      <c r="A340" s="95">
        <v>27699</v>
      </c>
      <c r="B340">
        <v>62.2</v>
      </c>
      <c r="E340">
        <v>70.8</v>
      </c>
      <c r="F340">
        <v>60</v>
      </c>
      <c r="H340">
        <v>38.799999999999997</v>
      </c>
      <c r="I340">
        <v>46.8</v>
      </c>
      <c r="J340">
        <v>49.8</v>
      </c>
      <c r="L340">
        <v>54.5</v>
      </c>
      <c r="O340">
        <v>1.3465241519955561E-2</v>
      </c>
      <c r="P340">
        <v>2.5540174722061351E-2</v>
      </c>
      <c r="Q340">
        <v>5.4958641008029607E-2</v>
      </c>
    </row>
    <row r="341" spans="1:20" x14ac:dyDescent="0.35">
      <c r="A341" s="95">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35">
      <c r="A342" s="95">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35">
      <c r="A343" s="95">
        <v>27791</v>
      </c>
      <c r="B343">
        <v>68.7</v>
      </c>
      <c r="E343">
        <v>73.2</v>
      </c>
      <c r="F343">
        <v>64.8</v>
      </c>
      <c r="H343">
        <v>48.2</v>
      </c>
      <c r="I343">
        <v>56.1</v>
      </c>
      <c r="J343">
        <v>57.3</v>
      </c>
      <c r="L343">
        <v>61.5</v>
      </c>
      <c r="O343">
        <v>2.2487601205135949E-2</v>
      </c>
      <c r="P343">
        <v>6.1523893616258638E-2</v>
      </c>
      <c r="Q343">
        <v>9.3030301011741479E-2</v>
      </c>
    </row>
    <row r="344" spans="1:20" x14ac:dyDescent="0.35">
      <c r="A344" s="95">
        <v>27820</v>
      </c>
      <c r="B344">
        <v>61.6</v>
      </c>
      <c r="E344">
        <v>74.3</v>
      </c>
      <c r="F344">
        <v>63.3</v>
      </c>
      <c r="H344">
        <v>46.7</v>
      </c>
      <c r="I344">
        <v>56.7</v>
      </c>
      <c r="J344">
        <v>54.9</v>
      </c>
      <c r="L344">
        <v>58.4</v>
      </c>
      <c r="O344">
        <v>2.2487601205135949E-2</v>
      </c>
      <c r="P344">
        <v>6.1523893616258638E-2</v>
      </c>
      <c r="Q344">
        <v>9.3030301011741479E-2</v>
      </c>
    </row>
    <row r="345" spans="1:20" x14ac:dyDescent="0.35">
      <c r="A345" s="95">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35">
      <c r="A346" s="95">
        <v>27881</v>
      </c>
      <c r="B346">
        <v>62.3</v>
      </c>
      <c r="E346">
        <v>78</v>
      </c>
      <c r="F346">
        <v>60.5</v>
      </c>
      <c r="H346">
        <v>51.6</v>
      </c>
      <c r="I346">
        <v>58.3</v>
      </c>
      <c r="J346">
        <v>55.4</v>
      </c>
      <c r="L346">
        <v>58.8</v>
      </c>
      <c r="O346">
        <v>7.3370057672507601E-3</v>
      </c>
      <c r="P346">
        <v>6.1725884584526818E-2</v>
      </c>
      <c r="Q346">
        <v>2.9672595741234709E-2</v>
      </c>
    </row>
    <row r="347" spans="1:20" x14ac:dyDescent="0.35">
      <c r="A347" s="95">
        <v>27912</v>
      </c>
      <c r="B347">
        <v>60.6</v>
      </c>
      <c r="E347">
        <v>80.099999999999994</v>
      </c>
      <c r="F347">
        <v>60.5</v>
      </c>
      <c r="H347">
        <v>52.6</v>
      </c>
      <c r="I347">
        <v>58.6</v>
      </c>
      <c r="J347">
        <v>54.3</v>
      </c>
      <c r="L347">
        <v>58.2</v>
      </c>
      <c r="O347">
        <v>7.3370057672507601E-3</v>
      </c>
      <c r="P347">
        <v>6.1725884584526818E-2</v>
      </c>
      <c r="Q347">
        <v>2.9672595741234709E-2</v>
      </c>
    </row>
    <row r="348" spans="1:20" x14ac:dyDescent="0.35">
      <c r="A348" s="95">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35">
      <c r="A349" s="95">
        <v>27973</v>
      </c>
      <c r="B349">
        <v>57.7</v>
      </c>
      <c r="E349">
        <v>73.3</v>
      </c>
      <c r="F349">
        <v>52.9</v>
      </c>
      <c r="H349">
        <v>52.4</v>
      </c>
      <c r="I349">
        <v>55.2</v>
      </c>
      <c r="J349">
        <v>52.1</v>
      </c>
      <c r="L349">
        <v>54.5</v>
      </c>
      <c r="O349">
        <v>5.4870576424046113E-3</v>
      </c>
      <c r="P349">
        <v>4.958636996409576E-2</v>
      </c>
      <c r="Q349">
        <v>2.2129539098495469E-2</v>
      </c>
    </row>
    <row r="350" spans="1:20" x14ac:dyDescent="0.35">
      <c r="A350" s="95">
        <v>28004</v>
      </c>
      <c r="B350">
        <v>55.3</v>
      </c>
      <c r="E350">
        <v>70.599999999999994</v>
      </c>
      <c r="F350">
        <v>53.2</v>
      </c>
      <c r="H350">
        <v>49.5</v>
      </c>
      <c r="I350">
        <v>52.6</v>
      </c>
      <c r="J350">
        <v>54.2</v>
      </c>
      <c r="L350">
        <v>53.6</v>
      </c>
      <c r="O350">
        <v>5.4870576424046113E-3</v>
      </c>
      <c r="P350">
        <v>4.958636996409576E-2</v>
      </c>
      <c r="Q350">
        <v>2.2129539098495469E-2</v>
      </c>
    </row>
    <row r="351" spans="1:20" x14ac:dyDescent="0.35">
      <c r="A351" s="95">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35">
      <c r="A352" s="95">
        <v>28065</v>
      </c>
      <c r="B352">
        <v>55.7</v>
      </c>
      <c r="E352">
        <v>69.7</v>
      </c>
      <c r="F352">
        <v>54.4</v>
      </c>
      <c r="H352">
        <v>42.4</v>
      </c>
      <c r="I352">
        <v>47.2</v>
      </c>
      <c r="J352">
        <v>50.5</v>
      </c>
      <c r="L352">
        <v>51.7</v>
      </c>
      <c r="O352">
        <v>7.2485097809732481E-3</v>
      </c>
      <c r="P352">
        <v>4.314806637790361E-2</v>
      </c>
      <c r="Q352">
        <v>2.931081062144569E-2</v>
      </c>
    </row>
    <row r="353" spans="1:20" x14ac:dyDescent="0.35">
      <c r="A353" s="95">
        <v>28095</v>
      </c>
      <c r="B353">
        <v>58.9</v>
      </c>
      <c r="E353">
        <v>75.8</v>
      </c>
      <c r="F353">
        <v>59.6</v>
      </c>
      <c r="H353">
        <v>52.8</v>
      </c>
      <c r="I353">
        <v>53.3</v>
      </c>
      <c r="J353">
        <v>53.8</v>
      </c>
      <c r="L353">
        <v>56.6</v>
      </c>
      <c r="O353">
        <v>7.2485097809732481E-3</v>
      </c>
      <c r="P353">
        <v>4.314806637790361E-2</v>
      </c>
      <c r="Q353">
        <v>2.931081062144569E-2</v>
      </c>
    </row>
    <row r="354" spans="1:20" x14ac:dyDescent="0.35">
      <c r="A354" s="95">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35">
      <c r="A355" s="95">
        <v>28157</v>
      </c>
      <c r="B355">
        <v>56.8</v>
      </c>
      <c r="E355">
        <v>76.8</v>
      </c>
      <c r="F355">
        <v>50.8</v>
      </c>
      <c r="H355">
        <v>51.9</v>
      </c>
      <c r="I355">
        <v>65.099999999999994</v>
      </c>
      <c r="J355">
        <v>51.5</v>
      </c>
      <c r="L355">
        <v>55</v>
      </c>
      <c r="O355">
        <v>1.1814835981102891E-2</v>
      </c>
      <c r="P355">
        <v>3.225964641737461E-2</v>
      </c>
      <c r="Q355">
        <v>4.8103502453763942E-2</v>
      </c>
    </row>
    <row r="356" spans="1:20" x14ac:dyDescent="0.35">
      <c r="A356" s="95">
        <v>28185</v>
      </c>
      <c r="B356">
        <v>63.5</v>
      </c>
      <c r="E356">
        <v>80.900000000000006</v>
      </c>
      <c r="F356">
        <v>62.5</v>
      </c>
      <c r="H356">
        <v>54.7</v>
      </c>
      <c r="I356">
        <v>49.6</v>
      </c>
      <c r="J356">
        <v>54.3</v>
      </c>
      <c r="L356">
        <v>58.4</v>
      </c>
      <c r="O356">
        <v>1.1814835981102891E-2</v>
      </c>
      <c r="P356">
        <v>3.225964641737461E-2</v>
      </c>
      <c r="Q356">
        <v>4.8103502453763942E-2</v>
      </c>
    </row>
    <row r="357" spans="1:20" x14ac:dyDescent="0.35">
      <c r="A357" s="95">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35">
      <c r="A358" s="95">
        <v>28246</v>
      </c>
      <c r="B358">
        <v>64.5</v>
      </c>
      <c r="E358">
        <v>75.7</v>
      </c>
      <c r="F358">
        <v>63</v>
      </c>
      <c r="H358">
        <v>53.2</v>
      </c>
      <c r="I358">
        <v>55.4</v>
      </c>
      <c r="J358">
        <v>54.8</v>
      </c>
      <c r="L358">
        <v>59.7</v>
      </c>
      <c r="O358">
        <v>1.9441130777226059E-2</v>
      </c>
      <c r="P358">
        <v>4.4663240975555407E-2</v>
      </c>
      <c r="Q358">
        <v>8.0061803046076241E-2</v>
      </c>
    </row>
    <row r="359" spans="1:20" x14ac:dyDescent="0.35">
      <c r="A359" s="95">
        <v>28277</v>
      </c>
      <c r="B359">
        <v>58.1</v>
      </c>
      <c r="E359">
        <v>71.900000000000006</v>
      </c>
      <c r="F359">
        <v>62.5</v>
      </c>
      <c r="H359">
        <v>52.6</v>
      </c>
      <c r="I359">
        <v>53.3</v>
      </c>
      <c r="J359">
        <v>52.5</v>
      </c>
      <c r="L359">
        <v>56.8</v>
      </c>
      <c r="O359">
        <v>1.9441130777226059E-2</v>
      </c>
      <c r="P359">
        <v>4.4663240975555407E-2</v>
      </c>
      <c r="Q359">
        <v>8.0061803046076241E-2</v>
      </c>
    </row>
    <row r="360" spans="1:20" x14ac:dyDescent="0.35">
      <c r="A360" s="95">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35">
      <c r="A361" s="95">
        <v>28338</v>
      </c>
      <c r="B361">
        <v>58.8</v>
      </c>
      <c r="E361">
        <v>70.400000000000006</v>
      </c>
      <c r="F361">
        <v>53.9</v>
      </c>
      <c r="H361">
        <v>50</v>
      </c>
      <c r="I361">
        <v>53.5</v>
      </c>
      <c r="J361">
        <v>53.6</v>
      </c>
      <c r="L361">
        <v>54.9</v>
      </c>
      <c r="O361">
        <v>1.8043558989618839E-2</v>
      </c>
      <c r="P361">
        <v>5.7708973680908472E-2</v>
      </c>
      <c r="Q361">
        <v>7.4151259847902606E-2</v>
      </c>
    </row>
    <row r="362" spans="1:20" x14ac:dyDescent="0.35">
      <c r="A362" s="95">
        <v>28369</v>
      </c>
      <c r="B362">
        <v>57</v>
      </c>
      <c r="E362">
        <v>65.400000000000006</v>
      </c>
      <c r="F362">
        <v>54.9</v>
      </c>
      <c r="H362">
        <v>44.8</v>
      </c>
      <c r="I362">
        <v>56.7</v>
      </c>
      <c r="J362">
        <v>50.4</v>
      </c>
      <c r="L362">
        <v>53.9</v>
      </c>
      <c r="O362">
        <v>1.8043558989618839E-2</v>
      </c>
      <c r="P362">
        <v>5.7708973680908472E-2</v>
      </c>
      <c r="Q362">
        <v>7.4151259847902606E-2</v>
      </c>
    </row>
    <row r="363" spans="1:20" x14ac:dyDescent="0.35">
      <c r="A363" s="95">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35">
      <c r="A364" s="95">
        <v>28430</v>
      </c>
      <c r="B364">
        <v>59.2</v>
      </c>
      <c r="E364">
        <v>62</v>
      </c>
      <c r="F364">
        <v>58.7</v>
      </c>
      <c r="H364">
        <v>48</v>
      </c>
      <c r="I364">
        <v>56.3</v>
      </c>
      <c r="J364">
        <v>51.8</v>
      </c>
      <c r="L364">
        <v>56.1</v>
      </c>
      <c r="O364">
        <v>2.185771923568307E-5</v>
      </c>
      <c r="P364">
        <v>5.0120285625136027E-2</v>
      </c>
      <c r="Q364">
        <v>8.7433743543918752E-5</v>
      </c>
    </row>
    <row r="365" spans="1:20" x14ac:dyDescent="0.35">
      <c r="A365" s="95">
        <v>28460</v>
      </c>
      <c r="B365">
        <v>60.7</v>
      </c>
      <c r="E365">
        <v>67.2</v>
      </c>
      <c r="F365">
        <v>64.7</v>
      </c>
      <c r="H365">
        <v>48.9</v>
      </c>
      <c r="I365">
        <v>57.1</v>
      </c>
      <c r="J365">
        <v>59.8</v>
      </c>
      <c r="L365">
        <v>59.8</v>
      </c>
      <c r="O365">
        <v>2.185771923568307E-5</v>
      </c>
      <c r="P365">
        <v>5.0120285625136027E-2</v>
      </c>
      <c r="Q365">
        <v>8.7433743543918752E-5</v>
      </c>
    </row>
    <row r="366" spans="1:20" x14ac:dyDescent="0.35">
      <c r="A366" s="95">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35">
      <c r="A367" s="95">
        <v>28522</v>
      </c>
      <c r="B367">
        <v>56.2</v>
      </c>
      <c r="E367">
        <v>74.400000000000006</v>
      </c>
      <c r="F367">
        <v>54.6</v>
      </c>
      <c r="H367">
        <v>54</v>
      </c>
      <c r="I367">
        <v>63.4</v>
      </c>
      <c r="J367">
        <v>52.8</v>
      </c>
      <c r="L367">
        <v>55.9</v>
      </c>
      <c r="O367">
        <v>3.191632414415807E-3</v>
      </c>
      <c r="P367">
        <v>4.1170623423679387E-2</v>
      </c>
      <c r="Q367">
        <v>1.282777891271847E-2</v>
      </c>
    </row>
    <row r="368" spans="1:20" x14ac:dyDescent="0.35">
      <c r="A368" s="95">
        <v>28550</v>
      </c>
      <c r="B368">
        <v>56.6</v>
      </c>
      <c r="E368">
        <v>72.3</v>
      </c>
      <c r="F368">
        <v>57</v>
      </c>
      <c r="H368">
        <v>44</v>
      </c>
      <c r="I368">
        <v>58.9</v>
      </c>
      <c r="J368">
        <v>52.9</v>
      </c>
      <c r="L368">
        <v>55</v>
      </c>
      <c r="O368">
        <v>3.191632414415807E-3</v>
      </c>
      <c r="P368">
        <v>4.1170623423679387E-2</v>
      </c>
      <c r="Q368">
        <v>1.282777891271847E-2</v>
      </c>
    </row>
    <row r="369" spans="1:20" x14ac:dyDescent="0.35">
      <c r="A369" s="95">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35">
      <c r="A370" s="95">
        <v>28611</v>
      </c>
      <c r="B370">
        <v>63.9</v>
      </c>
      <c r="E370">
        <v>81.8</v>
      </c>
      <c r="F370">
        <v>62.3</v>
      </c>
      <c r="H370">
        <v>54.5</v>
      </c>
      <c r="I370">
        <v>57.4</v>
      </c>
      <c r="J370">
        <v>57</v>
      </c>
      <c r="L370">
        <v>60.2</v>
      </c>
      <c r="O370">
        <v>3.8642701877278973E-2</v>
      </c>
      <c r="P370">
        <v>6.078147798838987E-2</v>
      </c>
      <c r="Q370">
        <v>0.16376340193805031</v>
      </c>
    </row>
    <row r="371" spans="1:20" x14ac:dyDescent="0.35">
      <c r="A371" s="95">
        <v>28642</v>
      </c>
      <c r="B371">
        <v>63.6</v>
      </c>
      <c r="E371">
        <v>82.3</v>
      </c>
      <c r="F371">
        <v>61.7</v>
      </c>
      <c r="H371">
        <v>54.2</v>
      </c>
      <c r="I371">
        <v>61.1</v>
      </c>
      <c r="J371">
        <v>57.2</v>
      </c>
      <c r="L371">
        <v>60.5</v>
      </c>
      <c r="O371">
        <v>3.8642701877278973E-2</v>
      </c>
      <c r="P371">
        <v>6.078147798838987E-2</v>
      </c>
      <c r="Q371">
        <v>0.16376340193805031</v>
      </c>
    </row>
    <row r="372" spans="1:20" x14ac:dyDescent="0.35">
      <c r="A372" s="95">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35">
      <c r="A373" s="95">
        <v>28703</v>
      </c>
      <c r="B373">
        <v>61.3</v>
      </c>
      <c r="E373">
        <v>85.4</v>
      </c>
      <c r="F373">
        <v>64.900000000000006</v>
      </c>
      <c r="H373">
        <v>55.4</v>
      </c>
      <c r="I373">
        <v>60.6</v>
      </c>
      <c r="J373">
        <v>55.3</v>
      </c>
      <c r="L373">
        <v>60.3</v>
      </c>
      <c r="O373">
        <v>1.0055171271113E-2</v>
      </c>
      <c r="P373">
        <v>5.2457734219320623E-2</v>
      </c>
      <c r="Q373">
        <v>4.0831400694179898E-2</v>
      </c>
    </row>
    <row r="374" spans="1:20" x14ac:dyDescent="0.35">
      <c r="A374" s="95">
        <v>28734</v>
      </c>
      <c r="B374">
        <v>61.3</v>
      </c>
      <c r="E374">
        <v>86.8</v>
      </c>
      <c r="F374">
        <v>65</v>
      </c>
      <c r="H374">
        <v>54.5</v>
      </c>
      <c r="I374">
        <v>60</v>
      </c>
      <c r="J374">
        <v>57.2</v>
      </c>
      <c r="L374">
        <v>60.5</v>
      </c>
      <c r="O374">
        <v>1.0055171271113E-2</v>
      </c>
      <c r="P374">
        <v>5.2457734219320623E-2</v>
      </c>
      <c r="Q374">
        <v>4.0831400694179898E-2</v>
      </c>
    </row>
    <row r="375" spans="1:20" x14ac:dyDescent="0.35">
      <c r="A375" s="95">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35">
      <c r="A376" s="95">
        <v>28795</v>
      </c>
      <c r="B376">
        <v>61.9</v>
      </c>
      <c r="E376">
        <v>84.1</v>
      </c>
      <c r="F376">
        <v>61.3</v>
      </c>
      <c r="H376">
        <v>56.7</v>
      </c>
      <c r="I376">
        <v>64.5</v>
      </c>
      <c r="J376">
        <v>60.4</v>
      </c>
      <c r="L376">
        <v>61.3</v>
      </c>
      <c r="O376">
        <v>1.344143063836532E-2</v>
      </c>
      <c r="P376">
        <v>6.6580958826500586E-2</v>
      </c>
      <c r="Q376">
        <v>5.4859501505211572E-2</v>
      </c>
    </row>
    <row r="377" spans="1:20" x14ac:dyDescent="0.35">
      <c r="A377" s="95">
        <v>28825</v>
      </c>
      <c r="B377">
        <v>59.9</v>
      </c>
      <c r="E377">
        <v>84.5</v>
      </c>
      <c r="F377">
        <v>60.4</v>
      </c>
      <c r="H377">
        <v>53.9</v>
      </c>
      <c r="I377">
        <v>63.5</v>
      </c>
      <c r="J377">
        <v>56.9</v>
      </c>
      <c r="L377">
        <v>59.4</v>
      </c>
      <c r="O377">
        <v>1.344143063836532E-2</v>
      </c>
      <c r="P377">
        <v>6.6580958826500586E-2</v>
      </c>
      <c r="Q377">
        <v>5.4859501505211572E-2</v>
      </c>
    </row>
    <row r="378" spans="1:20" x14ac:dyDescent="0.35">
      <c r="A378" s="95">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35">
      <c r="A379" s="95">
        <v>28887</v>
      </c>
      <c r="B379">
        <v>58.6</v>
      </c>
      <c r="E379">
        <v>86.5</v>
      </c>
      <c r="F379">
        <v>59</v>
      </c>
      <c r="H379">
        <v>51.4</v>
      </c>
      <c r="I379">
        <v>64</v>
      </c>
      <c r="J379">
        <v>55.6</v>
      </c>
      <c r="L379">
        <v>58.2</v>
      </c>
      <c r="O379">
        <v>1.797872875968448E-3</v>
      </c>
      <c r="P379">
        <v>6.509913089167918E-2</v>
      </c>
      <c r="Q379">
        <v>7.2109088409857414E-3</v>
      </c>
    </row>
    <row r="380" spans="1:20" x14ac:dyDescent="0.35">
      <c r="A380" s="95">
        <v>28915</v>
      </c>
      <c r="B380">
        <v>56.7</v>
      </c>
      <c r="E380">
        <v>87.7</v>
      </c>
      <c r="F380">
        <v>57.4</v>
      </c>
      <c r="H380">
        <v>54.1</v>
      </c>
      <c r="I380">
        <v>66.7</v>
      </c>
      <c r="J380">
        <v>54.8</v>
      </c>
      <c r="L380">
        <v>57.7</v>
      </c>
      <c r="O380">
        <v>1.797872875968448E-3</v>
      </c>
      <c r="P380">
        <v>6.509913089167918E-2</v>
      </c>
      <c r="Q380">
        <v>7.2109088409857414E-3</v>
      </c>
    </row>
    <row r="381" spans="1:20" x14ac:dyDescent="0.35">
      <c r="A381" s="95">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35">
      <c r="A382" s="95">
        <v>28976</v>
      </c>
      <c r="B382">
        <v>52.1</v>
      </c>
      <c r="E382">
        <v>86.9</v>
      </c>
      <c r="F382">
        <v>52.1</v>
      </c>
      <c r="H382">
        <v>53.3</v>
      </c>
      <c r="I382">
        <v>63.7</v>
      </c>
      <c r="J382">
        <v>54.5</v>
      </c>
      <c r="L382">
        <v>54.4</v>
      </c>
      <c r="O382">
        <v>1.069198313236971E-3</v>
      </c>
      <c r="P382">
        <v>2.6568550627374739E-2</v>
      </c>
      <c r="Q382">
        <v>4.2836572536188999E-3</v>
      </c>
    </row>
    <row r="383" spans="1:20" x14ac:dyDescent="0.35">
      <c r="A383" s="95">
        <v>29007</v>
      </c>
      <c r="B383">
        <v>49.4</v>
      </c>
      <c r="E383">
        <v>88.7</v>
      </c>
      <c r="F383">
        <v>50.2</v>
      </c>
      <c r="H383">
        <v>53.8</v>
      </c>
      <c r="I383">
        <v>61.4</v>
      </c>
      <c r="J383">
        <v>53.8</v>
      </c>
      <c r="L383">
        <v>52.7</v>
      </c>
      <c r="O383">
        <v>1.069198313236971E-3</v>
      </c>
      <c r="P383">
        <v>2.6568550627374739E-2</v>
      </c>
      <c r="Q383">
        <v>4.2836572536188999E-3</v>
      </c>
    </row>
    <row r="384" spans="1:20" x14ac:dyDescent="0.35">
      <c r="A384" s="95">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35">
      <c r="A385" s="95">
        <v>29068</v>
      </c>
      <c r="B385">
        <v>46.9</v>
      </c>
      <c r="E385">
        <v>85.6</v>
      </c>
      <c r="F385">
        <v>49</v>
      </c>
      <c r="H385">
        <v>51.6</v>
      </c>
      <c r="I385">
        <v>52.9</v>
      </c>
      <c r="J385">
        <v>50.5</v>
      </c>
      <c r="L385">
        <v>49.5</v>
      </c>
      <c r="O385">
        <v>7.4287146794002048E-3</v>
      </c>
      <c r="P385">
        <v>2.3899154129708951E-2</v>
      </c>
      <c r="Q385">
        <v>3.0047616412103961E-2</v>
      </c>
    </row>
    <row r="386" spans="1:20" x14ac:dyDescent="0.35">
      <c r="A386" s="95">
        <v>29099</v>
      </c>
      <c r="B386">
        <v>48.7</v>
      </c>
      <c r="E386">
        <v>85</v>
      </c>
      <c r="F386">
        <v>48.3</v>
      </c>
      <c r="H386">
        <v>52.3</v>
      </c>
      <c r="I386">
        <v>50.7</v>
      </c>
      <c r="J386">
        <v>50.3</v>
      </c>
      <c r="L386">
        <v>49.6</v>
      </c>
      <c r="O386">
        <v>7.4287146794002048E-3</v>
      </c>
      <c r="P386">
        <v>2.3899154129708951E-2</v>
      </c>
      <c r="Q386">
        <v>3.0047616412103961E-2</v>
      </c>
    </row>
    <row r="387" spans="1:20" x14ac:dyDescent="0.35">
      <c r="A387" s="95">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35">
      <c r="A388" s="95">
        <v>29160</v>
      </c>
      <c r="B388">
        <v>46.5</v>
      </c>
      <c r="E388">
        <v>89.2</v>
      </c>
      <c r="F388">
        <v>52.6</v>
      </c>
      <c r="H388">
        <v>44.3</v>
      </c>
      <c r="I388">
        <v>46.8</v>
      </c>
      <c r="J388">
        <v>47.3</v>
      </c>
      <c r="L388">
        <v>48</v>
      </c>
      <c r="O388">
        <v>2.500750342688359E-3</v>
      </c>
      <c r="P388">
        <v>1.2845576723374779E-2</v>
      </c>
      <c r="Q388">
        <v>1.0040586479814319E-2</v>
      </c>
    </row>
    <row r="389" spans="1:20" x14ac:dyDescent="0.35">
      <c r="A389" s="95">
        <v>29190</v>
      </c>
      <c r="B389">
        <v>44.3</v>
      </c>
      <c r="E389">
        <v>84.4</v>
      </c>
      <c r="F389">
        <v>48.2</v>
      </c>
      <c r="H389">
        <v>43.5</v>
      </c>
      <c r="I389">
        <v>42.2</v>
      </c>
      <c r="J389">
        <v>44.1</v>
      </c>
      <c r="L389">
        <v>44.8</v>
      </c>
      <c r="O389">
        <v>2.500750342688359E-3</v>
      </c>
      <c r="P389">
        <v>1.2845576723374779E-2</v>
      </c>
      <c r="Q389">
        <v>1.0040586479814319E-2</v>
      </c>
    </row>
    <row r="390" spans="1:20" x14ac:dyDescent="0.35">
      <c r="A390" s="95">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35">
      <c r="A391" s="95">
        <v>29252</v>
      </c>
      <c r="B391">
        <v>51.6</v>
      </c>
      <c r="E391">
        <v>84.5</v>
      </c>
      <c r="F391">
        <v>53.1</v>
      </c>
      <c r="H391">
        <v>46.5</v>
      </c>
      <c r="I391">
        <v>46</v>
      </c>
      <c r="J391">
        <v>49.7</v>
      </c>
      <c r="L391">
        <v>50.2</v>
      </c>
      <c r="O391">
        <v>3.1451907552622021E-3</v>
      </c>
      <c r="P391">
        <v>1.420775265869138E-2</v>
      </c>
      <c r="Q391">
        <v>1.264024091996396E-2</v>
      </c>
    </row>
    <row r="392" spans="1:20" x14ac:dyDescent="0.35">
      <c r="A392" s="95">
        <v>29281</v>
      </c>
      <c r="B392">
        <v>43.8</v>
      </c>
      <c r="E392">
        <v>84</v>
      </c>
      <c r="F392">
        <v>46.7</v>
      </c>
      <c r="H392">
        <v>43</v>
      </c>
      <c r="I392">
        <v>39.1</v>
      </c>
      <c r="J392">
        <v>43.2</v>
      </c>
      <c r="L392">
        <v>43.6</v>
      </c>
      <c r="O392">
        <v>3.1451907552622021E-3</v>
      </c>
      <c r="P392">
        <v>1.420775265869138E-2</v>
      </c>
      <c r="Q392">
        <v>1.264024091996396E-2</v>
      </c>
    </row>
    <row r="393" spans="1:20" x14ac:dyDescent="0.35">
      <c r="A393" s="95">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35">
      <c r="A394" s="95">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35">
      <c r="A395" s="95">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35">
      <c r="A396" s="95">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35">
      <c r="A397" s="95">
        <v>29434</v>
      </c>
      <c r="B397">
        <v>54.1</v>
      </c>
      <c r="E397">
        <v>67</v>
      </c>
      <c r="F397">
        <v>46.9</v>
      </c>
      <c r="H397">
        <v>37.6</v>
      </c>
      <c r="I397">
        <v>40.1</v>
      </c>
      <c r="J397">
        <v>38.700000000000003</v>
      </c>
      <c r="L397">
        <v>45.5</v>
      </c>
      <c r="O397">
        <v>-1.188471173007907E-3</v>
      </c>
      <c r="P397">
        <v>-1.6237974306972859E-2</v>
      </c>
      <c r="Q397">
        <v>-4.745416622351839E-3</v>
      </c>
    </row>
    <row r="398" spans="1:20" x14ac:dyDescent="0.35">
      <c r="A398" s="95">
        <v>29465</v>
      </c>
      <c r="B398">
        <v>53.9</v>
      </c>
      <c r="E398">
        <v>68</v>
      </c>
      <c r="F398">
        <v>55.1</v>
      </c>
      <c r="H398">
        <v>45.3</v>
      </c>
      <c r="I398">
        <v>41.2</v>
      </c>
      <c r="J398">
        <v>47</v>
      </c>
      <c r="L398">
        <v>50.1</v>
      </c>
      <c r="O398">
        <v>-1.188471173007907E-3</v>
      </c>
      <c r="P398">
        <v>-1.6237974306972859E-2</v>
      </c>
      <c r="Q398">
        <v>-4.745416622351839E-3</v>
      </c>
    </row>
    <row r="399" spans="1:20" x14ac:dyDescent="0.35">
      <c r="A399" s="95">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35">
      <c r="A400" s="95">
        <v>29526</v>
      </c>
      <c r="B400">
        <v>65.3</v>
      </c>
      <c r="E400">
        <v>76.7</v>
      </c>
      <c r="F400">
        <v>66.8</v>
      </c>
      <c r="H400">
        <v>42.2</v>
      </c>
      <c r="I400">
        <v>46.8</v>
      </c>
      <c r="J400">
        <v>53.3</v>
      </c>
      <c r="L400">
        <v>58.2</v>
      </c>
      <c r="O400">
        <v>1.8649256052742209E-2</v>
      </c>
      <c r="P400">
        <v>-3.9131615354252831E-4</v>
      </c>
      <c r="Q400">
        <v>7.6709858133567232E-2</v>
      </c>
    </row>
    <row r="401" spans="1:20" x14ac:dyDescent="0.35">
      <c r="A401" s="95">
        <v>29556</v>
      </c>
      <c r="B401">
        <v>51.2</v>
      </c>
      <c r="E401">
        <v>74.599999999999994</v>
      </c>
      <c r="F401">
        <v>57.2</v>
      </c>
      <c r="H401">
        <v>51.4</v>
      </c>
      <c r="I401">
        <v>50.1</v>
      </c>
      <c r="J401">
        <v>53.2</v>
      </c>
      <c r="L401">
        <v>53</v>
      </c>
      <c r="O401">
        <v>1.8649256052742209E-2</v>
      </c>
      <c r="P401">
        <v>-3.9131615354252831E-4</v>
      </c>
      <c r="Q401">
        <v>7.6709858133567232E-2</v>
      </c>
    </row>
    <row r="402" spans="1:20" x14ac:dyDescent="0.35">
      <c r="A402" s="95">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35">
      <c r="A403" s="95">
        <v>29618</v>
      </c>
      <c r="B403">
        <v>51.1</v>
      </c>
      <c r="E403">
        <v>70.900000000000006</v>
      </c>
      <c r="F403">
        <v>50.9</v>
      </c>
      <c r="H403">
        <v>42.1</v>
      </c>
      <c r="I403">
        <v>48.5</v>
      </c>
      <c r="J403">
        <v>46.3</v>
      </c>
      <c r="L403">
        <v>48.8</v>
      </c>
      <c r="O403">
        <v>1.959429460935417E-2</v>
      </c>
      <c r="P403">
        <v>1.5999797720674402E-2</v>
      </c>
      <c r="Q403">
        <v>8.0711035982251378E-2</v>
      </c>
    </row>
    <row r="404" spans="1:20" x14ac:dyDescent="0.35">
      <c r="A404" s="95">
        <v>29646</v>
      </c>
      <c r="B404">
        <v>50.2</v>
      </c>
      <c r="E404">
        <v>72.599999999999994</v>
      </c>
      <c r="F404">
        <v>52.8</v>
      </c>
      <c r="H404">
        <v>44.7</v>
      </c>
      <c r="I404">
        <v>48.7</v>
      </c>
      <c r="J404">
        <v>48.1</v>
      </c>
      <c r="L404">
        <v>49.6</v>
      </c>
      <c r="O404">
        <v>1.959429460935417E-2</v>
      </c>
      <c r="P404">
        <v>1.5999797720674402E-2</v>
      </c>
      <c r="Q404">
        <v>8.0711035982251378E-2</v>
      </c>
    </row>
    <row r="405" spans="1:20" x14ac:dyDescent="0.35">
      <c r="A405" s="95">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35">
      <c r="A406" s="95">
        <v>29707</v>
      </c>
      <c r="B406">
        <v>55.7</v>
      </c>
      <c r="E406">
        <v>66.2</v>
      </c>
      <c r="F406">
        <v>59</v>
      </c>
      <c r="H406">
        <v>48.7</v>
      </c>
      <c r="I406">
        <v>50.2</v>
      </c>
      <c r="J406">
        <v>48.3</v>
      </c>
      <c r="L406">
        <v>53.5</v>
      </c>
      <c r="O406">
        <v>-7.4106361293506404E-3</v>
      </c>
      <c r="P406">
        <v>2.968700707322398E-2</v>
      </c>
      <c r="Q406">
        <v>-2.931466422968176E-2</v>
      </c>
    </row>
    <row r="407" spans="1:20" x14ac:dyDescent="0.35">
      <c r="A407" s="95">
        <v>29738</v>
      </c>
      <c r="B407">
        <v>51</v>
      </c>
      <c r="E407">
        <v>70.8</v>
      </c>
      <c r="F407">
        <v>53.9</v>
      </c>
      <c r="H407">
        <v>49.4</v>
      </c>
      <c r="I407">
        <v>47.9</v>
      </c>
      <c r="J407">
        <v>48.8</v>
      </c>
      <c r="L407">
        <v>50.7</v>
      </c>
      <c r="O407">
        <v>-7.4106361293506404E-3</v>
      </c>
      <c r="P407">
        <v>2.968700707322398E-2</v>
      </c>
      <c r="Q407">
        <v>-2.931466422968176E-2</v>
      </c>
    </row>
    <row r="408" spans="1:20" x14ac:dyDescent="0.35">
      <c r="A408" s="95">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35">
      <c r="A409" s="95">
        <v>29799</v>
      </c>
      <c r="B409">
        <v>47.2</v>
      </c>
      <c r="E409">
        <v>65.599999999999994</v>
      </c>
      <c r="F409">
        <v>49.5</v>
      </c>
      <c r="H409">
        <v>47.3</v>
      </c>
      <c r="I409">
        <v>49.6</v>
      </c>
      <c r="J409">
        <v>47.8</v>
      </c>
      <c r="L409">
        <v>48.3</v>
      </c>
      <c r="O409">
        <v>1.1975252102180129E-2</v>
      </c>
      <c r="P409">
        <v>4.3257650212562768E-2</v>
      </c>
      <c r="Q409">
        <v>4.8768338275421819E-2</v>
      </c>
    </row>
    <row r="410" spans="1:20" x14ac:dyDescent="0.35">
      <c r="A410" s="95">
        <v>29830</v>
      </c>
      <c r="B410">
        <v>42.2</v>
      </c>
      <c r="E410">
        <v>65.8</v>
      </c>
      <c r="F410">
        <v>43.8</v>
      </c>
      <c r="H410">
        <v>41.9</v>
      </c>
      <c r="I410">
        <v>45.9</v>
      </c>
      <c r="J410">
        <v>39.200000000000003</v>
      </c>
      <c r="L410">
        <v>42.5</v>
      </c>
      <c r="O410">
        <v>1.1975252102180129E-2</v>
      </c>
      <c r="P410">
        <v>4.3257650212562768E-2</v>
      </c>
      <c r="Q410">
        <v>4.8768338275421819E-2</v>
      </c>
    </row>
    <row r="411" spans="1:20" x14ac:dyDescent="0.35">
      <c r="A411" s="95">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35">
      <c r="A412" s="95">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35">
      <c r="A413" s="95">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35">
      <c r="A414" s="95">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35">
      <c r="A415" s="95">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35">
      <c r="A416" s="95">
        <v>30011</v>
      </c>
      <c r="B416">
        <v>40.4</v>
      </c>
      <c r="E416">
        <v>35.4</v>
      </c>
      <c r="F416">
        <v>38</v>
      </c>
      <c r="H416">
        <v>31.2</v>
      </c>
      <c r="I416">
        <v>36.4</v>
      </c>
      <c r="J416">
        <v>33.1</v>
      </c>
      <c r="L416">
        <v>36.799999999999997</v>
      </c>
      <c r="O416">
        <v>-1.5535444794338851E-2</v>
      </c>
      <c r="P416">
        <v>-2.1903489824850589E-2</v>
      </c>
      <c r="Q416">
        <v>-6.0708618578961808E-2</v>
      </c>
    </row>
    <row r="417" spans="1:20" x14ac:dyDescent="0.35">
      <c r="A417" s="95">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35">
      <c r="A418" s="95">
        <v>30072</v>
      </c>
      <c r="B418">
        <v>38.1</v>
      </c>
      <c r="E418">
        <v>41.4</v>
      </c>
      <c r="F418">
        <v>37.200000000000003</v>
      </c>
      <c r="H418">
        <v>28.8</v>
      </c>
      <c r="I418">
        <v>42.1</v>
      </c>
      <c r="J418">
        <v>27.8</v>
      </c>
      <c r="L418">
        <v>35.5</v>
      </c>
      <c r="O418">
        <v>4.5619851533253864E-3</v>
      </c>
      <c r="P418">
        <v>-1.0105681465743289E-2</v>
      </c>
      <c r="Q418">
        <v>1.8373191068485228E-2</v>
      </c>
    </row>
    <row r="419" spans="1:20" x14ac:dyDescent="0.35">
      <c r="A419" s="95">
        <v>30103</v>
      </c>
      <c r="B419">
        <v>42</v>
      </c>
      <c r="E419">
        <v>39.6</v>
      </c>
      <c r="F419">
        <v>39.4</v>
      </c>
      <c r="H419">
        <v>29.4</v>
      </c>
      <c r="I419">
        <v>45.2</v>
      </c>
      <c r="J419">
        <v>30.8</v>
      </c>
      <c r="L419">
        <v>38.299999999999997</v>
      </c>
      <c r="O419">
        <v>4.5619851533253864E-3</v>
      </c>
      <c r="P419">
        <v>-1.0105681465743289E-2</v>
      </c>
      <c r="Q419">
        <v>1.8373191068485228E-2</v>
      </c>
    </row>
    <row r="420" spans="1:20" x14ac:dyDescent="0.35">
      <c r="A420" s="95">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35">
      <c r="A421" s="95">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35">
      <c r="A422" s="95">
        <v>30195</v>
      </c>
      <c r="B422">
        <v>40.4</v>
      </c>
      <c r="E422">
        <v>41.2</v>
      </c>
      <c r="F422">
        <v>41.3</v>
      </c>
      <c r="H422">
        <v>33.6</v>
      </c>
      <c r="I422">
        <v>45.9</v>
      </c>
      <c r="J422">
        <v>30.6</v>
      </c>
      <c r="L422">
        <v>38.799999999999997</v>
      </c>
      <c r="O422">
        <v>-3.82299274214082E-3</v>
      </c>
      <c r="P422">
        <v>-2.5559214328054209E-2</v>
      </c>
      <c r="Q422">
        <v>-1.520450261025641E-2</v>
      </c>
    </row>
    <row r="423" spans="1:20" x14ac:dyDescent="0.35">
      <c r="A423" s="95">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35">
      <c r="A424" s="95">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35">
      <c r="A425" s="95">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35">
      <c r="A426" s="95">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35">
      <c r="A427" s="95">
        <v>30348</v>
      </c>
      <c r="B427">
        <v>60.6</v>
      </c>
      <c r="E427">
        <v>48.7</v>
      </c>
      <c r="F427">
        <v>61.1</v>
      </c>
      <c r="H427">
        <v>40.1</v>
      </c>
      <c r="I427">
        <v>49.9</v>
      </c>
      <c r="J427">
        <v>47.4</v>
      </c>
      <c r="L427">
        <v>54.4</v>
      </c>
      <c r="O427">
        <v>1.317847576348375E-2</v>
      </c>
      <c r="P427">
        <v>1.431455577415857E-2</v>
      </c>
      <c r="Q427">
        <v>5.3765121497419077E-2</v>
      </c>
    </row>
    <row r="428" spans="1:20" x14ac:dyDescent="0.35">
      <c r="A428" s="95">
        <v>30376</v>
      </c>
      <c r="B428">
        <v>60.8</v>
      </c>
      <c r="E428">
        <v>47.9</v>
      </c>
      <c r="F428">
        <v>58.4</v>
      </c>
      <c r="H428">
        <v>44.2</v>
      </c>
      <c r="I428">
        <v>50.8</v>
      </c>
      <c r="J428">
        <v>45.1</v>
      </c>
      <c r="L428">
        <v>53.9</v>
      </c>
      <c r="O428">
        <v>1.317847576348375E-2</v>
      </c>
      <c r="P428">
        <v>1.431455577415857E-2</v>
      </c>
      <c r="Q428">
        <v>5.3765121497419077E-2</v>
      </c>
    </row>
    <row r="429" spans="1:20" x14ac:dyDescent="0.35">
      <c r="A429" s="95">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35">
      <c r="A430" s="95">
        <v>30437</v>
      </c>
      <c r="B430">
        <v>61.8</v>
      </c>
      <c r="E430">
        <v>60.3</v>
      </c>
      <c r="F430">
        <v>61.5</v>
      </c>
      <c r="H430">
        <v>45.7</v>
      </c>
      <c r="I430">
        <v>51.9</v>
      </c>
      <c r="J430">
        <v>49.2</v>
      </c>
      <c r="L430">
        <v>56.1</v>
      </c>
      <c r="O430">
        <v>2.275612439301274E-2</v>
      </c>
      <c r="P430">
        <v>3.2685328840770238E-2</v>
      </c>
      <c r="Q430">
        <v>9.4178949150713009E-2</v>
      </c>
    </row>
    <row r="431" spans="1:20" x14ac:dyDescent="0.35">
      <c r="A431" s="95">
        <v>30468</v>
      </c>
      <c r="B431">
        <v>62.3</v>
      </c>
      <c r="E431">
        <v>61.5</v>
      </c>
      <c r="F431">
        <v>63.2</v>
      </c>
      <c r="H431">
        <v>45.7</v>
      </c>
      <c r="I431">
        <v>56.8</v>
      </c>
      <c r="J431">
        <v>49.7</v>
      </c>
      <c r="L431">
        <v>57.5</v>
      </c>
      <c r="O431">
        <v>2.275612439301274E-2</v>
      </c>
      <c r="P431">
        <v>3.2685328840770238E-2</v>
      </c>
      <c r="Q431">
        <v>9.4178949150713009E-2</v>
      </c>
    </row>
    <row r="432" spans="1:20" x14ac:dyDescent="0.35">
      <c r="A432" s="95">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35">
      <c r="A433" s="95">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35">
      <c r="A434" s="95">
        <v>30560</v>
      </c>
      <c r="B434">
        <v>66.900000000000006</v>
      </c>
      <c r="E434">
        <v>68</v>
      </c>
      <c r="F434">
        <v>67.8</v>
      </c>
      <c r="H434">
        <v>48.6</v>
      </c>
      <c r="I434">
        <v>60.7</v>
      </c>
      <c r="J434">
        <v>57.8</v>
      </c>
      <c r="L434">
        <v>62.5</v>
      </c>
      <c r="O434">
        <v>1.9990642943219668E-2</v>
      </c>
      <c r="P434">
        <v>5.7371696845111453E-2</v>
      </c>
      <c r="Q434">
        <v>8.2392441412500128E-2</v>
      </c>
    </row>
    <row r="435" spans="1:20" x14ac:dyDescent="0.35">
      <c r="A435" s="95">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35">
      <c r="A436" s="95">
        <v>30621</v>
      </c>
      <c r="B436">
        <v>69.2</v>
      </c>
      <c r="E436">
        <v>68.099999999999994</v>
      </c>
      <c r="F436">
        <v>70.7</v>
      </c>
      <c r="H436">
        <v>55</v>
      </c>
      <c r="I436">
        <v>67.5</v>
      </c>
      <c r="J436">
        <v>59.7</v>
      </c>
      <c r="L436">
        <v>66</v>
      </c>
      <c r="O436">
        <v>2.0862174793425631E-2</v>
      </c>
      <c r="P436">
        <v>7.8999749811109563E-2</v>
      </c>
      <c r="Q436">
        <v>8.6096590027290532E-2</v>
      </c>
    </row>
    <row r="437" spans="1:20" x14ac:dyDescent="0.35">
      <c r="A437" s="95">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35">
      <c r="A438" s="95">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35">
      <c r="A439" s="95">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35">
      <c r="A440" s="95">
        <v>30742</v>
      </c>
      <c r="B440">
        <v>60.9</v>
      </c>
      <c r="E440">
        <v>73.599999999999994</v>
      </c>
      <c r="F440">
        <v>61.5</v>
      </c>
      <c r="H440">
        <v>52.7</v>
      </c>
      <c r="I440">
        <v>65.5</v>
      </c>
      <c r="J440">
        <v>51.1</v>
      </c>
      <c r="L440">
        <v>58.9</v>
      </c>
      <c r="O440">
        <v>1.9547702889620849E-2</v>
      </c>
      <c r="P440">
        <v>8.5782754622195131E-2</v>
      </c>
      <c r="Q440">
        <v>8.0513511399357585E-2</v>
      </c>
    </row>
    <row r="441" spans="1:20" x14ac:dyDescent="0.35">
      <c r="A441" s="95">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35">
      <c r="A442" s="95">
        <v>30803</v>
      </c>
      <c r="B442">
        <v>59.2</v>
      </c>
      <c r="E442">
        <v>62.5</v>
      </c>
      <c r="F442">
        <v>59.3</v>
      </c>
      <c r="H442">
        <v>54.1</v>
      </c>
      <c r="I442">
        <v>62.5</v>
      </c>
      <c r="J442">
        <v>56.2</v>
      </c>
      <c r="L442">
        <v>58.6</v>
      </c>
      <c r="O442">
        <v>1.7277926627437559E-2</v>
      </c>
      <c r="P442">
        <v>7.9966966754093649E-2</v>
      </c>
      <c r="Q442">
        <v>7.0923587812259603E-2</v>
      </c>
    </row>
    <row r="443" spans="1:20" x14ac:dyDescent="0.35">
      <c r="A443" s="95">
        <v>30834</v>
      </c>
      <c r="B443">
        <v>60.5</v>
      </c>
      <c r="E443">
        <v>64</v>
      </c>
      <c r="F443">
        <v>62.3</v>
      </c>
      <c r="H443">
        <v>56.3</v>
      </c>
      <c r="I443">
        <v>56.2</v>
      </c>
      <c r="J443">
        <v>51.7</v>
      </c>
      <c r="L443">
        <v>58.1</v>
      </c>
      <c r="O443">
        <v>1.7277926627437559E-2</v>
      </c>
      <c r="P443">
        <v>7.9966966754093649E-2</v>
      </c>
      <c r="Q443">
        <v>7.0923587812259603E-2</v>
      </c>
    </row>
    <row r="444" spans="1:20" x14ac:dyDescent="0.35">
      <c r="A444" s="95">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35">
      <c r="A445" s="95">
        <v>30895</v>
      </c>
      <c r="B445">
        <v>54</v>
      </c>
      <c r="E445">
        <v>58.7</v>
      </c>
      <c r="F445">
        <v>54.3</v>
      </c>
      <c r="H445">
        <v>49.1</v>
      </c>
      <c r="I445">
        <v>55.2</v>
      </c>
      <c r="J445">
        <v>50.4</v>
      </c>
      <c r="L445">
        <v>53</v>
      </c>
      <c r="O445">
        <v>9.64063628357004E-3</v>
      </c>
      <c r="P445">
        <v>6.9008370834181168E-2</v>
      </c>
      <c r="Q445">
        <v>3.9123789055161673E-2</v>
      </c>
    </row>
    <row r="446" spans="1:20" x14ac:dyDescent="0.35">
      <c r="A446" s="95">
        <v>30926</v>
      </c>
      <c r="B446">
        <v>47.2</v>
      </c>
      <c r="E446">
        <v>53.4</v>
      </c>
      <c r="F446">
        <v>52.2</v>
      </c>
      <c r="H446">
        <v>46.8</v>
      </c>
      <c r="I446">
        <v>52.8</v>
      </c>
      <c r="J446">
        <v>51.1</v>
      </c>
      <c r="L446">
        <v>50</v>
      </c>
      <c r="O446">
        <v>9.64063628357004E-3</v>
      </c>
      <c r="P446">
        <v>6.9008370834181168E-2</v>
      </c>
      <c r="Q446">
        <v>3.9123789055161673E-2</v>
      </c>
    </row>
    <row r="447" spans="1:20" x14ac:dyDescent="0.35">
      <c r="A447" s="95">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35">
      <c r="A448" s="95">
        <v>30987</v>
      </c>
      <c r="B448">
        <v>52</v>
      </c>
      <c r="E448">
        <v>55</v>
      </c>
      <c r="F448">
        <v>53.8</v>
      </c>
      <c r="H448">
        <v>45.7</v>
      </c>
      <c r="I448">
        <v>48.1</v>
      </c>
      <c r="J448">
        <v>47.4</v>
      </c>
      <c r="L448">
        <v>50.3</v>
      </c>
      <c r="O448">
        <v>8.208571463863279E-3</v>
      </c>
      <c r="P448">
        <v>5.5757994618356933E-2</v>
      </c>
      <c r="Q448">
        <v>3.3240786663843558E-2</v>
      </c>
    </row>
    <row r="449" spans="1:20" x14ac:dyDescent="0.35">
      <c r="A449" s="95">
        <v>31017</v>
      </c>
      <c r="B449">
        <v>52.8</v>
      </c>
      <c r="E449">
        <v>50.7</v>
      </c>
      <c r="F449">
        <v>54.9</v>
      </c>
      <c r="H449">
        <v>47.3</v>
      </c>
      <c r="I449">
        <v>48.8</v>
      </c>
      <c r="J449">
        <v>45.2</v>
      </c>
      <c r="L449">
        <v>50.6</v>
      </c>
      <c r="O449">
        <v>8.208571463863279E-3</v>
      </c>
      <c r="P449">
        <v>5.5757994618356933E-2</v>
      </c>
      <c r="Q449">
        <v>3.3240786663843558E-2</v>
      </c>
    </row>
    <row r="450" spans="1:20" x14ac:dyDescent="0.35">
      <c r="A450" s="95">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35">
      <c r="A451" s="95">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35">
      <c r="A452" s="95">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35">
      <c r="A453" s="95">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35">
      <c r="A454" s="95">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35">
      <c r="A455" s="95">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35">
      <c r="A456" s="95">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35">
      <c r="A457" s="95">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35">
      <c r="A458" s="95">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35">
      <c r="A459" s="95">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35">
      <c r="A460" s="95">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35">
      <c r="A461" s="95">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35">
      <c r="A462" s="95">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35">
      <c r="A463" s="95">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35">
      <c r="A464" s="95">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35">
      <c r="A465" s="95">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35">
      <c r="A466" s="95">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35">
      <c r="A467" s="95">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35">
      <c r="A468" s="95">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35">
      <c r="A469" s="95">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35">
      <c r="A470" s="95">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35">
      <c r="A471" s="95">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35">
      <c r="A472" s="95">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35">
      <c r="A473" s="95">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35">
      <c r="A474" s="95">
        <v>31778</v>
      </c>
      <c r="B474">
        <v>59.8</v>
      </c>
      <c r="E474">
        <v>61.1</v>
      </c>
      <c r="F474">
        <v>60.7</v>
      </c>
      <c r="H474">
        <v>46.3</v>
      </c>
      <c r="I474">
        <v>51.5</v>
      </c>
      <c r="J474">
        <v>47.3</v>
      </c>
      <c r="L474">
        <v>54.9</v>
      </c>
      <c r="M474">
        <v>274.07998657226563</v>
      </c>
      <c r="N474">
        <v>8375.2739999999994</v>
      </c>
      <c r="O474">
        <v>7.4501962990076546E-3</v>
      </c>
      <c r="P474">
        <v>2.7158406191741289E-2</v>
      </c>
      <c r="Q474">
        <v>3.013547493148994E-2</v>
      </c>
      <c r="R474">
        <v>7.4501962990076546E-3</v>
      </c>
      <c r="S474">
        <v>3.013547493148994E-2</v>
      </c>
      <c r="T474">
        <v>2.7158406191741289E-2</v>
      </c>
    </row>
    <row r="475" spans="1:20" x14ac:dyDescent="0.35">
      <c r="A475" s="95">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35">
      <c r="A476" s="95">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35">
      <c r="A477" s="95">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35">
      <c r="A478" s="95">
        <v>31898</v>
      </c>
      <c r="B478">
        <v>63.4</v>
      </c>
      <c r="E478">
        <v>67.599999999999994</v>
      </c>
      <c r="F478">
        <v>60.6</v>
      </c>
      <c r="H478">
        <v>47.5</v>
      </c>
      <c r="I478">
        <v>54</v>
      </c>
      <c r="J478">
        <v>50.9</v>
      </c>
      <c r="L478">
        <v>57.2</v>
      </c>
      <c r="M478">
        <v>290.10000610351563</v>
      </c>
      <c r="O478">
        <v>1.078842316084223E-2</v>
      </c>
      <c r="P478">
        <v>3.3584793796559688E-2</v>
      </c>
      <c r="Q478">
        <v>4.3857069297295492E-2</v>
      </c>
    </row>
    <row r="479" spans="1:20" x14ac:dyDescent="0.35">
      <c r="A479" s="95">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35">
      <c r="A480" s="95">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35">
      <c r="A481" s="95">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35">
      <c r="A482" s="95">
        <v>32021</v>
      </c>
      <c r="B482">
        <v>62.1</v>
      </c>
      <c r="E482">
        <v>77.3</v>
      </c>
      <c r="F482">
        <v>65.5</v>
      </c>
      <c r="H482">
        <v>49.2</v>
      </c>
      <c r="I482">
        <v>61.5</v>
      </c>
      <c r="J482">
        <v>54.5</v>
      </c>
      <c r="L482">
        <v>60</v>
      </c>
      <c r="M482">
        <v>321.82998657226563</v>
      </c>
      <c r="O482">
        <v>8.6756685562682911E-3</v>
      </c>
      <c r="P482">
        <v>3.2669261519167977E-2</v>
      </c>
      <c r="Q482">
        <v>3.5156895213603212E-2</v>
      </c>
    </row>
    <row r="483" spans="1:20" x14ac:dyDescent="0.35">
      <c r="A483" s="95">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35">
      <c r="A484" s="95">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35">
      <c r="A485" s="95">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35">
      <c r="A486" s="95">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35">
      <c r="A487" s="95">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35">
      <c r="A488" s="95">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35">
      <c r="A489" s="95">
        <v>32234</v>
      </c>
      <c r="B489">
        <v>57.6</v>
      </c>
      <c r="E489">
        <v>81</v>
      </c>
      <c r="F489">
        <v>59.1</v>
      </c>
      <c r="H489">
        <v>51</v>
      </c>
      <c r="I489">
        <v>58.6</v>
      </c>
      <c r="J489">
        <v>49.2</v>
      </c>
      <c r="K489">
        <v>64</v>
      </c>
      <c r="L489">
        <v>55.8</v>
      </c>
      <c r="M489">
        <v>261.32998657226563</v>
      </c>
      <c r="N489">
        <v>8845.2800000000007</v>
      </c>
      <c r="O489">
        <v>1.3139006174740861E-2</v>
      </c>
      <c r="P489">
        <v>4.48460421728804E-2</v>
      </c>
      <c r="Q489">
        <v>5.3600928330452602E-2</v>
      </c>
      <c r="R489">
        <v>1.3139006174740861E-2</v>
      </c>
      <c r="S489">
        <v>5.3600928330452602E-2</v>
      </c>
      <c r="T489">
        <v>4.48460421728804E-2</v>
      </c>
    </row>
    <row r="490" spans="1:20" x14ac:dyDescent="0.35">
      <c r="A490" s="95">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35">
      <c r="A491" s="95">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35">
      <c r="A492" s="95">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35">
      <c r="A493" s="95">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35">
      <c r="A494" s="95">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35">
      <c r="A495" s="95">
        <v>32417</v>
      </c>
      <c r="B495">
        <v>57.2</v>
      </c>
      <c r="E495">
        <v>71.5</v>
      </c>
      <c r="F495">
        <v>58.7</v>
      </c>
      <c r="H495">
        <v>49.2</v>
      </c>
      <c r="I495">
        <v>54.8</v>
      </c>
      <c r="J495">
        <v>52.4</v>
      </c>
      <c r="K495">
        <v>60.8</v>
      </c>
      <c r="L495">
        <v>55.4</v>
      </c>
      <c r="M495">
        <v>278.97000122070313</v>
      </c>
      <c r="N495">
        <v>9015.6610000000001</v>
      </c>
      <c r="O495">
        <v>1.3325005532697319E-2</v>
      </c>
      <c r="P495">
        <v>3.7989710436494843E-2</v>
      </c>
      <c r="Q495">
        <v>5.4374852018120423E-2</v>
      </c>
      <c r="R495">
        <v>1.3325005532697319E-2</v>
      </c>
      <c r="S495">
        <v>5.4374852018120423E-2</v>
      </c>
      <c r="T495">
        <v>3.7989710436494843E-2</v>
      </c>
    </row>
    <row r="496" spans="1:20" x14ac:dyDescent="0.35">
      <c r="A496" s="95">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35">
      <c r="A497" s="95">
        <v>32478</v>
      </c>
      <c r="B497">
        <v>59</v>
      </c>
      <c r="E497">
        <v>69.8</v>
      </c>
      <c r="F497">
        <v>57.6</v>
      </c>
      <c r="H497">
        <v>49.9</v>
      </c>
      <c r="I497">
        <v>53</v>
      </c>
      <c r="J497">
        <v>54.8</v>
      </c>
      <c r="K497">
        <v>64.3</v>
      </c>
      <c r="L497">
        <v>56</v>
      </c>
      <c r="M497">
        <v>277.72000122070313</v>
      </c>
      <c r="O497">
        <v>1.3325005532697319E-2</v>
      </c>
      <c r="P497">
        <v>3.7989710436494843E-2</v>
      </c>
      <c r="Q497">
        <v>5.4374852018120423E-2</v>
      </c>
    </row>
    <row r="498" spans="1:20" x14ac:dyDescent="0.35">
      <c r="A498" s="95">
        <v>32509</v>
      </c>
      <c r="B498">
        <v>57.3</v>
      </c>
      <c r="E498">
        <v>70.5</v>
      </c>
      <c r="F498">
        <v>57.9</v>
      </c>
      <c r="H498">
        <v>46.7</v>
      </c>
      <c r="I498">
        <v>53.9</v>
      </c>
      <c r="J498">
        <v>51.4</v>
      </c>
      <c r="K498">
        <v>60.1</v>
      </c>
      <c r="L498">
        <v>54.7</v>
      </c>
      <c r="M498">
        <v>297.47000122070313</v>
      </c>
      <c r="N498">
        <v>9107.3140000000003</v>
      </c>
      <c r="O498">
        <v>1.0165976737590321E-2</v>
      </c>
      <c r="P498">
        <v>4.3152399345334859E-2</v>
      </c>
      <c r="Q498">
        <v>4.1288202625324288E-2</v>
      </c>
      <c r="R498">
        <v>1.0165976737590321E-2</v>
      </c>
      <c r="S498">
        <v>4.1288202625324288E-2</v>
      </c>
      <c r="T498">
        <v>4.3152399345334859E-2</v>
      </c>
    </row>
    <row r="499" spans="1:20" x14ac:dyDescent="0.35">
      <c r="A499" s="95">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35">
      <c r="A500" s="95">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35">
      <c r="A501" s="95">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35">
      <c r="A502" s="95">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35">
      <c r="A503" s="95">
        <v>32660</v>
      </c>
      <c r="B503">
        <v>45.6</v>
      </c>
      <c r="E503">
        <v>50</v>
      </c>
      <c r="F503">
        <v>49.5</v>
      </c>
      <c r="H503">
        <v>47.5</v>
      </c>
      <c r="I503">
        <v>46.5</v>
      </c>
      <c r="J503">
        <v>47.4</v>
      </c>
      <c r="K503">
        <v>53.3</v>
      </c>
      <c r="L503">
        <v>47.3</v>
      </c>
      <c r="M503">
        <v>317.98001098632813</v>
      </c>
      <c r="O503">
        <v>7.6326565659204249E-3</v>
      </c>
      <c r="P503">
        <v>3.7482928748439691E-2</v>
      </c>
      <c r="Q503">
        <v>3.0881952971449911E-2</v>
      </c>
    </row>
    <row r="504" spans="1:20" x14ac:dyDescent="0.35">
      <c r="A504" s="95">
        <v>32690</v>
      </c>
      <c r="B504">
        <v>45.8</v>
      </c>
      <c r="E504">
        <v>48.1</v>
      </c>
      <c r="F504">
        <v>46.9</v>
      </c>
      <c r="H504">
        <v>46.2</v>
      </c>
      <c r="I504">
        <v>46.1</v>
      </c>
      <c r="J504">
        <v>44.5</v>
      </c>
      <c r="K504">
        <v>56.1</v>
      </c>
      <c r="L504">
        <v>45.9</v>
      </c>
      <c r="M504">
        <v>346.07998657226563</v>
      </c>
      <c r="N504">
        <v>9244.8160000000007</v>
      </c>
      <c r="O504">
        <v>7.4087699375831543E-3</v>
      </c>
      <c r="P504">
        <v>3.9081130529283373E-2</v>
      </c>
      <c r="Q504">
        <v>2.9966048660892589E-2</v>
      </c>
      <c r="R504">
        <v>7.4087699375831543E-3</v>
      </c>
      <c r="S504">
        <v>2.9966048660892589E-2</v>
      </c>
      <c r="T504">
        <v>3.9081130529283373E-2</v>
      </c>
    </row>
    <row r="505" spans="1:20" x14ac:dyDescent="0.35">
      <c r="A505" s="95">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35">
      <c r="A506" s="95">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35">
      <c r="A507" s="95">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35">
      <c r="A508" s="95">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35">
      <c r="A509" s="95">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35">
      <c r="A510" s="95">
        <v>32874</v>
      </c>
      <c r="B510">
        <v>49.1</v>
      </c>
      <c r="C510">
        <v>51.8</v>
      </c>
      <c r="E510">
        <v>50.8</v>
      </c>
      <c r="F510">
        <v>47.4</v>
      </c>
      <c r="H510">
        <v>42.7</v>
      </c>
      <c r="I510">
        <v>48.2</v>
      </c>
      <c r="J510">
        <v>45.4</v>
      </c>
      <c r="K510">
        <v>54.3</v>
      </c>
      <c r="L510">
        <v>47.2</v>
      </c>
      <c r="M510">
        <v>329.07998657226563</v>
      </c>
      <c r="N510">
        <v>9364.259</v>
      </c>
      <c r="O510">
        <v>1.092795415929108E-2</v>
      </c>
      <c r="P510">
        <v>2.8213038443606939E-2</v>
      </c>
      <c r="Q510">
        <v>4.4433572064092493E-2</v>
      </c>
      <c r="R510">
        <v>1.092795415929108E-2</v>
      </c>
      <c r="S510">
        <v>4.4433572064092493E-2</v>
      </c>
      <c r="T510">
        <v>2.8213038443606939E-2</v>
      </c>
    </row>
    <row r="511" spans="1:20" x14ac:dyDescent="0.35">
      <c r="A511" s="95">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35">
      <c r="A512" s="95">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35">
      <c r="A513" s="95">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35">
      <c r="A514" s="95">
        <v>32994</v>
      </c>
      <c r="B514">
        <v>51.7</v>
      </c>
      <c r="C514">
        <v>46.5</v>
      </c>
      <c r="E514">
        <v>50.1</v>
      </c>
      <c r="F514">
        <v>53.9</v>
      </c>
      <c r="H514">
        <v>40</v>
      </c>
      <c r="I514">
        <v>48.2</v>
      </c>
      <c r="J514">
        <v>46.2</v>
      </c>
      <c r="K514">
        <v>54.3</v>
      </c>
      <c r="L514">
        <v>49.5</v>
      </c>
      <c r="M514">
        <v>361.23001098632813</v>
      </c>
      <c r="O514">
        <v>3.6291179045774341E-3</v>
      </c>
      <c r="P514">
        <v>2.412772955183759E-2</v>
      </c>
      <c r="Q514">
        <v>1.459568596150662E-2</v>
      </c>
    </row>
    <row r="515" spans="1:20" x14ac:dyDescent="0.35">
      <c r="A515" s="95">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35">
      <c r="A516" s="95">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35">
      <c r="A517" s="95">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35">
      <c r="A518" s="95">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35">
      <c r="A519" s="95">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35">
      <c r="A520" s="95">
        <v>33178</v>
      </c>
      <c r="B520">
        <v>40.4</v>
      </c>
      <c r="C520">
        <v>43.1</v>
      </c>
      <c r="E520">
        <v>64.2</v>
      </c>
      <c r="F520">
        <v>42.1</v>
      </c>
      <c r="H520">
        <v>40.9</v>
      </c>
      <c r="I520">
        <v>48.6</v>
      </c>
      <c r="J520">
        <v>36.200000000000003</v>
      </c>
      <c r="K520">
        <v>55.5</v>
      </c>
      <c r="L520">
        <v>41.3</v>
      </c>
      <c r="M520">
        <v>322.22000122070313</v>
      </c>
      <c r="O520">
        <v>-9.1039454116298435E-3</v>
      </c>
      <c r="P520">
        <v>6.0285869649822858E-3</v>
      </c>
      <c r="Q520">
        <v>-3.5921502051109888E-2</v>
      </c>
    </row>
    <row r="521" spans="1:20" x14ac:dyDescent="0.35">
      <c r="A521" s="95">
        <v>33208</v>
      </c>
      <c r="B521">
        <v>38.5</v>
      </c>
      <c r="C521">
        <v>46.5</v>
      </c>
      <c r="E521">
        <v>58.9</v>
      </c>
      <c r="F521">
        <v>41.8</v>
      </c>
      <c r="H521">
        <v>39.6</v>
      </c>
      <c r="I521">
        <v>47.2</v>
      </c>
      <c r="J521">
        <v>38.799999999999997</v>
      </c>
      <c r="K521">
        <v>56.5</v>
      </c>
      <c r="L521">
        <v>40.799999999999997</v>
      </c>
      <c r="M521">
        <v>330.22000122070313</v>
      </c>
      <c r="O521">
        <v>-9.1039454116298435E-3</v>
      </c>
      <c r="P521">
        <v>6.0285869649822858E-3</v>
      </c>
      <c r="Q521">
        <v>-3.5921502051109888E-2</v>
      </c>
    </row>
    <row r="522" spans="1:20" x14ac:dyDescent="0.35">
      <c r="A522" s="95">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35">
      <c r="A523" s="95">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35">
      <c r="A524" s="95">
        <v>33298</v>
      </c>
      <c r="B524">
        <v>42.4</v>
      </c>
      <c r="C524">
        <v>45.8</v>
      </c>
      <c r="E524">
        <v>41.2</v>
      </c>
      <c r="F524">
        <v>41.2</v>
      </c>
      <c r="H524">
        <v>43.6</v>
      </c>
      <c r="I524">
        <v>43.9</v>
      </c>
      <c r="J524">
        <v>33.6</v>
      </c>
      <c r="K524">
        <v>55.9</v>
      </c>
      <c r="L524">
        <v>40.700000000000003</v>
      </c>
      <c r="M524">
        <v>375.22000122070313</v>
      </c>
      <c r="O524">
        <v>-4.6786758403052431E-3</v>
      </c>
      <c r="P524">
        <v>-9.5024069710160919E-3</v>
      </c>
      <c r="Q524">
        <v>-1.858377250133569E-2</v>
      </c>
    </row>
    <row r="525" spans="1:20" x14ac:dyDescent="0.35">
      <c r="A525" s="95">
        <v>33329</v>
      </c>
      <c r="B525">
        <v>46.1</v>
      </c>
      <c r="C525">
        <v>45.2</v>
      </c>
      <c r="E525">
        <v>38.799999999999997</v>
      </c>
      <c r="F525">
        <v>44.5</v>
      </c>
      <c r="H525">
        <v>39.6</v>
      </c>
      <c r="I525">
        <v>45</v>
      </c>
      <c r="J525">
        <v>35.799999999999997</v>
      </c>
      <c r="K525">
        <v>53.9</v>
      </c>
      <c r="L525">
        <v>42.8</v>
      </c>
      <c r="M525">
        <v>375.33999633789063</v>
      </c>
      <c r="N525">
        <v>9347.5969999999998</v>
      </c>
      <c r="O525">
        <v>7.7971803750098564E-3</v>
      </c>
      <c r="P525">
        <v>-5.3888796022831757E-3</v>
      </c>
      <c r="Q525">
        <v>3.1555397477190723E-2</v>
      </c>
      <c r="R525">
        <v>7.7971803750098564E-3</v>
      </c>
      <c r="S525">
        <v>3.1555397477190723E-2</v>
      </c>
      <c r="T525">
        <v>-5.3888796022831757E-3</v>
      </c>
    </row>
    <row r="526" spans="1:20" x14ac:dyDescent="0.35">
      <c r="A526" s="95">
        <v>33359</v>
      </c>
      <c r="B526">
        <v>48.9</v>
      </c>
      <c r="C526">
        <v>47</v>
      </c>
      <c r="E526">
        <v>38.200000000000003</v>
      </c>
      <c r="F526">
        <v>46.9</v>
      </c>
      <c r="H526">
        <v>37.299999999999997</v>
      </c>
      <c r="I526">
        <v>46</v>
      </c>
      <c r="J526">
        <v>37.4</v>
      </c>
      <c r="K526">
        <v>53.2</v>
      </c>
      <c r="L526">
        <v>44.5</v>
      </c>
      <c r="M526">
        <v>389.82998657226563</v>
      </c>
      <c r="O526">
        <v>7.7971803750098564E-3</v>
      </c>
      <c r="P526">
        <v>-5.3888796022831757E-3</v>
      </c>
      <c r="Q526">
        <v>3.1555397477190723E-2</v>
      </c>
    </row>
    <row r="527" spans="1:20" x14ac:dyDescent="0.35">
      <c r="A527" s="95">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35">
      <c r="A528" s="95">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35">
      <c r="A529" s="95">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35">
      <c r="A530" s="95">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35">
      <c r="A531" s="95">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35">
      <c r="A532" s="95">
        <v>33543</v>
      </c>
      <c r="B532">
        <v>53.5</v>
      </c>
      <c r="C532">
        <v>46.1</v>
      </c>
      <c r="E532">
        <v>47.6</v>
      </c>
      <c r="F532">
        <v>52.1</v>
      </c>
      <c r="H532">
        <v>42.8</v>
      </c>
      <c r="I532">
        <v>50.1</v>
      </c>
      <c r="J532">
        <v>43</v>
      </c>
      <c r="K532">
        <v>55.2</v>
      </c>
      <c r="L532">
        <v>49.5</v>
      </c>
      <c r="M532">
        <v>375.22000122070313</v>
      </c>
      <c r="O532">
        <v>3.4856390224669632E-3</v>
      </c>
      <c r="P532">
        <v>1.166503342248571E-2</v>
      </c>
      <c r="Q532">
        <v>1.401562371143839E-2</v>
      </c>
    </row>
    <row r="533" spans="1:20" x14ac:dyDescent="0.35">
      <c r="A533" s="95">
        <v>33573</v>
      </c>
      <c r="B533">
        <v>49.5</v>
      </c>
      <c r="C533">
        <v>47.6</v>
      </c>
      <c r="E533">
        <v>48.9</v>
      </c>
      <c r="F533">
        <v>50.6</v>
      </c>
      <c r="H533">
        <v>38.799999999999997</v>
      </c>
      <c r="I533">
        <v>49.4</v>
      </c>
      <c r="J533">
        <v>39.799999999999997</v>
      </c>
      <c r="K533">
        <v>53.6</v>
      </c>
      <c r="L533">
        <v>46.8</v>
      </c>
      <c r="M533">
        <v>417.08999633789063</v>
      </c>
      <c r="O533">
        <v>3.4856390224669632E-3</v>
      </c>
      <c r="P533">
        <v>1.166503342248571E-2</v>
      </c>
      <c r="Q533">
        <v>1.401562371143839E-2</v>
      </c>
    </row>
    <row r="534" spans="1:20" x14ac:dyDescent="0.35">
      <c r="A534" s="95">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35">
      <c r="A535" s="95">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35">
      <c r="A536" s="95">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35">
      <c r="A537" s="95">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35">
      <c r="A538" s="95">
        <v>33725</v>
      </c>
      <c r="B538">
        <v>60.9</v>
      </c>
      <c r="C538">
        <v>53.9</v>
      </c>
      <c r="E538">
        <v>55</v>
      </c>
      <c r="F538">
        <v>61.2</v>
      </c>
      <c r="H538">
        <v>47</v>
      </c>
      <c r="I538">
        <v>50</v>
      </c>
      <c r="J538">
        <v>49.5</v>
      </c>
      <c r="K538">
        <v>56.2</v>
      </c>
      <c r="L538">
        <v>55.7</v>
      </c>
      <c r="M538">
        <v>415.35000610351563</v>
      </c>
      <c r="O538">
        <v>1.0843206039467399E-2</v>
      </c>
      <c r="P538">
        <v>3.1697558206670688E-2</v>
      </c>
      <c r="Q538">
        <v>4.4083388249948292E-2</v>
      </c>
    </row>
    <row r="539" spans="1:20" x14ac:dyDescent="0.35">
      <c r="A539" s="95">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35">
      <c r="A540" s="95">
        <v>33786</v>
      </c>
      <c r="B540">
        <v>59.5</v>
      </c>
      <c r="C540">
        <v>49.7</v>
      </c>
      <c r="E540">
        <v>56.2</v>
      </c>
      <c r="F540">
        <v>57.4</v>
      </c>
      <c r="H540">
        <v>46.9</v>
      </c>
      <c r="I540">
        <v>52.5</v>
      </c>
      <c r="J540">
        <v>45.5</v>
      </c>
      <c r="K540">
        <v>55.2</v>
      </c>
      <c r="L540">
        <v>53.9</v>
      </c>
      <c r="M540">
        <v>424.20999145507813</v>
      </c>
      <c r="N540">
        <v>9739.1849999999995</v>
      </c>
      <c r="O540">
        <v>9.8810718866332772E-3</v>
      </c>
      <c r="P540">
        <v>3.6653228785096012E-2</v>
      </c>
      <c r="Q540">
        <v>4.0113969545816142E-2</v>
      </c>
      <c r="R540">
        <v>9.8810718866332772E-3</v>
      </c>
      <c r="S540">
        <v>4.0113969545816142E-2</v>
      </c>
      <c r="T540">
        <v>3.6653228785096012E-2</v>
      </c>
    </row>
    <row r="541" spans="1:20" x14ac:dyDescent="0.35">
      <c r="A541" s="95">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35">
      <c r="A542" s="95">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35">
      <c r="A543" s="95">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35">
      <c r="A544" s="95">
        <v>33909</v>
      </c>
      <c r="B544">
        <v>58.8</v>
      </c>
      <c r="C544">
        <v>48</v>
      </c>
      <c r="E544">
        <v>42.1</v>
      </c>
      <c r="F544">
        <v>58.6</v>
      </c>
      <c r="H544">
        <v>42.1</v>
      </c>
      <c r="I544">
        <v>51.3</v>
      </c>
      <c r="J544">
        <v>47.1</v>
      </c>
      <c r="K544">
        <v>52.9</v>
      </c>
      <c r="L544">
        <v>53.6</v>
      </c>
      <c r="M544">
        <v>431.35000610351563</v>
      </c>
      <c r="O544">
        <v>1.042879871365018E-2</v>
      </c>
      <c r="P544">
        <v>4.3825876436383887E-2</v>
      </c>
      <c r="Q544">
        <v>4.2372302676989992E-2</v>
      </c>
    </row>
    <row r="545" spans="1:20" x14ac:dyDescent="0.35">
      <c r="A545" s="95">
        <v>33939</v>
      </c>
      <c r="B545">
        <v>61</v>
      </c>
      <c r="C545">
        <v>51.4</v>
      </c>
      <c r="E545">
        <v>48</v>
      </c>
      <c r="F545">
        <v>57.9</v>
      </c>
      <c r="H545">
        <v>45</v>
      </c>
      <c r="I545">
        <v>51.5</v>
      </c>
      <c r="J545">
        <v>45.9</v>
      </c>
      <c r="K545">
        <v>53.1</v>
      </c>
      <c r="L545">
        <v>54.2</v>
      </c>
      <c r="M545">
        <v>435.70999145507813</v>
      </c>
      <c r="O545">
        <v>1.042879871365018E-2</v>
      </c>
      <c r="P545">
        <v>4.3825876436383887E-2</v>
      </c>
      <c r="Q545">
        <v>4.2372302676989992E-2</v>
      </c>
    </row>
    <row r="546" spans="1:20" x14ac:dyDescent="0.35">
      <c r="A546" s="95">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35">
      <c r="A547" s="95">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35">
      <c r="A548" s="95">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35">
      <c r="A549" s="95">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35">
      <c r="A550" s="95">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35">
      <c r="A551" s="95">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35">
      <c r="A552" s="95">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35">
      <c r="A553" s="95">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35">
      <c r="A554" s="95">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35">
      <c r="A555" s="95">
        <v>34243</v>
      </c>
      <c r="B555">
        <v>58.9</v>
      </c>
      <c r="C555">
        <v>49.4</v>
      </c>
      <c r="D555">
        <v>55.5</v>
      </c>
      <c r="E555">
        <v>50.9</v>
      </c>
      <c r="F555">
        <v>56.1</v>
      </c>
      <c r="H555">
        <v>48.6</v>
      </c>
      <c r="I555">
        <v>50.7</v>
      </c>
      <c r="J555">
        <v>46</v>
      </c>
      <c r="K555">
        <v>54.1</v>
      </c>
      <c r="L555">
        <v>53.4</v>
      </c>
      <c r="M555">
        <v>467.82998657226563</v>
      </c>
      <c r="N555">
        <v>10097.361999999999</v>
      </c>
      <c r="O555">
        <v>1.360075560087943E-2</v>
      </c>
      <c r="P555">
        <v>2.6076154944646868E-2</v>
      </c>
      <c r="Q555">
        <v>5.5523003439976508E-2</v>
      </c>
      <c r="R555">
        <v>1.360075560087943E-2</v>
      </c>
      <c r="S555">
        <v>5.5523003439976508E-2</v>
      </c>
      <c r="T555">
        <v>2.6076154944646868E-2</v>
      </c>
    </row>
    <row r="556" spans="1:20" x14ac:dyDescent="0.35">
      <c r="A556" s="95">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35">
      <c r="A557" s="95">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35">
      <c r="A558" s="95">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35">
      <c r="A559" s="95">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35">
      <c r="A560" s="95">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35">
      <c r="A561" s="95">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35">
      <c r="A562" s="95">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35">
      <c r="A563" s="95">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35">
      <c r="A564" s="95">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35">
      <c r="A565" s="95">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35">
      <c r="A566" s="95">
        <v>34578</v>
      </c>
      <c r="B566">
        <v>62.7</v>
      </c>
      <c r="C566">
        <v>53</v>
      </c>
      <c r="D566">
        <v>60.5</v>
      </c>
      <c r="E566">
        <v>80.3</v>
      </c>
      <c r="F566">
        <v>62.8</v>
      </c>
      <c r="H566">
        <v>46.1</v>
      </c>
      <c r="I566">
        <v>62.5</v>
      </c>
      <c r="J566">
        <v>52.5</v>
      </c>
      <c r="K566">
        <v>60</v>
      </c>
      <c r="L566">
        <v>59</v>
      </c>
      <c r="M566">
        <v>462.70999145507813</v>
      </c>
      <c r="O566">
        <v>5.8453601613005493E-3</v>
      </c>
      <c r="P566">
        <v>4.3367848596343253E-2</v>
      </c>
      <c r="Q566">
        <v>2.358725012773033E-2</v>
      </c>
    </row>
    <row r="567" spans="1:20" x14ac:dyDescent="0.35">
      <c r="A567" s="95">
        <v>34608</v>
      </c>
      <c r="B567">
        <v>63</v>
      </c>
      <c r="C567">
        <v>53.7</v>
      </c>
      <c r="D567">
        <v>60.5</v>
      </c>
      <c r="E567">
        <v>84.1</v>
      </c>
      <c r="F567">
        <v>63.3</v>
      </c>
      <c r="H567">
        <v>47.6</v>
      </c>
      <c r="I567">
        <v>64.900000000000006</v>
      </c>
      <c r="J567">
        <v>51.1</v>
      </c>
      <c r="K567">
        <v>58.5</v>
      </c>
      <c r="L567">
        <v>59.4</v>
      </c>
      <c r="M567">
        <v>472.35000610351563</v>
      </c>
      <c r="N567">
        <v>10512.962</v>
      </c>
      <c r="O567">
        <v>1.1455182646587479E-2</v>
      </c>
      <c r="P567">
        <v>4.1159265162524668E-2</v>
      </c>
      <c r="Q567">
        <v>4.6614087713841679E-2</v>
      </c>
      <c r="R567">
        <v>1.1455182646587479E-2</v>
      </c>
      <c r="S567">
        <v>4.6614087713841679E-2</v>
      </c>
      <c r="T567">
        <v>4.1159265162524668E-2</v>
      </c>
    </row>
    <row r="568" spans="1:20" x14ac:dyDescent="0.35">
      <c r="A568" s="95">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35">
      <c r="A569" s="95">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35">
      <c r="A570" s="95">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35">
      <c r="A571" s="95">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35">
      <c r="A572" s="95">
        <v>34759</v>
      </c>
      <c r="B572">
        <v>51.9</v>
      </c>
      <c r="C572">
        <v>52</v>
      </c>
      <c r="D572">
        <v>51</v>
      </c>
      <c r="E572">
        <v>78.900000000000006</v>
      </c>
      <c r="F572">
        <v>54.8</v>
      </c>
      <c r="H572">
        <v>47</v>
      </c>
      <c r="I572">
        <v>56.9</v>
      </c>
      <c r="J572">
        <v>48.1</v>
      </c>
      <c r="K572">
        <v>56.9</v>
      </c>
      <c r="L572">
        <v>52.1</v>
      </c>
      <c r="M572">
        <v>500.70999145507813</v>
      </c>
      <c r="O572">
        <v>3.5469547022048279E-3</v>
      </c>
      <c r="P572">
        <v>3.4811302970043798E-2</v>
      </c>
      <c r="Q572">
        <v>1.426348278840983E-2</v>
      </c>
    </row>
    <row r="573" spans="1:20" x14ac:dyDescent="0.35">
      <c r="A573" s="95">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35">
      <c r="A574" s="95">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35">
      <c r="A575" s="95">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35">
      <c r="A576" s="95">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35">
      <c r="A577" s="95">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35">
      <c r="A578" s="95">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35">
      <c r="A579" s="95">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35">
      <c r="A580" s="95">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35">
      <c r="A581" s="95">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35">
      <c r="A582" s="95">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35">
      <c r="A583" s="95">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35">
      <c r="A584" s="95">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35">
      <c r="A585" s="95">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35">
      <c r="A586" s="95">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35">
      <c r="A587" s="95">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35">
      <c r="A588" s="95">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35">
      <c r="A589" s="95">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35">
      <c r="A590" s="95">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35">
      <c r="A591" s="95">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35">
      <c r="A592" s="95">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35">
      <c r="A593" s="95">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35">
      <c r="A594" s="95">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35">
      <c r="A595" s="95">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35">
      <c r="A596" s="95">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35">
      <c r="A597" s="95">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35">
      <c r="A598" s="95">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35">
      <c r="A599" s="95">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35">
      <c r="A600" s="95">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35">
      <c r="A601" s="95">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35">
      <c r="A602" s="95">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35">
      <c r="A603" s="95">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35">
      <c r="A604" s="95">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35">
      <c r="A605" s="95">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35">
      <c r="A606" s="95">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35">
      <c r="A607" s="95">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35">
      <c r="A608" s="95">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35">
      <c r="A609" s="95">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35">
      <c r="A610" s="95">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35">
      <c r="A611" s="95">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35">
      <c r="A612" s="95">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35">
      <c r="A613" s="95">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35">
      <c r="A614" s="95">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35">
      <c r="A615" s="95">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35">
      <c r="A616" s="95">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35">
      <c r="A617" s="95">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35">
      <c r="A618" s="95">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35">
      <c r="A619" s="95">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35">
      <c r="A620" s="95">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35">
      <c r="A621" s="95">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35">
      <c r="A622" s="95">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35">
      <c r="A623" s="95">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35">
      <c r="A624" s="95">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35">
      <c r="A625" s="95">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35">
      <c r="A626" s="95">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35">
      <c r="A627" s="95">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35">
      <c r="A628" s="95">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35">
      <c r="A629" s="95">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35">
      <c r="A630" s="95">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35">
      <c r="A631" s="95">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35">
      <c r="A632" s="95">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35">
      <c r="A633" s="95">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35">
      <c r="A634" s="95">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35">
      <c r="A635" s="95">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35">
      <c r="A636" s="95">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35">
      <c r="A637" s="95">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35">
      <c r="A638" s="95">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35">
      <c r="A639" s="95">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35">
      <c r="A640" s="95">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35">
      <c r="A641" s="95">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35">
      <c r="A642" s="95">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35">
      <c r="A643" s="95">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35">
      <c r="A644" s="95">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35">
      <c r="A645" s="95">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35">
      <c r="A646" s="95">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35">
      <c r="A647" s="95">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35">
      <c r="A648" s="95">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35">
      <c r="A649" s="95">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35">
      <c r="A650" s="95">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35">
      <c r="A651" s="95">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35">
      <c r="A652" s="95">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35">
      <c r="A653" s="95">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35">
      <c r="A654" s="95">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35">
      <c r="A655" s="95">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35">
      <c r="A656" s="95">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35">
      <c r="A657" s="95">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35">
      <c r="A658" s="95">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35">
      <c r="A659" s="95">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35">
      <c r="A660" s="95">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35">
      <c r="A661" s="95">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35">
      <c r="A662" s="95">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35">
      <c r="A663" s="95">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35">
      <c r="A664" s="95">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35">
      <c r="A665" s="95">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35">
      <c r="A666" s="95">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35">
      <c r="A667" s="95">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35">
      <c r="A668" s="95">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35">
      <c r="A669" s="95">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35">
      <c r="A670" s="95">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35">
      <c r="A671" s="95">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35">
      <c r="A672" s="95">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35">
      <c r="A673" s="95">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35">
      <c r="A674" s="95">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35">
      <c r="A675" s="95">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35">
      <c r="A676" s="95">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35">
      <c r="A677" s="95">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35">
      <c r="A678" s="95">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35">
      <c r="A679" s="95">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35">
      <c r="A680" s="95">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35">
      <c r="A681" s="95">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35">
      <c r="A682" s="95">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35">
      <c r="A683" s="95">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35">
      <c r="A684" s="95">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35">
      <c r="A685" s="95">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35">
      <c r="A686" s="95">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35">
      <c r="A687" s="95">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35">
      <c r="A688" s="95">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35">
      <c r="A689" s="95">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35">
      <c r="A690" s="95">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35">
      <c r="A691" s="95">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35">
      <c r="A692" s="95">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35">
      <c r="A693" s="95">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35">
      <c r="A694" s="95">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35">
      <c r="A695" s="95">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35">
      <c r="A696" s="95">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35">
      <c r="A697" s="95">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35">
      <c r="A698" s="95">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35">
      <c r="A699" s="95">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35">
      <c r="A700" s="95">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35">
      <c r="A701" s="95">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35">
      <c r="A702" s="95">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35">
      <c r="A703" s="95">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35">
      <c r="A704" s="95">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35">
      <c r="A705" s="95">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35">
      <c r="A706" s="95">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35">
      <c r="A707" s="95">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35">
      <c r="A708" s="95">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35">
      <c r="A709" s="95">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35">
      <c r="A710" s="95">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35">
      <c r="A711" s="95">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35">
      <c r="A712" s="95">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35">
      <c r="A713" s="95">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35">
      <c r="A714" s="95">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35">
      <c r="A715" s="95">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35">
      <c r="A716" s="95">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35">
      <c r="A717" s="95">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35">
      <c r="A718" s="95">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35">
      <c r="A719" s="95">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35">
      <c r="A720" s="95">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35">
      <c r="A721" s="95">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35">
      <c r="A722" s="95">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35">
      <c r="A723" s="95">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35">
      <c r="A724" s="95">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35">
      <c r="A725" s="95">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35">
      <c r="A726" s="95">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35">
      <c r="A727" s="95">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35">
      <c r="A728" s="95">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35">
      <c r="A729" s="95">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35">
      <c r="A730" s="95">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35">
      <c r="A731" s="95">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35">
      <c r="A732" s="95">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35">
      <c r="A733" s="95">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35">
      <c r="A734" s="95">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35">
      <c r="A735" s="95">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35">
      <c r="A736" s="95">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35">
      <c r="A737" s="95">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35">
      <c r="A738" s="95">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35">
      <c r="A739" s="95">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35">
      <c r="A740" s="95">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35">
      <c r="A741" s="95">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35">
      <c r="A742" s="95">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35">
      <c r="A743" s="95">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35">
      <c r="A744" s="95">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35">
      <c r="A745" s="95">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35">
      <c r="A746" s="95">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35">
      <c r="A747" s="95">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35">
      <c r="A748" s="95">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35">
      <c r="A749" s="95">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35">
      <c r="A750" s="95">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35">
      <c r="A751" s="95">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35">
      <c r="A752" s="95">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35">
      <c r="A753" s="95">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35">
      <c r="A754" s="95">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35">
      <c r="A755" s="95">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35">
      <c r="A756" s="95">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35">
      <c r="A757" s="95">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35">
      <c r="A758" s="95">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35">
      <c r="A759" s="95">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35">
      <c r="A760" s="95">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35">
      <c r="A761" s="95">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35">
      <c r="A762" s="95">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35">
      <c r="A763" s="95">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35">
      <c r="A764" s="95">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35">
      <c r="A765" s="95">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35">
      <c r="A766" s="95">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35">
      <c r="A767" s="95">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35">
      <c r="A768" s="95">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35">
      <c r="A769" s="95">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35">
      <c r="A770" s="95">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35">
      <c r="A771" s="95">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35">
      <c r="A772" s="95">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35">
      <c r="A773" s="95">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35">
      <c r="A774" s="95">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35">
      <c r="A775" s="95">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35">
      <c r="A776" s="95">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35">
      <c r="A777" s="95">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35">
      <c r="A778" s="95">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35">
      <c r="A779" s="95">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35">
      <c r="A780" s="95">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35">
      <c r="A781" s="95">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35">
      <c r="A782" s="95">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35">
      <c r="A783" s="95">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35">
      <c r="A784" s="95">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35">
      <c r="A785" s="95">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35">
      <c r="A786" s="95">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35">
      <c r="A787" s="95">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35">
      <c r="A788" s="95">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35">
      <c r="A789" s="95">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35">
      <c r="A790" s="95">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35">
      <c r="A791" s="95">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35">
      <c r="A792" s="95">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35">
      <c r="A793" s="95">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35">
      <c r="A794" s="95">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35">
      <c r="A795" s="95">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35">
      <c r="A796" s="95">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35">
      <c r="A797" s="95">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35">
      <c r="A798" s="95">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35">
      <c r="A799" s="95">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35">
      <c r="A800" s="95">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35">
      <c r="A801" s="95">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35">
      <c r="A802" s="95">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35">
      <c r="A803" s="95">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35">
      <c r="A804" s="95">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35">
      <c r="A805" s="95">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35">
      <c r="A806" s="95">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35">
      <c r="A807" s="95">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35">
      <c r="A808" s="95">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35">
      <c r="A809" s="95">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35">
      <c r="A810" s="95">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35">
      <c r="A811" s="95">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35">
      <c r="A812" s="95">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35">
      <c r="A813" s="95">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35">
      <c r="A814" s="95">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35">
      <c r="A815" s="95">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35">
      <c r="A816" s="95">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35">
      <c r="A817" s="95">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35">
      <c r="A818" s="95">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35">
      <c r="A819" s="95">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35">
      <c r="A820" s="95">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35">
      <c r="A821" s="95">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35">
      <c r="A822" s="95">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35">
      <c r="A823" s="95">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35">
      <c r="A824" s="95">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35">
      <c r="A825" s="95">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35">
      <c r="A826" s="95">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35">
      <c r="A827" s="95">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35">
      <c r="A828" s="95">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35">
      <c r="A829" s="95">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35">
      <c r="A830" s="95">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35">
      <c r="A831" s="95">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35">
      <c r="A832" s="95">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35">
      <c r="A833" s="95">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35">
      <c r="A834" s="95">
        <v>42736</v>
      </c>
      <c r="B834">
        <v>60.1</v>
      </c>
      <c r="C834">
        <v>49.2</v>
      </c>
      <c r="D834">
        <v>48.6</v>
      </c>
      <c r="E834">
        <v>67.900000000000006</v>
      </c>
      <c r="F834">
        <v>60.5</v>
      </c>
      <c r="G834">
        <v>47.7</v>
      </c>
      <c r="H834">
        <v>48.5</v>
      </c>
      <c r="I834">
        <v>53.5</v>
      </c>
      <c r="J834">
        <v>54.8</v>
      </c>
      <c r="K834">
        <v>55.2</v>
      </c>
      <c r="L834">
        <v>55.6</v>
      </c>
      <c r="M834">
        <v>2278.8701171875</v>
      </c>
      <c r="N834">
        <v>17889.094000000001</v>
      </c>
      <c r="O834">
        <v>4.719310419164807E-3</v>
      </c>
      <c r="P834">
        <v>1.8852788696456339E-2</v>
      </c>
      <c r="Q834">
        <v>1.9011293949556581E-2</v>
      </c>
      <c r="R834">
        <v>4.2966311411722774E-3</v>
      </c>
      <c r="S834">
        <v>1.72976084215819E-2</v>
      </c>
      <c r="T834">
        <v>1.8424163550466829E-2</v>
      </c>
    </row>
    <row r="835" spans="1:20" x14ac:dyDescent="0.35">
      <c r="A835" s="95">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35">
      <c r="A836" s="95">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35">
      <c r="A837" s="95">
        <v>42826</v>
      </c>
      <c r="B837">
        <v>57.1</v>
      </c>
      <c r="C837">
        <v>54.9</v>
      </c>
      <c r="D837">
        <v>56.9</v>
      </c>
      <c r="E837">
        <v>68.3</v>
      </c>
      <c r="F837">
        <v>58.9</v>
      </c>
      <c r="G837">
        <v>46.6</v>
      </c>
      <c r="H837">
        <v>51</v>
      </c>
      <c r="I837">
        <v>55.9</v>
      </c>
      <c r="J837">
        <v>53</v>
      </c>
      <c r="K837">
        <v>58.9</v>
      </c>
      <c r="L837">
        <v>55.5</v>
      </c>
      <c r="M837">
        <v>2384.199951171875</v>
      </c>
      <c r="N837">
        <v>17979.218000000001</v>
      </c>
      <c r="O837">
        <v>5.5976482267073562E-3</v>
      </c>
      <c r="P837">
        <v>2.1467165829075641E-2</v>
      </c>
      <c r="Q837">
        <v>2.2579297461999829E-2</v>
      </c>
      <c r="R837">
        <v>5.0379298135500763E-3</v>
      </c>
      <c r="S837">
        <v>2.0304515784702382E-2</v>
      </c>
      <c r="T837">
        <v>2.0469128586462351E-2</v>
      </c>
    </row>
    <row r="838" spans="1:20" x14ac:dyDescent="0.35">
      <c r="A838" s="95">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35">
      <c r="A839" s="95">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35">
      <c r="A840" s="95">
        <v>42917</v>
      </c>
      <c r="B840">
        <v>61</v>
      </c>
      <c r="C840">
        <v>56.4</v>
      </c>
      <c r="D840">
        <v>54.3</v>
      </c>
      <c r="E840">
        <v>61.7</v>
      </c>
      <c r="F840">
        <v>60.4</v>
      </c>
      <c r="G840">
        <v>48</v>
      </c>
      <c r="H840">
        <v>50</v>
      </c>
      <c r="I840">
        <v>56</v>
      </c>
      <c r="J840">
        <v>55.8</v>
      </c>
      <c r="K840">
        <v>57.2</v>
      </c>
      <c r="L840">
        <v>59.3</v>
      </c>
      <c r="M840">
        <v>2470.300048828125</v>
      </c>
      <c r="N840">
        <v>18127.993999999999</v>
      </c>
      <c r="O840">
        <v>7.1914999120398764E-3</v>
      </c>
      <c r="P840">
        <v>2.2665646383373719E-2</v>
      </c>
      <c r="Q840">
        <v>2.9077796059291838E-2</v>
      </c>
      <c r="R840">
        <v>8.2748871502641552E-3</v>
      </c>
      <c r="S840">
        <v>3.3512662284269412E-2</v>
      </c>
      <c r="T840">
        <v>2.2765395380368789E-2</v>
      </c>
    </row>
    <row r="841" spans="1:20" x14ac:dyDescent="0.35">
      <c r="A841" s="95">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35">
      <c r="A842" s="95">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35">
      <c r="A843" s="95">
        <v>43009</v>
      </c>
      <c r="B843">
        <v>63.5</v>
      </c>
      <c r="C843">
        <v>54.3</v>
      </c>
      <c r="D843">
        <v>53.9</v>
      </c>
      <c r="E843">
        <v>68.099999999999994</v>
      </c>
      <c r="F843">
        <v>61</v>
      </c>
      <c r="G843">
        <v>43.5</v>
      </c>
      <c r="H843">
        <v>48</v>
      </c>
      <c r="I843">
        <v>60.1</v>
      </c>
      <c r="J843">
        <v>59.8</v>
      </c>
      <c r="K843">
        <v>55.1</v>
      </c>
      <c r="L843">
        <v>58.2</v>
      </c>
      <c r="M843">
        <v>2575.260009765625</v>
      </c>
      <c r="N843">
        <v>18310.3</v>
      </c>
      <c r="O843">
        <v>9.403998383337081E-3</v>
      </c>
      <c r="P843">
        <v>2.7178855818590929E-2</v>
      </c>
      <c r="Q843">
        <v>3.814993904506303E-2</v>
      </c>
      <c r="R843">
        <v>1.0056600857215671E-2</v>
      </c>
      <c r="S843">
        <v>4.0837293288196193E-2</v>
      </c>
      <c r="T843">
        <v>2.7943204121136881E-2</v>
      </c>
    </row>
    <row r="844" spans="1:20" x14ac:dyDescent="0.35">
      <c r="A844" s="95">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35">
      <c r="A845" s="95">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35">
      <c r="A846" s="95">
        <v>43101</v>
      </c>
      <c r="B846">
        <v>65.400000000000006</v>
      </c>
      <c r="C846">
        <v>58.4</v>
      </c>
      <c r="D846">
        <v>56.2</v>
      </c>
      <c r="E846">
        <v>72.7</v>
      </c>
      <c r="F846">
        <v>64.5</v>
      </c>
      <c r="G846">
        <v>45.6</v>
      </c>
      <c r="H846">
        <v>52.3</v>
      </c>
      <c r="I846">
        <v>59.1</v>
      </c>
      <c r="J846">
        <v>54.2</v>
      </c>
      <c r="K846">
        <v>59.8</v>
      </c>
      <c r="L846">
        <v>60.8</v>
      </c>
      <c r="M846">
        <v>2823.81005859375</v>
      </c>
      <c r="N846">
        <v>18437.127</v>
      </c>
      <c r="O846">
        <v>7.6285403612729556E-3</v>
      </c>
      <c r="P846">
        <v>3.0153118831413011E-2</v>
      </c>
      <c r="Q846">
        <v>3.0865108360243591E-2</v>
      </c>
      <c r="R846">
        <v>6.9265386148780273E-3</v>
      </c>
      <c r="S846">
        <v>2.7995347640831E-2</v>
      </c>
      <c r="T846">
        <v>3.0635033836816969E-2</v>
      </c>
    </row>
    <row r="847" spans="1:20" x14ac:dyDescent="0.35">
      <c r="A847" s="95">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35">
      <c r="A848" s="95">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35">
      <c r="A849" s="95">
        <v>43191</v>
      </c>
      <c r="B849">
        <v>61.2</v>
      </c>
      <c r="C849">
        <v>57.8</v>
      </c>
      <c r="D849">
        <v>62</v>
      </c>
      <c r="E849">
        <v>79.3</v>
      </c>
      <c r="F849">
        <v>57.2</v>
      </c>
      <c r="G849">
        <v>44.3</v>
      </c>
      <c r="H849">
        <v>52.9</v>
      </c>
      <c r="I849">
        <v>61.1</v>
      </c>
      <c r="J849">
        <v>54.2</v>
      </c>
      <c r="K849">
        <v>57.7</v>
      </c>
      <c r="L849">
        <v>57.3</v>
      </c>
      <c r="M849">
        <v>2648.050048828125</v>
      </c>
      <c r="N849">
        <v>18565.697</v>
      </c>
      <c r="O849">
        <v>8.339109088382559E-3</v>
      </c>
      <c r="P849">
        <v>3.296152283055629E-2</v>
      </c>
      <c r="Q849">
        <v>3.3776005263053577E-2</v>
      </c>
      <c r="R849">
        <v>6.9734292116119664E-3</v>
      </c>
      <c r="S849">
        <v>2.8186847936621851E-2</v>
      </c>
      <c r="T849">
        <v>3.2619828070386561E-2</v>
      </c>
    </row>
    <row r="850" spans="1:20" x14ac:dyDescent="0.35">
      <c r="A850" s="95">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35">
      <c r="A851" s="95">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35">
      <c r="A852" s="95">
        <v>43282</v>
      </c>
      <c r="B852">
        <v>60.2</v>
      </c>
      <c r="C852">
        <v>54.7</v>
      </c>
      <c r="D852">
        <v>54.7</v>
      </c>
      <c r="E852">
        <v>73.2</v>
      </c>
      <c r="F852">
        <v>58.5</v>
      </c>
      <c r="G852">
        <v>39.4</v>
      </c>
      <c r="H852">
        <v>53.3</v>
      </c>
      <c r="I852">
        <v>62.1</v>
      </c>
      <c r="J852">
        <v>56.5</v>
      </c>
      <c r="K852">
        <v>55.3</v>
      </c>
      <c r="L852">
        <v>58.1</v>
      </c>
      <c r="M852">
        <v>2816.2900390625</v>
      </c>
      <c r="N852">
        <v>18699.748</v>
      </c>
      <c r="O852">
        <v>4.819525590204151E-3</v>
      </c>
      <c r="P852">
        <v>3.0528859123791111E-2</v>
      </c>
      <c r="Q852">
        <v>1.9417917650261129E-2</v>
      </c>
      <c r="R852">
        <v>7.2203591386846124E-3</v>
      </c>
      <c r="S852">
        <v>2.9195746482057579E-2</v>
      </c>
      <c r="T852">
        <v>3.1539838329602318E-2</v>
      </c>
    </row>
    <row r="853" spans="1:20" x14ac:dyDescent="0.35">
      <c r="A853" s="95">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35">
      <c r="A854" s="95">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35">
      <c r="A855" s="95">
        <v>43374</v>
      </c>
      <c r="B855">
        <v>57.4</v>
      </c>
      <c r="C855">
        <v>54.3</v>
      </c>
      <c r="D855">
        <v>55.8</v>
      </c>
      <c r="E855">
        <v>71.599999999999994</v>
      </c>
      <c r="F855">
        <v>59.9</v>
      </c>
      <c r="G855">
        <v>43.3</v>
      </c>
      <c r="H855">
        <v>50.7</v>
      </c>
      <c r="I855">
        <v>63.8</v>
      </c>
      <c r="J855">
        <v>56.8</v>
      </c>
      <c r="K855">
        <v>52.2</v>
      </c>
      <c r="L855">
        <v>57.7</v>
      </c>
      <c r="M855">
        <v>2711.739990234375</v>
      </c>
      <c r="N855">
        <v>18733.741000000002</v>
      </c>
      <c r="O855">
        <v>2.2314183511113221E-3</v>
      </c>
      <c r="P855">
        <v>2.3206170953918571E-2</v>
      </c>
      <c r="Q855">
        <v>8.9555932393461379E-3</v>
      </c>
      <c r="R855">
        <v>1.8178319836182929E-3</v>
      </c>
      <c r="S855">
        <v>7.2911790523160214E-3</v>
      </c>
      <c r="T855">
        <v>2.3125836277942059E-2</v>
      </c>
    </row>
    <row r="856" spans="1:20" x14ac:dyDescent="0.35">
      <c r="A856" s="95">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35">
      <c r="A857" s="95">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35">
      <c r="A858" s="95">
        <v>43466</v>
      </c>
      <c r="B858">
        <v>58.2</v>
      </c>
      <c r="C858">
        <v>53.8</v>
      </c>
      <c r="D858">
        <v>50.3</v>
      </c>
      <c r="E858">
        <v>49.6</v>
      </c>
      <c r="F858">
        <v>60.5</v>
      </c>
      <c r="G858">
        <v>42.8</v>
      </c>
      <c r="H858">
        <v>52.8</v>
      </c>
      <c r="I858">
        <v>56.2</v>
      </c>
      <c r="J858">
        <v>55.5</v>
      </c>
      <c r="K858">
        <v>51.8</v>
      </c>
      <c r="L858">
        <v>56.6</v>
      </c>
      <c r="M858">
        <v>2704.10009765625</v>
      </c>
      <c r="N858">
        <v>18835.411</v>
      </c>
      <c r="O858">
        <v>5.9779029009820791E-3</v>
      </c>
      <c r="P858">
        <v>2.1530015140813302E-2</v>
      </c>
      <c r="Q858">
        <v>2.4126879308669521E-2</v>
      </c>
      <c r="R858">
        <v>5.4271060969615327E-3</v>
      </c>
      <c r="S858">
        <v>2.1885785527535839E-2</v>
      </c>
      <c r="T858">
        <v>2.1602281092927309E-2</v>
      </c>
    </row>
    <row r="859" spans="1:20" x14ac:dyDescent="0.35">
      <c r="A859" s="95">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35">
      <c r="A860" s="95">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35">
      <c r="A861" s="95">
        <v>43556</v>
      </c>
      <c r="B861">
        <v>51.7</v>
      </c>
      <c r="C861">
        <v>49.8</v>
      </c>
      <c r="D861">
        <v>53.9</v>
      </c>
      <c r="E861">
        <v>50</v>
      </c>
      <c r="F861">
        <v>52.3</v>
      </c>
      <c r="G861">
        <v>42.6</v>
      </c>
      <c r="H861">
        <v>52.9</v>
      </c>
      <c r="I861">
        <v>54.6</v>
      </c>
      <c r="J861">
        <v>52.4</v>
      </c>
      <c r="K861">
        <v>49.5</v>
      </c>
      <c r="L861">
        <v>52.8</v>
      </c>
      <c r="M861">
        <v>2945.830078125</v>
      </c>
      <c r="N861">
        <v>18962.174999999999</v>
      </c>
      <c r="O861">
        <v>7.9292440820582337E-3</v>
      </c>
      <c r="P861">
        <v>2.111478835615084E-2</v>
      </c>
      <c r="Q861">
        <v>3.2096211890165323E-2</v>
      </c>
      <c r="R861">
        <v>6.7300894044732664E-3</v>
      </c>
      <c r="S861">
        <v>2.7193343623263418E-2</v>
      </c>
      <c r="T861">
        <v>2.135540615577208E-2</v>
      </c>
    </row>
    <row r="862" spans="1:20" x14ac:dyDescent="0.35">
      <c r="A862" s="95">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35">
      <c r="A863" s="95">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35">
      <c r="A864" s="95">
        <v>43647</v>
      </c>
      <c r="B864">
        <v>50.8</v>
      </c>
      <c r="C864">
        <v>47</v>
      </c>
      <c r="D864">
        <v>43.1</v>
      </c>
      <c r="E864">
        <v>45.1</v>
      </c>
      <c r="F864">
        <v>50.8</v>
      </c>
      <c r="G864">
        <v>45.7</v>
      </c>
      <c r="H864">
        <v>49.5</v>
      </c>
      <c r="I864">
        <v>53.3</v>
      </c>
      <c r="J864">
        <v>51.7</v>
      </c>
      <c r="K864">
        <v>48.1</v>
      </c>
      <c r="L864">
        <v>51.2</v>
      </c>
      <c r="M864">
        <v>2980.3798828125</v>
      </c>
      <c r="N864">
        <v>19130.932000000001</v>
      </c>
      <c r="O864">
        <v>6.8549879130956641E-3</v>
      </c>
      <c r="P864">
        <v>2.3183259983257681E-2</v>
      </c>
      <c r="Q864">
        <v>2.770318750334555E-2</v>
      </c>
      <c r="R864">
        <v>8.8996647272795142E-3</v>
      </c>
      <c r="S864">
        <v>3.6076708933272972E-2</v>
      </c>
      <c r="T864">
        <v>2.3058278646321921E-2</v>
      </c>
    </row>
    <row r="865" spans="1:20" x14ac:dyDescent="0.35">
      <c r="A865" s="95">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35">
      <c r="A866" s="95">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35">
      <c r="A867" s="95">
        <v>43739</v>
      </c>
      <c r="B867">
        <v>49.1</v>
      </c>
      <c r="C867">
        <v>45.3</v>
      </c>
      <c r="D867">
        <v>44.1</v>
      </c>
      <c r="E867">
        <v>45.5</v>
      </c>
      <c r="F867">
        <v>46.2</v>
      </c>
      <c r="G867">
        <v>47.8</v>
      </c>
      <c r="H867">
        <v>48.9</v>
      </c>
      <c r="I867">
        <v>49.5</v>
      </c>
      <c r="J867">
        <v>47.7</v>
      </c>
      <c r="K867">
        <v>50.4</v>
      </c>
      <c r="L867">
        <v>48.3</v>
      </c>
      <c r="M867">
        <v>3037.56005859375</v>
      </c>
      <c r="N867">
        <v>19215.690999999999</v>
      </c>
      <c r="O867">
        <v>4.690976182113644E-3</v>
      </c>
      <c r="P867">
        <v>2.5694235346395491E-2</v>
      </c>
      <c r="Q867">
        <v>1.8896349662488991E-2</v>
      </c>
      <c r="R867">
        <v>4.4304689389935729E-3</v>
      </c>
      <c r="S867">
        <v>1.7839998335064559E-2</v>
      </c>
      <c r="T867">
        <v>2.5726308482646211E-2</v>
      </c>
    </row>
    <row r="868" spans="1:20" x14ac:dyDescent="0.35">
      <c r="A868" s="95">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35">
      <c r="A869" s="95">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35">
      <c r="A870" s="95">
        <v>43831</v>
      </c>
      <c r="B870">
        <v>52</v>
      </c>
      <c r="C870">
        <v>51.3</v>
      </c>
      <c r="D870">
        <v>45.7</v>
      </c>
      <c r="E870">
        <v>53.3</v>
      </c>
      <c r="F870">
        <v>54.3</v>
      </c>
      <c r="G870">
        <v>43.8</v>
      </c>
      <c r="H870">
        <v>48.8</v>
      </c>
      <c r="I870">
        <v>52.9</v>
      </c>
      <c r="J870">
        <v>46.6</v>
      </c>
      <c r="K870">
        <v>53.3</v>
      </c>
      <c r="L870">
        <v>50.9</v>
      </c>
      <c r="M870">
        <v>3225.52001953125</v>
      </c>
      <c r="N870">
        <v>18989.877</v>
      </c>
      <c r="O870">
        <v>-1.303582746034216E-2</v>
      </c>
      <c r="P870">
        <v>6.3078516417420767E-3</v>
      </c>
      <c r="Q870">
        <v>-5.1132545037274268E-2</v>
      </c>
      <c r="R870">
        <v>-1.175154200803908E-2</v>
      </c>
      <c r="S870">
        <v>-4.6184048016051249E-2</v>
      </c>
      <c r="T870">
        <v>8.2008298093415831E-3</v>
      </c>
    </row>
    <row r="871" spans="1:20" x14ac:dyDescent="0.35">
      <c r="A871" s="95">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35">
      <c r="A872" s="95">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35">
      <c r="A873" s="95">
        <v>43922</v>
      </c>
      <c r="B873">
        <v>27.1</v>
      </c>
      <c r="C873">
        <v>42.7</v>
      </c>
      <c r="D873">
        <v>37.799999999999997</v>
      </c>
      <c r="E873">
        <v>35.299999999999997</v>
      </c>
      <c r="F873">
        <v>27.5</v>
      </c>
      <c r="G873">
        <v>48.8</v>
      </c>
      <c r="H873">
        <v>49.7</v>
      </c>
      <c r="I873">
        <v>76</v>
      </c>
      <c r="J873">
        <v>27.5</v>
      </c>
      <c r="K873">
        <v>35.299999999999997</v>
      </c>
      <c r="L873">
        <v>41.5</v>
      </c>
      <c r="M873">
        <v>2912.429931640625</v>
      </c>
      <c r="N873">
        <v>17378.712</v>
      </c>
      <c r="O873">
        <v>-8.9372505011610218E-2</v>
      </c>
      <c r="P873">
        <v>-9.0837374242250385E-2</v>
      </c>
      <c r="Q873">
        <v>-0.31235698461085082</v>
      </c>
      <c r="R873">
        <v>-8.4843361544679877E-2</v>
      </c>
      <c r="S873">
        <v>-0.29857419774143368</v>
      </c>
      <c r="T873">
        <v>-8.3506401559947624E-2</v>
      </c>
    </row>
    <row r="874" spans="1:20" x14ac:dyDescent="0.35">
      <c r="A874" s="95">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35">
      <c r="A875" s="95">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35">
      <c r="A876" s="95">
        <v>44013</v>
      </c>
      <c r="B876">
        <v>61.5</v>
      </c>
      <c r="C876">
        <v>53.1</v>
      </c>
      <c r="D876">
        <v>51.8</v>
      </c>
      <c r="E876">
        <v>53.2</v>
      </c>
      <c r="F876">
        <v>62.1</v>
      </c>
      <c r="G876">
        <v>41.6</v>
      </c>
      <c r="H876">
        <v>47</v>
      </c>
      <c r="I876">
        <v>55.8</v>
      </c>
      <c r="J876">
        <v>44.3</v>
      </c>
      <c r="K876">
        <v>50.4</v>
      </c>
      <c r="L876">
        <v>54.2</v>
      </c>
      <c r="M876">
        <v>3271.1201171875</v>
      </c>
      <c r="N876">
        <v>18743.72</v>
      </c>
      <c r="O876">
        <v>7.547534636423657E-2</v>
      </c>
      <c r="P876">
        <v>-2.8875059888336659E-2</v>
      </c>
      <c r="Q876">
        <v>0.33783279300793229</v>
      </c>
      <c r="R876">
        <v>7.854483117045738E-2</v>
      </c>
      <c r="S876">
        <v>0.35317139137290637</v>
      </c>
      <c r="T876">
        <v>-2.0240101214096601E-2</v>
      </c>
    </row>
    <row r="877" spans="1:20" x14ac:dyDescent="0.35">
      <c r="A877" s="95">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35">
      <c r="A878" s="95">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35">
      <c r="A879" s="95">
        <v>44105</v>
      </c>
      <c r="B879">
        <v>67.900000000000006</v>
      </c>
      <c r="C879">
        <v>58.1</v>
      </c>
      <c r="D879">
        <v>55.7</v>
      </c>
      <c r="E879">
        <v>65.5</v>
      </c>
      <c r="F879">
        <v>63</v>
      </c>
      <c r="G879">
        <v>36.700000000000003</v>
      </c>
      <c r="H879">
        <v>51.9</v>
      </c>
      <c r="I879">
        <v>60.5</v>
      </c>
      <c r="J879">
        <v>53.2</v>
      </c>
      <c r="K879">
        <v>55.7</v>
      </c>
      <c r="L879">
        <v>59.3</v>
      </c>
      <c r="M879">
        <v>3269.9599609375</v>
      </c>
      <c r="N879">
        <v>18924.261999999999</v>
      </c>
      <c r="O879">
        <v>1.115276765936578E-2</v>
      </c>
      <c r="P879">
        <v>-2.2629152430098401E-2</v>
      </c>
      <c r="Q879">
        <v>4.536294038119415E-2</v>
      </c>
      <c r="R879">
        <v>9.6321327890086725E-3</v>
      </c>
      <c r="S879">
        <v>3.9088782255552117E-2</v>
      </c>
      <c r="T879">
        <v>-1.5166199331577521E-2</v>
      </c>
    </row>
    <row r="880" spans="1:20" x14ac:dyDescent="0.35">
      <c r="A880" s="95">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35">
      <c r="A881" s="95">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35">
      <c r="A882" s="95">
        <v>44197</v>
      </c>
      <c r="B882">
        <v>61.1</v>
      </c>
      <c r="C882">
        <v>56.8</v>
      </c>
      <c r="D882">
        <v>59.7</v>
      </c>
      <c r="E882">
        <v>82.1</v>
      </c>
      <c r="F882">
        <v>60.7</v>
      </c>
      <c r="G882">
        <v>33.1</v>
      </c>
      <c r="H882">
        <v>50.8</v>
      </c>
      <c r="I882">
        <v>68.2</v>
      </c>
      <c r="J882">
        <v>52.6</v>
      </c>
      <c r="K882">
        <v>54.9</v>
      </c>
      <c r="L882">
        <v>58.7</v>
      </c>
      <c r="M882">
        <v>3714.239990234375</v>
      </c>
      <c r="N882">
        <v>19216.223999999998</v>
      </c>
      <c r="O882">
        <v>1.533889627211066E-2</v>
      </c>
      <c r="P882">
        <v>5.4697680328273934E-3</v>
      </c>
      <c r="Q882">
        <v>6.278176672776592E-2</v>
      </c>
      <c r="R882">
        <v>1.5427919989693629E-2</v>
      </c>
      <c r="S882">
        <v>6.3154549562086215E-2</v>
      </c>
      <c r="T882">
        <v>1.191935050448183E-2</v>
      </c>
    </row>
    <row r="883" spans="1:20" x14ac:dyDescent="0.35">
      <c r="A883" s="95">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35">
      <c r="A884" s="95">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35">
      <c r="A885" s="95">
        <v>44287</v>
      </c>
      <c r="B885">
        <v>64.3</v>
      </c>
      <c r="C885">
        <v>52.2</v>
      </c>
      <c r="D885">
        <v>68.2</v>
      </c>
      <c r="E885">
        <v>89.6</v>
      </c>
      <c r="F885">
        <v>62.5</v>
      </c>
      <c r="G885">
        <v>28.4</v>
      </c>
      <c r="H885">
        <v>46.5</v>
      </c>
      <c r="I885">
        <v>75</v>
      </c>
      <c r="J885">
        <v>55.1</v>
      </c>
      <c r="K885">
        <v>54.9</v>
      </c>
      <c r="L885">
        <v>60.7</v>
      </c>
      <c r="M885">
        <v>4181.169921875</v>
      </c>
      <c r="N885">
        <v>19544.248</v>
      </c>
      <c r="O885">
        <v>1.6407465395443108E-2</v>
      </c>
      <c r="P885">
        <v>0.12226677108077</v>
      </c>
      <c r="Q885">
        <v>6.7262831458960726E-2</v>
      </c>
      <c r="R885">
        <v>1.707015904893705E-2</v>
      </c>
      <c r="S885">
        <v>7.0048959400919264E-2</v>
      </c>
      <c r="T885">
        <v>0.1246085440624138</v>
      </c>
    </row>
    <row r="886" spans="1:20" x14ac:dyDescent="0.35">
      <c r="A886" s="95">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35">
      <c r="A887" s="95">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35">
      <c r="A888" s="95">
        <v>44378</v>
      </c>
      <c r="B888">
        <v>64.900000000000006</v>
      </c>
      <c r="C888">
        <v>53.7</v>
      </c>
      <c r="D888">
        <v>65</v>
      </c>
      <c r="E888">
        <v>85.7</v>
      </c>
      <c r="F888">
        <v>58.4</v>
      </c>
      <c r="G888">
        <v>25</v>
      </c>
      <c r="H888">
        <v>48.9</v>
      </c>
      <c r="I888">
        <v>72.5</v>
      </c>
      <c r="J888">
        <v>52.9</v>
      </c>
      <c r="K888">
        <v>55.7</v>
      </c>
      <c r="L888">
        <v>59.5</v>
      </c>
      <c r="M888">
        <v>4395.259765625</v>
      </c>
      <c r="N888">
        <v>19672.594000000001</v>
      </c>
      <c r="O888">
        <v>5.7094811059921454E-3</v>
      </c>
      <c r="P888">
        <v>4.9465555692882128E-2</v>
      </c>
      <c r="Q888">
        <v>2.303425900825307E-2</v>
      </c>
      <c r="R888">
        <v>6.5669449139205242E-3</v>
      </c>
      <c r="S888">
        <v>2.6527662900280191E-2</v>
      </c>
      <c r="T888">
        <v>4.9556544805406812E-2</v>
      </c>
    </row>
    <row r="889" spans="1:20" x14ac:dyDescent="0.35">
      <c r="A889" s="95">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35">
      <c r="A890" s="95">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35">
      <c r="A891" s="95">
        <v>44470</v>
      </c>
      <c r="B891">
        <v>59.8</v>
      </c>
      <c r="C891">
        <v>49.1</v>
      </c>
      <c r="D891">
        <v>63.6</v>
      </c>
      <c r="E891">
        <v>85.7</v>
      </c>
      <c r="F891">
        <v>59.3</v>
      </c>
      <c r="G891">
        <v>31.7</v>
      </c>
      <c r="H891">
        <v>57</v>
      </c>
      <c r="I891">
        <v>75.599999999999994</v>
      </c>
      <c r="J891">
        <v>52</v>
      </c>
      <c r="K891">
        <v>54.6</v>
      </c>
      <c r="L891">
        <v>60.8</v>
      </c>
      <c r="M891">
        <v>4605.3798828125</v>
      </c>
      <c r="N891">
        <v>20006.181</v>
      </c>
      <c r="O891">
        <v>5.7094811059921454E-3</v>
      </c>
      <c r="P891">
        <v>4.9465555692882128E-2</v>
      </c>
      <c r="Q891">
        <v>2.303425900825307E-2</v>
      </c>
      <c r="R891">
        <v>1.695694019812535E-2</v>
      </c>
      <c r="S891">
        <v>6.9572573442330254E-2</v>
      </c>
      <c r="T891">
        <v>5.7171000908780578E-2</v>
      </c>
    </row>
    <row r="892" spans="1:20" x14ac:dyDescent="0.35">
      <c r="A892" s="95">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35">
      <c r="A893" s="95">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35">
      <c r="A894" s="95">
        <v>44562</v>
      </c>
      <c r="B894">
        <v>57.9</v>
      </c>
      <c r="C894">
        <v>55.1</v>
      </c>
      <c r="D894">
        <v>56.4</v>
      </c>
      <c r="E894">
        <v>76.099999999999994</v>
      </c>
      <c r="F894">
        <v>57.8</v>
      </c>
      <c r="G894">
        <v>33</v>
      </c>
      <c r="H894">
        <v>53.2</v>
      </c>
      <c r="I894">
        <v>64.599999999999994</v>
      </c>
      <c r="J894">
        <v>54.5</v>
      </c>
      <c r="K894">
        <v>53.7</v>
      </c>
      <c r="L894">
        <v>57.6</v>
      </c>
      <c r="M894">
        <v>4515.5498046875</v>
      </c>
      <c r="N894">
        <v>19924.088</v>
      </c>
      <c r="O894">
        <v>5.7094811059921454E-3</v>
      </c>
      <c r="P894">
        <v>4.9465555692882128E-2</v>
      </c>
      <c r="Q894">
        <v>2.303425900825307E-2</v>
      </c>
      <c r="R894">
        <v>-4.1033818498393453E-3</v>
      </c>
      <c r="S894">
        <v>-1.6312777026963991E-2</v>
      </c>
      <c r="T894">
        <v>3.683678957947209E-2</v>
      </c>
    </row>
    <row r="895" spans="1:20" x14ac:dyDescent="0.35">
      <c r="A895" s="95">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35">
      <c r="A896" s="95">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20" x14ac:dyDescent="0.35">
      <c r="A897" s="95">
        <v>44652</v>
      </c>
      <c r="B897">
        <v>53.5</v>
      </c>
      <c r="C897">
        <v>51.4</v>
      </c>
      <c r="D897">
        <v>56</v>
      </c>
      <c r="E897">
        <v>84.6</v>
      </c>
      <c r="F897">
        <v>53.6</v>
      </c>
      <c r="G897">
        <v>37.1</v>
      </c>
      <c r="H897">
        <v>51.6</v>
      </c>
      <c r="I897">
        <v>67.2</v>
      </c>
      <c r="J897">
        <v>50.9</v>
      </c>
      <c r="K897">
        <v>52.7</v>
      </c>
      <c r="L897">
        <v>55.4</v>
      </c>
      <c r="M897">
        <v>4131.93017578125</v>
      </c>
      <c r="N897">
        <v>19895.271000000001</v>
      </c>
      <c r="O897">
        <v>5.7094811059921454E-3</v>
      </c>
      <c r="P897">
        <v>4.9465555692882128E-2</v>
      </c>
      <c r="Q897">
        <v>2.303425900825307E-2</v>
      </c>
      <c r="R897">
        <v>-1.4463397270680139E-3</v>
      </c>
      <c r="S897">
        <v>-5.7728196146435984E-3</v>
      </c>
      <c r="T897">
        <v>1.79604249802807E-2</v>
      </c>
    </row>
    <row r="898" spans="1:20" x14ac:dyDescent="0.35">
      <c r="A898" s="95">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20" x14ac:dyDescent="0.35">
      <c r="A899" s="95">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row r="900" spans="1:20" x14ac:dyDescent="0.35">
      <c r="A900" s="95">
        <v>44743</v>
      </c>
      <c r="B900">
        <v>48</v>
      </c>
      <c r="C900">
        <v>54.4</v>
      </c>
      <c r="D900">
        <v>51.3</v>
      </c>
      <c r="E900">
        <v>60</v>
      </c>
      <c r="F900">
        <v>53.5</v>
      </c>
      <c r="G900">
        <v>39.5</v>
      </c>
      <c r="H900">
        <v>57.3</v>
      </c>
      <c r="I900">
        <v>55.2</v>
      </c>
      <c r="J900">
        <v>49.9</v>
      </c>
      <c r="K900">
        <v>52.6</v>
      </c>
      <c r="L900">
        <v>52.8</v>
      </c>
      <c r="M900">
        <v>4130.2900390625</v>
      </c>
      <c r="N900">
        <v>20054.663</v>
      </c>
      <c r="O900">
        <v>5.7094811059921454E-3</v>
      </c>
      <c r="P900">
        <v>4.9465555692882128E-2</v>
      </c>
      <c r="Q900">
        <v>2.303425900825307E-2</v>
      </c>
      <c r="R900">
        <v>8.0115520919518922E-3</v>
      </c>
      <c r="S900">
        <v>3.2433379173874011E-2</v>
      </c>
      <c r="T900">
        <v>1.9421383880539569E-2</v>
      </c>
    </row>
    <row r="901" spans="1:20" x14ac:dyDescent="0.35">
      <c r="A901" s="95">
        <v>44774</v>
      </c>
      <c r="B901">
        <v>51.3</v>
      </c>
      <c r="C901">
        <v>52.5</v>
      </c>
      <c r="D901">
        <v>53</v>
      </c>
      <c r="E901">
        <v>52.5</v>
      </c>
      <c r="F901">
        <v>50.4</v>
      </c>
      <c r="G901">
        <v>38.9</v>
      </c>
      <c r="H901">
        <v>53.1</v>
      </c>
      <c r="I901">
        <v>55.1</v>
      </c>
      <c r="J901">
        <v>54.2</v>
      </c>
      <c r="K901">
        <v>49.4</v>
      </c>
      <c r="L901">
        <v>52.8</v>
      </c>
      <c r="M901">
        <v>3955</v>
      </c>
      <c r="O901">
        <v>5.7094811059921454E-3</v>
      </c>
      <c r="P901">
        <v>4.9465555692882128E-2</v>
      </c>
      <c r="Q901">
        <v>2.303425900825307E-2</v>
      </c>
    </row>
    <row r="902" spans="1:20" x14ac:dyDescent="0.35">
      <c r="A902" s="95">
        <v>44805</v>
      </c>
      <c r="B902">
        <v>47.1</v>
      </c>
      <c r="C902">
        <v>52.6</v>
      </c>
      <c r="D902">
        <v>50.9</v>
      </c>
      <c r="E902">
        <v>51.7</v>
      </c>
      <c r="F902">
        <v>50.6</v>
      </c>
      <c r="G902">
        <v>41.6</v>
      </c>
      <c r="H902">
        <v>55.5</v>
      </c>
      <c r="I902">
        <v>52.4</v>
      </c>
      <c r="J902">
        <v>48.7</v>
      </c>
      <c r="K902">
        <v>47.8</v>
      </c>
      <c r="L902">
        <v>50.9</v>
      </c>
      <c r="M902">
        <v>3585.6201171875</v>
      </c>
      <c r="O902">
        <v>5.7094811059921454E-3</v>
      </c>
      <c r="P902">
        <v>4.9465555692882128E-2</v>
      </c>
      <c r="Q902">
        <v>2.303425900825307E-2</v>
      </c>
    </row>
    <row r="903" spans="1:20" x14ac:dyDescent="0.35">
      <c r="A903" s="95">
        <v>44834</v>
      </c>
      <c r="M903">
        <v>3585.6201171875</v>
      </c>
      <c r="O903">
        <v>5.7094811059921454E-3</v>
      </c>
      <c r="P903">
        <v>4.9465555692882128E-2</v>
      </c>
      <c r="Q903">
        <v>2.303425900825307E-2</v>
      </c>
    </row>
    <row r="904" spans="1:20" x14ac:dyDescent="0.35">
      <c r="A904" s="95">
        <v>44835</v>
      </c>
      <c r="B904">
        <v>49.2</v>
      </c>
      <c r="C904">
        <v>50.8</v>
      </c>
      <c r="D904">
        <v>45.3</v>
      </c>
      <c r="E904">
        <v>46.6</v>
      </c>
      <c r="F904">
        <v>52.3</v>
      </c>
      <c r="G904">
        <v>41.6</v>
      </c>
      <c r="H904">
        <v>52.5</v>
      </c>
      <c r="I904">
        <v>46.8</v>
      </c>
      <c r="J904">
        <v>50</v>
      </c>
      <c r="K904">
        <v>46.5</v>
      </c>
      <c r="L904">
        <v>50.2</v>
      </c>
      <c r="M904">
        <v>3871.97998046875</v>
      </c>
      <c r="N904">
        <v>20198.091</v>
      </c>
      <c r="O904">
        <v>5.7094811059921454E-3</v>
      </c>
      <c r="P904">
        <v>4.9465555692882128E-2</v>
      </c>
      <c r="Q904">
        <v>2.303425900825307E-2</v>
      </c>
      <c r="R904">
        <v>7.1518529132102533E-3</v>
      </c>
      <c r="S904">
        <v>2.891577151011537E-2</v>
      </c>
      <c r="T904">
        <v>9.5925354269263009E-3</v>
      </c>
    </row>
    <row r="905" spans="1:20" x14ac:dyDescent="0.35">
      <c r="A905" s="95">
        <v>44866</v>
      </c>
      <c r="B905">
        <v>47.2</v>
      </c>
      <c r="C905">
        <v>46.6</v>
      </c>
      <c r="D905">
        <v>40</v>
      </c>
      <c r="E905">
        <v>43</v>
      </c>
      <c r="F905">
        <v>51.5</v>
      </c>
      <c r="G905">
        <v>48.7</v>
      </c>
      <c r="H905">
        <v>50.9</v>
      </c>
      <c r="I905">
        <v>47.2</v>
      </c>
      <c r="J905">
        <v>48.4</v>
      </c>
      <c r="K905">
        <v>48.4</v>
      </c>
      <c r="L905">
        <v>49</v>
      </c>
      <c r="M905">
        <v>4080.110107421875</v>
      </c>
      <c r="O905">
        <v>5.7094811059921454E-3</v>
      </c>
      <c r="P905">
        <v>4.9465555692882128E-2</v>
      </c>
      <c r="Q905">
        <v>2.303425900825307E-2</v>
      </c>
    </row>
    <row r="906" spans="1:20" x14ac:dyDescent="0.35">
      <c r="A906" s="95">
        <v>44896</v>
      </c>
      <c r="B906">
        <v>45.2</v>
      </c>
      <c r="C906">
        <v>45.1</v>
      </c>
      <c r="D906">
        <v>41.4</v>
      </c>
      <c r="E906">
        <v>39.4</v>
      </c>
      <c r="F906">
        <v>48.5</v>
      </c>
      <c r="G906">
        <v>48.2</v>
      </c>
      <c r="H906">
        <v>51.8</v>
      </c>
      <c r="I906">
        <v>45.1</v>
      </c>
      <c r="J906">
        <v>51.4</v>
      </c>
      <c r="K906">
        <v>46.2</v>
      </c>
      <c r="L906">
        <v>48.4</v>
      </c>
      <c r="M906">
        <v>3839.5</v>
      </c>
      <c r="O906">
        <v>5.7094811059921454E-3</v>
      </c>
      <c r="P906">
        <v>4.9465555692882128E-2</v>
      </c>
      <c r="Q906">
        <v>2.303425900825307E-2</v>
      </c>
    </row>
    <row r="907" spans="1:20" x14ac:dyDescent="0.35">
      <c r="A907" s="95">
        <v>44927</v>
      </c>
      <c r="B907">
        <v>42.5</v>
      </c>
      <c r="C907">
        <v>47.8</v>
      </c>
      <c r="D907">
        <v>43.4</v>
      </c>
      <c r="E907">
        <v>44.5</v>
      </c>
      <c r="F907">
        <v>48</v>
      </c>
      <c r="G907">
        <v>47.4</v>
      </c>
      <c r="H907">
        <v>50.2</v>
      </c>
      <c r="I907">
        <v>45.6</v>
      </c>
      <c r="J907">
        <v>50.6</v>
      </c>
      <c r="K907">
        <v>49.4</v>
      </c>
      <c r="L907">
        <v>47.4</v>
      </c>
      <c r="M907">
        <v>4076.60009765625</v>
      </c>
      <c r="O907">
        <v>5.7094811059921454E-3</v>
      </c>
      <c r="P907">
        <v>4.9465555692882128E-2</v>
      </c>
      <c r="Q907">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90" zoomScaleNormal="90" workbookViewId="0">
      <selection activeCell="AJ46" sqref="AJ46"/>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61" width="9.1796875" style="90" customWidth="1"/>
    <col min="62" max="16384" width="9.1796875" style="90"/>
  </cols>
  <sheetData>
    <row r="1" spans="1:25" x14ac:dyDescent="0.35">
      <c r="J1" s="90" t="s">
        <v>74</v>
      </c>
      <c r="L1" s="32">
        <v>44927</v>
      </c>
      <c r="O1" s="6"/>
    </row>
    <row r="2" spans="1:25" x14ac:dyDescent="0.35">
      <c r="D2" s="90">
        <f>VLOOKUP(A6,$U:$V,2,)</f>
        <v>44</v>
      </c>
      <c r="L2" s="33">
        <v>49</v>
      </c>
      <c r="Y2" s="62"/>
    </row>
    <row r="4" spans="1:25" ht="16" customHeight="1" thickBot="1" x14ac:dyDescent="0.4">
      <c r="U4" s="62">
        <f t="shared" ref="U4:U10" si="0">DATE(YEAR(U5),MONTH(U5)-1,DAY(U5))</f>
        <v>44713</v>
      </c>
      <c r="V4" s="1">
        <f t="shared" ref="V4:V10" si="1">V5-1</f>
        <v>42</v>
      </c>
    </row>
    <row r="5" spans="1:25" ht="74.2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44743</v>
      </c>
      <c r="V5" s="1">
        <f t="shared" si="1"/>
        <v>43</v>
      </c>
    </row>
    <row r="6" spans="1:25" x14ac:dyDescent="0.35">
      <c r="A6" s="64">
        <f>DATE(YEAR(A7),MONTH(A7)-1,DAY(A7))</f>
        <v>44774</v>
      </c>
      <c r="B6" s="65">
        <f>VLOOKUP($B$5,'Sectors Trend'!$B$6:$BB$23,VLOOKUP(A6,$U:$V,2,),)</f>
        <v>3</v>
      </c>
      <c r="C6" s="65">
        <f>VLOOKUP($C$5,'Sectors Trend'!$B$6:$BB$23,VLOOKUP(A6,$U:$V,2,),)</f>
        <v>7</v>
      </c>
      <c r="D6" s="65">
        <f>VLOOKUP($D$5,'Sectors Trend'!$B$6:$BB$23,VLOOKUP(A6,$U:$V,2,),)</f>
        <v>-4</v>
      </c>
      <c r="E6" s="65">
        <f>VLOOKUP($E$5,'Sectors Trend'!$B$6:$BB$23,VLOOKUP(A6,$U:$V,2,),)</f>
        <v>-6</v>
      </c>
      <c r="F6" s="65">
        <f>VLOOKUP($F$5,'Sectors Trend'!$B$6:$BB$23,VLOOKUP(A6,$U:$V,2,),)</f>
        <v>6</v>
      </c>
      <c r="G6" s="65">
        <f>VLOOKUP($G$5,'Sectors Trend'!$B$6:$BB$23,VLOOKUP(A6,$U:$V,2,),)</f>
        <v>4</v>
      </c>
      <c r="H6" s="65">
        <f>VLOOKUP($H$5,'Sectors Trend'!$B$6:$BB$23,VLOOKUP(A6,$U:$V,2,),)</f>
        <v>10</v>
      </c>
      <c r="I6" s="65">
        <f>VLOOKUP($I$5,'Sectors Trend'!$B$6:$BB$23,VLOOKUP(A6,$U:$V,2,),)</f>
        <v>9</v>
      </c>
      <c r="J6" s="65">
        <f>VLOOKUP($J$5,'Sectors Trend'!$B$6:$BB$23,VLOOKUP(A6,$U:$V,2,),)</f>
        <v>5</v>
      </c>
      <c r="K6" s="65">
        <f>VLOOKUP($K$5,'Sectors Trend'!$B$6:$BB$23,VLOOKUP(A6,$U:$V,2,),)</f>
        <v>2</v>
      </c>
      <c r="L6" s="65">
        <f>VLOOKUP($L$5,'Sectors Trend'!$B$6:$BB$23,VLOOKUP(A6,$U:$V,2,),)</f>
        <v>1</v>
      </c>
      <c r="M6" s="65">
        <f>VLOOKUP($M$5,'Sectors Trend'!$B$6:$BB$23,VLOOKUP(A6,$U:$V,2,),)</f>
        <v>-5</v>
      </c>
      <c r="N6" s="65">
        <f>VLOOKUP($N$5,'Sectors Trend'!$B$6:$BB$23,VLOOKUP(A6,$U:$V,2,),)</f>
        <v>8</v>
      </c>
      <c r="O6" s="65">
        <f>VLOOKUP($O$5,'Sectors Trend'!$B$6:$BB$23,VLOOKUP(A6,$U:$V,2,),)</f>
        <v>-3</v>
      </c>
      <c r="P6" s="65">
        <f>VLOOKUP($P$5,'Sectors Trend'!$B$6:$BB$23,VLOOKUP(A6,$U:$V,2,),)</f>
        <v>-2</v>
      </c>
      <c r="Q6" s="65">
        <f>VLOOKUP($Q$5,'Sectors Trend'!$B$6:$BB$23,VLOOKUP(A6,$U:$V,2,),)</f>
        <v>-1</v>
      </c>
      <c r="R6" s="65">
        <f>VLOOKUP($R$5,'Sectors Trend'!$B$6:$BB$23,VLOOKUP(A6,$U:$V,2,),)</f>
        <v>0</v>
      </c>
      <c r="S6" s="66">
        <f>VLOOKUP($S$5,'Sectors Trend'!$B$6:$BB$23,VLOOKUP(A6,$U:$V,2,),)</f>
        <v>-7</v>
      </c>
      <c r="U6" s="62">
        <f t="shared" si="0"/>
        <v>44774</v>
      </c>
      <c r="V6" s="1">
        <f t="shared" si="1"/>
        <v>44</v>
      </c>
    </row>
    <row r="7" spans="1:25" x14ac:dyDescent="0.35">
      <c r="A7" s="67">
        <f>DATE(YEAR(A8),MONTH(A8)-1,DAY(A8))</f>
        <v>44805</v>
      </c>
      <c r="B7" s="5">
        <f>VLOOKUP($B$5,'Sectors Trend'!$B$6:$BB$23,VLOOKUP(A7,$U:$V,2,),)</f>
        <v>8</v>
      </c>
      <c r="C7" s="5">
        <f>VLOOKUP($C$5,'Sectors Trend'!$B$6:$BB$23,VLOOKUP(A7,$U:$V,2,),)</f>
        <v>2</v>
      </c>
      <c r="D7" s="5">
        <f>VLOOKUP($D$5,'Sectors Trend'!$B$6:$BB$23,VLOOKUP(A7,$U:$V,2,),)</f>
        <v>-3</v>
      </c>
      <c r="E7" s="5">
        <f>VLOOKUP($E$5,'Sectors Trend'!$B$6:$BB$23,VLOOKUP(A7,$U:$V,2,),)</f>
        <v>5</v>
      </c>
      <c r="F7" s="5">
        <f>VLOOKUP($F$5,'Sectors Trend'!$B$6:$BB$23,VLOOKUP(A7,$U:$V,2,),)</f>
        <v>-4</v>
      </c>
      <c r="G7" s="5">
        <f>VLOOKUP($G$5,'Sectors Trend'!$B$6:$BB$23,VLOOKUP(A7,$U:$V,2,),)</f>
        <v>0</v>
      </c>
      <c r="H7" s="5">
        <f>VLOOKUP($H$5,'Sectors Trend'!$B$6:$BB$23,VLOOKUP(A7,$U:$V,2,),)</f>
        <v>9</v>
      </c>
      <c r="I7" s="5">
        <f>VLOOKUP($I$5,'Sectors Trend'!$B$6:$BB$23,VLOOKUP(A7,$U:$V,2,),)</f>
        <v>0</v>
      </c>
      <c r="J7" s="5">
        <f>VLOOKUP($J$5,'Sectors Trend'!$B$6:$BB$23,VLOOKUP(A7,$U:$V,2,),)</f>
        <v>7</v>
      </c>
      <c r="K7" s="5">
        <f>VLOOKUP($K$5,'Sectors Trend'!$B$6:$BB$23,VLOOKUP(A7,$U:$V,2,),)</f>
        <v>6</v>
      </c>
      <c r="L7" s="5">
        <f>VLOOKUP($L$5,'Sectors Trend'!$B$6:$BB$23,VLOOKUP(A7,$U:$V,2,),)</f>
        <v>3</v>
      </c>
      <c r="M7" s="5">
        <f>VLOOKUP($M$5,'Sectors Trend'!$B$6:$BB$23,VLOOKUP(A7,$U:$V,2,),)</f>
        <v>-7</v>
      </c>
      <c r="N7" s="5">
        <f>VLOOKUP($N$5,'Sectors Trend'!$B$6:$BB$23,VLOOKUP(A7,$U:$V,2,),)</f>
        <v>4</v>
      </c>
      <c r="O7" s="5">
        <f>VLOOKUP($O$5,'Sectors Trend'!$B$6:$BB$23,VLOOKUP(A7,$U:$V,2,),)</f>
        <v>-2</v>
      </c>
      <c r="P7" s="5">
        <f>VLOOKUP($P$5,'Sectors Trend'!$B$6:$BB$23,VLOOKUP(A7,$U:$V,2,),)</f>
        <v>-1</v>
      </c>
      <c r="Q7" s="5">
        <f>VLOOKUP($Q$5,'Sectors Trend'!$B$6:$BB$23,VLOOKUP(A7,$U:$V,2,),)</f>
        <v>1</v>
      </c>
      <c r="R7" s="5">
        <f>VLOOKUP($R$5,'Sectors Trend'!$B$6:$BB$23,VLOOKUP(A7,$U:$V,2,),)</f>
        <v>-6</v>
      </c>
      <c r="S7" s="68">
        <f>VLOOKUP($S$5,'Sectors Trend'!$B$6:$BB$23,VLOOKUP(A7,$U:$V,2,),)</f>
        <v>-5</v>
      </c>
      <c r="U7" s="62">
        <f t="shared" si="0"/>
        <v>44805</v>
      </c>
      <c r="V7" s="1">
        <f t="shared" si="1"/>
        <v>45</v>
      </c>
    </row>
    <row r="8" spans="1:25" x14ac:dyDescent="0.35">
      <c r="A8" s="67">
        <f>DATE(YEAR(A9),MONTH(A9)-1,DAY(A9))</f>
        <v>44835</v>
      </c>
      <c r="B8" s="5">
        <f>VLOOKUP($B$5,'Sectors Trend'!$B$6:$BB$23,VLOOKUP(A8,$U:$V,2,),)</f>
        <v>6</v>
      </c>
      <c r="C8" s="5">
        <f>VLOOKUP($C$5,'Sectors Trend'!$B$6:$BB$23,VLOOKUP(A8,$U:$V,2,),)</f>
        <v>-2</v>
      </c>
      <c r="D8" s="5">
        <f>VLOOKUP($D$5,'Sectors Trend'!$B$6:$BB$23,VLOOKUP(A8,$U:$V,2,),)</f>
        <v>-8</v>
      </c>
      <c r="E8" s="5">
        <f>VLOOKUP($E$5,'Sectors Trend'!$B$6:$BB$23,VLOOKUP(A8,$U:$V,2,),)</f>
        <v>8</v>
      </c>
      <c r="F8" s="5">
        <f>VLOOKUP($F$5,'Sectors Trend'!$B$6:$BB$23,VLOOKUP(A8,$U:$V,2,),)</f>
        <v>-6</v>
      </c>
      <c r="G8" s="5">
        <f>VLOOKUP($G$5,'Sectors Trend'!$B$6:$BB$23,VLOOKUP(A8,$U:$V,2,),)</f>
        <v>-3</v>
      </c>
      <c r="H8" s="5">
        <f>VLOOKUP($H$5,'Sectors Trend'!$B$6:$BB$23,VLOOKUP(A8,$U:$V,2,),)</f>
        <v>7</v>
      </c>
      <c r="I8" s="5">
        <f>VLOOKUP($I$5,'Sectors Trend'!$B$6:$BB$23,VLOOKUP(A8,$U:$V,2,),)</f>
        <v>5</v>
      </c>
      <c r="J8" s="5">
        <f>VLOOKUP($J$5,'Sectors Trend'!$B$6:$BB$23,VLOOKUP(A8,$U:$V,2,),)</f>
        <v>2</v>
      </c>
      <c r="K8" s="5">
        <f>VLOOKUP($K$5,'Sectors Trend'!$B$6:$BB$23,VLOOKUP(A8,$U:$V,2,),)</f>
        <v>3</v>
      </c>
      <c r="L8" s="5">
        <f>VLOOKUP($L$5,'Sectors Trend'!$B$6:$BB$23,VLOOKUP(A8,$U:$V,2,),)</f>
        <v>-1</v>
      </c>
      <c r="M8" s="5">
        <f>VLOOKUP($M$5,'Sectors Trend'!$B$6:$BB$23,VLOOKUP(A8,$U:$V,2,),)</f>
        <v>-10</v>
      </c>
      <c r="N8" s="5">
        <f>VLOOKUP($N$5,'Sectors Trend'!$B$6:$BB$23,VLOOKUP(A8,$U:$V,2,),)</f>
        <v>4</v>
      </c>
      <c r="O8" s="5">
        <f>VLOOKUP($O$5,'Sectors Trend'!$B$6:$BB$23,VLOOKUP(A8,$U:$V,2,),)</f>
        <v>-4</v>
      </c>
      <c r="P8" s="5">
        <f>VLOOKUP($P$5,'Sectors Trend'!$B$6:$BB$23,VLOOKUP(A8,$U:$V,2,),)</f>
        <v>-5</v>
      </c>
      <c r="Q8" s="5">
        <f>VLOOKUP($Q$5,'Sectors Trend'!$B$6:$BB$23,VLOOKUP(A8,$U:$V,2,),)</f>
        <v>1</v>
      </c>
      <c r="R8" s="5">
        <f>VLOOKUP($R$5,'Sectors Trend'!$B$6:$BB$23,VLOOKUP(A8,$U:$V,2,),)</f>
        <v>-7</v>
      </c>
      <c r="S8" s="68">
        <f>VLOOKUP($S$5,'Sectors Trend'!$B$6:$BB$23,VLOOKUP(A8,$U:$V,2,),)</f>
        <v>-9</v>
      </c>
      <c r="U8" s="62">
        <f t="shared" si="0"/>
        <v>44835</v>
      </c>
      <c r="V8" s="1">
        <f t="shared" si="1"/>
        <v>46</v>
      </c>
    </row>
    <row r="9" spans="1:25" x14ac:dyDescent="0.35">
      <c r="A9" s="67">
        <f>DATE(YEAR(A10),MONTH(A10)-1,DAY(A10))</f>
        <v>44866</v>
      </c>
      <c r="B9" s="5">
        <f>VLOOKUP($B$5,'Sectors Trend'!$B$6:$BB$23,VLOOKUP(A9,$U:$V,2,),)</f>
        <v>-2</v>
      </c>
      <c r="C9" s="5">
        <f>VLOOKUP($C$5,'Sectors Trend'!$B$6:$BB$23,VLOOKUP(A9,$U:$V,2,),)</f>
        <v>-4</v>
      </c>
      <c r="D9" s="5">
        <f>VLOOKUP($D$5,'Sectors Trend'!$B$6:$BB$23,VLOOKUP(A9,$U:$V,2,),)</f>
        <v>-10</v>
      </c>
      <c r="E9" s="5">
        <f>VLOOKUP($E$5,'Sectors Trend'!$B$6:$BB$23,VLOOKUP(A9,$U:$V,2,),)</f>
        <v>6</v>
      </c>
      <c r="F9" s="5">
        <f>VLOOKUP($F$5,'Sectors Trend'!$B$6:$BB$23,VLOOKUP(A9,$U:$V,2,),)</f>
        <v>-12</v>
      </c>
      <c r="G9" s="5">
        <f>VLOOKUP($G$5,'Sectors Trend'!$B$6:$BB$23,VLOOKUP(A9,$U:$V,2,),)</f>
        <v>4</v>
      </c>
      <c r="H9" s="5">
        <f>VLOOKUP($H$5,'Sectors Trend'!$B$6:$BB$23,VLOOKUP(A9,$U:$V,2,),)</f>
        <v>5</v>
      </c>
      <c r="I9" s="5">
        <f>VLOOKUP($I$5,'Sectors Trend'!$B$6:$BB$23,VLOOKUP(A9,$U:$V,2,),)</f>
        <v>2</v>
      </c>
      <c r="J9" s="5">
        <f>VLOOKUP($J$5,'Sectors Trend'!$B$6:$BB$23,VLOOKUP(A9,$U:$V,2,),)</f>
        <v>-5</v>
      </c>
      <c r="K9" s="5">
        <f>VLOOKUP($K$5,'Sectors Trend'!$B$6:$BB$23,VLOOKUP(A9,$U:$V,2,),)</f>
        <v>3</v>
      </c>
      <c r="L9" s="5">
        <f>VLOOKUP($L$5,'Sectors Trend'!$B$6:$BB$23,VLOOKUP(A9,$U:$V,2,),)</f>
        <v>-3</v>
      </c>
      <c r="M9" s="5">
        <f>VLOOKUP($M$5,'Sectors Trend'!$B$6:$BB$23,VLOOKUP(A9,$U:$V,2,),)</f>
        <v>-7</v>
      </c>
      <c r="N9" s="5">
        <f>VLOOKUP($N$5,'Sectors Trend'!$B$6:$BB$23,VLOOKUP(A9,$U:$V,2,),)</f>
        <v>1</v>
      </c>
      <c r="O9" s="5">
        <f>VLOOKUP($O$5,'Sectors Trend'!$B$6:$BB$23,VLOOKUP(A9,$U:$V,2,),)</f>
        <v>-6</v>
      </c>
      <c r="P9" s="5">
        <f>VLOOKUP($P$5,'Sectors Trend'!$B$6:$BB$23,VLOOKUP(A9,$U:$V,2,),)</f>
        <v>-8</v>
      </c>
      <c r="Q9" s="5">
        <f>VLOOKUP($Q$5,'Sectors Trend'!$B$6:$BB$23,VLOOKUP(A9,$U:$V,2,),)</f>
        <v>-1</v>
      </c>
      <c r="R9" s="5">
        <f>VLOOKUP($R$5,'Sectors Trend'!$B$6:$BB$23,VLOOKUP(A9,$U:$V,2,),)</f>
        <v>-9</v>
      </c>
      <c r="S9" s="68">
        <f>VLOOKUP($S$5,'Sectors Trend'!$B$6:$BB$23,VLOOKUP(A9,$U:$V,2,),)</f>
        <v>-11</v>
      </c>
      <c r="U9" s="62">
        <f t="shared" si="0"/>
        <v>44866</v>
      </c>
      <c r="V9" s="1">
        <f t="shared" si="1"/>
        <v>47</v>
      </c>
    </row>
    <row r="10" spans="1:25" x14ac:dyDescent="0.35">
      <c r="A10" s="67">
        <f>DATE(YEAR(A11),MONTH(A11)-1,DAY(A11))</f>
        <v>44896</v>
      </c>
      <c r="B10" s="5">
        <f>VLOOKUP($B$5,'Sectors Trend'!$B$6:$BB$23,VLOOKUP(A10,$U:$V,2,),)</f>
        <v>-4</v>
      </c>
      <c r="C10" s="5">
        <f>VLOOKUP($C$5,'Sectors Trend'!$B$6:$BB$23,VLOOKUP(A10,$U:$V,2,),)</f>
        <v>-5</v>
      </c>
      <c r="D10" s="5">
        <f>VLOOKUP($D$5,'Sectors Trend'!$B$6:$BB$23,VLOOKUP(A10,$U:$V,2,),)</f>
        <v>-10</v>
      </c>
      <c r="E10" s="5">
        <f>VLOOKUP($E$5,'Sectors Trend'!$B$6:$BB$23,VLOOKUP(A10,$U:$V,2,),)</f>
        <v>-6</v>
      </c>
      <c r="F10" s="5">
        <f>VLOOKUP($F$5,'Sectors Trend'!$B$6:$BB$23,VLOOKUP(A10,$U:$V,2,),)</f>
        <v>0</v>
      </c>
      <c r="G10" s="5">
        <f>VLOOKUP($G$5,'Sectors Trend'!$B$6:$BB$23,VLOOKUP(A10,$U:$V,2,),)</f>
        <v>2</v>
      </c>
      <c r="H10" s="5">
        <f>VLOOKUP($H$5,'Sectors Trend'!$B$6:$BB$23,VLOOKUP(A10,$U:$V,2,),)</f>
        <v>0</v>
      </c>
      <c r="I10" s="5">
        <f>VLOOKUP($I$5,'Sectors Trend'!$B$6:$BB$23,VLOOKUP(A10,$U:$V,2,),)</f>
        <v>1</v>
      </c>
      <c r="J10" s="5">
        <f>VLOOKUP($J$5,'Sectors Trend'!$B$6:$BB$23,VLOOKUP(A10,$U:$V,2,),)</f>
        <v>-9</v>
      </c>
      <c r="K10" s="5">
        <f>VLOOKUP($K$5,'Sectors Trend'!$B$6:$BB$23,VLOOKUP(A10,$U:$V,2,),)</f>
        <v>-1</v>
      </c>
      <c r="L10" s="5">
        <f>VLOOKUP($L$5,'Sectors Trend'!$B$6:$BB$23,VLOOKUP(A10,$U:$V,2,),)</f>
        <v>-3</v>
      </c>
      <c r="M10" s="5">
        <f>VLOOKUP($M$5,'Sectors Trend'!$B$6:$BB$23,VLOOKUP(A10,$U:$V,2,),)</f>
        <v>-7</v>
      </c>
      <c r="N10" s="5">
        <f>VLOOKUP($N$5,'Sectors Trend'!$B$6:$BB$23,VLOOKUP(A10,$U:$V,2,),)</f>
        <v>-2</v>
      </c>
      <c r="O10" s="5">
        <f>VLOOKUP($O$5,'Sectors Trend'!$B$6:$BB$23,VLOOKUP(A10,$U:$V,2,),)</f>
        <v>-11</v>
      </c>
      <c r="P10" s="5">
        <f>VLOOKUP($P$5,'Sectors Trend'!$B$6:$BB$23,VLOOKUP(A10,$U:$V,2,),)</f>
        <v>-12</v>
      </c>
      <c r="Q10" s="5">
        <f>VLOOKUP($Q$5,'Sectors Trend'!$B$6:$BB$23,VLOOKUP(A10,$U:$V,2,),)</f>
        <v>-8</v>
      </c>
      <c r="R10" s="5">
        <f>VLOOKUP($R$5,'Sectors Trend'!$B$6:$BB$23,VLOOKUP(A10,$U:$V,2,),)</f>
        <v>0</v>
      </c>
      <c r="S10" s="68">
        <f>VLOOKUP($S$5,'Sectors Trend'!$B$6:$BB$23,VLOOKUP(A10,$U:$V,2,),)</f>
        <v>-13</v>
      </c>
      <c r="U10" s="62">
        <f t="shared" si="0"/>
        <v>44896</v>
      </c>
      <c r="V10" s="1">
        <f t="shared" si="1"/>
        <v>48</v>
      </c>
    </row>
    <row r="11" spans="1:25" ht="16" customHeight="1" thickBot="1" x14ac:dyDescent="0.4">
      <c r="A11" s="69">
        <f>L1</f>
        <v>44927</v>
      </c>
      <c r="B11" s="70">
        <f>VLOOKUP($B$5,'Sectors Trend'!$B$6:$BB$23,VLOOKUP(A11,$U:$V,2,),)</f>
        <v>7</v>
      </c>
      <c r="C11" s="70">
        <f>VLOOKUP($C$5,'Sectors Trend'!$B$6:$BB$23,VLOOKUP(A11,$U:$V,2,),)</f>
        <v>2</v>
      </c>
      <c r="D11" s="70">
        <f>VLOOKUP($D$5,'Sectors Trend'!$B$6:$BB$23,VLOOKUP(A11,$U:$V,2,),)</f>
        <v>14</v>
      </c>
      <c r="E11" s="70">
        <f>VLOOKUP($E$5,'Sectors Trend'!$B$6:$BB$23,VLOOKUP(A11,$U:$V,2,),)</f>
        <v>15</v>
      </c>
      <c r="F11" s="70">
        <f>VLOOKUP($F$5,'Sectors Trend'!$B$6:$BB$23,VLOOKUP(A11,$U:$V,2,),)</f>
        <v>0</v>
      </c>
      <c r="G11" s="70">
        <f>VLOOKUP($G$5,'Sectors Trend'!$B$6:$BB$23,VLOOKUP(A11,$U:$V,2,),)</f>
        <v>9</v>
      </c>
      <c r="H11" s="70">
        <f>VLOOKUP($H$5,'Sectors Trend'!$B$6:$BB$23,VLOOKUP(A11,$U:$V,2,),)</f>
        <v>13</v>
      </c>
      <c r="I11" s="70">
        <f>VLOOKUP($I$5,'Sectors Trend'!$B$6:$BB$23,VLOOKUP(A11,$U:$V,2,),)</f>
        <v>6</v>
      </c>
      <c r="J11" s="70">
        <f>VLOOKUP($J$5,'Sectors Trend'!$B$6:$BB$23,VLOOKUP(A11,$U:$V,2,),)</f>
        <v>10</v>
      </c>
      <c r="K11" s="70">
        <f>VLOOKUP($K$5,'Sectors Trend'!$B$6:$BB$23,VLOOKUP(A11,$U:$V,2,),)</f>
        <v>4</v>
      </c>
      <c r="L11" s="70">
        <f>VLOOKUP($L$5,'Sectors Trend'!$B$6:$BB$23,VLOOKUP(A11,$U:$V,2,),)</f>
        <v>5</v>
      </c>
      <c r="M11" s="70">
        <f>VLOOKUP($M$5,'Sectors Trend'!$B$6:$BB$23,VLOOKUP(A11,$U:$V,2,),)</f>
        <v>11</v>
      </c>
      <c r="N11" s="70">
        <f>VLOOKUP($N$5,'Sectors Trend'!$B$6:$BB$23,VLOOKUP(A11,$U:$V,2,),)</f>
        <v>1</v>
      </c>
      <c r="O11" s="70">
        <f>VLOOKUP($O$5,'Sectors Trend'!$B$6:$BB$23,VLOOKUP(A11,$U:$V,2,),)</f>
        <v>3</v>
      </c>
      <c r="P11" s="70">
        <f>VLOOKUP($P$5,'Sectors Trend'!$B$6:$BB$23,VLOOKUP(A11,$U:$V,2,),)</f>
        <v>8</v>
      </c>
      <c r="Q11" s="70">
        <f>VLOOKUP($Q$5,'Sectors Trend'!$B$6:$BB$23,VLOOKUP(A11,$U:$V,2,),)</f>
        <v>12</v>
      </c>
      <c r="R11" s="70">
        <f>VLOOKUP($R$5,'Sectors Trend'!$B$6:$BB$23,VLOOKUP(A11,$U:$V,2,),)</f>
        <v>16</v>
      </c>
      <c r="S11" s="71">
        <f>VLOOKUP($S$5,'Sectors Trend'!$B$6:$BB$23,VLOOKUP(A11,$U:$V,2,),)</f>
        <v>17</v>
      </c>
      <c r="U11" s="62">
        <f>L1</f>
        <v>44927</v>
      </c>
      <c r="V11" s="1">
        <f>L2</f>
        <v>49</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90" zoomScaleNormal="90" workbookViewId="0">
      <selection activeCell="E68" sqref="E68"/>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61" width="9.1796875" style="90" customWidth="1"/>
    <col min="62" max="16384" width="9.1796875" style="90"/>
  </cols>
  <sheetData>
    <row r="1" spans="1:25" x14ac:dyDescent="0.35">
      <c r="J1" s="90" t="s">
        <v>74</v>
      </c>
      <c r="L1" s="62">
        <f>Sectors!L1</f>
        <v>44927</v>
      </c>
      <c r="O1" s="6"/>
    </row>
    <row r="2" spans="1:25" x14ac:dyDescent="0.35">
      <c r="L2" s="90">
        <f>Sectors!L2</f>
        <v>49</v>
      </c>
      <c r="Y2" s="62"/>
    </row>
    <row r="4" spans="1:25" ht="16" customHeight="1" thickBot="1" x14ac:dyDescent="0.4">
      <c r="U4" s="62">
        <f t="shared" ref="U4:U10" si="0">DATE(YEAR(U5),MONTH(U5)-1,DAY(U5))</f>
        <v>44713</v>
      </c>
      <c r="V4" s="13">
        <f t="shared" ref="V4:V10" si="1">V5-1</f>
        <v>42</v>
      </c>
    </row>
    <row r="5" spans="1:25" ht="61.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44743</v>
      </c>
      <c r="V5" s="13">
        <f t="shared" si="1"/>
        <v>43</v>
      </c>
    </row>
    <row r="6" spans="1:25" x14ac:dyDescent="0.35">
      <c r="A6" s="64">
        <f>DATE(YEAR(A7),MONTH(A7)-1,DAY(A7))</f>
        <v>44774</v>
      </c>
      <c r="B6" s="65">
        <f>VLOOKUP($B$5,'Sectors Trend'!$B$28:$BB$45,VLOOKUP(A6,$U:$V,2,),)</f>
        <v>-2</v>
      </c>
      <c r="C6" s="65">
        <f>VLOOKUP($C$5,'Sectors Trend'!$B$28:$BB$45,VLOOKUP(A6,$U:$V,2,),)</f>
        <v>5</v>
      </c>
      <c r="D6" s="65">
        <f>VLOOKUP($D$5,'Sectors Trend'!$B$28:$BB$45,VLOOKUP(A6,$U:$V,2,),)</f>
        <v>0</v>
      </c>
      <c r="E6" s="65">
        <f>VLOOKUP($E$5,'Sectors Trend'!$B$28:$BB$45,VLOOKUP(A6,$U:$V,2,),)</f>
        <v>0</v>
      </c>
      <c r="F6" s="65">
        <f>VLOOKUP($F$5,'Sectors Trend'!$B$28:$BB$45,VLOOKUP(A6,$U:$V,2,),)</f>
        <v>0</v>
      </c>
      <c r="G6" s="65">
        <f>VLOOKUP($G$5,'Sectors Trend'!$B$28:$BB$45,VLOOKUP(A6,$U:$V,2,),)</f>
        <v>2</v>
      </c>
      <c r="H6" s="65">
        <f>VLOOKUP($H$5,'Sectors Trend'!$B$28:$BB$45,VLOOKUP(A6,$U:$V,2,),)</f>
        <v>4</v>
      </c>
      <c r="I6" s="65">
        <f>VLOOKUP($I$5,'Sectors Trend'!$B$28:$BB$45,VLOOKUP(A6,$U:$V,2,),)</f>
        <v>0</v>
      </c>
      <c r="J6" s="65">
        <f>VLOOKUP($J$5,'Sectors Trend'!$B$28:$BB$45,VLOOKUP(A6,$U:$V,2,),)</f>
        <v>1</v>
      </c>
      <c r="K6" s="65">
        <f>VLOOKUP($K$5,'Sectors Trend'!$B$28:$BB$45,VLOOKUP(A6,$U:$V,2,),)</f>
        <v>-1</v>
      </c>
      <c r="L6" s="65">
        <f>VLOOKUP($L$5,'Sectors Trend'!$B$28:$BB$45,VLOOKUP(A6,$U:$V,2,),)</f>
        <v>-3</v>
      </c>
      <c r="M6" s="65">
        <f>VLOOKUP($M$5,'Sectors Trend'!$B$28:$BB$45,VLOOKUP(A6,$U:$V,2,),)</f>
        <v>-7</v>
      </c>
      <c r="N6" s="65">
        <f>VLOOKUP($N$5,'Sectors Trend'!$B$28:$BB$45,VLOOKUP(A6,$U:$V,2,),)</f>
        <v>3</v>
      </c>
      <c r="O6" s="65">
        <f>VLOOKUP($O$5,'Sectors Trend'!$B$28:$BB$45,VLOOKUP(A6,$U:$V,2,),)</f>
        <v>-5</v>
      </c>
      <c r="P6" s="65">
        <f>VLOOKUP($P$5,'Sectors Trend'!$B$28:$BB$45,VLOOKUP(A6,$U:$V,2,),)</f>
        <v>-4</v>
      </c>
      <c r="Q6" s="65">
        <f>VLOOKUP($Q$5,'Sectors Trend'!$B$28:$BB$45,VLOOKUP(A6,$U:$V,2,),)</f>
        <v>-6</v>
      </c>
      <c r="R6" s="65">
        <f>VLOOKUP($R$5,'Sectors Trend'!$B$28:$BB$45,VLOOKUP(A6,$U:$V,2,),)</f>
        <v>6</v>
      </c>
      <c r="S6" s="66">
        <f>VLOOKUP($S$5,'Sectors Trend'!$B$28:$BB$45,VLOOKUP(A6,$U:$V,2,),)</f>
        <v>-8</v>
      </c>
      <c r="U6" s="62">
        <f t="shared" si="0"/>
        <v>44774</v>
      </c>
      <c r="V6" s="13">
        <f t="shared" si="1"/>
        <v>44</v>
      </c>
    </row>
    <row r="7" spans="1:25" x14ac:dyDescent="0.35">
      <c r="A7" s="67">
        <f>DATE(YEAR(A8),MONTH(A8)-1,DAY(A8))</f>
        <v>44805</v>
      </c>
      <c r="B7" s="5">
        <f>VLOOKUP($B$5,'Sectors Trend'!$B$28:$BB$45,VLOOKUP(A7,$U:$V,2,),)</f>
        <v>0</v>
      </c>
      <c r="C7" s="5">
        <f>VLOOKUP($C$5,'Sectors Trend'!$B$28:$BB$45,VLOOKUP(A7,$U:$V,2,),)</f>
        <v>0</v>
      </c>
      <c r="D7" s="5">
        <f>VLOOKUP($D$5,'Sectors Trend'!$B$28:$BB$45,VLOOKUP(A7,$U:$V,2,),)</f>
        <v>6</v>
      </c>
      <c r="E7" s="5">
        <f>VLOOKUP($E$5,'Sectors Trend'!$B$28:$BB$45,VLOOKUP(A7,$U:$V,2,),)</f>
        <v>7</v>
      </c>
      <c r="F7" s="5">
        <f>VLOOKUP($F$5,'Sectors Trend'!$B$28:$BB$45,VLOOKUP(A7,$U:$V,2,),)</f>
        <v>8</v>
      </c>
      <c r="G7" s="5">
        <f>VLOOKUP($G$5,'Sectors Trend'!$B$28:$BB$45,VLOOKUP(A7,$U:$V,2,),)</f>
        <v>2</v>
      </c>
      <c r="H7" s="5">
        <f>VLOOKUP($H$5,'Sectors Trend'!$B$28:$BB$45,VLOOKUP(A7,$U:$V,2,),)</f>
        <v>0</v>
      </c>
      <c r="I7" s="5">
        <f>VLOOKUP($I$5,'Sectors Trend'!$B$28:$BB$45,VLOOKUP(A7,$U:$V,2,),)</f>
        <v>0</v>
      </c>
      <c r="J7" s="5">
        <f>VLOOKUP($J$5,'Sectors Trend'!$B$28:$BB$45,VLOOKUP(A7,$U:$V,2,),)</f>
        <v>0</v>
      </c>
      <c r="K7" s="5">
        <f>VLOOKUP($K$5,'Sectors Trend'!$B$28:$BB$45,VLOOKUP(A7,$U:$V,2,),)</f>
        <v>0</v>
      </c>
      <c r="L7" s="5">
        <f>VLOOKUP($L$5,'Sectors Trend'!$B$28:$BB$45,VLOOKUP(A7,$U:$V,2,),)</f>
        <v>1</v>
      </c>
      <c r="M7" s="5">
        <f>VLOOKUP($M$5,'Sectors Trend'!$B$28:$BB$45,VLOOKUP(A7,$U:$V,2,),)</f>
        <v>11</v>
      </c>
      <c r="N7" s="5">
        <f>VLOOKUP($N$5,'Sectors Trend'!$B$28:$BB$45,VLOOKUP(A7,$U:$V,2,),)</f>
        <v>0</v>
      </c>
      <c r="O7" s="5">
        <f>VLOOKUP($O$5,'Sectors Trend'!$B$28:$BB$45,VLOOKUP(A7,$U:$V,2,),)</f>
        <v>4</v>
      </c>
      <c r="P7" s="5">
        <f>VLOOKUP($P$5,'Sectors Trend'!$B$28:$BB$45,VLOOKUP(A7,$U:$V,2,),)</f>
        <v>5</v>
      </c>
      <c r="Q7" s="5">
        <f>VLOOKUP($Q$5,'Sectors Trend'!$B$28:$BB$45,VLOOKUP(A7,$U:$V,2,),)</f>
        <v>3</v>
      </c>
      <c r="R7" s="5">
        <f>VLOOKUP($R$5,'Sectors Trend'!$B$28:$BB$45,VLOOKUP(A7,$U:$V,2,),)</f>
        <v>9</v>
      </c>
      <c r="S7" s="68">
        <f>VLOOKUP($S$5,'Sectors Trend'!$B$28:$BB$45,VLOOKUP(A7,$U:$V,2,),)</f>
        <v>10</v>
      </c>
      <c r="U7" s="62">
        <f t="shared" si="0"/>
        <v>44805</v>
      </c>
      <c r="V7" s="13">
        <f t="shared" si="1"/>
        <v>45</v>
      </c>
    </row>
    <row r="8" spans="1:25" x14ac:dyDescent="0.35">
      <c r="A8" s="67">
        <f>DATE(YEAR(A9),MONTH(A9)-1,DAY(A9))</f>
        <v>44835</v>
      </c>
      <c r="B8" s="5">
        <f>VLOOKUP($B$5,'Sectors Trend'!$B$28:$BB$45,VLOOKUP(A8,$U:$V,2,),)</f>
        <v>0</v>
      </c>
      <c r="C8" s="5">
        <f>VLOOKUP($C$5,'Sectors Trend'!$B$28:$BB$45,VLOOKUP(A8,$U:$V,2,),)</f>
        <v>0</v>
      </c>
      <c r="D8" s="5">
        <f>VLOOKUP($D$5,'Sectors Trend'!$B$28:$BB$45,VLOOKUP(A8,$U:$V,2,),)</f>
        <v>9</v>
      </c>
      <c r="E8" s="5">
        <f>VLOOKUP($E$5,'Sectors Trend'!$B$28:$BB$45,VLOOKUP(A8,$U:$V,2,),)</f>
        <v>0</v>
      </c>
      <c r="F8" s="5">
        <f>VLOOKUP($F$5,'Sectors Trend'!$B$28:$BB$45,VLOOKUP(A8,$U:$V,2,),)</f>
        <v>10</v>
      </c>
      <c r="G8" s="5">
        <f>VLOOKUP($G$5,'Sectors Trend'!$B$28:$BB$45,VLOOKUP(A8,$U:$V,2,),)</f>
        <v>6</v>
      </c>
      <c r="H8" s="5">
        <f>VLOOKUP($H$5,'Sectors Trend'!$B$28:$BB$45,VLOOKUP(A8,$U:$V,2,),)</f>
        <v>5</v>
      </c>
      <c r="I8" s="5">
        <f>VLOOKUP($I$5,'Sectors Trend'!$B$28:$BB$45,VLOOKUP(A8,$U:$V,2,),)</f>
        <v>0</v>
      </c>
      <c r="J8" s="5">
        <f>VLOOKUP($J$5,'Sectors Trend'!$B$28:$BB$45,VLOOKUP(A8,$U:$V,2,),)</f>
        <v>0</v>
      </c>
      <c r="K8" s="5">
        <f>VLOOKUP($K$5,'Sectors Trend'!$B$28:$BB$45,VLOOKUP(A8,$U:$V,2,),)</f>
        <v>1</v>
      </c>
      <c r="L8" s="5">
        <f>VLOOKUP($L$5,'Sectors Trend'!$B$28:$BB$45,VLOOKUP(A8,$U:$V,2,),)</f>
        <v>4</v>
      </c>
      <c r="M8" s="5">
        <f>VLOOKUP($M$5,'Sectors Trend'!$B$28:$BB$45,VLOOKUP(A8,$U:$V,2,),)</f>
        <v>11</v>
      </c>
      <c r="N8" s="5">
        <f>VLOOKUP($N$5,'Sectors Trend'!$B$28:$BB$45,VLOOKUP(A8,$U:$V,2,),)</f>
        <v>3</v>
      </c>
      <c r="O8" s="5">
        <f>VLOOKUP($O$5,'Sectors Trend'!$B$28:$BB$45,VLOOKUP(A8,$U:$V,2,),)</f>
        <v>2</v>
      </c>
      <c r="P8" s="5">
        <f>VLOOKUP($P$5,'Sectors Trend'!$B$28:$BB$45,VLOOKUP(A8,$U:$V,2,),)</f>
        <v>7</v>
      </c>
      <c r="Q8" s="5">
        <f>VLOOKUP($Q$5,'Sectors Trend'!$B$28:$BB$45,VLOOKUP(A8,$U:$V,2,),)</f>
        <v>0</v>
      </c>
      <c r="R8" s="5">
        <f>VLOOKUP($R$5,'Sectors Trend'!$B$28:$BB$45,VLOOKUP(A8,$U:$V,2,),)</f>
        <v>8</v>
      </c>
      <c r="S8" s="68">
        <f>VLOOKUP($S$5,'Sectors Trend'!$B$28:$BB$45,VLOOKUP(A8,$U:$V,2,),)</f>
        <v>12</v>
      </c>
      <c r="U8" s="62">
        <f t="shared" si="0"/>
        <v>44835</v>
      </c>
      <c r="V8" s="13">
        <f t="shared" si="1"/>
        <v>46</v>
      </c>
    </row>
    <row r="9" spans="1:25" x14ac:dyDescent="0.35">
      <c r="A9" s="67">
        <f>DATE(YEAR(A10),MONTH(A10)-1,DAY(A10))</f>
        <v>44866</v>
      </c>
      <c r="B9" s="5">
        <f>VLOOKUP($B$5,'Sectors Trend'!$B$28:$BB$45,VLOOKUP(A9,$U:$V,2,),)</f>
        <v>7</v>
      </c>
      <c r="C9" s="5">
        <f>VLOOKUP($C$5,'Sectors Trend'!$B$28:$BB$45,VLOOKUP(A9,$U:$V,2,),)</f>
        <v>1</v>
      </c>
      <c r="D9" s="5">
        <f>VLOOKUP($D$5,'Sectors Trend'!$B$28:$BB$45,VLOOKUP(A9,$U:$V,2,),)</f>
        <v>12</v>
      </c>
      <c r="E9" s="5">
        <f>VLOOKUP($E$5,'Sectors Trend'!$B$28:$BB$45,VLOOKUP(A9,$U:$V,2,),)</f>
        <v>0</v>
      </c>
      <c r="F9" s="5">
        <f>VLOOKUP($F$5,'Sectors Trend'!$B$28:$BB$45,VLOOKUP(A9,$U:$V,2,),)</f>
        <v>13</v>
      </c>
      <c r="G9" s="5">
        <f>VLOOKUP($G$5,'Sectors Trend'!$B$28:$BB$45,VLOOKUP(A9,$U:$V,2,),)</f>
        <v>11</v>
      </c>
      <c r="H9" s="5">
        <f>VLOOKUP($H$5,'Sectors Trend'!$B$28:$BB$45,VLOOKUP(A9,$U:$V,2,),)</f>
        <v>10</v>
      </c>
      <c r="I9" s="5">
        <f>VLOOKUP($I$5,'Sectors Trend'!$B$28:$BB$45,VLOOKUP(A9,$U:$V,2,),)</f>
        <v>0</v>
      </c>
      <c r="J9" s="5">
        <f>VLOOKUP($J$5,'Sectors Trend'!$B$28:$BB$45,VLOOKUP(A9,$U:$V,2,),)</f>
        <v>6</v>
      </c>
      <c r="K9" s="5">
        <f>VLOOKUP($K$5,'Sectors Trend'!$B$28:$BB$45,VLOOKUP(A9,$U:$V,2,),)</f>
        <v>3</v>
      </c>
      <c r="L9" s="5">
        <f>VLOOKUP($L$5,'Sectors Trend'!$B$28:$BB$45,VLOOKUP(A9,$U:$V,2,),)</f>
        <v>2</v>
      </c>
      <c r="M9" s="5">
        <f>VLOOKUP($M$5,'Sectors Trend'!$B$28:$BB$45,VLOOKUP(A9,$U:$V,2,),)</f>
        <v>0</v>
      </c>
      <c r="N9" s="5">
        <f>VLOOKUP($N$5,'Sectors Trend'!$B$28:$BB$45,VLOOKUP(A9,$U:$V,2,),)</f>
        <v>4</v>
      </c>
      <c r="O9" s="5">
        <f>VLOOKUP($O$5,'Sectors Trend'!$B$28:$BB$45,VLOOKUP(A9,$U:$V,2,),)</f>
        <v>5</v>
      </c>
      <c r="P9" s="5">
        <f>VLOOKUP($P$5,'Sectors Trend'!$B$28:$BB$45,VLOOKUP(A9,$U:$V,2,),)</f>
        <v>8</v>
      </c>
      <c r="Q9" s="5">
        <f>VLOOKUP($Q$5,'Sectors Trend'!$B$28:$BB$45,VLOOKUP(A9,$U:$V,2,),)</f>
        <v>9</v>
      </c>
      <c r="R9" s="5">
        <f>VLOOKUP($R$5,'Sectors Trend'!$B$28:$BB$45,VLOOKUP(A9,$U:$V,2,),)</f>
        <v>0</v>
      </c>
      <c r="S9" s="68">
        <f>VLOOKUP($S$5,'Sectors Trend'!$B$28:$BB$45,VLOOKUP(A9,$U:$V,2,),)</f>
        <v>14</v>
      </c>
      <c r="U9" s="62">
        <f t="shared" si="0"/>
        <v>44866</v>
      </c>
      <c r="V9" s="13">
        <f t="shared" si="1"/>
        <v>47</v>
      </c>
    </row>
    <row r="10" spans="1:25" x14ac:dyDescent="0.35">
      <c r="A10" s="67">
        <f>DATE(YEAR(A11),MONTH(A11)-1,DAY(A11))</f>
        <v>44896</v>
      </c>
      <c r="B10" s="5">
        <f>VLOOKUP($B$5,'Sectors Trend'!$B$28:$BB$45,VLOOKUP(A10,$U:$V,2,),)</f>
        <v>1</v>
      </c>
      <c r="C10" s="5">
        <f>VLOOKUP($C$5,'Sectors Trend'!$B$28:$BB$45,VLOOKUP(A10,$U:$V,2,),)</f>
        <v>2</v>
      </c>
      <c r="D10" s="5">
        <f>VLOOKUP($D$5,'Sectors Trend'!$B$28:$BB$45,VLOOKUP(A10,$U:$V,2,),)</f>
        <v>0</v>
      </c>
      <c r="E10" s="5">
        <f>VLOOKUP($E$5,'Sectors Trend'!$B$28:$BB$45,VLOOKUP(A10,$U:$V,2,),)</f>
        <v>0</v>
      </c>
      <c r="F10" s="5">
        <f>VLOOKUP($F$5,'Sectors Trend'!$B$28:$BB$45,VLOOKUP(A10,$U:$V,2,),)</f>
        <v>0</v>
      </c>
      <c r="G10" s="5">
        <f>VLOOKUP($G$5,'Sectors Trend'!$B$28:$BB$45,VLOOKUP(A10,$U:$V,2,),)</f>
        <v>0</v>
      </c>
      <c r="H10" s="5">
        <f>VLOOKUP($H$5,'Sectors Trend'!$B$28:$BB$45,VLOOKUP(A10,$U:$V,2,),)</f>
        <v>10</v>
      </c>
      <c r="I10" s="5">
        <f>VLOOKUP($I$5,'Sectors Trend'!$B$28:$BB$45,VLOOKUP(A10,$U:$V,2,),)</f>
        <v>0</v>
      </c>
      <c r="J10" s="5">
        <f>VLOOKUP($J$5,'Sectors Trend'!$B$28:$BB$45,VLOOKUP(A10,$U:$V,2,),)</f>
        <v>5</v>
      </c>
      <c r="K10" s="5">
        <f>VLOOKUP($K$5,'Sectors Trend'!$B$28:$BB$45,VLOOKUP(A10,$U:$V,2,),)</f>
        <v>3</v>
      </c>
      <c r="L10" s="5">
        <f>VLOOKUP($L$5,'Sectors Trend'!$B$28:$BB$45,VLOOKUP(A10,$U:$V,2,),)</f>
        <v>8</v>
      </c>
      <c r="M10" s="5">
        <f>VLOOKUP($M$5,'Sectors Trend'!$B$28:$BB$45,VLOOKUP(A10,$U:$V,2,),)</f>
        <v>6</v>
      </c>
      <c r="N10" s="5">
        <f>VLOOKUP($N$5,'Sectors Trend'!$B$28:$BB$45,VLOOKUP(A10,$U:$V,2,),)</f>
        <v>0</v>
      </c>
      <c r="O10" s="5">
        <f>VLOOKUP($O$5,'Sectors Trend'!$B$28:$BB$45,VLOOKUP(A10,$U:$V,2,),)</f>
        <v>7</v>
      </c>
      <c r="P10" s="5">
        <f>VLOOKUP($P$5,'Sectors Trend'!$B$28:$BB$45,VLOOKUP(A10,$U:$V,2,),)</f>
        <v>9</v>
      </c>
      <c r="Q10" s="5">
        <f>VLOOKUP($Q$5,'Sectors Trend'!$B$28:$BB$45,VLOOKUP(A10,$U:$V,2,),)</f>
        <v>4</v>
      </c>
      <c r="R10" s="5">
        <f>VLOOKUP($R$5,'Sectors Trend'!$B$28:$BB$45,VLOOKUP(A10,$U:$V,2,),)</f>
        <v>0</v>
      </c>
      <c r="S10" s="68">
        <f>VLOOKUP($S$5,'Sectors Trend'!$B$28:$BB$45,VLOOKUP(A10,$U:$V,2,),)</f>
        <v>11</v>
      </c>
      <c r="U10" s="62">
        <f t="shared" si="0"/>
        <v>44896</v>
      </c>
      <c r="V10" s="13">
        <f t="shared" si="1"/>
        <v>48</v>
      </c>
    </row>
    <row r="11" spans="1:25" ht="16" customHeight="1" thickBot="1" x14ac:dyDescent="0.4">
      <c r="A11" s="69">
        <f>L1</f>
        <v>44927</v>
      </c>
      <c r="B11" s="70">
        <f>VLOOKUP($B$5,'Sectors Trend'!$B$28:$BB$45,VLOOKUP(A11,$U:$V,2,),)</f>
        <v>7</v>
      </c>
      <c r="C11" s="70">
        <f>VLOOKUP($C$5,'Sectors Trend'!$B$28:$BB$45,VLOOKUP(A11,$U:$V,2,),)</f>
        <v>2</v>
      </c>
      <c r="D11" s="70">
        <f>VLOOKUP($D$5,'Sectors Trend'!$B$28:$BB$45,VLOOKUP(A11,$U:$V,2,),)</f>
        <v>14</v>
      </c>
      <c r="E11" s="70">
        <f>VLOOKUP($E$5,'Sectors Trend'!$B$28:$BB$45,VLOOKUP(A11,$U:$V,2,),)</f>
        <v>15</v>
      </c>
      <c r="F11" s="70">
        <f>VLOOKUP($F$5,'Sectors Trend'!$B$28:$BB$45,VLOOKUP(A11,$U:$V,2,),)</f>
        <v>0</v>
      </c>
      <c r="G11" s="70">
        <f>VLOOKUP($G$5,'Sectors Trend'!$B$28:$BB$45,VLOOKUP(A11,$U:$V,2,),)</f>
        <v>9</v>
      </c>
      <c r="H11" s="70">
        <f>VLOOKUP($H$5,'Sectors Trend'!$B$28:$BB$45,VLOOKUP(A11,$U:$V,2,),)</f>
        <v>13</v>
      </c>
      <c r="I11" s="70">
        <f>VLOOKUP($I$5,'Sectors Trend'!$B$28:$BB$45,VLOOKUP(A11,$U:$V,2,),)</f>
        <v>6</v>
      </c>
      <c r="J11" s="70">
        <f>VLOOKUP($J$5,'Sectors Trend'!$B$28:$BB$45,VLOOKUP(A11,$U:$V,2,),)</f>
        <v>10</v>
      </c>
      <c r="K11" s="70">
        <f>VLOOKUP($K$5,'Sectors Trend'!$B$28:$BB$45,VLOOKUP(A11,$U:$V,2,),)</f>
        <v>4</v>
      </c>
      <c r="L11" s="70">
        <f>VLOOKUP($L$5,'Sectors Trend'!$B$28:$BB$45,VLOOKUP(A11,$U:$V,2,),)</f>
        <v>5</v>
      </c>
      <c r="M11" s="70">
        <f>VLOOKUP($M$5,'Sectors Trend'!$B$28:$BB$45,VLOOKUP(A11,$U:$V,2,),)</f>
        <v>11</v>
      </c>
      <c r="N11" s="70">
        <f>VLOOKUP($N$5,'Sectors Trend'!$B$28:$BB$45,VLOOKUP(A11,$U:$V,2,),)</f>
        <v>1</v>
      </c>
      <c r="O11" s="70">
        <f>VLOOKUP($O$5,'Sectors Trend'!$B$28:$BB$45,VLOOKUP(A11,$U:$V,2,),)</f>
        <v>3</v>
      </c>
      <c r="P11" s="70">
        <f>VLOOKUP($P$5,'Sectors Trend'!$B$28:$BB$45,VLOOKUP(A11,$U:$V,2,),)</f>
        <v>8</v>
      </c>
      <c r="Q11" s="70">
        <f>VLOOKUP($Q$5,'Sectors Trend'!$B$28:$BB$45,VLOOKUP(A11,$U:$V,2,),)</f>
        <v>12</v>
      </c>
      <c r="R11" s="70">
        <f>VLOOKUP($R$5,'Sectors Trend'!$B$28:$BB$45,VLOOKUP(A11,$U:$V,2,),)</f>
        <v>16</v>
      </c>
      <c r="S11" s="71">
        <f>VLOOKUP($S$5,'Sectors Trend'!$B$28:$BB$45,VLOOKUP(A11,$U:$V,2,),)</f>
        <v>17</v>
      </c>
      <c r="U11" s="62">
        <f>L1</f>
        <v>44927</v>
      </c>
      <c r="V11" s="13">
        <f>L2</f>
        <v>49</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90" zoomScaleNormal="90" workbookViewId="0">
      <selection activeCell="C255" sqref="C255"/>
    </sheetView>
  </sheetViews>
  <sheetFormatPr defaultColWidth="9.1796875" defaultRowHeight="14.5" x14ac:dyDescent="0.35"/>
  <cols>
    <col min="1" max="1" width="9.6328125" style="90" customWidth="1"/>
    <col min="2" max="18" width="8.81640625" style="90" customWidth="1"/>
    <col min="19" max="19" width="11.36328125" style="90" customWidth="1"/>
    <col min="20" max="20" width="8.81640625" style="90" customWidth="1"/>
    <col min="21" max="61" width="9.1796875" style="90" customWidth="1"/>
    <col min="62" max="16384" width="9.1796875" style="90"/>
  </cols>
  <sheetData>
    <row r="1" spans="1:25" x14ac:dyDescent="0.35">
      <c r="J1" s="90" t="s">
        <v>74</v>
      </c>
      <c r="L1" s="62">
        <f>Sectors!L1</f>
        <v>44927</v>
      </c>
      <c r="O1" s="6"/>
    </row>
    <row r="2" spans="1:25" x14ac:dyDescent="0.35">
      <c r="L2" s="90">
        <f>Sectors!L2</f>
        <v>49</v>
      </c>
      <c r="Y2" s="62"/>
    </row>
    <row r="4" spans="1:25" ht="16" customHeight="1" thickBot="1" x14ac:dyDescent="0.4">
      <c r="U4" s="62">
        <f t="shared" ref="U4:U10" si="0">DATE(YEAR(U5),MONTH(U5)-1,DAY(U5))</f>
        <v>44713</v>
      </c>
      <c r="V4" s="13">
        <f t="shared" ref="V4:V10" si="1">V5-1</f>
        <v>42</v>
      </c>
    </row>
    <row r="5" spans="1:25" ht="45" customHeight="1" thickBot="1" x14ac:dyDescent="0.4">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44743</v>
      </c>
      <c r="V5" s="13">
        <f t="shared" si="1"/>
        <v>43</v>
      </c>
    </row>
    <row r="6" spans="1:25" x14ac:dyDescent="0.35">
      <c r="A6" s="64">
        <f>DATE(YEAR(A7),MONTH(A7)-1,DAY(A7))</f>
        <v>44774</v>
      </c>
      <c r="B6" s="65">
        <f>VLOOKUP($B$5,'Sectors Trend'!$B$50:$BB$67,VLOOKUP(A6,$U:$V,2,),)</f>
        <v>2</v>
      </c>
      <c r="C6" s="65">
        <f>VLOOKUP($C$5,'Sectors Trend'!$B$50:$BB$67,VLOOKUP(A6,$U:$V,2,),)</f>
        <v>0</v>
      </c>
      <c r="D6" s="65">
        <f>VLOOKUP($D$5,'Sectors Trend'!$B$50:$BB$67,VLOOKUP(A6,$U:$V,2,),)</f>
        <v>-6</v>
      </c>
      <c r="E6" s="65">
        <f>VLOOKUP($E$5,'Sectors Trend'!$B$50:$BB$67,VLOOKUP(A6,$U:$V,2,),)</f>
        <v>-9</v>
      </c>
      <c r="F6" s="65">
        <f>VLOOKUP($F$5,'Sectors Trend'!$B$50:$BB$67,VLOOKUP(A6,$U:$V,2,),)</f>
        <v>0</v>
      </c>
      <c r="G6" s="65">
        <f>VLOOKUP($G$5,'Sectors Trend'!$B$50:$BB$67,VLOOKUP(A6,$U:$V,2,),)</f>
        <v>-5</v>
      </c>
      <c r="H6" s="65">
        <f>VLOOKUP($H$5,'Sectors Trend'!$B$50:$BB$67,VLOOKUP(A6,$U:$V,2,),)</f>
        <v>6</v>
      </c>
      <c r="I6" s="65">
        <f>VLOOKUP($I$5,'Sectors Trend'!$B$50:$BB$67,VLOOKUP(A6,$U:$V,2,),)</f>
        <v>4</v>
      </c>
      <c r="J6" s="65">
        <f>VLOOKUP($J$5,'Sectors Trend'!$B$50:$BB$67,VLOOKUP(A6,$U:$V,2,),)</f>
        <v>1</v>
      </c>
      <c r="K6" s="65">
        <f>VLOOKUP($K$5,'Sectors Trend'!$B$50:$BB$67,VLOOKUP(A6,$U:$V,2,),)</f>
        <v>-2</v>
      </c>
      <c r="L6" s="65">
        <f>VLOOKUP($L$5,'Sectors Trend'!$B$50:$BB$67,VLOOKUP(A6,$U:$V,2,),)</f>
        <v>-3</v>
      </c>
      <c r="M6" s="65">
        <f>VLOOKUP($M$5,'Sectors Trend'!$B$50:$BB$67,VLOOKUP(A6,$U:$V,2,),)</f>
        <v>0</v>
      </c>
      <c r="N6" s="65">
        <f>VLOOKUP($N$5,'Sectors Trend'!$B$50:$BB$67,VLOOKUP(A6,$U:$V,2,),)</f>
        <v>3</v>
      </c>
      <c r="O6" s="65">
        <f>VLOOKUP($O$5,'Sectors Trend'!$B$50:$BB$67,VLOOKUP(A6,$U:$V,2,),)</f>
        <v>-4</v>
      </c>
      <c r="P6" s="65">
        <f>VLOOKUP($P$5,'Sectors Trend'!$B$50:$BB$67,VLOOKUP(A6,$U:$V,2,),)</f>
        <v>-1</v>
      </c>
      <c r="Q6" s="65">
        <f>VLOOKUP($Q$5,'Sectors Trend'!$B$50:$BB$67,VLOOKUP(A6,$U:$V,2,),)</f>
        <v>5</v>
      </c>
      <c r="R6" s="65">
        <f>VLOOKUP($R$5,'Sectors Trend'!$B$50:$BB$67,VLOOKUP(A6,$U:$V,2,),)</f>
        <v>-8</v>
      </c>
      <c r="S6" s="66">
        <f>VLOOKUP($S$5,'Sectors Trend'!$B$50:$BB$67,VLOOKUP(A6,$U:$V,2,),)</f>
        <v>-7</v>
      </c>
      <c r="U6" s="62">
        <f t="shared" si="0"/>
        <v>44774</v>
      </c>
      <c r="V6" s="13">
        <f t="shared" si="1"/>
        <v>44</v>
      </c>
    </row>
    <row r="7" spans="1:25" x14ac:dyDescent="0.35">
      <c r="A7" s="67">
        <f>DATE(YEAR(A8),MONTH(A8)-1,DAY(A8))</f>
        <v>44805</v>
      </c>
      <c r="B7" s="5">
        <f>VLOOKUP($B$5,'Sectors Trend'!$B$50:$BB$67,VLOOKUP(A7,$U:$V,2,),)</f>
        <v>5</v>
      </c>
      <c r="C7" s="5">
        <f>VLOOKUP($C$5,'Sectors Trend'!$B$50:$BB$67,VLOOKUP(A7,$U:$V,2,),)</f>
        <v>1</v>
      </c>
      <c r="D7" s="5">
        <f>VLOOKUP($D$5,'Sectors Trend'!$B$50:$BB$67,VLOOKUP(A7,$U:$V,2,),)</f>
        <v>0</v>
      </c>
      <c r="E7" s="5">
        <f>VLOOKUP($E$5,'Sectors Trend'!$B$50:$BB$67,VLOOKUP(A7,$U:$V,2,),)</f>
        <v>0</v>
      </c>
      <c r="F7" s="5">
        <f>VLOOKUP($F$5,'Sectors Trend'!$B$50:$BB$67,VLOOKUP(A7,$U:$V,2,),)</f>
        <v>-6</v>
      </c>
      <c r="G7" s="5">
        <f>VLOOKUP($G$5,'Sectors Trend'!$B$50:$BB$67,VLOOKUP(A7,$U:$V,2,),)</f>
        <v>7</v>
      </c>
      <c r="H7" s="5">
        <f>VLOOKUP($H$5,'Sectors Trend'!$B$50:$BB$67,VLOOKUP(A7,$U:$V,2,),)</f>
        <v>8</v>
      </c>
      <c r="I7" s="5">
        <f>VLOOKUP($I$5,'Sectors Trend'!$B$50:$BB$67,VLOOKUP(A7,$U:$V,2,),)</f>
        <v>-3</v>
      </c>
      <c r="J7" s="5">
        <f>VLOOKUP($J$5,'Sectors Trend'!$B$50:$BB$67,VLOOKUP(A7,$U:$V,2,),)</f>
        <v>6</v>
      </c>
      <c r="K7" s="5">
        <f>VLOOKUP($K$5,'Sectors Trend'!$B$50:$BB$67,VLOOKUP(A7,$U:$V,2,),)</f>
        <v>3</v>
      </c>
      <c r="L7" s="5">
        <f>VLOOKUP($L$5,'Sectors Trend'!$B$50:$BB$67,VLOOKUP(A7,$U:$V,2,),)</f>
        <v>-1</v>
      </c>
      <c r="M7" s="5">
        <f>VLOOKUP($M$5,'Sectors Trend'!$B$50:$BB$67,VLOOKUP(A7,$U:$V,2,),)</f>
        <v>-5</v>
      </c>
      <c r="N7" s="5">
        <f>VLOOKUP($N$5,'Sectors Trend'!$B$50:$BB$67,VLOOKUP(A7,$U:$V,2,),)</f>
        <v>0</v>
      </c>
      <c r="O7" s="5">
        <f>VLOOKUP($O$5,'Sectors Trend'!$B$50:$BB$67,VLOOKUP(A7,$U:$V,2,),)</f>
        <v>-2</v>
      </c>
      <c r="P7" s="5">
        <f>VLOOKUP($P$5,'Sectors Trend'!$B$50:$BB$67,VLOOKUP(A7,$U:$V,2,),)</f>
        <v>2</v>
      </c>
      <c r="Q7" s="5">
        <f>VLOOKUP($Q$5,'Sectors Trend'!$B$50:$BB$67,VLOOKUP(A7,$U:$V,2,),)</f>
        <v>4</v>
      </c>
      <c r="R7" s="5">
        <f>VLOOKUP($R$5,'Sectors Trend'!$B$50:$BB$67,VLOOKUP(A7,$U:$V,2,),)</f>
        <v>-7</v>
      </c>
      <c r="S7" s="68">
        <f>VLOOKUP($S$5,'Sectors Trend'!$B$50:$BB$67,VLOOKUP(A7,$U:$V,2,),)</f>
        <v>-4</v>
      </c>
      <c r="U7" s="62">
        <f t="shared" si="0"/>
        <v>44805</v>
      </c>
      <c r="V7" s="13">
        <f t="shared" si="1"/>
        <v>45</v>
      </c>
    </row>
    <row r="8" spans="1:25" x14ac:dyDescent="0.35">
      <c r="A8" s="67">
        <f>DATE(YEAR(A9),MONTH(A9)-1,DAY(A9))</f>
        <v>44835</v>
      </c>
      <c r="B8" s="5">
        <f>VLOOKUP($B$5,'Sectors Trend'!$B$50:$BB$67,VLOOKUP(A8,$U:$V,2,),)</f>
        <v>2</v>
      </c>
      <c r="C8" s="5">
        <f>VLOOKUP($C$5,'Sectors Trend'!$B$50:$BB$67,VLOOKUP(A8,$U:$V,2,),)</f>
        <v>5</v>
      </c>
      <c r="D8" s="5">
        <f>VLOOKUP($D$5,'Sectors Trend'!$B$50:$BB$67,VLOOKUP(A8,$U:$V,2,),)</f>
        <v>-5</v>
      </c>
      <c r="E8" s="5">
        <f>VLOOKUP($E$5,'Sectors Trend'!$B$50:$BB$67,VLOOKUP(A8,$U:$V,2,),)</f>
        <v>0</v>
      </c>
      <c r="F8" s="5">
        <f>VLOOKUP($F$5,'Sectors Trend'!$B$50:$BB$67,VLOOKUP(A8,$U:$V,2,),)</f>
        <v>0</v>
      </c>
      <c r="G8" s="5">
        <f>VLOOKUP($G$5,'Sectors Trend'!$B$50:$BB$67,VLOOKUP(A8,$U:$V,2,),)</f>
        <v>3</v>
      </c>
      <c r="H8" s="5">
        <f>VLOOKUP($H$5,'Sectors Trend'!$B$50:$BB$67,VLOOKUP(A8,$U:$V,2,),)</f>
        <v>0</v>
      </c>
      <c r="I8" s="5">
        <f>VLOOKUP($I$5,'Sectors Trend'!$B$50:$BB$67,VLOOKUP(A8,$U:$V,2,),)</f>
        <v>-4</v>
      </c>
      <c r="J8" s="5">
        <f>VLOOKUP($J$5,'Sectors Trend'!$B$50:$BB$67,VLOOKUP(A8,$U:$V,2,),)</f>
        <v>6</v>
      </c>
      <c r="K8" s="5">
        <f>VLOOKUP($K$5,'Sectors Trend'!$B$50:$BB$67,VLOOKUP(A8,$U:$V,2,),)</f>
        <v>0</v>
      </c>
      <c r="L8" s="5">
        <f>VLOOKUP($L$5,'Sectors Trend'!$B$50:$BB$67,VLOOKUP(A8,$U:$V,2,),)</f>
        <v>-2</v>
      </c>
      <c r="M8" s="5">
        <f>VLOOKUP($M$5,'Sectors Trend'!$B$50:$BB$67,VLOOKUP(A8,$U:$V,2,),)</f>
        <v>-7</v>
      </c>
      <c r="N8" s="5">
        <f>VLOOKUP($N$5,'Sectors Trend'!$B$50:$BB$67,VLOOKUP(A8,$U:$V,2,),)</f>
        <v>4</v>
      </c>
      <c r="O8" s="5">
        <f>VLOOKUP($O$5,'Sectors Trend'!$B$50:$BB$67,VLOOKUP(A8,$U:$V,2,),)</f>
        <v>-1</v>
      </c>
      <c r="P8" s="5">
        <f>VLOOKUP($P$5,'Sectors Trend'!$B$50:$BB$67,VLOOKUP(A8,$U:$V,2,),)</f>
        <v>1</v>
      </c>
      <c r="Q8" s="5">
        <f>VLOOKUP($Q$5,'Sectors Trend'!$B$50:$BB$67,VLOOKUP(A8,$U:$V,2,),)</f>
        <v>-3</v>
      </c>
      <c r="R8" s="5">
        <f>VLOOKUP($R$5,'Sectors Trend'!$B$50:$BB$67,VLOOKUP(A8,$U:$V,2,),)</f>
        <v>-8</v>
      </c>
      <c r="S8" s="68">
        <f>VLOOKUP($S$5,'Sectors Trend'!$B$50:$BB$67,VLOOKUP(A8,$U:$V,2,),)</f>
        <v>-6</v>
      </c>
      <c r="U8" s="62">
        <f t="shared" si="0"/>
        <v>44835</v>
      </c>
      <c r="V8" s="13">
        <f t="shared" si="1"/>
        <v>46</v>
      </c>
    </row>
    <row r="9" spans="1:25" x14ac:dyDescent="0.35">
      <c r="A9" s="67">
        <f>DATE(YEAR(A10),MONTH(A10)-1,DAY(A10))</f>
        <v>44866</v>
      </c>
      <c r="B9" s="5">
        <f>VLOOKUP($B$5,'Sectors Trend'!$B$50:$BB$67,VLOOKUP(A9,$U:$V,2,),)</f>
        <v>-4</v>
      </c>
      <c r="C9" s="5">
        <f>VLOOKUP($C$5,'Sectors Trend'!$B$50:$BB$67,VLOOKUP(A9,$U:$V,2,),)</f>
        <v>4</v>
      </c>
      <c r="D9" s="5">
        <f>VLOOKUP($D$5,'Sectors Trend'!$B$50:$BB$67,VLOOKUP(A9,$U:$V,2,),)</f>
        <v>0</v>
      </c>
      <c r="E9" s="5">
        <f>VLOOKUP($E$5,'Sectors Trend'!$B$50:$BB$67,VLOOKUP(A9,$U:$V,2,),)</f>
        <v>7</v>
      </c>
      <c r="F9" s="5">
        <f>VLOOKUP($F$5,'Sectors Trend'!$B$50:$BB$67,VLOOKUP(A9,$U:$V,2,),)</f>
        <v>-7</v>
      </c>
      <c r="G9" s="5">
        <f>VLOOKUP($G$5,'Sectors Trend'!$B$50:$BB$67,VLOOKUP(A9,$U:$V,2,),)</f>
        <v>6</v>
      </c>
      <c r="H9" s="5">
        <f>VLOOKUP($H$5,'Sectors Trend'!$B$50:$BB$67,VLOOKUP(A9,$U:$V,2,),)</f>
        <v>5</v>
      </c>
      <c r="I9" s="5">
        <f>VLOOKUP($I$5,'Sectors Trend'!$B$50:$BB$67,VLOOKUP(A9,$U:$V,2,),)</f>
        <v>0</v>
      </c>
      <c r="J9" s="5">
        <f>VLOOKUP($J$5,'Sectors Trend'!$B$50:$BB$67,VLOOKUP(A9,$U:$V,2,),)</f>
        <v>3</v>
      </c>
      <c r="K9" s="5">
        <f>VLOOKUP($K$5,'Sectors Trend'!$B$50:$BB$67,VLOOKUP(A9,$U:$V,2,),)</f>
        <v>-2</v>
      </c>
      <c r="L9" s="5">
        <f>VLOOKUP($L$5,'Sectors Trend'!$B$50:$BB$67,VLOOKUP(A9,$U:$V,2,),)</f>
        <v>-3</v>
      </c>
      <c r="M9" s="5">
        <f>VLOOKUP($M$5,'Sectors Trend'!$B$50:$BB$67,VLOOKUP(A9,$U:$V,2,),)</f>
        <v>-5</v>
      </c>
      <c r="N9" s="5">
        <f>VLOOKUP($N$5,'Sectors Trend'!$B$50:$BB$67,VLOOKUP(A9,$U:$V,2,),)</f>
        <v>2</v>
      </c>
      <c r="O9" s="5">
        <f>VLOOKUP($O$5,'Sectors Trend'!$B$50:$BB$67,VLOOKUP(A9,$U:$V,2,),)</f>
        <v>0</v>
      </c>
      <c r="P9" s="5">
        <f>VLOOKUP($P$5,'Sectors Trend'!$B$50:$BB$67,VLOOKUP(A9,$U:$V,2,),)</f>
        <v>-1</v>
      </c>
      <c r="Q9" s="5">
        <f>VLOOKUP($Q$5,'Sectors Trend'!$B$50:$BB$67,VLOOKUP(A9,$U:$V,2,),)</f>
        <v>1</v>
      </c>
      <c r="R9" s="5">
        <f>VLOOKUP($R$5,'Sectors Trend'!$B$50:$BB$67,VLOOKUP(A9,$U:$V,2,),)</f>
        <v>-6</v>
      </c>
      <c r="S9" s="68">
        <f>VLOOKUP($S$5,'Sectors Trend'!$B$50:$BB$67,VLOOKUP(A9,$U:$V,2,),)</f>
        <v>0</v>
      </c>
      <c r="U9" s="62">
        <f t="shared" si="0"/>
        <v>44866</v>
      </c>
      <c r="V9" s="13">
        <f t="shared" si="1"/>
        <v>47</v>
      </c>
    </row>
    <row r="10" spans="1:25" x14ac:dyDescent="0.35">
      <c r="A10" s="67">
        <f>DATE(YEAR(A11),MONTH(A11)-1,DAY(A11))</f>
        <v>44896</v>
      </c>
      <c r="B10" s="5">
        <f>VLOOKUP($B$5,'Sectors Trend'!$B$50:$BB$67,VLOOKUP(A10,$U:$V,2,),)</f>
        <v>1</v>
      </c>
      <c r="C10" s="5">
        <f>VLOOKUP($C$5,'Sectors Trend'!$B$50:$BB$67,VLOOKUP(A10,$U:$V,2,),)</f>
        <v>-1</v>
      </c>
      <c r="D10" s="5">
        <f>VLOOKUP($D$5,'Sectors Trend'!$B$50:$BB$67,VLOOKUP(A10,$U:$V,2,),)</f>
        <v>-6</v>
      </c>
      <c r="E10" s="5">
        <f>VLOOKUP($E$5,'Sectors Trend'!$B$50:$BB$67,VLOOKUP(A10,$U:$V,2,),)</f>
        <v>0</v>
      </c>
      <c r="F10" s="5">
        <f>VLOOKUP($F$5,'Sectors Trend'!$B$50:$BB$67,VLOOKUP(A10,$U:$V,2,),)</f>
        <v>0</v>
      </c>
      <c r="G10" s="5">
        <f>VLOOKUP($G$5,'Sectors Trend'!$B$50:$BB$67,VLOOKUP(A10,$U:$V,2,),)</f>
        <v>4</v>
      </c>
      <c r="H10" s="5">
        <f>VLOOKUP($H$5,'Sectors Trend'!$B$50:$BB$67,VLOOKUP(A10,$U:$V,2,),)</f>
        <v>0</v>
      </c>
      <c r="I10" s="5">
        <f>VLOOKUP($I$5,'Sectors Trend'!$B$50:$BB$67,VLOOKUP(A10,$U:$V,2,),)</f>
        <v>0</v>
      </c>
      <c r="J10" s="5">
        <f>VLOOKUP($J$5,'Sectors Trend'!$B$50:$BB$67,VLOOKUP(A10,$U:$V,2,),)</f>
        <v>-3</v>
      </c>
      <c r="K10" s="5">
        <f>VLOOKUP($K$5,'Sectors Trend'!$B$50:$BB$67,VLOOKUP(A10,$U:$V,2,),)</f>
        <v>-2</v>
      </c>
      <c r="L10" s="5">
        <f>VLOOKUP($L$5,'Sectors Trend'!$B$50:$BB$67,VLOOKUP(A10,$U:$V,2,),)</f>
        <v>0</v>
      </c>
      <c r="M10" s="5">
        <f>VLOOKUP($M$5,'Sectors Trend'!$B$50:$BB$67,VLOOKUP(A10,$U:$V,2,),)</f>
        <v>-4</v>
      </c>
      <c r="N10" s="5">
        <f>VLOOKUP($N$5,'Sectors Trend'!$B$50:$BB$67,VLOOKUP(A10,$U:$V,2,),)</f>
        <v>2</v>
      </c>
      <c r="O10" s="5">
        <f>VLOOKUP($O$5,'Sectors Trend'!$B$50:$BB$67,VLOOKUP(A10,$U:$V,2,),)</f>
        <v>-8</v>
      </c>
      <c r="P10" s="5">
        <f>VLOOKUP($P$5,'Sectors Trend'!$B$50:$BB$67,VLOOKUP(A10,$U:$V,2,),)</f>
        <v>-5</v>
      </c>
      <c r="Q10" s="5">
        <f>VLOOKUP($Q$5,'Sectors Trend'!$B$50:$BB$67,VLOOKUP(A10,$U:$V,2,),)</f>
        <v>3</v>
      </c>
      <c r="R10" s="5">
        <f>VLOOKUP($R$5,'Sectors Trend'!$B$50:$BB$67,VLOOKUP(A10,$U:$V,2,),)</f>
        <v>0</v>
      </c>
      <c r="S10" s="68">
        <f>VLOOKUP($S$5,'Sectors Trend'!$B$50:$BB$67,VLOOKUP(A10,$U:$V,2,),)</f>
        <v>-7</v>
      </c>
      <c r="U10" s="62">
        <f t="shared" si="0"/>
        <v>44896</v>
      </c>
      <c r="V10" s="13">
        <f t="shared" si="1"/>
        <v>48</v>
      </c>
    </row>
    <row r="11" spans="1:25" ht="16" customHeight="1" thickBot="1" x14ac:dyDescent="0.4">
      <c r="A11" s="69">
        <f>L1</f>
        <v>44927</v>
      </c>
      <c r="B11" s="70">
        <f>VLOOKUP($B$5,'Sectors Trend'!$B$50:$BB$67,VLOOKUP(A11,$U:$V,2,),)</f>
        <v>4</v>
      </c>
      <c r="C11" s="70">
        <f>VLOOKUP($C$5,'Sectors Trend'!$B$50:$BB$67,VLOOKUP(A11,$U:$V,2,),)</f>
        <v>-1</v>
      </c>
      <c r="D11" s="70">
        <f>VLOOKUP($D$5,'Sectors Trend'!$B$50:$BB$67,VLOOKUP(A11,$U:$V,2,),)</f>
        <v>11</v>
      </c>
      <c r="E11" s="70">
        <f>VLOOKUP($E$5,'Sectors Trend'!$B$50:$BB$67,VLOOKUP(A11,$U:$V,2,),)</f>
        <v>0</v>
      </c>
      <c r="F11" s="70">
        <f>VLOOKUP($F$5,'Sectors Trend'!$B$50:$BB$67,VLOOKUP(A11,$U:$V,2,),)</f>
        <v>12</v>
      </c>
      <c r="G11" s="70">
        <f>VLOOKUP($G$5,'Sectors Trend'!$B$50:$BB$67,VLOOKUP(A11,$U:$V,2,),)</f>
        <v>8</v>
      </c>
      <c r="H11" s="70">
        <f>VLOOKUP($H$5,'Sectors Trend'!$B$50:$BB$67,VLOOKUP(A11,$U:$V,2,),)</f>
        <v>13</v>
      </c>
      <c r="I11" s="70">
        <f>VLOOKUP($I$5,'Sectors Trend'!$B$50:$BB$67,VLOOKUP(A11,$U:$V,2,),)</f>
        <v>0</v>
      </c>
      <c r="J11" s="70">
        <f>VLOOKUP($J$5,'Sectors Trend'!$B$50:$BB$67,VLOOKUP(A11,$U:$V,2,),)</f>
        <v>10</v>
      </c>
      <c r="K11" s="70">
        <f>VLOOKUP($K$5,'Sectors Trend'!$B$50:$BB$67,VLOOKUP(A11,$U:$V,2,),)</f>
        <v>3</v>
      </c>
      <c r="L11" s="70">
        <f>VLOOKUP($L$5,'Sectors Trend'!$B$50:$BB$67,VLOOKUP(A11,$U:$V,2,),)</f>
        <v>5</v>
      </c>
      <c r="M11" s="70">
        <f>VLOOKUP($M$5,'Sectors Trend'!$B$50:$BB$67,VLOOKUP(A11,$U:$V,2,),)</f>
        <v>7</v>
      </c>
      <c r="N11" s="70">
        <f>VLOOKUP($N$5,'Sectors Trend'!$B$50:$BB$67,VLOOKUP(A11,$U:$V,2,),)</f>
        <v>2</v>
      </c>
      <c r="O11" s="70">
        <f>VLOOKUP($O$5,'Sectors Trend'!$B$50:$BB$67,VLOOKUP(A11,$U:$V,2,),)</f>
        <v>1</v>
      </c>
      <c r="P11" s="70">
        <f>VLOOKUP($P$5,'Sectors Trend'!$B$50:$BB$67,VLOOKUP(A11,$U:$V,2,),)</f>
        <v>0</v>
      </c>
      <c r="Q11" s="70">
        <f>VLOOKUP($Q$5,'Sectors Trend'!$B$50:$BB$67,VLOOKUP(A11,$U:$V,2,),)</f>
        <v>6</v>
      </c>
      <c r="R11" s="70">
        <f>VLOOKUP($R$5,'Sectors Trend'!$B$50:$BB$67,VLOOKUP(A11,$U:$V,2,),)</f>
        <v>14</v>
      </c>
      <c r="S11" s="71">
        <f>VLOOKUP($S$5,'Sectors Trend'!$B$50:$BB$67,VLOOKUP(A11,$U:$V,2,),)</f>
        <v>9</v>
      </c>
      <c r="U11" s="62">
        <f>L1</f>
        <v>44927</v>
      </c>
      <c r="V11" s="13">
        <f>L2</f>
        <v>49</v>
      </c>
    </row>
    <row r="12" spans="1:25" x14ac:dyDescent="0.35">
      <c r="R12" s="62"/>
    </row>
    <row r="13" spans="1:25" x14ac:dyDescent="0.35">
      <c r="R13" s="62"/>
    </row>
    <row r="14" spans="1:25" x14ac:dyDescent="0.35">
      <c r="R14" s="62"/>
    </row>
    <row r="15" spans="1:25" x14ac:dyDescent="0.35">
      <c r="R15" s="62"/>
    </row>
    <row r="16" spans="1:25" x14ac:dyDescent="0.35">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XG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F60" sqref="BF60"/>
    </sheetView>
  </sheetViews>
  <sheetFormatPr defaultColWidth="8.81640625" defaultRowHeight="14.5" x14ac:dyDescent="0.35"/>
  <cols>
    <col min="1" max="1" width="9.1796875" style="90" customWidth="1"/>
    <col min="2" max="2" width="30.36328125" style="90" customWidth="1"/>
    <col min="3" max="50" width="10.6328125" style="19" customWidth="1"/>
    <col min="51" max="54" width="10.1796875" style="90" customWidth="1"/>
    <col min="55" max="56" width="9.1796875" style="90" customWidth="1"/>
    <col min="57" max="57" width="10.6328125" style="90" bestFit="1" customWidth="1"/>
    <col min="58" max="257" width="9.1796875" style="90" customWidth="1"/>
    <col min="258" max="258" width="28.6328125" style="90" customWidth="1"/>
    <col min="259" max="259" width="9" style="90" bestFit="1" customWidth="1"/>
    <col min="260" max="260" width="5.36328125" style="90" customWidth="1"/>
    <col min="261" max="261" width="9" style="90" bestFit="1" customWidth="1"/>
    <col min="262" max="262" width="5.36328125" style="90" customWidth="1"/>
    <col min="263" max="263" width="9" style="90" bestFit="1" customWidth="1"/>
    <col min="264" max="264" width="5" style="90" customWidth="1"/>
    <col min="265" max="265" width="9" style="90" bestFit="1" customWidth="1"/>
    <col min="266" max="266" width="5.1796875" style="90" customWidth="1"/>
    <col min="267" max="267" width="9.1796875" style="90" customWidth="1"/>
    <col min="268" max="268" width="6" style="90" customWidth="1"/>
    <col min="269" max="269" width="9.1796875" style="90" customWidth="1"/>
    <col min="270" max="270" width="6" style="90" customWidth="1"/>
    <col min="271" max="272" width="10.1796875" style="90" customWidth="1"/>
    <col min="273" max="273" width="10" style="90" customWidth="1"/>
    <col min="274" max="274" width="10.36328125" style="90" customWidth="1"/>
    <col min="275" max="285" width="9.1796875" style="90" customWidth="1"/>
    <col min="286" max="286" width="11.36328125" style="90" customWidth="1"/>
    <col min="287" max="307" width="13" style="90" hidden="1" customWidth="1"/>
    <col min="308" max="513" width="9.1796875" style="90" customWidth="1"/>
    <col min="514" max="514" width="28.6328125" style="90" customWidth="1"/>
    <col min="515" max="515" width="9" style="90" bestFit="1" customWidth="1"/>
    <col min="516" max="516" width="5.36328125" style="90" customWidth="1"/>
    <col min="517" max="517" width="9" style="90" bestFit="1" customWidth="1"/>
    <col min="518" max="518" width="5.36328125" style="90" customWidth="1"/>
    <col min="519" max="519" width="9" style="90" bestFit="1" customWidth="1"/>
    <col min="520" max="520" width="5" style="90" customWidth="1"/>
    <col min="521" max="521" width="9" style="90" bestFit="1" customWidth="1"/>
    <col min="522" max="522" width="5.1796875" style="90" customWidth="1"/>
    <col min="523" max="523" width="9.1796875" style="90" customWidth="1"/>
    <col min="524" max="524" width="6" style="90" customWidth="1"/>
    <col min="525" max="525" width="9.1796875" style="90" customWidth="1"/>
    <col min="526" max="526" width="6" style="90" customWidth="1"/>
    <col min="527" max="528" width="10.1796875" style="90" customWidth="1"/>
    <col min="529" max="529" width="10" style="90" customWidth="1"/>
    <col min="530" max="530" width="10.36328125" style="90" customWidth="1"/>
    <col min="531" max="541" width="9.1796875" style="90" customWidth="1"/>
    <col min="542" max="542" width="11.36328125" style="90" customWidth="1"/>
    <col min="543" max="563" width="13" style="90" hidden="1" customWidth="1"/>
    <col min="564" max="769" width="9.1796875" style="90" customWidth="1"/>
    <col min="770" max="770" width="28.6328125" style="90" customWidth="1"/>
    <col min="771" max="771" width="9" style="90" bestFit="1" customWidth="1"/>
    <col min="772" max="772" width="5.36328125" style="90" customWidth="1"/>
    <col min="773" max="773" width="9" style="90" bestFit="1" customWidth="1"/>
    <col min="774" max="774" width="5.36328125" style="90" customWidth="1"/>
    <col min="775" max="775" width="9" style="90" bestFit="1" customWidth="1"/>
    <col min="776" max="776" width="5" style="90" customWidth="1"/>
    <col min="777" max="777" width="9" style="90" bestFit="1" customWidth="1"/>
    <col min="778" max="778" width="5.1796875" style="90" customWidth="1"/>
    <col min="779" max="779" width="9.1796875" style="90" customWidth="1"/>
    <col min="780" max="780" width="6" style="90" customWidth="1"/>
    <col min="781" max="781" width="9.1796875" style="90" customWidth="1"/>
    <col min="782" max="782" width="6" style="90" customWidth="1"/>
    <col min="783" max="784" width="10.1796875" style="90" customWidth="1"/>
    <col min="785" max="785" width="10" style="90" customWidth="1"/>
    <col min="786" max="786" width="10.36328125" style="90" customWidth="1"/>
    <col min="787" max="797" width="9.1796875" style="90" customWidth="1"/>
    <col min="798" max="798" width="11.36328125" style="90" customWidth="1"/>
    <col min="799" max="819" width="13" style="90" hidden="1" customWidth="1"/>
    <col min="820" max="1025" width="9.1796875" style="90" customWidth="1"/>
    <col min="1026" max="1026" width="28.6328125" style="90" customWidth="1"/>
    <col min="1027" max="1027" width="9" style="90" bestFit="1" customWidth="1"/>
    <col min="1028" max="1028" width="5.36328125" style="90" customWidth="1"/>
    <col min="1029" max="1029" width="9" style="90" bestFit="1" customWidth="1"/>
    <col min="1030" max="1030" width="5.36328125" style="90" customWidth="1"/>
    <col min="1031" max="1031" width="9" style="90" bestFit="1" customWidth="1"/>
    <col min="1032" max="1032" width="5" style="90" customWidth="1"/>
    <col min="1033" max="1033" width="9" style="90" bestFit="1" customWidth="1"/>
    <col min="1034" max="1034" width="5.1796875" style="90" customWidth="1"/>
    <col min="1035" max="1035" width="9.1796875" style="90" customWidth="1"/>
    <col min="1036" max="1036" width="6" style="90" customWidth="1"/>
    <col min="1037" max="1037" width="9.1796875" style="90" customWidth="1"/>
    <col min="1038" max="1038" width="6" style="90" customWidth="1"/>
    <col min="1039" max="1040" width="10.1796875" style="90" customWidth="1"/>
    <col min="1041" max="1041" width="10" style="90" customWidth="1"/>
    <col min="1042" max="1042" width="10.36328125" style="90" customWidth="1"/>
    <col min="1043" max="1053" width="9.1796875" style="90" customWidth="1"/>
    <col min="1054" max="1054" width="11.36328125" style="90" customWidth="1"/>
    <col min="1055" max="1075" width="13" style="90" hidden="1" customWidth="1"/>
    <col min="1076" max="1281" width="9.1796875" style="90" customWidth="1"/>
    <col min="1282" max="1282" width="28.6328125" style="90" customWidth="1"/>
    <col min="1283" max="1283" width="9" style="90" bestFit="1" customWidth="1"/>
    <col min="1284" max="1284" width="5.36328125" style="90" customWidth="1"/>
    <col min="1285" max="1285" width="9" style="90" bestFit="1" customWidth="1"/>
    <col min="1286" max="1286" width="5.36328125" style="90" customWidth="1"/>
    <col min="1287" max="1287" width="9" style="90" bestFit="1" customWidth="1"/>
    <col min="1288" max="1288" width="5" style="90" customWidth="1"/>
    <col min="1289" max="1289" width="9" style="90" bestFit="1" customWidth="1"/>
    <col min="1290" max="1290" width="5.1796875" style="90" customWidth="1"/>
    <col min="1291" max="1291" width="9.1796875" style="90" customWidth="1"/>
    <col min="1292" max="1292" width="6" style="90" customWidth="1"/>
    <col min="1293" max="1293" width="9.1796875" style="90" customWidth="1"/>
    <col min="1294" max="1294" width="6" style="90" customWidth="1"/>
    <col min="1295" max="1296" width="10.1796875" style="90" customWidth="1"/>
    <col min="1297" max="1297" width="10" style="90" customWidth="1"/>
    <col min="1298" max="1298" width="10.36328125" style="90" customWidth="1"/>
    <col min="1299" max="1309" width="9.1796875" style="90" customWidth="1"/>
    <col min="1310" max="1310" width="11.36328125" style="90" customWidth="1"/>
    <col min="1311" max="1331" width="13" style="90" hidden="1" customWidth="1"/>
    <col min="1332" max="1537" width="9.1796875" style="90" customWidth="1"/>
    <col min="1538" max="1538" width="28.6328125" style="90" customWidth="1"/>
    <col min="1539" max="1539" width="9" style="90" bestFit="1" customWidth="1"/>
    <col min="1540" max="1540" width="5.36328125" style="90" customWidth="1"/>
    <col min="1541" max="1541" width="9" style="90" bestFit="1" customWidth="1"/>
    <col min="1542" max="1542" width="5.36328125" style="90" customWidth="1"/>
    <col min="1543" max="1543" width="9" style="90" bestFit="1" customWidth="1"/>
    <col min="1544" max="1544" width="5" style="90" customWidth="1"/>
    <col min="1545" max="1545" width="9" style="90" bestFit="1" customWidth="1"/>
    <col min="1546" max="1546" width="5.1796875" style="90" customWidth="1"/>
    <col min="1547" max="1547" width="9.1796875" style="90" customWidth="1"/>
    <col min="1548" max="1548" width="6" style="90" customWidth="1"/>
    <col min="1549" max="1549" width="9.1796875" style="90" customWidth="1"/>
    <col min="1550" max="1550" width="6" style="90" customWidth="1"/>
    <col min="1551" max="1552" width="10.1796875" style="90" customWidth="1"/>
    <col min="1553" max="1553" width="10" style="90" customWidth="1"/>
    <col min="1554" max="1554" width="10.36328125" style="90" customWidth="1"/>
    <col min="1555" max="1565" width="9.1796875" style="90" customWidth="1"/>
    <col min="1566" max="1566" width="11.36328125" style="90" customWidth="1"/>
    <col min="1567" max="1587" width="13" style="90" hidden="1" customWidth="1"/>
    <col min="1588" max="1793" width="9.1796875" style="90" customWidth="1"/>
    <col min="1794" max="1794" width="28.6328125" style="90" customWidth="1"/>
    <col min="1795" max="1795" width="9" style="90" bestFit="1" customWidth="1"/>
    <col min="1796" max="1796" width="5.36328125" style="90" customWidth="1"/>
    <col min="1797" max="1797" width="9" style="90" bestFit="1" customWidth="1"/>
    <col min="1798" max="1798" width="5.36328125" style="90" customWidth="1"/>
    <col min="1799" max="1799" width="9" style="90" bestFit="1" customWidth="1"/>
    <col min="1800" max="1800" width="5" style="90" customWidth="1"/>
    <col min="1801" max="1801" width="9" style="90" bestFit="1" customWidth="1"/>
    <col min="1802" max="1802" width="5.1796875" style="90" customWidth="1"/>
    <col min="1803" max="1803" width="9.1796875" style="90" customWidth="1"/>
    <col min="1804" max="1804" width="6" style="90" customWidth="1"/>
    <col min="1805" max="1805" width="9.1796875" style="90" customWidth="1"/>
    <col min="1806" max="1806" width="6" style="90" customWidth="1"/>
    <col min="1807" max="1808" width="10.1796875" style="90" customWidth="1"/>
    <col min="1809" max="1809" width="10" style="90" customWidth="1"/>
    <col min="1810" max="1810" width="10.36328125" style="90" customWidth="1"/>
    <col min="1811" max="1821" width="9.1796875" style="90" customWidth="1"/>
    <col min="1822" max="1822" width="11.36328125" style="90" customWidth="1"/>
    <col min="1823" max="1843" width="13" style="90" hidden="1" customWidth="1"/>
    <col min="1844" max="2049" width="9.1796875" style="90" customWidth="1"/>
    <col min="2050" max="2050" width="28.6328125" style="90" customWidth="1"/>
    <col min="2051" max="2051" width="9" style="90" bestFit="1" customWidth="1"/>
    <col min="2052" max="2052" width="5.36328125" style="90" customWidth="1"/>
    <col min="2053" max="2053" width="9" style="90" bestFit="1" customWidth="1"/>
    <col min="2054" max="2054" width="5.36328125" style="90" customWidth="1"/>
    <col min="2055" max="2055" width="9" style="90" bestFit="1" customWidth="1"/>
    <col min="2056" max="2056" width="5" style="90" customWidth="1"/>
    <col min="2057" max="2057" width="9" style="90" bestFit="1" customWidth="1"/>
    <col min="2058" max="2058" width="5.1796875" style="90" customWidth="1"/>
    <col min="2059" max="2059" width="9.1796875" style="90" customWidth="1"/>
    <col min="2060" max="2060" width="6" style="90" customWidth="1"/>
    <col min="2061" max="2061" width="9.1796875" style="90" customWidth="1"/>
    <col min="2062" max="2062" width="6" style="90" customWidth="1"/>
    <col min="2063" max="2064" width="10.1796875" style="90" customWidth="1"/>
    <col min="2065" max="2065" width="10" style="90" customWidth="1"/>
    <col min="2066" max="2066" width="10.36328125" style="90" customWidth="1"/>
    <col min="2067" max="2077" width="9.1796875" style="90" customWidth="1"/>
    <col min="2078" max="2078" width="11.36328125" style="90" customWidth="1"/>
    <col min="2079" max="2099" width="13" style="90" hidden="1" customWidth="1"/>
    <col min="2100" max="2305" width="9.1796875" style="90" customWidth="1"/>
    <col min="2306" max="2306" width="28.6328125" style="90" customWidth="1"/>
    <col min="2307" max="2307" width="9" style="90" bestFit="1" customWidth="1"/>
    <col min="2308" max="2308" width="5.36328125" style="90" customWidth="1"/>
    <col min="2309" max="2309" width="9" style="90" bestFit="1" customWidth="1"/>
    <col min="2310" max="2310" width="5.36328125" style="90" customWidth="1"/>
    <col min="2311" max="2311" width="9" style="90" bestFit="1" customWidth="1"/>
    <col min="2312" max="2312" width="5" style="90" customWidth="1"/>
    <col min="2313" max="2313" width="9" style="90" bestFit="1" customWidth="1"/>
    <col min="2314" max="2314" width="5.1796875" style="90" customWidth="1"/>
    <col min="2315" max="2315" width="9.1796875" style="90" customWidth="1"/>
    <col min="2316" max="2316" width="6" style="90" customWidth="1"/>
    <col min="2317" max="2317" width="9.1796875" style="90" customWidth="1"/>
    <col min="2318" max="2318" width="6" style="90" customWidth="1"/>
    <col min="2319" max="2320" width="10.1796875" style="90" customWidth="1"/>
    <col min="2321" max="2321" width="10" style="90" customWidth="1"/>
    <col min="2322" max="2322" width="10.36328125" style="90" customWidth="1"/>
    <col min="2323" max="2333" width="9.1796875" style="90" customWidth="1"/>
    <col min="2334" max="2334" width="11.36328125" style="90" customWidth="1"/>
    <col min="2335" max="2355" width="13" style="90" hidden="1" customWidth="1"/>
    <col min="2356" max="2561" width="9.1796875" style="90" customWidth="1"/>
    <col min="2562" max="2562" width="28.6328125" style="90" customWidth="1"/>
    <col min="2563" max="2563" width="9" style="90" bestFit="1" customWidth="1"/>
    <col min="2564" max="2564" width="5.36328125" style="90" customWidth="1"/>
    <col min="2565" max="2565" width="9" style="90" bestFit="1" customWidth="1"/>
    <col min="2566" max="2566" width="5.36328125" style="90" customWidth="1"/>
    <col min="2567" max="2567" width="9" style="90" bestFit="1" customWidth="1"/>
    <col min="2568" max="2568" width="5" style="90" customWidth="1"/>
    <col min="2569" max="2569" width="9" style="90" bestFit="1" customWidth="1"/>
    <col min="2570" max="2570" width="5.1796875" style="90" customWidth="1"/>
    <col min="2571" max="2571" width="9.1796875" style="90" customWidth="1"/>
    <col min="2572" max="2572" width="6" style="90" customWidth="1"/>
    <col min="2573" max="2573" width="9.1796875" style="90" customWidth="1"/>
    <col min="2574" max="2574" width="6" style="90" customWidth="1"/>
    <col min="2575" max="2576" width="10.1796875" style="90" customWidth="1"/>
    <col min="2577" max="2577" width="10" style="90" customWidth="1"/>
    <col min="2578" max="2578" width="10.36328125" style="90" customWidth="1"/>
    <col min="2579" max="2589" width="9.1796875" style="90" customWidth="1"/>
    <col min="2590" max="2590" width="11.36328125" style="90" customWidth="1"/>
    <col min="2591" max="2611" width="13" style="90" hidden="1" customWidth="1"/>
    <col min="2612" max="2817" width="9.1796875" style="90" customWidth="1"/>
    <col min="2818" max="2818" width="28.6328125" style="90" customWidth="1"/>
    <col min="2819" max="2819" width="9" style="90" bestFit="1" customWidth="1"/>
    <col min="2820" max="2820" width="5.36328125" style="90" customWidth="1"/>
    <col min="2821" max="2821" width="9" style="90" bestFit="1" customWidth="1"/>
    <col min="2822" max="2822" width="5.36328125" style="90" customWidth="1"/>
    <col min="2823" max="2823" width="9" style="90" bestFit="1" customWidth="1"/>
    <col min="2824" max="2824" width="5" style="90" customWidth="1"/>
    <col min="2825" max="2825" width="9" style="90" bestFit="1" customWidth="1"/>
    <col min="2826" max="2826" width="5.1796875" style="90" customWidth="1"/>
    <col min="2827" max="2827" width="9.1796875" style="90" customWidth="1"/>
    <col min="2828" max="2828" width="6" style="90" customWidth="1"/>
    <col min="2829" max="2829" width="9.1796875" style="90" customWidth="1"/>
    <col min="2830" max="2830" width="6" style="90" customWidth="1"/>
    <col min="2831" max="2832" width="10.1796875" style="90" customWidth="1"/>
    <col min="2833" max="2833" width="10" style="90" customWidth="1"/>
    <col min="2834" max="2834" width="10.36328125" style="90" customWidth="1"/>
    <col min="2835" max="2845" width="9.1796875" style="90" customWidth="1"/>
    <col min="2846" max="2846" width="11.36328125" style="90" customWidth="1"/>
    <col min="2847" max="2867" width="13" style="90" hidden="1" customWidth="1"/>
    <col min="2868" max="3073" width="9.1796875" style="90" customWidth="1"/>
    <col min="3074" max="3074" width="28.6328125" style="90" customWidth="1"/>
    <col min="3075" max="3075" width="9" style="90" bestFit="1" customWidth="1"/>
    <col min="3076" max="3076" width="5.36328125" style="90" customWidth="1"/>
    <col min="3077" max="3077" width="9" style="90" bestFit="1" customWidth="1"/>
    <col min="3078" max="3078" width="5.36328125" style="90" customWidth="1"/>
    <col min="3079" max="3079" width="9" style="90" bestFit="1" customWidth="1"/>
    <col min="3080" max="3080" width="5" style="90" customWidth="1"/>
    <col min="3081" max="3081" width="9" style="90" bestFit="1" customWidth="1"/>
    <col min="3082" max="3082" width="5.1796875" style="90" customWidth="1"/>
    <col min="3083" max="3083" width="9.1796875" style="90" customWidth="1"/>
    <col min="3084" max="3084" width="6" style="90" customWidth="1"/>
    <col min="3085" max="3085" width="9.1796875" style="90" customWidth="1"/>
    <col min="3086" max="3086" width="6" style="90" customWidth="1"/>
    <col min="3087" max="3088" width="10.1796875" style="90" customWidth="1"/>
    <col min="3089" max="3089" width="10" style="90" customWidth="1"/>
    <col min="3090" max="3090" width="10.36328125" style="90" customWidth="1"/>
    <col min="3091" max="3101" width="9.1796875" style="90" customWidth="1"/>
    <col min="3102" max="3102" width="11.36328125" style="90" customWidth="1"/>
    <col min="3103" max="3123" width="13" style="90" hidden="1" customWidth="1"/>
    <col min="3124" max="3329" width="9.1796875" style="90" customWidth="1"/>
    <col min="3330" max="3330" width="28.6328125" style="90" customWidth="1"/>
    <col min="3331" max="3331" width="9" style="90" bestFit="1" customWidth="1"/>
    <col min="3332" max="3332" width="5.36328125" style="90" customWidth="1"/>
    <col min="3333" max="3333" width="9" style="90" bestFit="1" customWidth="1"/>
    <col min="3334" max="3334" width="5.36328125" style="90" customWidth="1"/>
    <col min="3335" max="3335" width="9" style="90" bestFit="1" customWidth="1"/>
    <col min="3336" max="3336" width="5" style="90" customWidth="1"/>
    <col min="3337" max="3337" width="9" style="90" bestFit="1" customWidth="1"/>
    <col min="3338" max="3338" width="5.1796875" style="90" customWidth="1"/>
    <col min="3339" max="3339" width="9.1796875" style="90" customWidth="1"/>
    <col min="3340" max="3340" width="6" style="90" customWidth="1"/>
    <col min="3341" max="3341" width="9.1796875" style="90" customWidth="1"/>
    <col min="3342" max="3342" width="6" style="90" customWidth="1"/>
    <col min="3343" max="3344" width="10.1796875" style="90" customWidth="1"/>
    <col min="3345" max="3345" width="10" style="90" customWidth="1"/>
    <col min="3346" max="3346" width="10.36328125" style="90" customWidth="1"/>
    <col min="3347" max="3357" width="9.1796875" style="90" customWidth="1"/>
    <col min="3358" max="3358" width="11.36328125" style="90" customWidth="1"/>
    <col min="3359" max="3379" width="13" style="90" hidden="1" customWidth="1"/>
    <col min="3380" max="3585" width="9.1796875" style="90" customWidth="1"/>
    <col min="3586" max="3586" width="28.6328125" style="90" customWidth="1"/>
    <col min="3587" max="3587" width="9" style="90" bestFit="1" customWidth="1"/>
    <col min="3588" max="3588" width="5.36328125" style="90" customWidth="1"/>
    <col min="3589" max="3589" width="9" style="90" bestFit="1" customWidth="1"/>
    <col min="3590" max="3590" width="5.36328125" style="90" customWidth="1"/>
    <col min="3591" max="3591" width="9" style="90" bestFit="1" customWidth="1"/>
    <col min="3592" max="3592" width="5" style="90" customWidth="1"/>
    <col min="3593" max="3593" width="9" style="90" bestFit="1" customWidth="1"/>
    <col min="3594" max="3594" width="5.1796875" style="90" customWidth="1"/>
    <col min="3595" max="3595" width="9.1796875" style="90" customWidth="1"/>
    <col min="3596" max="3596" width="6" style="90" customWidth="1"/>
    <col min="3597" max="3597" width="9.1796875" style="90" customWidth="1"/>
    <col min="3598" max="3598" width="6" style="90" customWidth="1"/>
    <col min="3599" max="3600" width="10.1796875" style="90" customWidth="1"/>
    <col min="3601" max="3601" width="10" style="90" customWidth="1"/>
    <col min="3602" max="3602" width="10.36328125" style="90" customWidth="1"/>
    <col min="3603" max="3613" width="9.1796875" style="90" customWidth="1"/>
    <col min="3614" max="3614" width="11.36328125" style="90" customWidth="1"/>
    <col min="3615" max="3635" width="13" style="90" hidden="1" customWidth="1"/>
    <col min="3636" max="3841" width="9.1796875" style="90" customWidth="1"/>
    <col min="3842" max="3842" width="28.6328125" style="90" customWidth="1"/>
    <col min="3843" max="3843" width="9" style="90" bestFit="1" customWidth="1"/>
    <col min="3844" max="3844" width="5.36328125" style="90" customWidth="1"/>
    <col min="3845" max="3845" width="9" style="90" bestFit="1" customWidth="1"/>
    <col min="3846" max="3846" width="5.36328125" style="90" customWidth="1"/>
    <col min="3847" max="3847" width="9" style="90" bestFit="1" customWidth="1"/>
    <col min="3848" max="3848" width="5" style="90" customWidth="1"/>
    <col min="3849" max="3849" width="9" style="90" bestFit="1" customWidth="1"/>
    <col min="3850" max="3850" width="5.1796875" style="90" customWidth="1"/>
    <col min="3851" max="3851" width="9.1796875" style="90" customWidth="1"/>
    <col min="3852" max="3852" width="6" style="90" customWidth="1"/>
    <col min="3853" max="3853" width="9.1796875" style="90" customWidth="1"/>
    <col min="3854" max="3854" width="6" style="90" customWidth="1"/>
    <col min="3855" max="3856" width="10.1796875" style="90" customWidth="1"/>
    <col min="3857" max="3857" width="10" style="90" customWidth="1"/>
    <col min="3858" max="3858" width="10.36328125" style="90" customWidth="1"/>
    <col min="3859" max="3869" width="9.1796875" style="90" customWidth="1"/>
    <col min="3870" max="3870" width="11.36328125" style="90" customWidth="1"/>
    <col min="3871" max="3891" width="13" style="90" hidden="1" customWidth="1"/>
    <col min="3892" max="4097" width="9.1796875" style="90" customWidth="1"/>
    <col min="4098" max="4098" width="28.6328125" style="90" customWidth="1"/>
    <col min="4099" max="4099" width="9" style="90" bestFit="1" customWidth="1"/>
    <col min="4100" max="4100" width="5.36328125" style="90" customWidth="1"/>
    <col min="4101" max="4101" width="9" style="90" bestFit="1" customWidth="1"/>
    <col min="4102" max="4102" width="5.36328125" style="90" customWidth="1"/>
    <col min="4103" max="4103" width="9" style="90" bestFit="1" customWidth="1"/>
    <col min="4104" max="4104" width="5" style="90" customWidth="1"/>
    <col min="4105" max="4105" width="9" style="90" bestFit="1" customWidth="1"/>
    <col min="4106" max="4106" width="5.1796875" style="90" customWidth="1"/>
    <col min="4107" max="4107" width="9.1796875" style="90" customWidth="1"/>
    <col min="4108" max="4108" width="6" style="90" customWidth="1"/>
    <col min="4109" max="4109" width="9.1796875" style="90" customWidth="1"/>
    <col min="4110" max="4110" width="6" style="90" customWidth="1"/>
    <col min="4111" max="4112" width="10.1796875" style="90" customWidth="1"/>
    <col min="4113" max="4113" width="10" style="90" customWidth="1"/>
    <col min="4114" max="4114" width="10.36328125" style="90" customWidth="1"/>
    <col min="4115" max="4125" width="9.1796875" style="90" customWidth="1"/>
    <col min="4126" max="4126" width="11.36328125" style="90" customWidth="1"/>
    <col min="4127" max="4147" width="13" style="90" hidden="1" customWidth="1"/>
    <col min="4148" max="4353" width="9.1796875" style="90" customWidth="1"/>
    <col min="4354" max="4354" width="28.6328125" style="90" customWidth="1"/>
    <col min="4355" max="4355" width="9" style="90" bestFit="1" customWidth="1"/>
    <col min="4356" max="4356" width="5.36328125" style="90" customWidth="1"/>
    <col min="4357" max="4357" width="9" style="90" bestFit="1" customWidth="1"/>
    <col min="4358" max="4358" width="5.36328125" style="90" customWidth="1"/>
    <col min="4359" max="4359" width="9" style="90" bestFit="1" customWidth="1"/>
    <col min="4360" max="4360" width="5" style="90" customWidth="1"/>
    <col min="4361" max="4361" width="9" style="90" bestFit="1" customWidth="1"/>
    <col min="4362" max="4362" width="5.1796875" style="90" customWidth="1"/>
    <col min="4363" max="4363" width="9.1796875" style="90" customWidth="1"/>
    <col min="4364" max="4364" width="6" style="90" customWidth="1"/>
    <col min="4365" max="4365" width="9.1796875" style="90" customWidth="1"/>
    <col min="4366" max="4366" width="6" style="90" customWidth="1"/>
    <col min="4367" max="4368" width="10.1796875" style="90" customWidth="1"/>
    <col min="4369" max="4369" width="10" style="90" customWidth="1"/>
    <col min="4370" max="4370" width="10.36328125" style="90" customWidth="1"/>
    <col min="4371" max="4381" width="9.1796875" style="90" customWidth="1"/>
    <col min="4382" max="4382" width="11.36328125" style="90" customWidth="1"/>
    <col min="4383" max="4403" width="13" style="90" hidden="1" customWidth="1"/>
    <col min="4404" max="4609" width="9.1796875" style="90" customWidth="1"/>
    <col min="4610" max="4610" width="28.6328125" style="90" customWidth="1"/>
    <col min="4611" max="4611" width="9" style="90" bestFit="1" customWidth="1"/>
    <col min="4612" max="4612" width="5.36328125" style="90" customWidth="1"/>
    <col min="4613" max="4613" width="9" style="90" bestFit="1" customWidth="1"/>
    <col min="4614" max="4614" width="5.36328125" style="90" customWidth="1"/>
    <col min="4615" max="4615" width="9" style="90" bestFit="1" customWidth="1"/>
    <col min="4616" max="4616" width="5" style="90" customWidth="1"/>
    <col min="4617" max="4617" width="9" style="90" bestFit="1" customWidth="1"/>
    <col min="4618" max="4618" width="5.1796875" style="90" customWidth="1"/>
    <col min="4619" max="4619" width="9.1796875" style="90" customWidth="1"/>
    <col min="4620" max="4620" width="6" style="90" customWidth="1"/>
    <col min="4621" max="4621" width="9.1796875" style="90" customWidth="1"/>
    <col min="4622" max="4622" width="6" style="90" customWidth="1"/>
    <col min="4623" max="4624" width="10.1796875" style="90" customWidth="1"/>
    <col min="4625" max="4625" width="10" style="90" customWidth="1"/>
    <col min="4626" max="4626" width="10.36328125" style="90" customWidth="1"/>
    <col min="4627" max="4637" width="9.1796875" style="90" customWidth="1"/>
    <col min="4638" max="4638" width="11.36328125" style="90" customWidth="1"/>
    <col min="4639" max="4659" width="13" style="90" hidden="1" customWidth="1"/>
    <col min="4660" max="4865" width="9.1796875" style="90" customWidth="1"/>
    <col min="4866" max="4866" width="28.6328125" style="90" customWidth="1"/>
    <col min="4867" max="4867" width="9" style="90" bestFit="1" customWidth="1"/>
    <col min="4868" max="4868" width="5.36328125" style="90" customWidth="1"/>
    <col min="4869" max="4869" width="9" style="90" bestFit="1" customWidth="1"/>
    <col min="4870" max="4870" width="5.36328125" style="90" customWidth="1"/>
    <col min="4871" max="4871" width="9" style="90" bestFit="1" customWidth="1"/>
    <col min="4872" max="4872" width="5" style="90" customWidth="1"/>
    <col min="4873" max="4873" width="9" style="90" bestFit="1" customWidth="1"/>
    <col min="4874" max="4874" width="5.1796875" style="90" customWidth="1"/>
    <col min="4875" max="4875" width="9.1796875" style="90" customWidth="1"/>
    <col min="4876" max="4876" width="6" style="90" customWidth="1"/>
    <col min="4877" max="4877" width="9.1796875" style="90" customWidth="1"/>
    <col min="4878" max="4878" width="6" style="90" customWidth="1"/>
    <col min="4879" max="4880" width="10.1796875" style="90" customWidth="1"/>
    <col min="4881" max="4881" width="10" style="90" customWidth="1"/>
    <col min="4882" max="4882" width="10.36328125" style="90" customWidth="1"/>
    <col min="4883" max="4893" width="9.1796875" style="90" customWidth="1"/>
    <col min="4894" max="4894" width="11.36328125" style="90" customWidth="1"/>
    <col min="4895" max="4915" width="13" style="90" hidden="1" customWidth="1"/>
    <col min="4916" max="5121" width="9.1796875" style="90" customWidth="1"/>
    <col min="5122" max="5122" width="28.6328125" style="90" customWidth="1"/>
    <col min="5123" max="5123" width="9" style="90" bestFit="1" customWidth="1"/>
    <col min="5124" max="5124" width="5.36328125" style="90" customWidth="1"/>
    <col min="5125" max="5125" width="9" style="90" bestFit="1" customWidth="1"/>
    <col min="5126" max="5126" width="5.36328125" style="90" customWidth="1"/>
    <col min="5127" max="5127" width="9" style="90" bestFit="1" customWidth="1"/>
    <col min="5128" max="5128" width="5" style="90" customWidth="1"/>
    <col min="5129" max="5129" width="9" style="90" bestFit="1" customWidth="1"/>
    <col min="5130" max="5130" width="5.1796875" style="90" customWidth="1"/>
    <col min="5131" max="5131" width="9.1796875" style="90" customWidth="1"/>
    <col min="5132" max="5132" width="6" style="90" customWidth="1"/>
    <col min="5133" max="5133" width="9.1796875" style="90" customWidth="1"/>
    <col min="5134" max="5134" width="6" style="90" customWidth="1"/>
    <col min="5135" max="5136" width="10.1796875" style="90" customWidth="1"/>
    <col min="5137" max="5137" width="10" style="90" customWidth="1"/>
    <col min="5138" max="5138" width="10.36328125" style="90" customWidth="1"/>
    <col min="5139" max="5149" width="9.1796875" style="90" customWidth="1"/>
    <col min="5150" max="5150" width="11.36328125" style="90" customWidth="1"/>
    <col min="5151" max="5171" width="13" style="90" hidden="1" customWidth="1"/>
    <col min="5172" max="5377" width="9.1796875" style="90" customWidth="1"/>
    <col min="5378" max="5378" width="28.6328125" style="90" customWidth="1"/>
    <col min="5379" max="5379" width="9" style="90" bestFit="1" customWidth="1"/>
    <col min="5380" max="5380" width="5.36328125" style="90" customWidth="1"/>
    <col min="5381" max="5381" width="9" style="90" bestFit="1" customWidth="1"/>
    <col min="5382" max="5382" width="5.36328125" style="90" customWidth="1"/>
    <col min="5383" max="5383" width="9" style="90" bestFit="1" customWidth="1"/>
    <col min="5384" max="5384" width="5" style="90" customWidth="1"/>
    <col min="5385" max="5385" width="9" style="90" bestFit="1" customWidth="1"/>
    <col min="5386" max="5386" width="5.1796875" style="90" customWidth="1"/>
    <col min="5387" max="5387" width="9.1796875" style="90" customWidth="1"/>
    <col min="5388" max="5388" width="6" style="90" customWidth="1"/>
    <col min="5389" max="5389" width="9.1796875" style="90" customWidth="1"/>
    <col min="5390" max="5390" width="6" style="90" customWidth="1"/>
    <col min="5391" max="5392" width="10.1796875" style="90" customWidth="1"/>
    <col min="5393" max="5393" width="10" style="90" customWidth="1"/>
    <col min="5394" max="5394" width="10.36328125" style="90" customWidth="1"/>
    <col min="5395" max="5405" width="9.1796875" style="90" customWidth="1"/>
    <col min="5406" max="5406" width="11.36328125" style="90" customWidth="1"/>
    <col min="5407" max="5427" width="13" style="90" hidden="1" customWidth="1"/>
    <col min="5428" max="5633" width="9.1796875" style="90" customWidth="1"/>
    <col min="5634" max="5634" width="28.6328125" style="90" customWidth="1"/>
    <col min="5635" max="5635" width="9" style="90" bestFit="1" customWidth="1"/>
    <col min="5636" max="5636" width="5.36328125" style="90" customWidth="1"/>
    <col min="5637" max="5637" width="9" style="90" bestFit="1" customWidth="1"/>
    <col min="5638" max="5638" width="5.36328125" style="90" customWidth="1"/>
    <col min="5639" max="5639" width="9" style="90" bestFit="1" customWidth="1"/>
    <col min="5640" max="5640" width="5" style="90" customWidth="1"/>
    <col min="5641" max="5641" width="9" style="90" bestFit="1" customWidth="1"/>
    <col min="5642" max="5642" width="5.1796875" style="90" customWidth="1"/>
    <col min="5643" max="5643" width="9.1796875" style="90" customWidth="1"/>
    <col min="5644" max="5644" width="6" style="90" customWidth="1"/>
    <col min="5645" max="5645" width="9.1796875" style="90" customWidth="1"/>
    <col min="5646" max="5646" width="6" style="90" customWidth="1"/>
    <col min="5647" max="5648" width="10.1796875" style="90" customWidth="1"/>
    <col min="5649" max="5649" width="10" style="90" customWidth="1"/>
    <col min="5650" max="5650" width="10.36328125" style="90" customWidth="1"/>
    <col min="5651" max="5661" width="9.1796875" style="90" customWidth="1"/>
    <col min="5662" max="5662" width="11.36328125" style="90" customWidth="1"/>
    <col min="5663" max="5683" width="13" style="90" hidden="1" customWidth="1"/>
    <col min="5684" max="5889" width="9.1796875" style="90" customWidth="1"/>
    <col min="5890" max="5890" width="28.6328125" style="90" customWidth="1"/>
    <col min="5891" max="5891" width="9" style="90" bestFit="1" customWidth="1"/>
    <col min="5892" max="5892" width="5.36328125" style="90" customWidth="1"/>
    <col min="5893" max="5893" width="9" style="90" bestFit="1" customWidth="1"/>
    <col min="5894" max="5894" width="5.36328125" style="90" customWidth="1"/>
    <col min="5895" max="5895" width="9" style="90" bestFit="1" customWidth="1"/>
    <col min="5896" max="5896" width="5" style="90" customWidth="1"/>
    <col min="5897" max="5897" width="9" style="90" bestFit="1" customWidth="1"/>
    <col min="5898" max="5898" width="5.1796875" style="90" customWidth="1"/>
    <col min="5899" max="5899" width="9.1796875" style="90" customWidth="1"/>
    <col min="5900" max="5900" width="6" style="90" customWidth="1"/>
    <col min="5901" max="5901" width="9.1796875" style="90" customWidth="1"/>
    <col min="5902" max="5902" width="6" style="90" customWidth="1"/>
    <col min="5903" max="5904" width="10.1796875" style="90" customWidth="1"/>
    <col min="5905" max="5905" width="10" style="90" customWidth="1"/>
    <col min="5906" max="5906" width="10.36328125" style="90" customWidth="1"/>
    <col min="5907" max="5917" width="9.1796875" style="90" customWidth="1"/>
    <col min="5918" max="5918" width="11.36328125" style="90" customWidth="1"/>
    <col min="5919" max="5939" width="13" style="90" hidden="1" customWidth="1"/>
    <col min="5940" max="6145" width="9.1796875" style="90" customWidth="1"/>
    <col min="6146" max="6146" width="28.6328125" style="90" customWidth="1"/>
    <col min="6147" max="6147" width="9" style="90" bestFit="1" customWidth="1"/>
    <col min="6148" max="6148" width="5.36328125" style="90" customWidth="1"/>
    <col min="6149" max="6149" width="9" style="90" bestFit="1" customWidth="1"/>
    <col min="6150" max="6150" width="5.36328125" style="90" customWidth="1"/>
    <col min="6151" max="6151" width="9" style="90" bestFit="1" customWidth="1"/>
    <col min="6152" max="6152" width="5" style="90" customWidth="1"/>
    <col min="6153" max="6153" width="9" style="90" bestFit="1" customWidth="1"/>
    <col min="6154" max="6154" width="5.1796875" style="90" customWidth="1"/>
    <col min="6155" max="6155" width="9.1796875" style="90" customWidth="1"/>
    <col min="6156" max="6156" width="6" style="90" customWidth="1"/>
    <col min="6157" max="6157" width="9.1796875" style="90" customWidth="1"/>
    <col min="6158" max="6158" width="6" style="90" customWidth="1"/>
    <col min="6159" max="6160" width="10.1796875" style="90" customWidth="1"/>
    <col min="6161" max="6161" width="10" style="90" customWidth="1"/>
    <col min="6162" max="6162" width="10.36328125" style="90" customWidth="1"/>
    <col min="6163" max="6173" width="9.1796875" style="90" customWidth="1"/>
    <col min="6174" max="6174" width="11.36328125" style="90" customWidth="1"/>
    <col min="6175" max="6195" width="13" style="90" hidden="1" customWidth="1"/>
    <col min="6196" max="6401" width="9.1796875" style="90" customWidth="1"/>
    <col min="6402" max="6402" width="28.6328125" style="90" customWidth="1"/>
    <col min="6403" max="6403" width="9" style="90" bestFit="1" customWidth="1"/>
    <col min="6404" max="6404" width="5.36328125" style="90" customWidth="1"/>
    <col min="6405" max="6405" width="9" style="90" bestFit="1" customWidth="1"/>
    <col min="6406" max="6406" width="5.36328125" style="90" customWidth="1"/>
    <col min="6407" max="6407" width="9" style="90" bestFit="1" customWidth="1"/>
    <col min="6408" max="6408" width="5" style="90" customWidth="1"/>
    <col min="6409" max="6409" width="9" style="90" bestFit="1" customWidth="1"/>
    <col min="6410" max="6410" width="5.1796875" style="90" customWidth="1"/>
    <col min="6411" max="6411" width="9.1796875" style="90" customWidth="1"/>
    <col min="6412" max="6412" width="6" style="90" customWidth="1"/>
    <col min="6413" max="6413" width="9.1796875" style="90" customWidth="1"/>
    <col min="6414" max="6414" width="6" style="90" customWidth="1"/>
    <col min="6415" max="6416" width="10.1796875" style="90" customWidth="1"/>
    <col min="6417" max="6417" width="10" style="90" customWidth="1"/>
    <col min="6418" max="6418" width="10.36328125" style="90" customWidth="1"/>
    <col min="6419" max="6429" width="9.1796875" style="90" customWidth="1"/>
    <col min="6430" max="6430" width="11.36328125" style="90" customWidth="1"/>
    <col min="6431" max="6451" width="13" style="90" hidden="1" customWidth="1"/>
    <col min="6452" max="6657" width="9.1796875" style="90" customWidth="1"/>
    <col min="6658" max="6658" width="28.6328125" style="90" customWidth="1"/>
    <col min="6659" max="6659" width="9" style="90" bestFit="1" customWidth="1"/>
    <col min="6660" max="6660" width="5.36328125" style="90" customWidth="1"/>
    <col min="6661" max="6661" width="9" style="90" bestFit="1" customWidth="1"/>
    <col min="6662" max="6662" width="5.36328125" style="90" customWidth="1"/>
    <col min="6663" max="6663" width="9" style="90" bestFit="1" customWidth="1"/>
    <col min="6664" max="6664" width="5" style="90" customWidth="1"/>
    <col min="6665" max="6665" width="9" style="90" bestFit="1" customWidth="1"/>
    <col min="6666" max="6666" width="5.1796875" style="90" customWidth="1"/>
    <col min="6667" max="6667" width="9.1796875" style="90" customWidth="1"/>
    <col min="6668" max="6668" width="6" style="90" customWidth="1"/>
    <col min="6669" max="6669" width="9.1796875" style="90" customWidth="1"/>
    <col min="6670" max="6670" width="6" style="90" customWidth="1"/>
    <col min="6671" max="6672" width="10.1796875" style="90" customWidth="1"/>
    <col min="6673" max="6673" width="10" style="90" customWidth="1"/>
    <col min="6674" max="6674" width="10.36328125" style="90" customWidth="1"/>
    <col min="6675" max="6685" width="9.1796875" style="90" customWidth="1"/>
    <col min="6686" max="6686" width="11.36328125" style="90" customWidth="1"/>
    <col min="6687" max="6707" width="13" style="90" hidden="1" customWidth="1"/>
    <col min="6708" max="6913" width="9.1796875" style="90" customWidth="1"/>
    <col min="6914" max="6914" width="28.6328125" style="90" customWidth="1"/>
    <col min="6915" max="6915" width="9" style="90" bestFit="1" customWidth="1"/>
    <col min="6916" max="6916" width="5.36328125" style="90" customWidth="1"/>
    <col min="6917" max="6917" width="9" style="90" bestFit="1" customWidth="1"/>
    <col min="6918" max="6918" width="5.36328125" style="90" customWidth="1"/>
    <col min="6919" max="6919" width="9" style="90" bestFit="1" customWidth="1"/>
    <col min="6920" max="6920" width="5" style="90" customWidth="1"/>
    <col min="6921" max="6921" width="9" style="90" bestFit="1" customWidth="1"/>
    <col min="6922" max="6922" width="5.1796875" style="90" customWidth="1"/>
    <col min="6923" max="6923" width="9.1796875" style="90" customWidth="1"/>
    <col min="6924" max="6924" width="6" style="90" customWidth="1"/>
    <col min="6925" max="6925" width="9.1796875" style="90" customWidth="1"/>
    <col min="6926" max="6926" width="6" style="90" customWidth="1"/>
    <col min="6927" max="6928" width="10.1796875" style="90" customWidth="1"/>
    <col min="6929" max="6929" width="10" style="90" customWidth="1"/>
    <col min="6930" max="6930" width="10.36328125" style="90" customWidth="1"/>
    <col min="6931" max="6941" width="9.1796875" style="90" customWidth="1"/>
    <col min="6942" max="6942" width="11.36328125" style="90" customWidth="1"/>
    <col min="6943" max="6963" width="13" style="90" hidden="1" customWidth="1"/>
    <col min="6964" max="7169" width="9.1796875" style="90" customWidth="1"/>
    <col min="7170" max="7170" width="28.6328125" style="90" customWidth="1"/>
    <col min="7171" max="7171" width="9" style="90" bestFit="1" customWidth="1"/>
    <col min="7172" max="7172" width="5.36328125" style="90" customWidth="1"/>
    <col min="7173" max="7173" width="9" style="90" bestFit="1" customWidth="1"/>
    <col min="7174" max="7174" width="5.36328125" style="90" customWidth="1"/>
    <col min="7175" max="7175" width="9" style="90" bestFit="1" customWidth="1"/>
    <col min="7176" max="7176" width="5" style="90" customWidth="1"/>
    <col min="7177" max="7177" width="9" style="90" bestFit="1" customWidth="1"/>
    <col min="7178" max="7178" width="5.1796875" style="90" customWidth="1"/>
    <col min="7179" max="7179" width="9.1796875" style="90" customWidth="1"/>
    <col min="7180" max="7180" width="6" style="90" customWidth="1"/>
    <col min="7181" max="7181" width="9.1796875" style="90" customWidth="1"/>
    <col min="7182" max="7182" width="6" style="90" customWidth="1"/>
    <col min="7183" max="7184" width="10.1796875" style="90" customWidth="1"/>
    <col min="7185" max="7185" width="10" style="90" customWidth="1"/>
    <col min="7186" max="7186" width="10.36328125" style="90" customWidth="1"/>
    <col min="7187" max="7197" width="9.1796875" style="90" customWidth="1"/>
    <col min="7198" max="7198" width="11.36328125" style="90" customWidth="1"/>
    <col min="7199" max="7219" width="13" style="90" hidden="1" customWidth="1"/>
    <col min="7220" max="7425" width="9.1796875" style="90" customWidth="1"/>
    <col min="7426" max="7426" width="28.6328125" style="90" customWidth="1"/>
    <col min="7427" max="7427" width="9" style="90" bestFit="1" customWidth="1"/>
    <col min="7428" max="7428" width="5.36328125" style="90" customWidth="1"/>
    <col min="7429" max="7429" width="9" style="90" bestFit="1" customWidth="1"/>
    <col min="7430" max="7430" width="5.36328125" style="90" customWidth="1"/>
    <col min="7431" max="7431" width="9" style="90" bestFit="1" customWidth="1"/>
    <col min="7432" max="7432" width="5" style="90" customWidth="1"/>
    <col min="7433" max="7433" width="9" style="90" bestFit="1" customWidth="1"/>
    <col min="7434" max="7434" width="5.1796875" style="90" customWidth="1"/>
    <col min="7435" max="7435" width="9.1796875" style="90" customWidth="1"/>
    <col min="7436" max="7436" width="6" style="90" customWidth="1"/>
    <col min="7437" max="7437" width="9.1796875" style="90" customWidth="1"/>
    <col min="7438" max="7438" width="6" style="90" customWidth="1"/>
    <col min="7439" max="7440" width="10.1796875" style="90" customWidth="1"/>
    <col min="7441" max="7441" width="10" style="90" customWidth="1"/>
    <col min="7442" max="7442" width="10.36328125" style="90" customWidth="1"/>
    <col min="7443" max="7453" width="9.1796875" style="90" customWidth="1"/>
    <col min="7454" max="7454" width="11.36328125" style="90" customWidth="1"/>
    <col min="7455" max="7475" width="13" style="90" hidden="1" customWidth="1"/>
    <col min="7476" max="7681" width="9.1796875" style="90" customWidth="1"/>
    <col min="7682" max="7682" width="28.6328125" style="90" customWidth="1"/>
    <col min="7683" max="7683" width="9" style="90" bestFit="1" customWidth="1"/>
    <col min="7684" max="7684" width="5.36328125" style="90" customWidth="1"/>
    <col min="7685" max="7685" width="9" style="90" bestFit="1" customWidth="1"/>
    <col min="7686" max="7686" width="5.36328125" style="90" customWidth="1"/>
    <col min="7687" max="7687" width="9" style="90" bestFit="1" customWidth="1"/>
    <col min="7688" max="7688" width="5" style="90" customWidth="1"/>
    <col min="7689" max="7689" width="9" style="90" bestFit="1" customWidth="1"/>
    <col min="7690" max="7690" width="5.1796875" style="90" customWidth="1"/>
    <col min="7691" max="7691" width="9.1796875" style="90" customWidth="1"/>
    <col min="7692" max="7692" width="6" style="90" customWidth="1"/>
    <col min="7693" max="7693" width="9.1796875" style="90" customWidth="1"/>
    <col min="7694" max="7694" width="6" style="90" customWidth="1"/>
    <col min="7695" max="7696" width="10.1796875" style="90" customWidth="1"/>
    <col min="7697" max="7697" width="10" style="90" customWidth="1"/>
    <col min="7698" max="7698" width="10.36328125" style="90" customWidth="1"/>
    <col min="7699" max="7709" width="9.1796875" style="90" customWidth="1"/>
    <col min="7710" max="7710" width="11.36328125" style="90" customWidth="1"/>
    <col min="7711" max="7731" width="13" style="90" hidden="1" customWidth="1"/>
    <col min="7732" max="7937" width="9.1796875" style="90" customWidth="1"/>
    <col min="7938" max="7938" width="28.6328125" style="90" customWidth="1"/>
    <col min="7939" max="7939" width="9" style="90" bestFit="1" customWidth="1"/>
    <col min="7940" max="7940" width="5.36328125" style="90" customWidth="1"/>
    <col min="7941" max="7941" width="9" style="90" bestFit="1" customWidth="1"/>
    <col min="7942" max="7942" width="5.36328125" style="90" customWidth="1"/>
    <col min="7943" max="7943" width="9" style="90" bestFit="1" customWidth="1"/>
    <col min="7944" max="7944" width="5" style="90" customWidth="1"/>
    <col min="7945" max="7945" width="9" style="90" bestFit="1" customWidth="1"/>
    <col min="7946" max="7946" width="5.1796875" style="90" customWidth="1"/>
    <col min="7947" max="7947" width="9.1796875" style="90" customWidth="1"/>
    <col min="7948" max="7948" width="6" style="90" customWidth="1"/>
    <col min="7949" max="7949" width="9.1796875" style="90" customWidth="1"/>
    <col min="7950" max="7950" width="6" style="90" customWidth="1"/>
    <col min="7951" max="7952" width="10.1796875" style="90" customWidth="1"/>
    <col min="7953" max="7953" width="10" style="90" customWidth="1"/>
    <col min="7954" max="7954" width="10.36328125" style="90" customWidth="1"/>
    <col min="7955" max="7965" width="9.1796875" style="90" customWidth="1"/>
    <col min="7966" max="7966" width="11.36328125" style="90" customWidth="1"/>
    <col min="7967" max="7987" width="13" style="90" hidden="1" customWidth="1"/>
    <col min="7988" max="8193" width="9.1796875" style="90" customWidth="1"/>
    <col min="8194" max="8194" width="28.6328125" style="90" customWidth="1"/>
    <col min="8195" max="8195" width="9" style="90" bestFit="1" customWidth="1"/>
    <col min="8196" max="8196" width="5.36328125" style="90" customWidth="1"/>
    <col min="8197" max="8197" width="9" style="90" bestFit="1" customWidth="1"/>
    <col min="8198" max="8198" width="5.36328125" style="90" customWidth="1"/>
    <col min="8199" max="8199" width="9" style="90" bestFit="1" customWidth="1"/>
    <col min="8200" max="8200" width="5" style="90" customWidth="1"/>
    <col min="8201" max="8201" width="9" style="90" bestFit="1" customWidth="1"/>
    <col min="8202" max="8202" width="5.1796875" style="90" customWidth="1"/>
    <col min="8203" max="8203" width="9.1796875" style="90" customWidth="1"/>
    <col min="8204" max="8204" width="6" style="90" customWidth="1"/>
    <col min="8205" max="8205" width="9.1796875" style="90" customWidth="1"/>
    <col min="8206" max="8206" width="6" style="90" customWidth="1"/>
    <col min="8207" max="8208" width="10.1796875" style="90" customWidth="1"/>
    <col min="8209" max="8209" width="10" style="90" customWidth="1"/>
    <col min="8210" max="8210" width="10.36328125" style="90" customWidth="1"/>
    <col min="8211" max="8221" width="9.1796875" style="90" customWidth="1"/>
    <col min="8222" max="8222" width="11.36328125" style="90" customWidth="1"/>
    <col min="8223" max="8243" width="13" style="90" hidden="1" customWidth="1"/>
    <col min="8244" max="8449" width="9.1796875" style="90" customWidth="1"/>
    <col min="8450" max="8450" width="28.6328125" style="90" customWidth="1"/>
    <col min="8451" max="8451" width="9" style="90" bestFit="1" customWidth="1"/>
    <col min="8452" max="8452" width="5.36328125" style="90" customWidth="1"/>
    <col min="8453" max="8453" width="9" style="90" bestFit="1" customWidth="1"/>
    <col min="8454" max="8454" width="5.36328125" style="90" customWidth="1"/>
    <col min="8455" max="8455" width="9" style="90" bestFit="1" customWidth="1"/>
    <col min="8456" max="8456" width="5" style="90" customWidth="1"/>
    <col min="8457" max="8457" width="9" style="90" bestFit="1" customWidth="1"/>
    <col min="8458" max="8458" width="5.1796875" style="90" customWidth="1"/>
    <col min="8459" max="8459" width="9.1796875" style="90" customWidth="1"/>
    <col min="8460" max="8460" width="6" style="90" customWidth="1"/>
    <col min="8461" max="8461" width="9.1796875" style="90" customWidth="1"/>
    <col min="8462" max="8462" width="6" style="90" customWidth="1"/>
    <col min="8463" max="8464" width="10.1796875" style="90" customWidth="1"/>
    <col min="8465" max="8465" width="10" style="90" customWidth="1"/>
    <col min="8466" max="8466" width="10.36328125" style="90" customWidth="1"/>
    <col min="8467" max="8477" width="9.1796875" style="90" customWidth="1"/>
    <col min="8478" max="8478" width="11.36328125" style="90" customWidth="1"/>
    <col min="8479" max="8499" width="13" style="90" hidden="1" customWidth="1"/>
    <col min="8500" max="8705" width="9.1796875" style="90" customWidth="1"/>
    <col min="8706" max="8706" width="28.6328125" style="90" customWidth="1"/>
    <col min="8707" max="8707" width="9" style="90" bestFit="1" customWidth="1"/>
    <col min="8708" max="8708" width="5.36328125" style="90" customWidth="1"/>
    <col min="8709" max="8709" width="9" style="90" bestFit="1" customWidth="1"/>
    <col min="8710" max="8710" width="5.36328125" style="90" customWidth="1"/>
    <col min="8711" max="8711" width="9" style="90" bestFit="1" customWidth="1"/>
    <col min="8712" max="8712" width="5" style="90" customWidth="1"/>
    <col min="8713" max="8713" width="9" style="90" bestFit="1" customWidth="1"/>
    <col min="8714" max="8714" width="5.1796875" style="90" customWidth="1"/>
    <col min="8715" max="8715" width="9.1796875" style="90" customWidth="1"/>
    <col min="8716" max="8716" width="6" style="90" customWidth="1"/>
    <col min="8717" max="8717" width="9.1796875" style="90" customWidth="1"/>
    <col min="8718" max="8718" width="6" style="90" customWidth="1"/>
    <col min="8719" max="8720" width="10.1796875" style="90" customWidth="1"/>
    <col min="8721" max="8721" width="10" style="90" customWidth="1"/>
    <col min="8722" max="8722" width="10.36328125" style="90" customWidth="1"/>
    <col min="8723" max="8733" width="9.1796875" style="90" customWidth="1"/>
    <col min="8734" max="8734" width="11.36328125" style="90" customWidth="1"/>
    <col min="8735" max="8755" width="13" style="90" hidden="1" customWidth="1"/>
    <col min="8756" max="8961" width="9.1796875" style="90" customWidth="1"/>
    <col min="8962" max="8962" width="28.6328125" style="90" customWidth="1"/>
    <col min="8963" max="8963" width="9" style="90" bestFit="1" customWidth="1"/>
    <col min="8964" max="8964" width="5.36328125" style="90" customWidth="1"/>
    <col min="8965" max="8965" width="9" style="90" bestFit="1" customWidth="1"/>
    <col min="8966" max="8966" width="5.36328125" style="90" customWidth="1"/>
    <col min="8967" max="8967" width="9" style="90" bestFit="1" customWidth="1"/>
    <col min="8968" max="8968" width="5" style="90" customWidth="1"/>
    <col min="8969" max="8969" width="9" style="90" bestFit="1" customWidth="1"/>
    <col min="8970" max="8970" width="5.1796875" style="90" customWidth="1"/>
    <col min="8971" max="8971" width="9.1796875" style="90" customWidth="1"/>
    <col min="8972" max="8972" width="6" style="90" customWidth="1"/>
    <col min="8973" max="8973" width="9.1796875" style="90" customWidth="1"/>
    <col min="8974" max="8974" width="6" style="90" customWidth="1"/>
    <col min="8975" max="8976" width="10.1796875" style="90" customWidth="1"/>
    <col min="8977" max="8977" width="10" style="90" customWidth="1"/>
    <col min="8978" max="8978" width="10.36328125" style="90" customWidth="1"/>
    <col min="8979" max="8989" width="9.1796875" style="90" customWidth="1"/>
    <col min="8990" max="8990" width="11.36328125" style="90" customWidth="1"/>
    <col min="8991" max="9011" width="13" style="90" hidden="1" customWidth="1"/>
    <col min="9012" max="9217" width="9.1796875" style="90" customWidth="1"/>
    <col min="9218" max="9218" width="28.6328125" style="90" customWidth="1"/>
    <col min="9219" max="9219" width="9" style="90" bestFit="1" customWidth="1"/>
    <col min="9220" max="9220" width="5.36328125" style="90" customWidth="1"/>
    <col min="9221" max="9221" width="9" style="90" bestFit="1" customWidth="1"/>
    <col min="9222" max="9222" width="5.36328125" style="90" customWidth="1"/>
    <col min="9223" max="9223" width="9" style="90" bestFit="1" customWidth="1"/>
    <col min="9224" max="9224" width="5" style="90" customWidth="1"/>
    <col min="9225" max="9225" width="9" style="90" bestFit="1" customWidth="1"/>
    <col min="9226" max="9226" width="5.1796875" style="90" customWidth="1"/>
    <col min="9227" max="9227" width="9.1796875" style="90" customWidth="1"/>
    <col min="9228" max="9228" width="6" style="90" customWidth="1"/>
    <col min="9229" max="9229" width="9.1796875" style="90" customWidth="1"/>
    <col min="9230" max="9230" width="6" style="90" customWidth="1"/>
    <col min="9231" max="9232" width="10.1796875" style="90" customWidth="1"/>
    <col min="9233" max="9233" width="10" style="90" customWidth="1"/>
    <col min="9234" max="9234" width="10.36328125" style="90" customWidth="1"/>
    <col min="9235" max="9245" width="9.1796875" style="90" customWidth="1"/>
    <col min="9246" max="9246" width="11.36328125" style="90" customWidth="1"/>
    <col min="9247" max="9267" width="13" style="90" hidden="1" customWidth="1"/>
    <col min="9268" max="9473" width="9.1796875" style="90" customWidth="1"/>
    <col min="9474" max="9474" width="28.6328125" style="90" customWidth="1"/>
    <col min="9475" max="9475" width="9" style="90" bestFit="1" customWidth="1"/>
    <col min="9476" max="9476" width="5.36328125" style="90" customWidth="1"/>
    <col min="9477" max="9477" width="9" style="90" bestFit="1" customWidth="1"/>
    <col min="9478" max="9478" width="5.36328125" style="90" customWidth="1"/>
    <col min="9479" max="9479" width="9" style="90" bestFit="1" customWidth="1"/>
    <col min="9480" max="9480" width="5" style="90" customWidth="1"/>
    <col min="9481" max="9481" width="9" style="90" bestFit="1" customWidth="1"/>
    <col min="9482" max="9482" width="5.1796875" style="90" customWidth="1"/>
    <col min="9483" max="9483" width="9.1796875" style="90" customWidth="1"/>
    <col min="9484" max="9484" width="6" style="90" customWidth="1"/>
    <col min="9485" max="9485" width="9.1796875" style="90" customWidth="1"/>
    <col min="9486" max="9486" width="6" style="90" customWidth="1"/>
    <col min="9487" max="9488" width="10.1796875" style="90" customWidth="1"/>
    <col min="9489" max="9489" width="10" style="90" customWidth="1"/>
    <col min="9490" max="9490" width="10.36328125" style="90" customWidth="1"/>
    <col min="9491" max="9501" width="9.1796875" style="90" customWidth="1"/>
    <col min="9502" max="9502" width="11.36328125" style="90" customWidth="1"/>
    <col min="9503" max="9523" width="13" style="90" hidden="1" customWidth="1"/>
    <col min="9524" max="9729" width="9.1796875" style="90" customWidth="1"/>
    <col min="9730" max="9730" width="28.6328125" style="90" customWidth="1"/>
    <col min="9731" max="9731" width="9" style="90" bestFit="1" customWidth="1"/>
    <col min="9732" max="9732" width="5.36328125" style="90" customWidth="1"/>
    <col min="9733" max="9733" width="9" style="90" bestFit="1" customWidth="1"/>
    <col min="9734" max="9734" width="5.36328125" style="90" customWidth="1"/>
    <col min="9735" max="9735" width="9" style="90" bestFit="1" customWidth="1"/>
    <col min="9736" max="9736" width="5" style="90" customWidth="1"/>
    <col min="9737" max="9737" width="9" style="90" bestFit="1" customWidth="1"/>
    <col min="9738" max="9738" width="5.1796875" style="90" customWidth="1"/>
    <col min="9739" max="9739" width="9.1796875" style="90" customWidth="1"/>
    <col min="9740" max="9740" width="6" style="90" customWidth="1"/>
    <col min="9741" max="9741" width="9.1796875" style="90" customWidth="1"/>
    <col min="9742" max="9742" width="6" style="90" customWidth="1"/>
    <col min="9743" max="9744" width="10.1796875" style="90" customWidth="1"/>
    <col min="9745" max="9745" width="10" style="90" customWidth="1"/>
    <col min="9746" max="9746" width="10.36328125" style="90" customWidth="1"/>
    <col min="9747" max="9757" width="9.1796875" style="90" customWidth="1"/>
    <col min="9758" max="9758" width="11.36328125" style="90" customWidth="1"/>
    <col min="9759" max="9779" width="13" style="90" hidden="1" customWidth="1"/>
    <col min="9780" max="9985" width="9.1796875" style="90" customWidth="1"/>
    <col min="9986" max="9986" width="28.6328125" style="90" customWidth="1"/>
    <col min="9987" max="9987" width="9" style="90" bestFit="1" customWidth="1"/>
    <col min="9988" max="9988" width="5.36328125" style="90" customWidth="1"/>
    <col min="9989" max="9989" width="9" style="90" bestFit="1" customWidth="1"/>
    <col min="9990" max="9990" width="5.36328125" style="90" customWidth="1"/>
    <col min="9991" max="9991" width="9" style="90" bestFit="1" customWidth="1"/>
    <col min="9992" max="9992" width="5" style="90" customWidth="1"/>
    <col min="9993" max="9993" width="9" style="90" bestFit="1" customWidth="1"/>
    <col min="9994" max="9994" width="5.1796875" style="90" customWidth="1"/>
    <col min="9995" max="9995" width="9.1796875" style="90" customWidth="1"/>
    <col min="9996" max="9996" width="6" style="90" customWidth="1"/>
    <col min="9997" max="9997" width="9.1796875" style="90" customWidth="1"/>
    <col min="9998" max="9998" width="6" style="90" customWidth="1"/>
    <col min="9999" max="10000" width="10.1796875" style="90" customWidth="1"/>
    <col min="10001" max="10001" width="10" style="90" customWidth="1"/>
    <col min="10002" max="10002" width="10.36328125" style="90" customWidth="1"/>
    <col min="10003" max="10013" width="9.1796875" style="90" customWidth="1"/>
    <col min="10014" max="10014" width="11.36328125" style="90" customWidth="1"/>
    <col min="10015" max="10035" width="13" style="90" hidden="1" customWidth="1"/>
    <col min="10036" max="10241" width="9.1796875" style="90" customWidth="1"/>
    <col min="10242" max="10242" width="28.6328125" style="90" customWidth="1"/>
    <col min="10243" max="10243" width="9" style="90" bestFit="1" customWidth="1"/>
    <col min="10244" max="10244" width="5.36328125" style="90" customWidth="1"/>
    <col min="10245" max="10245" width="9" style="90" bestFit="1" customWidth="1"/>
    <col min="10246" max="10246" width="5.36328125" style="90" customWidth="1"/>
    <col min="10247" max="10247" width="9" style="90" bestFit="1" customWidth="1"/>
    <col min="10248" max="10248" width="5" style="90" customWidth="1"/>
    <col min="10249" max="10249" width="9" style="90" bestFit="1" customWidth="1"/>
    <col min="10250" max="10250" width="5.1796875" style="90" customWidth="1"/>
    <col min="10251" max="10251" width="9.1796875" style="90" customWidth="1"/>
    <col min="10252" max="10252" width="6" style="90" customWidth="1"/>
    <col min="10253" max="10253" width="9.1796875" style="90" customWidth="1"/>
    <col min="10254" max="10254" width="6" style="90" customWidth="1"/>
    <col min="10255" max="10256" width="10.1796875" style="90" customWidth="1"/>
    <col min="10257" max="10257" width="10" style="90" customWidth="1"/>
    <col min="10258" max="10258" width="10.36328125" style="90" customWidth="1"/>
    <col min="10259" max="10269" width="9.1796875" style="90" customWidth="1"/>
    <col min="10270" max="10270" width="11.36328125" style="90" customWidth="1"/>
    <col min="10271" max="10291" width="13" style="90" hidden="1" customWidth="1"/>
    <col min="10292" max="10497" width="9.1796875" style="90" customWidth="1"/>
    <col min="10498" max="10498" width="28.6328125" style="90" customWidth="1"/>
    <col min="10499" max="10499" width="9" style="90" bestFit="1" customWidth="1"/>
    <col min="10500" max="10500" width="5.36328125" style="90" customWidth="1"/>
    <col min="10501" max="10501" width="9" style="90" bestFit="1" customWidth="1"/>
    <col min="10502" max="10502" width="5.36328125" style="90" customWidth="1"/>
    <col min="10503" max="10503" width="9" style="90" bestFit="1" customWidth="1"/>
    <col min="10504" max="10504" width="5" style="90" customWidth="1"/>
    <col min="10505" max="10505" width="9" style="90" bestFit="1" customWidth="1"/>
    <col min="10506" max="10506" width="5.1796875" style="90" customWidth="1"/>
    <col min="10507" max="10507" width="9.1796875" style="90" customWidth="1"/>
    <col min="10508" max="10508" width="6" style="90" customWidth="1"/>
    <col min="10509" max="10509" width="9.1796875" style="90" customWidth="1"/>
    <col min="10510" max="10510" width="6" style="90" customWidth="1"/>
    <col min="10511" max="10512" width="10.1796875" style="90" customWidth="1"/>
    <col min="10513" max="10513" width="10" style="90" customWidth="1"/>
    <col min="10514" max="10514" width="10.36328125" style="90" customWidth="1"/>
    <col min="10515" max="10525" width="9.1796875" style="90" customWidth="1"/>
    <col min="10526" max="10526" width="11.36328125" style="90" customWidth="1"/>
    <col min="10527" max="10547" width="13" style="90" hidden="1" customWidth="1"/>
    <col min="10548" max="10753" width="9.1796875" style="90" customWidth="1"/>
    <col min="10754" max="10754" width="28.6328125" style="90" customWidth="1"/>
    <col min="10755" max="10755" width="9" style="90" bestFit="1" customWidth="1"/>
    <col min="10756" max="10756" width="5.36328125" style="90" customWidth="1"/>
    <col min="10757" max="10757" width="9" style="90" bestFit="1" customWidth="1"/>
    <col min="10758" max="10758" width="5.36328125" style="90" customWidth="1"/>
    <col min="10759" max="10759" width="9" style="90" bestFit="1" customWidth="1"/>
    <col min="10760" max="10760" width="5" style="90" customWidth="1"/>
    <col min="10761" max="10761" width="9" style="90" bestFit="1" customWidth="1"/>
    <col min="10762" max="10762" width="5.1796875" style="90" customWidth="1"/>
    <col min="10763" max="10763" width="9.1796875" style="90" customWidth="1"/>
    <col min="10764" max="10764" width="6" style="90" customWidth="1"/>
    <col min="10765" max="10765" width="9.1796875" style="90" customWidth="1"/>
    <col min="10766" max="10766" width="6" style="90" customWidth="1"/>
    <col min="10767" max="10768" width="10.1796875" style="90" customWidth="1"/>
    <col min="10769" max="10769" width="10" style="90" customWidth="1"/>
    <col min="10770" max="10770" width="10.36328125" style="90" customWidth="1"/>
    <col min="10771" max="10781" width="9.1796875" style="90" customWidth="1"/>
    <col min="10782" max="10782" width="11.36328125" style="90" customWidth="1"/>
    <col min="10783" max="10803" width="13" style="90" hidden="1" customWidth="1"/>
    <col min="10804" max="11009" width="9.1796875" style="90" customWidth="1"/>
    <col min="11010" max="11010" width="28.6328125" style="90" customWidth="1"/>
    <col min="11011" max="11011" width="9" style="90" bestFit="1" customWidth="1"/>
    <col min="11012" max="11012" width="5.36328125" style="90" customWidth="1"/>
    <col min="11013" max="11013" width="9" style="90" bestFit="1" customWidth="1"/>
    <col min="11014" max="11014" width="5.36328125" style="90" customWidth="1"/>
    <col min="11015" max="11015" width="9" style="90" bestFit="1" customWidth="1"/>
    <col min="11016" max="11016" width="5" style="90" customWidth="1"/>
    <col min="11017" max="11017" width="9" style="90" bestFit="1" customWidth="1"/>
    <col min="11018" max="11018" width="5.1796875" style="90" customWidth="1"/>
    <col min="11019" max="11019" width="9.1796875" style="90" customWidth="1"/>
    <col min="11020" max="11020" width="6" style="90" customWidth="1"/>
    <col min="11021" max="11021" width="9.1796875" style="90" customWidth="1"/>
    <col min="11022" max="11022" width="6" style="90" customWidth="1"/>
    <col min="11023" max="11024" width="10.1796875" style="90" customWidth="1"/>
    <col min="11025" max="11025" width="10" style="90" customWidth="1"/>
    <col min="11026" max="11026" width="10.36328125" style="90" customWidth="1"/>
    <col min="11027" max="11037" width="9.1796875" style="90" customWidth="1"/>
    <col min="11038" max="11038" width="11.36328125" style="90" customWidth="1"/>
    <col min="11039" max="11059" width="13" style="90" hidden="1" customWidth="1"/>
    <col min="11060" max="11265" width="9.1796875" style="90" customWidth="1"/>
    <col min="11266" max="11266" width="28.6328125" style="90" customWidth="1"/>
    <col min="11267" max="11267" width="9" style="90" bestFit="1" customWidth="1"/>
    <col min="11268" max="11268" width="5.36328125" style="90" customWidth="1"/>
    <col min="11269" max="11269" width="9" style="90" bestFit="1" customWidth="1"/>
    <col min="11270" max="11270" width="5.36328125" style="90" customWidth="1"/>
    <col min="11271" max="11271" width="9" style="90" bestFit="1" customWidth="1"/>
    <col min="11272" max="11272" width="5" style="90" customWidth="1"/>
    <col min="11273" max="11273" width="9" style="90" bestFit="1" customWidth="1"/>
    <col min="11274" max="11274" width="5.1796875" style="90" customWidth="1"/>
    <col min="11275" max="11275" width="9.1796875" style="90" customWidth="1"/>
    <col min="11276" max="11276" width="6" style="90" customWidth="1"/>
    <col min="11277" max="11277" width="9.1796875" style="90" customWidth="1"/>
    <col min="11278" max="11278" width="6" style="90" customWidth="1"/>
    <col min="11279" max="11280" width="10.1796875" style="90" customWidth="1"/>
    <col min="11281" max="11281" width="10" style="90" customWidth="1"/>
    <col min="11282" max="11282" width="10.36328125" style="90" customWidth="1"/>
    <col min="11283" max="11293" width="9.1796875" style="90" customWidth="1"/>
    <col min="11294" max="11294" width="11.36328125" style="90" customWidth="1"/>
    <col min="11295" max="11315" width="13" style="90" hidden="1" customWidth="1"/>
    <col min="11316" max="11521" width="9.1796875" style="90" customWidth="1"/>
    <col min="11522" max="11522" width="28.6328125" style="90" customWidth="1"/>
    <col min="11523" max="11523" width="9" style="90" bestFit="1" customWidth="1"/>
    <col min="11524" max="11524" width="5.36328125" style="90" customWidth="1"/>
    <col min="11525" max="11525" width="9" style="90" bestFit="1" customWidth="1"/>
    <col min="11526" max="11526" width="5.36328125" style="90" customWidth="1"/>
    <col min="11527" max="11527" width="9" style="90" bestFit="1" customWidth="1"/>
    <col min="11528" max="11528" width="5" style="90" customWidth="1"/>
    <col min="11529" max="11529" width="9" style="90" bestFit="1" customWidth="1"/>
    <col min="11530" max="11530" width="5.1796875" style="90" customWidth="1"/>
    <col min="11531" max="11531" width="9.1796875" style="90" customWidth="1"/>
    <col min="11532" max="11532" width="6" style="90" customWidth="1"/>
    <col min="11533" max="11533" width="9.1796875" style="90" customWidth="1"/>
    <col min="11534" max="11534" width="6" style="90" customWidth="1"/>
    <col min="11535" max="11536" width="10.1796875" style="90" customWidth="1"/>
    <col min="11537" max="11537" width="10" style="90" customWidth="1"/>
    <col min="11538" max="11538" width="10.36328125" style="90" customWidth="1"/>
    <col min="11539" max="11549" width="9.1796875" style="90" customWidth="1"/>
    <col min="11550" max="11550" width="11.36328125" style="90" customWidth="1"/>
    <col min="11551" max="11571" width="13" style="90" hidden="1" customWidth="1"/>
    <col min="11572" max="11777" width="9.1796875" style="90" customWidth="1"/>
    <col min="11778" max="11778" width="28.6328125" style="90" customWidth="1"/>
    <col min="11779" max="11779" width="9" style="90" bestFit="1" customWidth="1"/>
    <col min="11780" max="11780" width="5.36328125" style="90" customWidth="1"/>
    <col min="11781" max="11781" width="9" style="90" bestFit="1" customWidth="1"/>
    <col min="11782" max="11782" width="5.36328125" style="90" customWidth="1"/>
    <col min="11783" max="11783" width="9" style="90" bestFit="1" customWidth="1"/>
    <col min="11784" max="11784" width="5" style="90" customWidth="1"/>
    <col min="11785" max="11785" width="9" style="90" bestFit="1" customWidth="1"/>
    <col min="11786" max="11786" width="5.1796875" style="90" customWidth="1"/>
    <col min="11787" max="11787" width="9.1796875" style="90" customWidth="1"/>
    <col min="11788" max="11788" width="6" style="90" customWidth="1"/>
    <col min="11789" max="11789" width="9.1796875" style="90" customWidth="1"/>
    <col min="11790" max="11790" width="6" style="90" customWidth="1"/>
    <col min="11791" max="11792" width="10.1796875" style="90" customWidth="1"/>
    <col min="11793" max="11793" width="10" style="90" customWidth="1"/>
    <col min="11794" max="11794" width="10.36328125" style="90" customWidth="1"/>
    <col min="11795" max="11805" width="9.1796875" style="90" customWidth="1"/>
    <col min="11806" max="11806" width="11.36328125" style="90" customWidth="1"/>
    <col min="11807" max="11827" width="13" style="90" hidden="1" customWidth="1"/>
    <col min="11828" max="12033" width="9.1796875" style="90" customWidth="1"/>
    <col min="12034" max="12034" width="28.6328125" style="90" customWidth="1"/>
    <col min="12035" max="12035" width="9" style="90" bestFit="1" customWidth="1"/>
    <col min="12036" max="12036" width="5.36328125" style="90" customWidth="1"/>
    <col min="12037" max="12037" width="9" style="90" bestFit="1" customWidth="1"/>
    <col min="12038" max="12038" width="5.36328125" style="90" customWidth="1"/>
    <col min="12039" max="12039" width="9" style="90" bestFit="1" customWidth="1"/>
    <col min="12040" max="12040" width="5" style="90" customWidth="1"/>
    <col min="12041" max="12041" width="9" style="90" bestFit="1" customWidth="1"/>
    <col min="12042" max="12042" width="5.1796875" style="90" customWidth="1"/>
    <col min="12043" max="12043" width="9.1796875" style="90" customWidth="1"/>
    <col min="12044" max="12044" width="6" style="90" customWidth="1"/>
    <col min="12045" max="12045" width="9.1796875" style="90" customWidth="1"/>
    <col min="12046" max="12046" width="6" style="90" customWidth="1"/>
    <col min="12047" max="12048" width="10.1796875" style="90" customWidth="1"/>
    <col min="12049" max="12049" width="10" style="90" customWidth="1"/>
    <col min="12050" max="12050" width="10.36328125" style="90" customWidth="1"/>
    <col min="12051" max="12061" width="9.1796875" style="90" customWidth="1"/>
    <col min="12062" max="12062" width="11.36328125" style="90" customWidth="1"/>
    <col min="12063" max="12083" width="13" style="90" hidden="1" customWidth="1"/>
    <col min="12084" max="12289" width="9.1796875" style="90" customWidth="1"/>
    <col min="12290" max="12290" width="28.6328125" style="90" customWidth="1"/>
    <col min="12291" max="12291" width="9" style="90" bestFit="1" customWidth="1"/>
    <col min="12292" max="12292" width="5.36328125" style="90" customWidth="1"/>
    <col min="12293" max="12293" width="9" style="90" bestFit="1" customWidth="1"/>
    <col min="12294" max="12294" width="5.36328125" style="90" customWidth="1"/>
    <col min="12295" max="12295" width="9" style="90" bestFit="1" customWidth="1"/>
    <col min="12296" max="12296" width="5" style="90" customWidth="1"/>
    <col min="12297" max="12297" width="9" style="90" bestFit="1" customWidth="1"/>
    <col min="12298" max="12298" width="5.1796875" style="90" customWidth="1"/>
    <col min="12299" max="12299" width="9.1796875" style="90" customWidth="1"/>
    <col min="12300" max="12300" width="6" style="90" customWidth="1"/>
    <col min="12301" max="12301" width="9.1796875" style="90" customWidth="1"/>
    <col min="12302" max="12302" width="6" style="90" customWidth="1"/>
    <col min="12303" max="12304" width="10.1796875" style="90" customWidth="1"/>
    <col min="12305" max="12305" width="10" style="90" customWidth="1"/>
    <col min="12306" max="12306" width="10.36328125" style="90" customWidth="1"/>
    <col min="12307" max="12317" width="9.1796875" style="90" customWidth="1"/>
    <col min="12318" max="12318" width="11.36328125" style="90" customWidth="1"/>
    <col min="12319" max="12339" width="13" style="90" hidden="1" customWidth="1"/>
    <col min="12340" max="12545" width="9.1796875" style="90" customWidth="1"/>
    <col min="12546" max="12546" width="28.6328125" style="90" customWidth="1"/>
    <col min="12547" max="12547" width="9" style="90" bestFit="1" customWidth="1"/>
    <col min="12548" max="12548" width="5.36328125" style="90" customWidth="1"/>
    <col min="12549" max="12549" width="9" style="90" bestFit="1" customWidth="1"/>
    <col min="12550" max="12550" width="5.36328125" style="90" customWidth="1"/>
    <col min="12551" max="12551" width="9" style="90" bestFit="1" customWidth="1"/>
    <col min="12552" max="12552" width="5" style="90" customWidth="1"/>
    <col min="12553" max="12553" width="9" style="90" bestFit="1" customWidth="1"/>
    <col min="12554" max="12554" width="5.1796875" style="90" customWidth="1"/>
    <col min="12555" max="12555" width="9.1796875" style="90" customWidth="1"/>
    <col min="12556" max="12556" width="6" style="90" customWidth="1"/>
    <col min="12557" max="12557" width="9.1796875" style="90" customWidth="1"/>
    <col min="12558" max="12558" width="6" style="90" customWidth="1"/>
    <col min="12559" max="12560" width="10.1796875" style="90" customWidth="1"/>
    <col min="12561" max="12561" width="10" style="90" customWidth="1"/>
    <col min="12562" max="12562" width="10.36328125" style="90" customWidth="1"/>
    <col min="12563" max="12573" width="9.1796875" style="90" customWidth="1"/>
    <col min="12574" max="12574" width="11.36328125" style="90" customWidth="1"/>
    <col min="12575" max="12595" width="13" style="90" hidden="1" customWidth="1"/>
    <col min="12596" max="12801" width="9.1796875" style="90" customWidth="1"/>
    <col min="12802" max="12802" width="28.6328125" style="90" customWidth="1"/>
    <col min="12803" max="12803" width="9" style="90" bestFit="1" customWidth="1"/>
    <col min="12804" max="12804" width="5.36328125" style="90" customWidth="1"/>
    <col min="12805" max="12805" width="9" style="90" bestFit="1" customWidth="1"/>
    <col min="12806" max="12806" width="5.36328125" style="90" customWidth="1"/>
    <col min="12807" max="12807" width="9" style="90" bestFit="1" customWidth="1"/>
    <col min="12808" max="12808" width="5" style="90" customWidth="1"/>
    <col min="12809" max="12809" width="9" style="90" bestFit="1" customWidth="1"/>
    <col min="12810" max="12810" width="5.1796875" style="90" customWidth="1"/>
    <col min="12811" max="12811" width="9.1796875" style="90" customWidth="1"/>
    <col min="12812" max="12812" width="6" style="90" customWidth="1"/>
    <col min="12813" max="12813" width="9.1796875" style="90" customWidth="1"/>
    <col min="12814" max="12814" width="6" style="90" customWidth="1"/>
    <col min="12815" max="12816" width="10.1796875" style="90" customWidth="1"/>
    <col min="12817" max="12817" width="10" style="90" customWidth="1"/>
    <col min="12818" max="12818" width="10.36328125" style="90" customWidth="1"/>
    <col min="12819" max="12829" width="9.1796875" style="90" customWidth="1"/>
    <col min="12830" max="12830" width="11.36328125" style="90" customWidth="1"/>
    <col min="12831" max="12851" width="13" style="90" hidden="1" customWidth="1"/>
    <col min="12852" max="13057" width="9.1796875" style="90" customWidth="1"/>
    <col min="13058" max="13058" width="28.6328125" style="90" customWidth="1"/>
    <col min="13059" max="13059" width="9" style="90" bestFit="1" customWidth="1"/>
    <col min="13060" max="13060" width="5.36328125" style="90" customWidth="1"/>
    <col min="13061" max="13061" width="9" style="90" bestFit="1" customWidth="1"/>
    <col min="13062" max="13062" width="5.36328125" style="90" customWidth="1"/>
    <col min="13063" max="13063" width="9" style="90" bestFit="1" customWidth="1"/>
    <col min="13064" max="13064" width="5" style="90" customWidth="1"/>
    <col min="13065" max="13065" width="9" style="90" bestFit="1" customWidth="1"/>
    <col min="13066" max="13066" width="5.1796875" style="90" customWidth="1"/>
    <col min="13067" max="13067" width="9.1796875" style="90" customWidth="1"/>
    <col min="13068" max="13068" width="6" style="90" customWidth="1"/>
    <col min="13069" max="13069" width="9.1796875" style="90" customWidth="1"/>
    <col min="13070" max="13070" width="6" style="90" customWidth="1"/>
    <col min="13071" max="13072" width="10.1796875" style="90" customWidth="1"/>
    <col min="13073" max="13073" width="10" style="90" customWidth="1"/>
    <col min="13074" max="13074" width="10.36328125" style="90" customWidth="1"/>
    <col min="13075" max="13085" width="9.1796875" style="90" customWidth="1"/>
    <col min="13086" max="13086" width="11.36328125" style="90" customWidth="1"/>
    <col min="13087" max="13107" width="13" style="90" hidden="1" customWidth="1"/>
    <col min="13108" max="13313" width="9.1796875" style="90" customWidth="1"/>
    <col min="13314" max="13314" width="28.6328125" style="90" customWidth="1"/>
    <col min="13315" max="13315" width="9" style="90" bestFit="1" customWidth="1"/>
    <col min="13316" max="13316" width="5.36328125" style="90" customWidth="1"/>
    <col min="13317" max="13317" width="9" style="90" bestFit="1" customWidth="1"/>
    <col min="13318" max="13318" width="5.36328125" style="90" customWidth="1"/>
    <col min="13319" max="13319" width="9" style="90" bestFit="1" customWidth="1"/>
    <col min="13320" max="13320" width="5" style="90" customWidth="1"/>
    <col min="13321" max="13321" width="9" style="90" bestFit="1" customWidth="1"/>
    <col min="13322" max="13322" width="5.1796875" style="90" customWidth="1"/>
    <col min="13323" max="13323" width="9.1796875" style="90" customWidth="1"/>
    <col min="13324" max="13324" width="6" style="90" customWidth="1"/>
    <col min="13325" max="13325" width="9.1796875" style="90" customWidth="1"/>
    <col min="13326" max="13326" width="6" style="90" customWidth="1"/>
    <col min="13327" max="13328" width="10.1796875" style="90" customWidth="1"/>
    <col min="13329" max="13329" width="10" style="90" customWidth="1"/>
    <col min="13330" max="13330" width="10.36328125" style="90" customWidth="1"/>
    <col min="13331" max="13341" width="9.1796875" style="90" customWidth="1"/>
    <col min="13342" max="13342" width="11.36328125" style="90" customWidth="1"/>
    <col min="13343" max="13363" width="13" style="90" hidden="1" customWidth="1"/>
    <col min="13364" max="13569" width="9.1796875" style="90" customWidth="1"/>
    <col min="13570" max="13570" width="28.6328125" style="90" customWidth="1"/>
    <col min="13571" max="13571" width="9" style="90" bestFit="1" customWidth="1"/>
    <col min="13572" max="13572" width="5.36328125" style="90" customWidth="1"/>
    <col min="13573" max="13573" width="9" style="90" bestFit="1" customWidth="1"/>
    <col min="13574" max="13574" width="5.36328125" style="90" customWidth="1"/>
    <col min="13575" max="13575" width="9" style="90" bestFit="1" customWidth="1"/>
    <col min="13576" max="13576" width="5" style="90" customWidth="1"/>
    <col min="13577" max="13577" width="9" style="90" bestFit="1" customWidth="1"/>
    <col min="13578" max="13578" width="5.1796875" style="90" customWidth="1"/>
    <col min="13579" max="13579" width="9.1796875" style="90" customWidth="1"/>
    <col min="13580" max="13580" width="6" style="90" customWidth="1"/>
    <col min="13581" max="13581" width="9.1796875" style="90" customWidth="1"/>
    <col min="13582" max="13582" width="6" style="90" customWidth="1"/>
    <col min="13583" max="13584" width="10.1796875" style="90" customWidth="1"/>
    <col min="13585" max="13585" width="10" style="90" customWidth="1"/>
    <col min="13586" max="13586" width="10.36328125" style="90" customWidth="1"/>
    <col min="13587" max="13597" width="9.1796875" style="90" customWidth="1"/>
    <col min="13598" max="13598" width="11.36328125" style="90" customWidth="1"/>
    <col min="13599" max="13619" width="13" style="90" hidden="1" customWidth="1"/>
    <col min="13620" max="13825" width="9.1796875" style="90" customWidth="1"/>
    <col min="13826" max="13826" width="28.6328125" style="90" customWidth="1"/>
    <col min="13827" max="13827" width="9" style="90" bestFit="1" customWidth="1"/>
    <col min="13828" max="13828" width="5.36328125" style="90" customWidth="1"/>
    <col min="13829" max="13829" width="9" style="90" bestFit="1" customWidth="1"/>
    <col min="13830" max="13830" width="5.36328125" style="90" customWidth="1"/>
    <col min="13831" max="13831" width="9" style="90" bestFit="1" customWidth="1"/>
    <col min="13832" max="13832" width="5" style="90" customWidth="1"/>
    <col min="13833" max="13833" width="9" style="90" bestFit="1" customWidth="1"/>
    <col min="13834" max="13834" width="5.1796875" style="90" customWidth="1"/>
    <col min="13835" max="13835" width="9.1796875" style="90" customWidth="1"/>
    <col min="13836" max="13836" width="6" style="90" customWidth="1"/>
    <col min="13837" max="13837" width="9.1796875" style="90" customWidth="1"/>
    <col min="13838" max="13838" width="6" style="90" customWidth="1"/>
    <col min="13839" max="13840" width="10.1796875" style="90" customWidth="1"/>
    <col min="13841" max="13841" width="10" style="90" customWidth="1"/>
    <col min="13842" max="13842" width="10.36328125" style="90" customWidth="1"/>
    <col min="13843" max="13853" width="9.1796875" style="90" customWidth="1"/>
    <col min="13854" max="13854" width="11.36328125" style="90" customWidth="1"/>
    <col min="13855" max="13875" width="13" style="90" hidden="1" customWidth="1"/>
    <col min="13876" max="14081" width="9.1796875" style="90" customWidth="1"/>
    <col min="14082" max="14082" width="28.6328125" style="90" customWidth="1"/>
    <col min="14083" max="14083" width="9" style="90" bestFit="1" customWidth="1"/>
    <col min="14084" max="14084" width="5.36328125" style="90" customWidth="1"/>
    <col min="14085" max="14085" width="9" style="90" bestFit="1" customWidth="1"/>
    <col min="14086" max="14086" width="5.36328125" style="90" customWidth="1"/>
    <col min="14087" max="14087" width="9" style="90" bestFit="1" customWidth="1"/>
    <col min="14088" max="14088" width="5" style="90" customWidth="1"/>
    <col min="14089" max="14089" width="9" style="90" bestFit="1" customWidth="1"/>
    <col min="14090" max="14090" width="5.1796875" style="90" customWidth="1"/>
    <col min="14091" max="14091" width="9.1796875" style="90" customWidth="1"/>
    <col min="14092" max="14092" width="6" style="90" customWidth="1"/>
    <col min="14093" max="14093" width="9.1796875" style="90" customWidth="1"/>
    <col min="14094" max="14094" width="6" style="90" customWidth="1"/>
    <col min="14095" max="14096" width="10.1796875" style="90" customWidth="1"/>
    <col min="14097" max="14097" width="10" style="90" customWidth="1"/>
    <col min="14098" max="14098" width="10.36328125" style="90" customWidth="1"/>
    <col min="14099" max="14109" width="9.1796875" style="90" customWidth="1"/>
    <col min="14110" max="14110" width="11.36328125" style="90" customWidth="1"/>
    <col min="14111" max="14131" width="13" style="90" hidden="1" customWidth="1"/>
    <col min="14132" max="14337" width="9.1796875" style="90" customWidth="1"/>
    <col min="14338" max="14338" width="28.6328125" style="90" customWidth="1"/>
    <col min="14339" max="14339" width="9" style="90" bestFit="1" customWidth="1"/>
    <col min="14340" max="14340" width="5.36328125" style="90" customWidth="1"/>
    <col min="14341" max="14341" width="9" style="90" bestFit="1" customWidth="1"/>
    <col min="14342" max="14342" width="5.36328125" style="90" customWidth="1"/>
    <col min="14343" max="14343" width="9" style="90" bestFit="1" customWidth="1"/>
    <col min="14344" max="14344" width="5" style="90" customWidth="1"/>
    <col min="14345" max="14345" width="9" style="90" bestFit="1" customWidth="1"/>
    <col min="14346" max="14346" width="5.1796875" style="90" customWidth="1"/>
    <col min="14347" max="14347" width="9.1796875" style="90" customWidth="1"/>
    <col min="14348" max="14348" width="6" style="90" customWidth="1"/>
    <col min="14349" max="14349" width="9.1796875" style="90" customWidth="1"/>
    <col min="14350" max="14350" width="6" style="90" customWidth="1"/>
    <col min="14351" max="14352" width="10.1796875" style="90" customWidth="1"/>
    <col min="14353" max="14353" width="10" style="90" customWidth="1"/>
    <col min="14354" max="14354" width="10.36328125" style="90" customWidth="1"/>
    <col min="14355" max="14365" width="9.1796875" style="90" customWidth="1"/>
    <col min="14366" max="14366" width="11.36328125" style="90" customWidth="1"/>
    <col min="14367" max="14387" width="13" style="90" hidden="1" customWidth="1"/>
    <col min="14388" max="14593" width="9.1796875" style="90" customWidth="1"/>
    <col min="14594" max="14594" width="28.6328125" style="90" customWidth="1"/>
    <col min="14595" max="14595" width="9" style="90" bestFit="1" customWidth="1"/>
    <col min="14596" max="14596" width="5.36328125" style="90" customWidth="1"/>
    <col min="14597" max="14597" width="9" style="90" bestFit="1" customWidth="1"/>
    <col min="14598" max="14598" width="5.36328125" style="90" customWidth="1"/>
    <col min="14599" max="14599" width="9" style="90" bestFit="1" customWidth="1"/>
    <col min="14600" max="14600" width="5" style="90" customWidth="1"/>
    <col min="14601" max="14601" width="9" style="90" bestFit="1" customWidth="1"/>
    <col min="14602" max="14602" width="5.1796875" style="90" customWidth="1"/>
    <col min="14603" max="14603" width="9.1796875" style="90" customWidth="1"/>
    <col min="14604" max="14604" width="6" style="90" customWidth="1"/>
    <col min="14605" max="14605" width="9.1796875" style="90" customWidth="1"/>
    <col min="14606" max="14606" width="6" style="90" customWidth="1"/>
    <col min="14607" max="14608" width="10.1796875" style="90" customWidth="1"/>
    <col min="14609" max="14609" width="10" style="90" customWidth="1"/>
    <col min="14610" max="14610" width="10.36328125" style="90" customWidth="1"/>
    <col min="14611" max="14621" width="9.1796875" style="90" customWidth="1"/>
    <col min="14622" max="14622" width="11.36328125" style="90" customWidth="1"/>
    <col min="14623" max="14643" width="13" style="90" hidden="1" customWidth="1"/>
    <col min="14644" max="14849" width="9.1796875" style="90" customWidth="1"/>
    <col min="14850" max="14850" width="28.6328125" style="90" customWidth="1"/>
    <col min="14851" max="14851" width="9" style="90" bestFit="1" customWidth="1"/>
    <col min="14852" max="14852" width="5.36328125" style="90" customWidth="1"/>
    <col min="14853" max="14853" width="9" style="90" bestFit="1" customWidth="1"/>
    <col min="14854" max="14854" width="5.36328125" style="90" customWidth="1"/>
    <col min="14855" max="14855" width="9" style="90" bestFit="1" customWidth="1"/>
    <col min="14856" max="14856" width="5" style="90" customWidth="1"/>
    <col min="14857" max="14857" width="9" style="90" bestFit="1" customWidth="1"/>
    <col min="14858" max="14858" width="5.1796875" style="90" customWidth="1"/>
    <col min="14859" max="14859" width="9.1796875" style="90" customWidth="1"/>
    <col min="14860" max="14860" width="6" style="90" customWidth="1"/>
    <col min="14861" max="14861" width="9.1796875" style="90" customWidth="1"/>
    <col min="14862" max="14862" width="6" style="90" customWidth="1"/>
    <col min="14863" max="14864" width="10.1796875" style="90" customWidth="1"/>
    <col min="14865" max="14865" width="10" style="90" customWidth="1"/>
    <col min="14866" max="14866" width="10.36328125" style="90" customWidth="1"/>
    <col min="14867" max="14877" width="9.1796875" style="90" customWidth="1"/>
    <col min="14878" max="14878" width="11.36328125" style="90" customWidth="1"/>
    <col min="14879" max="14899" width="13" style="90" hidden="1" customWidth="1"/>
    <col min="14900" max="15105" width="9.1796875" style="90" customWidth="1"/>
    <col min="15106" max="15106" width="28.6328125" style="90" customWidth="1"/>
    <col min="15107" max="15107" width="9" style="90" bestFit="1" customWidth="1"/>
    <col min="15108" max="15108" width="5.36328125" style="90" customWidth="1"/>
    <col min="15109" max="15109" width="9" style="90" bestFit="1" customWidth="1"/>
    <col min="15110" max="15110" width="5.36328125" style="90" customWidth="1"/>
    <col min="15111" max="15111" width="9" style="90" bestFit="1" customWidth="1"/>
    <col min="15112" max="15112" width="5" style="90" customWidth="1"/>
    <col min="15113" max="15113" width="9" style="90" bestFit="1" customWidth="1"/>
    <col min="15114" max="15114" width="5.1796875" style="90" customWidth="1"/>
    <col min="15115" max="15115" width="9.1796875" style="90" customWidth="1"/>
    <col min="15116" max="15116" width="6" style="90" customWidth="1"/>
    <col min="15117" max="15117" width="9.1796875" style="90" customWidth="1"/>
    <col min="15118" max="15118" width="6" style="90" customWidth="1"/>
    <col min="15119" max="15120" width="10.1796875" style="90" customWidth="1"/>
    <col min="15121" max="15121" width="10" style="90" customWidth="1"/>
    <col min="15122" max="15122" width="10.36328125" style="90" customWidth="1"/>
    <col min="15123" max="15133" width="9.1796875" style="90" customWidth="1"/>
    <col min="15134" max="15134" width="11.36328125" style="90" customWidth="1"/>
    <col min="15135" max="15155" width="13" style="90" hidden="1" customWidth="1"/>
    <col min="15156" max="15361" width="9.1796875" style="90" customWidth="1"/>
    <col min="15362" max="15362" width="28.6328125" style="90" customWidth="1"/>
    <col min="15363" max="15363" width="9" style="90" bestFit="1" customWidth="1"/>
    <col min="15364" max="15364" width="5.36328125" style="90" customWidth="1"/>
    <col min="15365" max="15365" width="9" style="90" bestFit="1" customWidth="1"/>
    <col min="15366" max="15366" width="5.36328125" style="90" customWidth="1"/>
    <col min="15367" max="15367" width="9" style="90" bestFit="1" customWidth="1"/>
    <col min="15368" max="15368" width="5" style="90" customWidth="1"/>
    <col min="15369" max="15369" width="9" style="90" bestFit="1" customWidth="1"/>
    <col min="15370" max="15370" width="5.1796875" style="90" customWidth="1"/>
    <col min="15371" max="15371" width="9.1796875" style="90" customWidth="1"/>
    <col min="15372" max="15372" width="6" style="90" customWidth="1"/>
    <col min="15373" max="15373" width="9.1796875" style="90" customWidth="1"/>
    <col min="15374" max="15374" width="6" style="90" customWidth="1"/>
    <col min="15375" max="15376" width="10.1796875" style="90" customWidth="1"/>
    <col min="15377" max="15377" width="10" style="90" customWidth="1"/>
    <col min="15378" max="15378" width="10.36328125" style="90" customWidth="1"/>
    <col min="15379" max="15389" width="9.1796875" style="90" customWidth="1"/>
    <col min="15390" max="15390" width="11.36328125" style="90" customWidth="1"/>
    <col min="15391" max="15411" width="13" style="90" hidden="1" customWidth="1"/>
    <col min="15412" max="15617" width="9.1796875" style="90" customWidth="1"/>
    <col min="15618" max="15618" width="28.6328125" style="90" customWidth="1"/>
    <col min="15619" max="15619" width="9" style="90" bestFit="1" customWidth="1"/>
    <col min="15620" max="15620" width="5.36328125" style="90" customWidth="1"/>
    <col min="15621" max="15621" width="9" style="90" bestFit="1" customWidth="1"/>
    <col min="15622" max="15622" width="5.36328125" style="90" customWidth="1"/>
    <col min="15623" max="15623" width="9" style="90" bestFit="1" customWidth="1"/>
    <col min="15624" max="15624" width="5" style="90" customWidth="1"/>
    <col min="15625" max="15625" width="9" style="90" bestFit="1" customWidth="1"/>
    <col min="15626" max="15626" width="5.1796875" style="90" customWidth="1"/>
    <col min="15627" max="15627" width="9.1796875" style="90" customWidth="1"/>
    <col min="15628" max="15628" width="6" style="90" customWidth="1"/>
    <col min="15629" max="15629" width="9.1796875" style="90" customWidth="1"/>
    <col min="15630" max="15630" width="6" style="90" customWidth="1"/>
    <col min="15631" max="15632" width="10.1796875" style="90" customWidth="1"/>
    <col min="15633" max="15633" width="10" style="90" customWidth="1"/>
    <col min="15634" max="15634" width="10.36328125" style="90" customWidth="1"/>
    <col min="15635" max="15645" width="9.1796875" style="90" customWidth="1"/>
    <col min="15646" max="15646" width="11.36328125" style="90" customWidth="1"/>
    <col min="15647" max="15667" width="13" style="90" hidden="1" customWidth="1"/>
    <col min="15668" max="15873" width="9.1796875" style="90" customWidth="1"/>
    <col min="15874" max="15874" width="28.6328125" style="90" customWidth="1"/>
    <col min="15875" max="15875" width="9" style="90" bestFit="1" customWidth="1"/>
    <col min="15876" max="15876" width="5.36328125" style="90" customWidth="1"/>
    <col min="15877" max="15877" width="9" style="90" bestFit="1" customWidth="1"/>
    <col min="15878" max="15878" width="5.36328125" style="90" customWidth="1"/>
    <col min="15879" max="15879" width="9" style="90" bestFit="1" customWidth="1"/>
    <col min="15880" max="15880" width="5" style="90" customWidth="1"/>
    <col min="15881" max="15881" width="9" style="90" bestFit="1" customWidth="1"/>
    <col min="15882" max="15882" width="5.1796875" style="90" customWidth="1"/>
    <col min="15883" max="15883" width="9.1796875" style="90" customWidth="1"/>
    <col min="15884" max="15884" width="6" style="90" customWidth="1"/>
    <col min="15885" max="15885" width="9.1796875" style="90" customWidth="1"/>
    <col min="15886" max="15886" width="6" style="90" customWidth="1"/>
    <col min="15887" max="15888" width="10.1796875" style="90" customWidth="1"/>
    <col min="15889" max="15889" width="10" style="90" customWidth="1"/>
    <col min="15890" max="15890" width="10.36328125" style="90" customWidth="1"/>
    <col min="15891" max="15901" width="9.1796875" style="90" customWidth="1"/>
    <col min="15902" max="15902" width="11.36328125" style="90" customWidth="1"/>
    <col min="15903" max="15923" width="13" style="90" hidden="1" customWidth="1"/>
    <col min="15924" max="16129" width="9.1796875" style="90" customWidth="1"/>
    <col min="16130" max="16130" width="28.6328125" style="90" customWidth="1"/>
    <col min="16131" max="16131" width="9" style="90" bestFit="1" customWidth="1"/>
    <col min="16132" max="16132" width="5.36328125" style="90" customWidth="1"/>
    <col min="16133" max="16133" width="9" style="90" bestFit="1" customWidth="1"/>
    <col min="16134" max="16134" width="5.36328125" style="90" customWidth="1"/>
    <col min="16135" max="16135" width="9" style="90" bestFit="1" customWidth="1"/>
    <col min="16136" max="16136" width="5" style="90" customWidth="1"/>
    <col min="16137" max="16137" width="9" style="90" bestFit="1" customWidth="1"/>
    <col min="16138" max="16138" width="5.1796875" style="90" customWidth="1"/>
    <col min="16139" max="16139" width="9.1796875" style="90" customWidth="1"/>
    <col min="16140" max="16140" width="6" style="90" customWidth="1"/>
    <col min="16141" max="16141" width="9.1796875" style="90" customWidth="1"/>
    <col min="16142" max="16142" width="6" style="90" customWidth="1"/>
    <col min="16143" max="16144" width="10.1796875" style="90" customWidth="1"/>
    <col min="16145" max="16145" width="10" style="90" customWidth="1"/>
    <col min="16146" max="16146" width="10.36328125" style="90" customWidth="1"/>
    <col min="16147" max="16157" width="9.1796875" style="90" customWidth="1"/>
    <col min="16158" max="16158" width="11.36328125" style="90" customWidth="1"/>
    <col min="16159" max="16179" width="13" style="90" hidden="1" customWidth="1"/>
    <col min="16180" max="16384" width="9.1796875" style="90" customWidth="1"/>
  </cols>
  <sheetData>
    <row r="1" spans="2:54" x14ac:dyDescent="0.35">
      <c r="AY1" s="33" t="s">
        <v>75</v>
      </c>
      <c r="AZ1" s="118" t="s">
        <v>76</v>
      </c>
      <c r="BA1" s="97"/>
      <c r="BB1" s="97"/>
    </row>
    <row r="2" spans="2:54" x14ac:dyDescent="0.35">
      <c r="B2" s="12"/>
    </row>
    <row r="3" spans="2:54" ht="16" customHeight="1" thickBot="1" x14ac:dyDescent="0.4">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BA3" s="119" t="s">
        <v>77</v>
      </c>
      <c r="BB3" s="104"/>
    </row>
    <row r="4" spans="2:54" x14ac:dyDescent="0.35">
      <c r="B4" s="116"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26">
        <v>44743</v>
      </c>
      <c r="AS4" s="26">
        <v>44774</v>
      </c>
      <c r="AT4" s="26">
        <v>44805</v>
      </c>
      <c r="AU4" s="26">
        <v>44835</v>
      </c>
      <c r="AV4" s="26">
        <v>44866</v>
      </c>
      <c r="AW4" s="26">
        <v>44896</v>
      </c>
      <c r="AX4" s="26">
        <v>44927</v>
      </c>
      <c r="AY4" s="11"/>
      <c r="AZ4" s="120" t="s">
        <v>79</v>
      </c>
      <c r="BA4" s="120" t="s">
        <v>80</v>
      </c>
      <c r="BB4" s="120" t="s">
        <v>81</v>
      </c>
    </row>
    <row r="5" spans="2:54" ht="16" customHeight="1" thickBot="1" x14ac:dyDescent="0.4">
      <c r="B5" s="117"/>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11"/>
      <c r="AZ5" s="121"/>
      <c r="BA5" s="121"/>
      <c r="BB5" s="121"/>
    </row>
    <row r="6" spans="2:54" x14ac:dyDescent="0.35">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20">
        <f>VLOOKUP(AR$4,'DB Manufacturing ISM'!$A:$S,MATCH($B6,'DB Manufacturing ISM'!$A$1:$S$1,0),0)</f>
        <v>5</v>
      </c>
      <c r="AS6" s="20">
        <f>VLOOKUP(AS$4,'DB Manufacturing ISM'!$A:$S,MATCH($B6,'DB Manufacturing ISM'!$A$1:$S$1,0),0)</f>
        <v>3</v>
      </c>
      <c r="AT6" s="20">
        <f>VLOOKUP(AT$4,'DB Manufacturing ISM'!$A:$S,MATCH($B6,'DB Manufacturing ISM'!$A$1:$S$1,0),0)</f>
        <v>8</v>
      </c>
      <c r="AU6" s="20">
        <f>VLOOKUP(AU$4,'DB Manufacturing ISM'!$A:$S,MATCH($B6,'DB Manufacturing ISM'!$A$1:$S$1,0),0)</f>
        <v>6</v>
      </c>
      <c r="AV6" s="20">
        <f>VLOOKUP(AV$4,'DB Manufacturing ISM'!$A:$S,MATCH($B6,'DB Manufacturing ISM'!$A$1:$S$1,0),0)</f>
        <v>-2</v>
      </c>
      <c r="AW6" s="20">
        <f>VLOOKUP(AW$4,'DB Manufacturing ISM'!$A:$S,MATCH($B6,'DB Manufacturing ISM'!$A$1:$S$1,0),0)</f>
        <v>-4</v>
      </c>
      <c r="AX6" s="20">
        <f>VLOOKUP(AX$4,'DB Manufacturing ISM'!$A:$S,MATCH($B6,'DB Manufacturing ISM'!$A$1:$S$1,0),0)</f>
        <v>7</v>
      </c>
      <c r="AY6" s="13"/>
      <c r="AZ6" s="20">
        <f>AX6-AW6</f>
        <v>11</v>
      </c>
      <c r="BA6" s="23">
        <f>AVERAGE(AV6:AX6)</f>
        <v>0.33333333333333331</v>
      </c>
      <c r="BB6" s="23">
        <f>AVERAGE(AS6:AX6)</f>
        <v>3</v>
      </c>
    </row>
    <row r="7" spans="2:54" x14ac:dyDescent="0.35">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20">
        <f>VLOOKUP(AR$4,'DB Manufacturing ISM'!$A:$S,MATCH($B7,'DB Manufacturing ISM'!$A$1:$S$1,0),0)</f>
        <v>7</v>
      </c>
      <c r="AS7" s="20">
        <f>VLOOKUP(AS$4,'DB Manufacturing ISM'!$A:$S,MATCH($B7,'DB Manufacturing ISM'!$A$1:$S$1,0),0)</f>
        <v>7</v>
      </c>
      <c r="AT7" s="20">
        <f>VLOOKUP(AT$4,'DB Manufacturing ISM'!$A:$S,MATCH($B7,'DB Manufacturing ISM'!$A$1:$S$1,0),0)</f>
        <v>2</v>
      </c>
      <c r="AU7" s="20">
        <f>VLOOKUP(AU$4,'DB Manufacturing ISM'!$A:$S,MATCH($B7,'DB Manufacturing ISM'!$A$1:$S$1,0),0)</f>
        <v>-2</v>
      </c>
      <c r="AV7" s="20">
        <f>VLOOKUP(AV$4,'DB Manufacturing ISM'!$A:$S,MATCH($B7,'DB Manufacturing ISM'!$A$1:$S$1,0),0)</f>
        <v>-4</v>
      </c>
      <c r="AW7" s="20">
        <f>VLOOKUP(AW$4,'DB Manufacturing ISM'!$A:$S,MATCH($B7,'DB Manufacturing ISM'!$A$1:$S$1,0),0)</f>
        <v>-5</v>
      </c>
      <c r="AX7" s="20">
        <f>VLOOKUP(AX$4,'DB Manufacturing ISM'!$A:$S,MATCH($B7,'DB Manufacturing ISM'!$A$1:$S$1,0),0)</f>
        <v>2</v>
      </c>
      <c r="AY7" s="13"/>
      <c r="AZ7" s="20">
        <f t="shared" ref="AZ7:AZ23" si="0">AX7-AW7</f>
        <v>7</v>
      </c>
      <c r="BA7" s="23">
        <f t="shared" ref="BA7:BA23" si="1">AVERAGE(AV7:AX7)</f>
        <v>-2.3333333333333335</v>
      </c>
      <c r="BB7" s="23">
        <f t="shared" ref="BB7:BB23" si="2">AVERAGE(AS7:AX7)</f>
        <v>0</v>
      </c>
    </row>
    <row r="8" spans="2:54" x14ac:dyDescent="0.35">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20">
        <f>VLOOKUP(AR$4,'DB Manufacturing ISM'!$A:$S,MATCH($B8,'DB Manufacturing ISM'!$A$1:$S$1,0),0)</f>
        <v>-5</v>
      </c>
      <c r="AS8" s="20">
        <f>VLOOKUP(AS$4,'DB Manufacturing ISM'!$A:$S,MATCH($B8,'DB Manufacturing ISM'!$A$1:$S$1,0),0)</f>
        <v>-4</v>
      </c>
      <c r="AT8" s="20">
        <f>VLOOKUP(AT$4,'DB Manufacturing ISM'!$A:$S,MATCH($B8,'DB Manufacturing ISM'!$A$1:$S$1,0),0)</f>
        <v>-3</v>
      </c>
      <c r="AU8" s="20">
        <f>VLOOKUP(AU$4,'DB Manufacturing ISM'!$A:$S,MATCH($B8,'DB Manufacturing ISM'!$A$1:$S$1,0),0)</f>
        <v>-8</v>
      </c>
      <c r="AV8" s="20">
        <f>VLOOKUP(AV$4,'DB Manufacturing ISM'!$A:$S,MATCH($B8,'DB Manufacturing ISM'!$A$1:$S$1,0),0)</f>
        <v>-10</v>
      </c>
      <c r="AW8" s="20">
        <f>VLOOKUP(AW$4,'DB Manufacturing ISM'!$A:$S,MATCH($B8,'DB Manufacturing ISM'!$A$1:$S$1,0),0)</f>
        <v>-10</v>
      </c>
      <c r="AX8" s="20">
        <f>VLOOKUP(AX$4,'DB Manufacturing ISM'!$A:$S,MATCH($B8,'DB Manufacturing ISM'!$A$1:$S$1,0),0)</f>
        <v>14</v>
      </c>
      <c r="AY8" s="13"/>
      <c r="AZ8" s="20">
        <f t="shared" si="0"/>
        <v>24</v>
      </c>
      <c r="BA8" s="23">
        <f t="shared" si="1"/>
        <v>-2</v>
      </c>
      <c r="BB8" s="23">
        <f t="shared" si="2"/>
        <v>-3.5</v>
      </c>
    </row>
    <row r="9" spans="2:54" x14ac:dyDescent="0.35">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20">
        <f>VLOOKUP(AR$4,'DB Manufacturing ISM'!$A:$S,MATCH($B9,'DB Manufacturing ISM'!$A$1:$S$1,0),0)</f>
        <v>11</v>
      </c>
      <c r="AS9" s="20">
        <f>VLOOKUP(AS$4,'DB Manufacturing ISM'!$A:$S,MATCH($B9,'DB Manufacturing ISM'!$A$1:$S$1,0),0)</f>
        <v>-6</v>
      </c>
      <c r="AT9" s="20">
        <f>VLOOKUP(AT$4,'DB Manufacturing ISM'!$A:$S,MATCH($B9,'DB Manufacturing ISM'!$A$1:$S$1,0),0)</f>
        <v>5</v>
      </c>
      <c r="AU9" s="20">
        <f>VLOOKUP(AU$4,'DB Manufacturing ISM'!$A:$S,MATCH($B9,'DB Manufacturing ISM'!$A$1:$S$1,0),0)</f>
        <v>8</v>
      </c>
      <c r="AV9" s="20">
        <f>VLOOKUP(AV$4,'DB Manufacturing ISM'!$A:$S,MATCH($B9,'DB Manufacturing ISM'!$A$1:$S$1,0),0)</f>
        <v>6</v>
      </c>
      <c r="AW9" s="20">
        <f>VLOOKUP(AW$4,'DB Manufacturing ISM'!$A:$S,MATCH($B9,'DB Manufacturing ISM'!$A$1:$S$1,0),0)</f>
        <v>-6</v>
      </c>
      <c r="AX9" s="20">
        <f>VLOOKUP(AX$4,'DB Manufacturing ISM'!$A:$S,MATCH($B9,'DB Manufacturing ISM'!$A$1:$S$1,0),0)</f>
        <v>15</v>
      </c>
      <c r="AY9" s="13"/>
      <c r="AZ9" s="20">
        <f t="shared" si="0"/>
        <v>21</v>
      </c>
      <c r="BA9" s="23">
        <f t="shared" si="1"/>
        <v>5</v>
      </c>
      <c r="BB9" s="23">
        <f t="shared" si="2"/>
        <v>3.6666666666666665</v>
      </c>
    </row>
    <row r="10" spans="2:54" x14ac:dyDescent="0.35">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20">
        <f>VLOOKUP(AR$4,'DB Manufacturing ISM'!$A:$S,MATCH($B10,'DB Manufacturing ISM'!$A$1:$S$1,0),0)</f>
        <v>8</v>
      </c>
      <c r="AS10" s="20">
        <f>VLOOKUP(AS$4,'DB Manufacturing ISM'!$A:$S,MATCH($B10,'DB Manufacturing ISM'!$A$1:$S$1,0),0)</f>
        <v>6</v>
      </c>
      <c r="AT10" s="20">
        <f>VLOOKUP(AT$4,'DB Manufacturing ISM'!$A:$S,MATCH($B10,'DB Manufacturing ISM'!$A$1:$S$1,0),0)</f>
        <v>-4</v>
      </c>
      <c r="AU10" s="20">
        <f>VLOOKUP(AU$4,'DB Manufacturing ISM'!$A:$S,MATCH($B10,'DB Manufacturing ISM'!$A$1:$S$1,0),0)</f>
        <v>-6</v>
      </c>
      <c r="AV10" s="20">
        <f>VLOOKUP(AV$4,'DB Manufacturing ISM'!$A:$S,MATCH($B10,'DB Manufacturing ISM'!$A$1:$S$1,0),0)</f>
        <v>-12</v>
      </c>
      <c r="AW10" s="20">
        <f>VLOOKUP(AW$4,'DB Manufacturing ISM'!$A:$S,MATCH($B10,'DB Manufacturing ISM'!$A$1:$S$1,0),0)</f>
        <v>0</v>
      </c>
      <c r="AX10" s="20">
        <f>VLOOKUP(AX$4,'DB Manufacturing ISM'!$A:$S,MATCH($B10,'DB Manufacturing ISM'!$A$1:$S$1,0),0)</f>
        <v>0</v>
      </c>
      <c r="AY10" s="13"/>
      <c r="AZ10" s="20">
        <f t="shared" si="0"/>
        <v>0</v>
      </c>
      <c r="BA10" s="23">
        <f t="shared" si="1"/>
        <v>-4</v>
      </c>
      <c r="BB10" s="23">
        <f t="shared" si="2"/>
        <v>-2.6666666666666665</v>
      </c>
    </row>
    <row r="11" spans="2:54" x14ac:dyDescent="0.35">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20">
        <f>VLOOKUP(AR$4,'DB Manufacturing ISM'!$A:$S,MATCH($B11,'DB Manufacturing ISM'!$A$1:$S$1,0),0)</f>
        <v>3</v>
      </c>
      <c r="AS11" s="20">
        <f>VLOOKUP(AS$4,'DB Manufacturing ISM'!$A:$S,MATCH($B11,'DB Manufacturing ISM'!$A$1:$S$1,0),0)</f>
        <v>4</v>
      </c>
      <c r="AT11" s="20">
        <f>VLOOKUP(AT$4,'DB Manufacturing ISM'!$A:$S,MATCH($B11,'DB Manufacturing ISM'!$A$1:$S$1,0),0)</f>
        <v>0</v>
      </c>
      <c r="AU11" s="20">
        <f>VLOOKUP(AU$4,'DB Manufacturing ISM'!$A:$S,MATCH($B11,'DB Manufacturing ISM'!$A$1:$S$1,0),0)</f>
        <v>-3</v>
      </c>
      <c r="AV11" s="20">
        <f>VLOOKUP(AV$4,'DB Manufacturing ISM'!$A:$S,MATCH($B11,'DB Manufacturing ISM'!$A$1:$S$1,0),0)</f>
        <v>4</v>
      </c>
      <c r="AW11" s="20">
        <f>VLOOKUP(AW$4,'DB Manufacturing ISM'!$A:$S,MATCH($B11,'DB Manufacturing ISM'!$A$1:$S$1,0),0)</f>
        <v>2</v>
      </c>
      <c r="AX11" s="20">
        <f>VLOOKUP(AX$4,'DB Manufacturing ISM'!$A:$S,MATCH($B11,'DB Manufacturing ISM'!$A$1:$S$1,0),0)</f>
        <v>9</v>
      </c>
      <c r="AY11" s="13"/>
      <c r="AZ11" s="20">
        <f t="shared" si="0"/>
        <v>7</v>
      </c>
      <c r="BA11" s="23">
        <f t="shared" si="1"/>
        <v>5</v>
      </c>
      <c r="BB11" s="23">
        <f t="shared" si="2"/>
        <v>2.6666666666666665</v>
      </c>
    </row>
    <row r="12" spans="2:54" x14ac:dyDescent="0.35">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20">
        <f>VLOOKUP(AR$4,'DB Manufacturing ISM'!$A:$S,MATCH($B12,'DB Manufacturing ISM'!$A$1:$S$1,0),0)</f>
        <v>10</v>
      </c>
      <c r="AS12" s="20">
        <f>VLOOKUP(AS$4,'DB Manufacturing ISM'!$A:$S,MATCH($B12,'DB Manufacturing ISM'!$A$1:$S$1,0),0)</f>
        <v>10</v>
      </c>
      <c r="AT12" s="20">
        <f>VLOOKUP(AT$4,'DB Manufacturing ISM'!$A:$S,MATCH($B12,'DB Manufacturing ISM'!$A$1:$S$1,0),0)</f>
        <v>9</v>
      </c>
      <c r="AU12" s="20">
        <f>VLOOKUP(AU$4,'DB Manufacturing ISM'!$A:$S,MATCH($B12,'DB Manufacturing ISM'!$A$1:$S$1,0),0)</f>
        <v>7</v>
      </c>
      <c r="AV12" s="20">
        <f>VLOOKUP(AV$4,'DB Manufacturing ISM'!$A:$S,MATCH($B12,'DB Manufacturing ISM'!$A$1:$S$1,0),0)</f>
        <v>5</v>
      </c>
      <c r="AW12" s="20">
        <f>VLOOKUP(AW$4,'DB Manufacturing ISM'!$A:$S,MATCH($B12,'DB Manufacturing ISM'!$A$1:$S$1,0),0)</f>
        <v>0</v>
      </c>
      <c r="AX12" s="20">
        <f>VLOOKUP(AX$4,'DB Manufacturing ISM'!$A:$S,MATCH($B12,'DB Manufacturing ISM'!$A$1:$S$1,0),0)</f>
        <v>13</v>
      </c>
      <c r="AY12" s="13"/>
      <c r="AZ12" s="20">
        <f t="shared" si="0"/>
        <v>13</v>
      </c>
      <c r="BA12" s="23">
        <f t="shared" si="1"/>
        <v>6</v>
      </c>
      <c r="BB12" s="23">
        <f t="shared" si="2"/>
        <v>7.333333333333333</v>
      </c>
    </row>
    <row r="13" spans="2:54" x14ac:dyDescent="0.35">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20">
        <f>VLOOKUP(AR$4,'DB Manufacturing ISM'!$A:$S,MATCH($B13,'DB Manufacturing ISM'!$A$1:$S$1,0),0)</f>
        <v>9</v>
      </c>
      <c r="AS13" s="20">
        <f>VLOOKUP(AS$4,'DB Manufacturing ISM'!$A:$S,MATCH($B13,'DB Manufacturing ISM'!$A$1:$S$1,0),0)</f>
        <v>9</v>
      </c>
      <c r="AT13" s="20">
        <f>VLOOKUP(AT$4,'DB Manufacturing ISM'!$A:$S,MATCH($B13,'DB Manufacturing ISM'!$A$1:$S$1,0),0)</f>
        <v>0</v>
      </c>
      <c r="AU13" s="20">
        <f>VLOOKUP(AU$4,'DB Manufacturing ISM'!$A:$S,MATCH($B13,'DB Manufacturing ISM'!$A$1:$S$1,0),0)</f>
        <v>5</v>
      </c>
      <c r="AV13" s="20">
        <f>VLOOKUP(AV$4,'DB Manufacturing ISM'!$A:$S,MATCH($B13,'DB Manufacturing ISM'!$A$1:$S$1,0),0)</f>
        <v>2</v>
      </c>
      <c r="AW13" s="20">
        <f>VLOOKUP(AW$4,'DB Manufacturing ISM'!$A:$S,MATCH($B13,'DB Manufacturing ISM'!$A$1:$S$1,0),0)</f>
        <v>1</v>
      </c>
      <c r="AX13" s="20">
        <f>VLOOKUP(AX$4,'DB Manufacturing ISM'!$A:$S,MATCH($B13,'DB Manufacturing ISM'!$A$1:$S$1,0),0)</f>
        <v>6</v>
      </c>
      <c r="AY13" s="13"/>
      <c r="AZ13" s="20">
        <f t="shared" si="0"/>
        <v>5</v>
      </c>
      <c r="BA13" s="23">
        <f t="shared" si="1"/>
        <v>3</v>
      </c>
      <c r="BB13" s="23">
        <f t="shared" si="2"/>
        <v>3.8333333333333335</v>
      </c>
    </row>
    <row r="14" spans="2:54" x14ac:dyDescent="0.35">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20">
        <f>VLOOKUP(AR$4,'DB Manufacturing ISM'!$A:$S,MATCH($B14,'DB Manufacturing ISM'!$A$1:$S$1,0),0)</f>
        <v>2</v>
      </c>
      <c r="AS14" s="20">
        <f>VLOOKUP(AS$4,'DB Manufacturing ISM'!$A:$S,MATCH($B14,'DB Manufacturing ISM'!$A$1:$S$1,0),0)</f>
        <v>5</v>
      </c>
      <c r="AT14" s="20">
        <f>VLOOKUP(AT$4,'DB Manufacturing ISM'!$A:$S,MATCH($B14,'DB Manufacturing ISM'!$A$1:$S$1,0),0)</f>
        <v>7</v>
      </c>
      <c r="AU14" s="20">
        <f>VLOOKUP(AU$4,'DB Manufacturing ISM'!$A:$S,MATCH($B14,'DB Manufacturing ISM'!$A$1:$S$1,0),0)</f>
        <v>2</v>
      </c>
      <c r="AV14" s="20">
        <f>VLOOKUP(AV$4,'DB Manufacturing ISM'!$A:$S,MATCH($B14,'DB Manufacturing ISM'!$A$1:$S$1,0),0)</f>
        <v>-5</v>
      </c>
      <c r="AW14" s="20">
        <f>VLOOKUP(AW$4,'DB Manufacturing ISM'!$A:$S,MATCH($B14,'DB Manufacturing ISM'!$A$1:$S$1,0),0)</f>
        <v>-9</v>
      </c>
      <c r="AX14" s="20">
        <f>VLOOKUP(AX$4,'DB Manufacturing ISM'!$A:$S,MATCH($B14,'DB Manufacturing ISM'!$A$1:$S$1,0),0)</f>
        <v>10</v>
      </c>
      <c r="AY14" s="13"/>
      <c r="AZ14" s="20">
        <f t="shared" si="0"/>
        <v>19</v>
      </c>
      <c r="BA14" s="23">
        <f t="shared" si="1"/>
        <v>-1.3333333333333333</v>
      </c>
      <c r="BB14" s="23">
        <f t="shared" si="2"/>
        <v>1.6666666666666667</v>
      </c>
    </row>
    <row r="15" spans="2:54" x14ac:dyDescent="0.35">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20">
        <f>VLOOKUP(AR$4,'DB Manufacturing ISM'!$A:$S,MATCH($B15,'DB Manufacturing ISM'!$A$1:$S$1,0),0)</f>
        <v>-4</v>
      </c>
      <c r="AS15" s="20">
        <f>VLOOKUP(AS$4,'DB Manufacturing ISM'!$A:$S,MATCH($B15,'DB Manufacturing ISM'!$A$1:$S$1,0),0)</f>
        <v>2</v>
      </c>
      <c r="AT15" s="20">
        <f>VLOOKUP(AT$4,'DB Manufacturing ISM'!$A:$S,MATCH($B15,'DB Manufacturing ISM'!$A$1:$S$1,0),0)</f>
        <v>6</v>
      </c>
      <c r="AU15" s="20">
        <f>VLOOKUP(AU$4,'DB Manufacturing ISM'!$A:$S,MATCH($B15,'DB Manufacturing ISM'!$A$1:$S$1,0),0)</f>
        <v>3</v>
      </c>
      <c r="AV15" s="20">
        <f>VLOOKUP(AV$4,'DB Manufacturing ISM'!$A:$S,MATCH($B15,'DB Manufacturing ISM'!$A$1:$S$1,0),0)</f>
        <v>3</v>
      </c>
      <c r="AW15" s="20">
        <f>VLOOKUP(AW$4,'DB Manufacturing ISM'!$A:$S,MATCH($B15,'DB Manufacturing ISM'!$A$1:$S$1,0),0)</f>
        <v>-1</v>
      </c>
      <c r="AX15" s="20">
        <f>VLOOKUP(AX$4,'DB Manufacturing ISM'!$A:$S,MATCH($B15,'DB Manufacturing ISM'!$A$1:$S$1,0),0)</f>
        <v>4</v>
      </c>
      <c r="AY15" s="13"/>
      <c r="AZ15" s="20">
        <f t="shared" si="0"/>
        <v>5</v>
      </c>
      <c r="BA15" s="23">
        <f t="shared" si="1"/>
        <v>2</v>
      </c>
      <c r="BB15" s="23">
        <f t="shared" si="2"/>
        <v>2.8333333333333335</v>
      </c>
    </row>
    <row r="16" spans="2:54" x14ac:dyDescent="0.35">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20">
        <f>VLOOKUP(AR$4,'DB Manufacturing ISM'!$A:$S,MATCH($B16,'DB Manufacturing ISM'!$A$1:$S$1,0),0)</f>
        <v>-2</v>
      </c>
      <c r="AS16" s="20">
        <f>VLOOKUP(AS$4,'DB Manufacturing ISM'!$A:$S,MATCH($B16,'DB Manufacturing ISM'!$A$1:$S$1,0),0)</f>
        <v>1</v>
      </c>
      <c r="AT16" s="20">
        <f>VLOOKUP(AT$4,'DB Manufacturing ISM'!$A:$S,MATCH($B16,'DB Manufacturing ISM'!$A$1:$S$1,0),0)</f>
        <v>3</v>
      </c>
      <c r="AU16" s="20">
        <f>VLOOKUP(AU$4,'DB Manufacturing ISM'!$A:$S,MATCH($B16,'DB Manufacturing ISM'!$A$1:$S$1,0),0)</f>
        <v>-1</v>
      </c>
      <c r="AV16" s="20">
        <f>VLOOKUP(AV$4,'DB Manufacturing ISM'!$A:$S,MATCH($B16,'DB Manufacturing ISM'!$A$1:$S$1,0),0)</f>
        <v>-3</v>
      </c>
      <c r="AW16" s="20">
        <f>VLOOKUP(AW$4,'DB Manufacturing ISM'!$A:$S,MATCH($B16,'DB Manufacturing ISM'!$A$1:$S$1,0),0)</f>
        <v>-3</v>
      </c>
      <c r="AX16" s="20">
        <f>VLOOKUP(AX$4,'DB Manufacturing ISM'!$A:$S,MATCH($B16,'DB Manufacturing ISM'!$A$1:$S$1,0),0)</f>
        <v>5</v>
      </c>
      <c r="AY16" s="13"/>
      <c r="AZ16" s="20">
        <f t="shared" si="0"/>
        <v>8</v>
      </c>
      <c r="BA16" s="23">
        <f t="shared" si="1"/>
        <v>-0.33333333333333331</v>
      </c>
      <c r="BB16" s="23">
        <f t="shared" si="2"/>
        <v>0.33333333333333331</v>
      </c>
    </row>
    <row r="17" spans="2:57" x14ac:dyDescent="0.35">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20">
        <f>VLOOKUP(AR$4,'DB Manufacturing ISM'!$A:$S,MATCH($B17,'DB Manufacturing ISM'!$A$1:$S$1,0),0)</f>
        <v>-6</v>
      </c>
      <c r="AS17" s="20">
        <f>VLOOKUP(AS$4,'DB Manufacturing ISM'!$A:$S,MATCH($B17,'DB Manufacturing ISM'!$A$1:$S$1,0),0)</f>
        <v>-5</v>
      </c>
      <c r="AT17" s="20">
        <f>VLOOKUP(AT$4,'DB Manufacturing ISM'!$A:$S,MATCH($B17,'DB Manufacturing ISM'!$A$1:$S$1,0),0)</f>
        <v>-7</v>
      </c>
      <c r="AU17" s="20">
        <f>VLOOKUP(AU$4,'DB Manufacturing ISM'!$A:$S,MATCH($B17,'DB Manufacturing ISM'!$A$1:$S$1,0),0)</f>
        <v>-10</v>
      </c>
      <c r="AV17" s="20">
        <f>VLOOKUP(AV$4,'DB Manufacturing ISM'!$A:$S,MATCH($B17,'DB Manufacturing ISM'!$A$1:$S$1,0),0)</f>
        <v>-7</v>
      </c>
      <c r="AW17" s="20">
        <f>VLOOKUP(AW$4,'DB Manufacturing ISM'!$A:$S,MATCH($B17,'DB Manufacturing ISM'!$A$1:$S$1,0),0)</f>
        <v>-7</v>
      </c>
      <c r="AX17" s="20">
        <f>VLOOKUP(AX$4,'DB Manufacturing ISM'!$A:$S,MATCH($B17,'DB Manufacturing ISM'!$A$1:$S$1,0),0)</f>
        <v>11</v>
      </c>
      <c r="AY17" s="13"/>
      <c r="AZ17" s="20">
        <f t="shared" si="0"/>
        <v>18</v>
      </c>
      <c r="BA17" s="23">
        <f t="shared" si="1"/>
        <v>-1</v>
      </c>
      <c r="BB17" s="23">
        <f t="shared" si="2"/>
        <v>-4.166666666666667</v>
      </c>
    </row>
    <row r="18" spans="2:57" x14ac:dyDescent="0.35">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20">
        <f>VLOOKUP(AR$4,'DB Manufacturing ISM'!$A:$S,MATCH($B18,'DB Manufacturing ISM'!$A$1:$S$1,0),0)</f>
        <v>6</v>
      </c>
      <c r="AS18" s="20">
        <f>VLOOKUP(AS$4,'DB Manufacturing ISM'!$A:$S,MATCH($B18,'DB Manufacturing ISM'!$A$1:$S$1,0),0)</f>
        <v>8</v>
      </c>
      <c r="AT18" s="20">
        <f>VLOOKUP(AT$4,'DB Manufacturing ISM'!$A:$S,MATCH($B18,'DB Manufacturing ISM'!$A$1:$S$1,0),0)</f>
        <v>4</v>
      </c>
      <c r="AU18" s="20">
        <f>VLOOKUP(AU$4,'DB Manufacturing ISM'!$A:$S,MATCH($B18,'DB Manufacturing ISM'!$A$1:$S$1,0),0)</f>
        <v>4</v>
      </c>
      <c r="AV18" s="20">
        <f>VLOOKUP(AV$4,'DB Manufacturing ISM'!$A:$S,MATCH($B18,'DB Manufacturing ISM'!$A$1:$S$1,0),0)</f>
        <v>1</v>
      </c>
      <c r="AW18" s="20">
        <f>VLOOKUP(AW$4,'DB Manufacturing ISM'!$A:$S,MATCH($B18,'DB Manufacturing ISM'!$A$1:$S$1,0),0)</f>
        <v>-2</v>
      </c>
      <c r="AX18" s="20">
        <f>VLOOKUP(AX$4,'DB Manufacturing ISM'!$A:$S,MATCH($B18,'DB Manufacturing ISM'!$A$1:$S$1,0),0)</f>
        <v>1</v>
      </c>
      <c r="AY18" s="13"/>
      <c r="AZ18" s="20">
        <f t="shared" si="0"/>
        <v>3</v>
      </c>
      <c r="BA18" s="23">
        <f t="shared" si="1"/>
        <v>0</v>
      </c>
      <c r="BB18" s="23">
        <f t="shared" si="2"/>
        <v>2.6666666666666665</v>
      </c>
      <c r="BE18" s="4"/>
    </row>
    <row r="19" spans="2:57" x14ac:dyDescent="0.35">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20">
        <f>VLOOKUP(AR$4,'DB Manufacturing ISM'!$A:$S,MATCH($B19,'DB Manufacturing ISM'!$A$1:$S$1,0),0)</f>
        <v>-1</v>
      </c>
      <c r="AS19" s="20">
        <f>VLOOKUP(AS$4,'DB Manufacturing ISM'!$A:$S,MATCH($B19,'DB Manufacturing ISM'!$A$1:$S$1,0),0)</f>
        <v>-3</v>
      </c>
      <c r="AT19" s="20">
        <f>VLOOKUP(AT$4,'DB Manufacturing ISM'!$A:$S,MATCH($B19,'DB Manufacturing ISM'!$A$1:$S$1,0),0)</f>
        <v>-2</v>
      </c>
      <c r="AU19" s="20">
        <f>VLOOKUP(AU$4,'DB Manufacturing ISM'!$A:$S,MATCH($B19,'DB Manufacturing ISM'!$A$1:$S$1,0),0)</f>
        <v>-4</v>
      </c>
      <c r="AV19" s="20">
        <f>VLOOKUP(AV$4,'DB Manufacturing ISM'!$A:$S,MATCH($B19,'DB Manufacturing ISM'!$A$1:$S$1,0),0)</f>
        <v>-6</v>
      </c>
      <c r="AW19" s="20">
        <f>VLOOKUP(AW$4,'DB Manufacturing ISM'!$A:$S,MATCH($B19,'DB Manufacturing ISM'!$A$1:$S$1,0),0)</f>
        <v>-11</v>
      </c>
      <c r="AX19" s="20">
        <f>VLOOKUP(AX$4,'DB Manufacturing ISM'!$A:$S,MATCH($B19,'DB Manufacturing ISM'!$A$1:$S$1,0),0)</f>
        <v>3</v>
      </c>
      <c r="AY19" s="13"/>
      <c r="AZ19" s="20">
        <f t="shared" si="0"/>
        <v>14</v>
      </c>
      <c r="BA19" s="23">
        <f t="shared" si="1"/>
        <v>-4.666666666666667</v>
      </c>
      <c r="BB19" s="23">
        <f t="shared" si="2"/>
        <v>-3.8333333333333335</v>
      </c>
    </row>
    <row r="20" spans="2:57" x14ac:dyDescent="0.35">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20">
        <f>VLOOKUP(AR$4,'DB Manufacturing ISM'!$A:$S,MATCH($B20,'DB Manufacturing ISM'!$A$1:$S$1,0),0)</f>
        <v>-3</v>
      </c>
      <c r="AS20" s="20">
        <f>VLOOKUP(AS$4,'DB Manufacturing ISM'!$A:$S,MATCH($B20,'DB Manufacturing ISM'!$A$1:$S$1,0),0)</f>
        <v>-2</v>
      </c>
      <c r="AT20" s="20">
        <f>VLOOKUP(AT$4,'DB Manufacturing ISM'!$A:$S,MATCH($B20,'DB Manufacturing ISM'!$A$1:$S$1,0),0)</f>
        <v>-1</v>
      </c>
      <c r="AU20" s="20">
        <f>VLOOKUP(AU$4,'DB Manufacturing ISM'!$A:$S,MATCH($B20,'DB Manufacturing ISM'!$A$1:$S$1,0),0)</f>
        <v>-5</v>
      </c>
      <c r="AV20" s="20">
        <f>VLOOKUP(AV$4,'DB Manufacturing ISM'!$A:$S,MATCH($B20,'DB Manufacturing ISM'!$A$1:$S$1,0),0)</f>
        <v>-8</v>
      </c>
      <c r="AW20" s="20">
        <f>VLOOKUP(AW$4,'DB Manufacturing ISM'!$A:$S,MATCH($B20,'DB Manufacturing ISM'!$A$1:$S$1,0),0)</f>
        <v>-12</v>
      </c>
      <c r="AX20" s="20">
        <f>VLOOKUP(AX$4,'DB Manufacturing ISM'!$A:$S,MATCH($B20,'DB Manufacturing ISM'!$A$1:$S$1,0),0)</f>
        <v>8</v>
      </c>
      <c r="AY20" s="13"/>
      <c r="AZ20" s="20">
        <f t="shared" si="0"/>
        <v>20</v>
      </c>
      <c r="BA20" s="23">
        <f t="shared" si="1"/>
        <v>-4</v>
      </c>
      <c r="BB20" s="23">
        <f t="shared" si="2"/>
        <v>-3.3333333333333335</v>
      </c>
    </row>
    <row r="21" spans="2:57" x14ac:dyDescent="0.35">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20">
        <f>VLOOKUP(AR$4,'DB Manufacturing ISM'!$A:$S,MATCH($B21,'DB Manufacturing ISM'!$A$1:$S$1,0),0)</f>
        <v>1</v>
      </c>
      <c r="AS21" s="20">
        <f>VLOOKUP(AS$4,'DB Manufacturing ISM'!$A:$S,MATCH($B21,'DB Manufacturing ISM'!$A$1:$S$1,0),0)</f>
        <v>-1</v>
      </c>
      <c r="AT21" s="20">
        <f>VLOOKUP(AT$4,'DB Manufacturing ISM'!$A:$S,MATCH($B21,'DB Manufacturing ISM'!$A$1:$S$1,0),0)</f>
        <v>1</v>
      </c>
      <c r="AU21" s="20">
        <f>VLOOKUP(AU$4,'DB Manufacturing ISM'!$A:$S,MATCH($B21,'DB Manufacturing ISM'!$A$1:$S$1,0),0)</f>
        <v>1</v>
      </c>
      <c r="AV21" s="20">
        <f>VLOOKUP(AV$4,'DB Manufacturing ISM'!$A:$S,MATCH($B21,'DB Manufacturing ISM'!$A$1:$S$1,0),0)</f>
        <v>-1</v>
      </c>
      <c r="AW21" s="20">
        <f>VLOOKUP(AW$4,'DB Manufacturing ISM'!$A:$S,MATCH($B21,'DB Manufacturing ISM'!$A$1:$S$1,0),0)</f>
        <v>-8</v>
      </c>
      <c r="AX21" s="20">
        <f>VLOOKUP(AX$4,'DB Manufacturing ISM'!$A:$S,MATCH($B21,'DB Manufacturing ISM'!$A$1:$S$1,0),0)</f>
        <v>12</v>
      </c>
      <c r="AY21" s="13"/>
      <c r="AZ21" s="20">
        <f t="shared" si="0"/>
        <v>20</v>
      </c>
      <c r="BA21" s="23">
        <f t="shared" si="1"/>
        <v>1</v>
      </c>
      <c r="BB21" s="23">
        <f t="shared" si="2"/>
        <v>0.66666666666666663</v>
      </c>
    </row>
    <row r="22" spans="2:57" x14ac:dyDescent="0.35">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20">
        <f>VLOOKUP(AR$4,'DB Manufacturing ISM'!$A:$S,MATCH($B22,'DB Manufacturing ISM'!$A$1:$S$1,0),0)</f>
        <v>4</v>
      </c>
      <c r="AS22" s="20">
        <f>VLOOKUP(AS$4,'DB Manufacturing ISM'!$A:$S,MATCH($B22,'DB Manufacturing ISM'!$A$1:$S$1,0),0)</f>
        <v>0</v>
      </c>
      <c r="AT22" s="20">
        <f>VLOOKUP(AT$4,'DB Manufacturing ISM'!$A:$S,MATCH($B22,'DB Manufacturing ISM'!$A$1:$S$1,0),0)</f>
        <v>-6</v>
      </c>
      <c r="AU22" s="20">
        <f>VLOOKUP(AU$4,'DB Manufacturing ISM'!$A:$S,MATCH($B22,'DB Manufacturing ISM'!$A$1:$S$1,0),0)</f>
        <v>-7</v>
      </c>
      <c r="AV22" s="20">
        <f>VLOOKUP(AV$4,'DB Manufacturing ISM'!$A:$S,MATCH($B22,'DB Manufacturing ISM'!$A$1:$S$1,0),0)</f>
        <v>-9</v>
      </c>
      <c r="AW22" s="20">
        <f>VLOOKUP(AW$4,'DB Manufacturing ISM'!$A:$S,MATCH($B22,'DB Manufacturing ISM'!$A$1:$S$1,0),0)</f>
        <v>0</v>
      </c>
      <c r="AX22" s="20">
        <f>VLOOKUP(AX$4,'DB Manufacturing ISM'!$A:$S,MATCH($B22,'DB Manufacturing ISM'!$A$1:$S$1,0),0)</f>
        <v>16</v>
      </c>
      <c r="AY22" s="13"/>
      <c r="AZ22" s="20">
        <f t="shared" si="0"/>
        <v>16</v>
      </c>
      <c r="BA22" s="23">
        <f t="shared" si="1"/>
        <v>2.3333333333333335</v>
      </c>
      <c r="BB22" s="23">
        <f t="shared" si="2"/>
        <v>-1</v>
      </c>
    </row>
    <row r="23" spans="2:57" x14ac:dyDescent="0.35">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20">
        <f>VLOOKUP(AR$4,'DB Manufacturing ISM'!$A:$S,MATCH($B23,'DB Manufacturing ISM'!$A$1:$S$1,0),0)</f>
        <v>-7</v>
      </c>
      <c r="AS23" s="20">
        <f>VLOOKUP(AS$4,'DB Manufacturing ISM'!$A:$S,MATCH($B23,'DB Manufacturing ISM'!$A$1:$S$1,0),0)</f>
        <v>-7</v>
      </c>
      <c r="AT23" s="20">
        <f>VLOOKUP(AT$4,'DB Manufacturing ISM'!$A:$S,MATCH($B23,'DB Manufacturing ISM'!$A$1:$S$1,0),0)</f>
        <v>-5</v>
      </c>
      <c r="AU23" s="20">
        <f>VLOOKUP(AU$4,'DB Manufacturing ISM'!$A:$S,MATCH($B23,'DB Manufacturing ISM'!$A$1:$S$1,0),0)</f>
        <v>-9</v>
      </c>
      <c r="AV23" s="20">
        <f>VLOOKUP(AV$4,'DB Manufacturing ISM'!$A:$S,MATCH($B23,'DB Manufacturing ISM'!$A$1:$S$1,0),0)</f>
        <v>-11</v>
      </c>
      <c r="AW23" s="20">
        <f>VLOOKUP(AW$4,'DB Manufacturing ISM'!$A:$S,MATCH($B23,'DB Manufacturing ISM'!$A$1:$S$1,0),0)</f>
        <v>-13</v>
      </c>
      <c r="AX23" s="20">
        <f>VLOOKUP(AX$4,'DB Manufacturing ISM'!$A:$S,MATCH($B23,'DB Manufacturing ISM'!$A$1:$S$1,0),0)</f>
        <v>17</v>
      </c>
      <c r="AY23" s="13"/>
      <c r="AZ23" s="20">
        <f t="shared" si="0"/>
        <v>30</v>
      </c>
      <c r="BA23" s="23">
        <f t="shared" si="1"/>
        <v>-2.3333333333333335</v>
      </c>
      <c r="BB23" s="23">
        <f t="shared" si="2"/>
        <v>-4.666666666666667</v>
      </c>
    </row>
    <row r="24" spans="2:57" x14ac:dyDescent="0.35">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21">
        <v>43</v>
      </c>
      <c r="AS24" s="21">
        <v>44</v>
      </c>
      <c r="AT24" s="21">
        <v>45</v>
      </c>
      <c r="AU24" s="21">
        <v>46</v>
      </c>
      <c r="AV24" s="21">
        <v>47</v>
      </c>
      <c r="AW24" s="21">
        <v>48</v>
      </c>
      <c r="AX24" s="21">
        <v>49</v>
      </c>
      <c r="AY24" s="13"/>
      <c r="AZ24" s="13"/>
      <c r="BA24" s="13"/>
      <c r="BB24" s="13"/>
    </row>
    <row r="25" spans="2:57" ht="16" customHeight="1" thickBot="1" x14ac:dyDescent="0.4">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row>
    <row r="26" spans="2:57" x14ac:dyDescent="0.35">
      <c r="B26" s="116"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26">
        <v>44743</v>
      </c>
      <c r="AS26" s="26">
        <v>44774</v>
      </c>
      <c r="AT26" s="26">
        <v>44805</v>
      </c>
      <c r="AU26" s="26">
        <v>44835</v>
      </c>
      <c r="AV26" s="26">
        <v>44866</v>
      </c>
      <c r="AW26" s="26">
        <v>44896</v>
      </c>
      <c r="AX26" s="26">
        <v>44927</v>
      </c>
      <c r="AY26" s="11"/>
      <c r="AZ26" s="120" t="s">
        <v>79</v>
      </c>
      <c r="BA26" s="120" t="s">
        <v>80</v>
      </c>
      <c r="BB26" s="120" t="s">
        <v>81</v>
      </c>
    </row>
    <row r="27" spans="2:57" ht="16" customHeight="1" thickBot="1" x14ac:dyDescent="0.4">
      <c r="B27" s="11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11"/>
      <c r="AZ27" s="121"/>
      <c r="BA27" s="121"/>
      <c r="BB27" s="121"/>
    </row>
    <row r="28" spans="2:57" x14ac:dyDescent="0.35">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R28" s="20">
        <f>VLOOKUP(AR$26,'DB New Orders'!$A:$S,MATCH($B28,'DB New Orders'!$A$1:$S$1,0),0)</f>
        <v>1</v>
      </c>
      <c r="AS28" s="20">
        <f>VLOOKUP(AS$26,'DB New Orders'!$A:$S,MATCH($B28,'DB New Orders'!$A$1:$S$1,0),0)</f>
        <v>-2</v>
      </c>
      <c r="AT28" s="20">
        <f>VLOOKUP(AT$26,'DB New Orders'!$A:$S,MATCH($B28,'DB New Orders'!$A$1:$S$1,0),0)</f>
        <v>0</v>
      </c>
      <c r="AU28" s="20">
        <f>VLOOKUP(AU$26,'DB New Orders'!$A:$S,MATCH($B28,'DB New Orders'!$A$1:$S$1,0),0)</f>
        <v>0</v>
      </c>
      <c r="AV28" s="20">
        <f>VLOOKUP(AV$26,'DB New Orders'!$A:$S,MATCH($B28,'DB New Orders'!$A$1:$S$1,0),0)</f>
        <v>7</v>
      </c>
      <c r="AW28" s="20">
        <f>VLOOKUP(AW$26,'DB New Orders'!$A:$S,MATCH($B28,'DB New Orders'!$A$1:$S$1,0),0)</f>
        <v>1</v>
      </c>
      <c r="AX28" s="20">
        <f>VLOOKUP(AX$26,'DB New Orders'!$A:$S,MATCH($B28,'DB New Orders'!$A$1:$S$1,0),0)</f>
        <v>7</v>
      </c>
      <c r="AZ28" s="20">
        <f>AX28-AW28</f>
        <v>6</v>
      </c>
      <c r="BA28" s="23">
        <f>AVERAGE(AV28:AX28)</f>
        <v>5</v>
      </c>
      <c r="BB28" s="23">
        <f>AVERAGE(AS28:AX28)</f>
        <v>2.1666666666666665</v>
      </c>
    </row>
    <row r="29" spans="2:57" x14ac:dyDescent="0.35">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R29" s="20">
        <f>VLOOKUP(AR$26,'DB New Orders'!$A:$S,MATCH($B29,'DB New Orders'!$A$1:$S$1,0),0)</f>
        <v>0</v>
      </c>
      <c r="AS29" s="20">
        <f>VLOOKUP(AS$26,'DB New Orders'!$A:$S,MATCH($B29,'DB New Orders'!$A$1:$S$1,0),0)</f>
        <v>0</v>
      </c>
      <c r="AT29" s="20">
        <f>VLOOKUP(AT$26,'DB New Orders'!$A:$S,MATCH($B29,'DB New Orders'!$A$1:$S$1,0),0)</f>
        <v>7</v>
      </c>
      <c r="AU29" s="20">
        <f>VLOOKUP(AU$26,'DB New Orders'!$A:$S,MATCH($B29,'DB New Orders'!$A$1:$S$1,0),0)</f>
        <v>0</v>
      </c>
      <c r="AV29" s="20">
        <f>VLOOKUP(AV$26,'DB New Orders'!$A:$S,MATCH($B29,'DB New Orders'!$A$1:$S$1,0),0)</f>
        <v>0</v>
      </c>
      <c r="AW29" s="20">
        <f>VLOOKUP(AW$26,'DB New Orders'!$A:$S,MATCH($B29,'DB New Orders'!$A$1:$S$1,0),0)</f>
        <v>0</v>
      </c>
      <c r="AX29" s="20">
        <f>VLOOKUP(AX$26,'DB New Orders'!$A:$S,MATCH($B29,'DB New Orders'!$A$1:$S$1,0),0)</f>
        <v>15</v>
      </c>
      <c r="AZ29" s="20">
        <f t="shared" ref="AZ29:AZ45" si="3">AX29-AW29</f>
        <v>15</v>
      </c>
      <c r="BA29" s="23">
        <f t="shared" ref="BA29:BA45" si="4">AVERAGE(AV29:AX29)</f>
        <v>5</v>
      </c>
      <c r="BB29" s="23">
        <f t="shared" ref="BB29:BB45" si="5">AVERAGE(AS29:AX29)</f>
        <v>3.6666666666666665</v>
      </c>
    </row>
    <row r="30" spans="2:57" x14ac:dyDescent="0.35">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R30" s="20">
        <f>VLOOKUP(AR$26,'DB New Orders'!$A:$S,MATCH($B30,'DB New Orders'!$A$1:$S$1,0),0)</f>
        <v>0</v>
      </c>
      <c r="AS30" s="20">
        <f>VLOOKUP(AS$26,'DB New Orders'!$A:$S,MATCH($B30,'DB New Orders'!$A$1:$S$1,0),0)</f>
        <v>2</v>
      </c>
      <c r="AT30" s="20">
        <f>VLOOKUP(AT$26,'DB New Orders'!$A:$S,MATCH($B30,'DB New Orders'!$A$1:$S$1,0),0)</f>
        <v>2</v>
      </c>
      <c r="AU30" s="20">
        <f>VLOOKUP(AU$26,'DB New Orders'!$A:$S,MATCH($B30,'DB New Orders'!$A$1:$S$1,0),0)</f>
        <v>6</v>
      </c>
      <c r="AV30" s="20">
        <f>VLOOKUP(AV$26,'DB New Orders'!$A:$S,MATCH($B30,'DB New Orders'!$A$1:$S$1,0),0)</f>
        <v>11</v>
      </c>
      <c r="AW30" s="20">
        <f>VLOOKUP(AW$26,'DB New Orders'!$A:$S,MATCH($B30,'DB New Orders'!$A$1:$S$1,0),0)</f>
        <v>0</v>
      </c>
      <c r="AX30" s="20">
        <f>VLOOKUP(AX$26,'DB New Orders'!$A:$S,MATCH($B30,'DB New Orders'!$A$1:$S$1,0),0)</f>
        <v>9</v>
      </c>
      <c r="AZ30" s="20">
        <f t="shared" si="3"/>
        <v>9</v>
      </c>
      <c r="BA30" s="23">
        <f t="shared" si="4"/>
        <v>6.666666666666667</v>
      </c>
      <c r="BB30" s="23">
        <f t="shared" si="5"/>
        <v>5</v>
      </c>
    </row>
    <row r="31" spans="2:57" x14ac:dyDescent="0.35">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R31" s="20">
        <f>VLOOKUP(AR$26,'DB New Orders'!$A:$S,MATCH($B31,'DB New Orders'!$A$1:$S$1,0),0)</f>
        <v>0</v>
      </c>
      <c r="AS31" s="20">
        <f>VLOOKUP(AS$26,'DB New Orders'!$A:$S,MATCH($B31,'DB New Orders'!$A$1:$S$1,0),0)</f>
        <v>5</v>
      </c>
      <c r="AT31" s="20">
        <f>VLOOKUP(AT$26,'DB New Orders'!$A:$S,MATCH($B31,'DB New Orders'!$A$1:$S$1,0),0)</f>
        <v>0</v>
      </c>
      <c r="AU31" s="20">
        <f>VLOOKUP(AU$26,'DB New Orders'!$A:$S,MATCH($B31,'DB New Orders'!$A$1:$S$1,0),0)</f>
        <v>0</v>
      </c>
      <c r="AV31" s="20">
        <f>VLOOKUP(AV$26,'DB New Orders'!$A:$S,MATCH($B31,'DB New Orders'!$A$1:$S$1,0),0)</f>
        <v>1</v>
      </c>
      <c r="AW31" s="20">
        <f>VLOOKUP(AW$26,'DB New Orders'!$A:$S,MATCH($B31,'DB New Orders'!$A$1:$S$1,0),0)</f>
        <v>2</v>
      </c>
      <c r="AX31" s="20">
        <f>VLOOKUP(AX$26,'DB New Orders'!$A:$S,MATCH($B31,'DB New Orders'!$A$1:$S$1,0),0)</f>
        <v>2</v>
      </c>
      <c r="AZ31" s="20">
        <f t="shared" si="3"/>
        <v>0</v>
      </c>
      <c r="BA31" s="23">
        <f t="shared" si="4"/>
        <v>1.6666666666666667</v>
      </c>
      <c r="BB31" s="23">
        <f t="shared" si="5"/>
        <v>1.6666666666666667</v>
      </c>
    </row>
    <row r="32" spans="2:57" x14ac:dyDescent="0.35">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R32" s="20">
        <f>VLOOKUP(AR$26,'DB New Orders'!$A:$S,MATCH($B32,'DB New Orders'!$A$1:$S$1,0),0)</f>
        <v>3</v>
      </c>
      <c r="AS32" s="20">
        <f>VLOOKUP(AS$26,'DB New Orders'!$A:$S,MATCH($B32,'DB New Orders'!$A$1:$S$1,0),0)</f>
        <v>1</v>
      </c>
      <c r="AT32" s="20">
        <f>VLOOKUP(AT$26,'DB New Orders'!$A:$S,MATCH($B32,'DB New Orders'!$A$1:$S$1,0),0)</f>
        <v>0</v>
      </c>
      <c r="AU32" s="20">
        <f>VLOOKUP(AU$26,'DB New Orders'!$A:$S,MATCH($B32,'DB New Orders'!$A$1:$S$1,0),0)</f>
        <v>0</v>
      </c>
      <c r="AV32" s="20">
        <f>VLOOKUP(AV$26,'DB New Orders'!$A:$S,MATCH($B32,'DB New Orders'!$A$1:$S$1,0),0)</f>
        <v>6</v>
      </c>
      <c r="AW32" s="20">
        <f>VLOOKUP(AW$26,'DB New Orders'!$A:$S,MATCH($B32,'DB New Orders'!$A$1:$S$1,0),0)</f>
        <v>5</v>
      </c>
      <c r="AX32" s="20">
        <f>VLOOKUP(AX$26,'DB New Orders'!$A:$S,MATCH($B32,'DB New Orders'!$A$1:$S$1,0),0)</f>
        <v>10</v>
      </c>
      <c r="AZ32" s="20">
        <f t="shared" si="3"/>
        <v>5</v>
      </c>
      <c r="BA32" s="23">
        <f t="shared" si="4"/>
        <v>7</v>
      </c>
      <c r="BB32" s="23">
        <f t="shared" si="5"/>
        <v>3.6666666666666665</v>
      </c>
    </row>
    <row r="33" spans="2:54" x14ac:dyDescent="0.35">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R33" s="20">
        <f>VLOOKUP(AR$26,'DB New Orders'!$A:$S,MATCH($B33,'DB New Orders'!$A$1:$S$1,0),0)</f>
        <v>4</v>
      </c>
      <c r="AS33" s="20">
        <f>VLOOKUP(AS$26,'DB New Orders'!$A:$S,MATCH($B33,'DB New Orders'!$A$1:$S$1,0),0)</f>
        <v>-1</v>
      </c>
      <c r="AT33" s="20">
        <f>VLOOKUP(AT$26,'DB New Orders'!$A:$S,MATCH($B33,'DB New Orders'!$A$1:$S$1,0),0)</f>
        <v>0</v>
      </c>
      <c r="AU33" s="20">
        <f>VLOOKUP(AU$26,'DB New Orders'!$A:$S,MATCH($B33,'DB New Orders'!$A$1:$S$1,0),0)</f>
        <v>1</v>
      </c>
      <c r="AV33" s="20">
        <f>VLOOKUP(AV$26,'DB New Orders'!$A:$S,MATCH($B33,'DB New Orders'!$A$1:$S$1,0),0)</f>
        <v>3</v>
      </c>
      <c r="AW33" s="20">
        <f>VLOOKUP(AW$26,'DB New Orders'!$A:$S,MATCH($B33,'DB New Orders'!$A$1:$S$1,0),0)</f>
        <v>3</v>
      </c>
      <c r="AX33" s="20">
        <f>VLOOKUP(AX$26,'DB New Orders'!$A:$S,MATCH($B33,'DB New Orders'!$A$1:$S$1,0),0)</f>
        <v>4</v>
      </c>
      <c r="AZ33" s="20">
        <f t="shared" si="3"/>
        <v>1</v>
      </c>
      <c r="BA33" s="23">
        <f t="shared" si="4"/>
        <v>3.3333333333333335</v>
      </c>
      <c r="BB33" s="23">
        <f t="shared" si="5"/>
        <v>1.6666666666666667</v>
      </c>
    </row>
    <row r="34" spans="2:54" x14ac:dyDescent="0.35">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R34" s="20">
        <f>VLOOKUP(AR$26,'DB New Orders'!$A:$S,MATCH($B34,'DB New Orders'!$A$1:$S$1,0),0)</f>
        <v>0</v>
      </c>
      <c r="AS34" s="20">
        <f>VLOOKUP(AS$26,'DB New Orders'!$A:$S,MATCH($B34,'DB New Orders'!$A$1:$S$1,0),0)</f>
        <v>0</v>
      </c>
      <c r="AT34" s="20">
        <f>VLOOKUP(AT$26,'DB New Orders'!$A:$S,MATCH($B34,'DB New Orders'!$A$1:$S$1,0),0)</f>
        <v>8</v>
      </c>
      <c r="AU34" s="20">
        <f>VLOOKUP(AU$26,'DB New Orders'!$A:$S,MATCH($B34,'DB New Orders'!$A$1:$S$1,0),0)</f>
        <v>10</v>
      </c>
      <c r="AV34" s="20">
        <f>VLOOKUP(AV$26,'DB New Orders'!$A:$S,MATCH($B34,'DB New Orders'!$A$1:$S$1,0),0)</f>
        <v>13</v>
      </c>
      <c r="AW34" s="20">
        <f>VLOOKUP(AW$26,'DB New Orders'!$A:$S,MATCH($B34,'DB New Orders'!$A$1:$S$1,0),0)</f>
        <v>0</v>
      </c>
      <c r="AX34" s="20">
        <f>VLOOKUP(AX$26,'DB New Orders'!$A:$S,MATCH($B34,'DB New Orders'!$A$1:$S$1,0),0)</f>
        <v>0</v>
      </c>
      <c r="AZ34" s="20">
        <f t="shared" si="3"/>
        <v>0</v>
      </c>
      <c r="BA34" s="23">
        <f t="shared" si="4"/>
        <v>4.333333333333333</v>
      </c>
      <c r="BB34" s="23">
        <f t="shared" si="5"/>
        <v>5.166666666666667</v>
      </c>
    </row>
    <row r="35" spans="2:54" x14ac:dyDescent="0.35">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R35" s="20">
        <f>VLOOKUP(AR$26,'DB New Orders'!$A:$S,MATCH($B35,'DB New Orders'!$A$1:$S$1,0),0)</f>
        <v>0</v>
      </c>
      <c r="AS35" s="20">
        <f>VLOOKUP(AS$26,'DB New Orders'!$A:$S,MATCH($B35,'DB New Orders'!$A$1:$S$1,0),0)</f>
        <v>0</v>
      </c>
      <c r="AT35" s="20">
        <f>VLOOKUP(AT$26,'DB New Orders'!$A:$S,MATCH($B35,'DB New Orders'!$A$1:$S$1,0),0)</f>
        <v>6</v>
      </c>
      <c r="AU35" s="20">
        <f>VLOOKUP(AU$26,'DB New Orders'!$A:$S,MATCH($B35,'DB New Orders'!$A$1:$S$1,0),0)</f>
        <v>9</v>
      </c>
      <c r="AV35" s="20">
        <f>VLOOKUP(AV$26,'DB New Orders'!$A:$S,MATCH($B35,'DB New Orders'!$A$1:$S$1,0),0)</f>
        <v>12</v>
      </c>
      <c r="AW35" s="20">
        <f>VLOOKUP(AW$26,'DB New Orders'!$A:$S,MATCH($B35,'DB New Orders'!$A$1:$S$1,0),0)</f>
        <v>0</v>
      </c>
      <c r="AX35" s="20">
        <f>VLOOKUP(AX$26,'DB New Orders'!$A:$S,MATCH($B35,'DB New Orders'!$A$1:$S$1,0),0)</f>
        <v>14</v>
      </c>
      <c r="AZ35" s="20">
        <f t="shared" si="3"/>
        <v>14</v>
      </c>
      <c r="BA35" s="23">
        <f t="shared" si="4"/>
        <v>8.6666666666666661</v>
      </c>
      <c r="BB35" s="23">
        <f t="shared" si="5"/>
        <v>6.833333333333333</v>
      </c>
    </row>
    <row r="36" spans="2:54" x14ac:dyDescent="0.35">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R36" s="20">
        <f>VLOOKUP(AR$26,'DB New Orders'!$A:$S,MATCH($B36,'DB New Orders'!$A$1:$S$1,0),0)</f>
        <v>5</v>
      </c>
      <c r="AS36" s="20">
        <f>VLOOKUP(AS$26,'DB New Orders'!$A:$S,MATCH($B36,'DB New Orders'!$A$1:$S$1,0),0)</f>
        <v>-4</v>
      </c>
      <c r="AT36" s="20">
        <f>VLOOKUP(AT$26,'DB New Orders'!$A:$S,MATCH($B36,'DB New Orders'!$A$1:$S$1,0),0)</f>
        <v>5</v>
      </c>
      <c r="AU36" s="20">
        <f>VLOOKUP(AU$26,'DB New Orders'!$A:$S,MATCH($B36,'DB New Orders'!$A$1:$S$1,0),0)</f>
        <v>7</v>
      </c>
      <c r="AV36" s="20">
        <f>VLOOKUP(AV$26,'DB New Orders'!$A:$S,MATCH($B36,'DB New Orders'!$A$1:$S$1,0),0)</f>
        <v>8</v>
      </c>
      <c r="AW36" s="20">
        <f>VLOOKUP(AW$26,'DB New Orders'!$A:$S,MATCH($B36,'DB New Orders'!$A$1:$S$1,0),0)</f>
        <v>9</v>
      </c>
      <c r="AX36" s="20">
        <f>VLOOKUP(AX$26,'DB New Orders'!$A:$S,MATCH($B36,'DB New Orders'!$A$1:$S$1,0),0)</f>
        <v>8</v>
      </c>
      <c r="AZ36" s="20">
        <f t="shared" si="3"/>
        <v>-1</v>
      </c>
      <c r="BA36" s="23">
        <f t="shared" si="4"/>
        <v>8.3333333333333339</v>
      </c>
      <c r="BB36" s="23">
        <f t="shared" si="5"/>
        <v>5.5</v>
      </c>
    </row>
    <row r="37" spans="2:54" x14ac:dyDescent="0.35">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R37" s="20">
        <f>VLOOKUP(AR$26,'DB New Orders'!$A:$S,MATCH($B37,'DB New Orders'!$A$1:$S$1,0),0)</f>
        <v>0</v>
      </c>
      <c r="AS37" s="20">
        <f>VLOOKUP(AS$26,'DB New Orders'!$A:$S,MATCH($B37,'DB New Orders'!$A$1:$S$1,0),0)</f>
        <v>-3</v>
      </c>
      <c r="AT37" s="20">
        <f>VLOOKUP(AT$26,'DB New Orders'!$A:$S,MATCH($B37,'DB New Orders'!$A$1:$S$1,0),0)</f>
        <v>1</v>
      </c>
      <c r="AU37" s="20">
        <f>VLOOKUP(AU$26,'DB New Orders'!$A:$S,MATCH($B37,'DB New Orders'!$A$1:$S$1,0),0)</f>
        <v>4</v>
      </c>
      <c r="AV37" s="20">
        <f>VLOOKUP(AV$26,'DB New Orders'!$A:$S,MATCH($B37,'DB New Orders'!$A$1:$S$1,0),0)</f>
        <v>2</v>
      </c>
      <c r="AW37" s="20">
        <f>VLOOKUP(AW$26,'DB New Orders'!$A:$S,MATCH($B37,'DB New Orders'!$A$1:$S$1,0),0)</f>
        <v>8</v>
      </c>
      <c r="AX37" s="20">
        <f>VLOOKUP(AX$26,'DB New Orders'!$A:$S,MATCH($B37,'DB New Orders'!$A$1:$S$1,0),0)</f>
        <v>5</v>
      </c>
      <c r="AZ37" s="20">
        <f t="shared" si="3"/>
        <v>-3</v>
      </c>
      <c r="BA37" s="23">
        <f t="shared" si="4"/>
        <v>5</v>
      </c>
      <c r="BB37" s="23">
        <f t="shared" si="5"/>
        <v>2.8333333333333335</v>
      </c>
    </row>
    <row r="38" spans="2:54" x14ac:dyDescent="0.35">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R38" s="20">
        <f>VLOOKUP(AR$26,'DB New Orders'!$A:$S,MATCH($B38,'DB New Orders'!$A$1:$S$1,0),0)</f>
        <v>2</v>
      </c>
      <c r="AS38" s="20">
        <f>VLOOKUP(AS$26,'DB New Orders'!$A:$S,MATCH($B38,'DB New Orders'!$A$1:$S$1,0),0)</f>
        <v>-5</v>
      </c>
      <c r="AT38" s="20">
        <f>VLOOKUP(AT$26,'DB New Orders'!$A:$S,MATCH($B38,'DB New Orders'!$A$1:$S$1,0),0)</f>
        <v>4</v>
      </c>
      <c r="AU38" s="20">
        <f>VLOOKUP(AU$26,'DB New Orders'!$A:$S,MATCH($B38,'DB New Orders'!$A$1:$S$1,0),0)</f>
        <v>2</v>
      </c>
      <c r="AV38" s="20">
        <f>VLOOKUP(AV$26,'DB New Orders'!$A:$S,MATCH($B38,'DB New Orders'!$A$1:$S$1,0),0)</f>
        <v>5</v>
      </c>
      <c r="AW38" s="20">
        <f>VLOOKUP(AW$26,'DB New Orders'!$A:$S,MATCH($B38,'DB New Orders'!$A$1:$S$1,0),0)</f>
        <v>7</v>
      </c>
      <c r="AX38" s="20">
        <f>VLOOKUP(AX$26,'DB New Orders'!$A:$S,MATCH($B38,'DB New Orders'!$A$1:$S$1,0),0)</f>
        <v>3</v>
      </c>
      <c r="AZ38" s="20">
        <f t="shared" si="3"/>
        <v>-4</v>
      </c>
      <c r="BA38" s="23">
        <f t="shared" si="4"/>
        <v>5</v>
      </c>
      <c r="BB38" s="23">
        <f t="shared" si="5"/>
        <v>2.6666666666666665</v>
      </c>
    </row>
    <row r="39" spans="2:54" x14ac:dyDescent="0.35">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R39" s="20">
        <f>VLOOKUP(AR$26,'DB New Orders'!$A:$S,MATCH($B39,'DB New Orders'!$A$1:$S$1,0),0)</f>
        <v>0</v>
      </c>
      <c r="AS39" s="20">
        <f>VLOOKUP(AS$26,'DB New Orders'!$A:$S,MATCH($B39,'DB New Orders'!$A$1:$S$1,0),0)</f>
        <v>4</v>
      </c>
      <c r="AT39" s="20">
        <f>VLOOKUP(AT$26,'DB New Orders'!$A:$S,MATCH($B39,'DB New Orders'!$A$1:$S$1,0),0)</f>
        <v>0</v>
      </c>
      <c r="AU39" s="20">
        <f>VLOOKUP(AU$26,'DB New Orders'!$A:$S,MATCH($B39,'DB New Orders'!$A$1:$S$1,0),0)</f>
        <v>5</v>
      </c>
      <c r="AV39" s="20">
        <f>VLOOKUP(AV$26,'DB New Orders'!$A:$S,MATCH($B39,'DB New Orders'!$A$1:$S$1,0),0)</f>
        <v>10</v>
      </c>
      <c r="AW39" s="20">
        <f>VLOOKUP(AW$26,'DB New Orders'!$A:$S,MATCH($B39,'DB New Orders'!$A$1:$S$1,0),0)</f>
        <v>10</v>
      </c>
      <c r="AX39" s="20">
        <f>VLOOKUP(AX$26,'DB New Orders'!$A:$S,MATCH($B39,'DB New Orders'!$A$1:$S$1,0),0)</f>
        <v>13</v>
      </c>
      <c r="AZ39" s="20">
        <f t="shared" si="3"/>
        <v>3</v>
      </c>
      <c r="BA39" s="23">
        <f t="shared" si="4"/>
        <v>11</v>
      </c>
      <c r="BB39" s="23">
        <f t="shared" si="5"/>
        <v>7</v>
      </c>
    </row>
    <row r="40" spans="2:54" x14ac:dyDescent="0.35">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R40" s="20">
        <f>VLOOKUP(AR$26,'DB New Orders'!$A:$S,MATCH($B40,'DB New Orders'!$A$1:$S$1,0),0)</f>
        <v>0</v>
      </c>
      <c r="AS40" s="20">
        <f>VLOOKUP(AS$26,'DB New Orders'!$A:$S,MATCH($B40,'DB New Orders'!$A$1:$S$1,0),0)</f>
        <v>-6</v>
      </c>
      <c r="AT40" s="20">
        <f>VLOOKUP(AT$26,'DB New Orders'!$A:$S,MATCH($B40,'DB New Orders'!$A$1:$S$1,0),0)</f>
        <v>3</v>
      </c>
      <c r="AU40" s="20">
        <f>VLOOKUP(AU$26,'DB New Orders'!$A:$S,MATCH($B40,'DB New Orders'!$A$1:$S$1,0),0)</f>
        <v>0</v>
      </c>
      <c r="AV40" s="20">
        <f>VLOOKUP(AV$26,'DB New Orders'!$A:$S,MATCH($B40,'DB New Orders'!$A$1:$S$1,0),0)</f>
        <v>9</v>
      </c>
      <c r="AW40" s="20">
        <f>VLOOKUP(AW$26,'DB New Orders'!$A:$S,MATCH($B40,'DB New Orders'!$A$1:$S$1,0),0)</f>
        <v>4</v>
      </c>
      <c r="AX40" s="20">
        <f>VLOOKUP(AX$26,'DB New Orders'!$A:$S,MATCH($B40,'DB New Orders'!$A$1:$S$1,0),0)</f>
        <v>12</v>
      </c>
      <c r="AZ40" s="20">
        <f t="shared" si="3"/>
        <v>8</v>
      </c>
      <c r="BA40" s="23">
        <f t="shared" si="4"/>
        <v>8.3333333333333339</v>
      </c>
      <c r="BB40" s="23">
        <f t="shared" si="5"/>
        <v>3.6666666666666665</v>
      </c>
    </row>
    <row r="41" spans="2:54" x14ac:dyDescent="0.35">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R41" s="20">
        <f>VLOOKUP(AR$26,'DB New Orders'!$A:$S,MATCH($B41,'DB New Orders'!$A$1:$S$1,0),0)</f>
        <v>0</v>
      </c>
      <c r="AS41" s="20">
        <f>VLOOKUP(AS$26,'DB New Orders'!$A:$S,MATCH($B41,'DB New Orders'!$A$1:$S$1,0),0)</f>
        <v>3</v>
      </c>
      <c r="AT41" s="20">
        <f>VLOOKUP(AT$26,'DB New Orders'!$A:$S,MATCH($B41,'DB New Orders'!$A$1:$S$1,0),0)</f>
        <v>0</v>
      </c>
      <c r="AU41" s="20">
        <f>VLOOKUP(AU$26,'DB New Orders'!$A:$S,MATCH($B41,'DB New Orders'!$A$1:$S$1,0),0)</f>
        <v>3</v>
      </c>
      <c r="AV41" s="20">
        <f>VLOOKUP(AV$26,'DB New Orders'!$A:$S,MATCH($B41,'DB New Orders'!$A$1:$S$1,0),0)</f>
        <v>4</v>
      </c>
      <c r="AW41" s="20">
        <f>VLOOKUP(AW$26,'DB New Orders'!$A:$S,MATCH($B41,'DB New Orders'!$A$1:$S$1,0),0)</f>
        <v>0</v>
      </c>
      <c r="AX41" s="20">
        <f>VLOOKUP(AX$26,'DB New Orders'!$A:$S,MATCH($B41,'DB New Orders'!$A$1:$S$1,0),0)</f>
        <v>1</v>
      </c>
      <c r="AZ41" s="20">
        <f t="shared" si="3"/>
        <v>1</v>
      </c>
      <c r="BA41" s="23">
        <f t="shared" si="4"/>
        <v>1.6666666666666667</v>
      </c>
      <c r="BB41" s="23">
        <f t="shared" si="5"/>
        <v>1.8333333333333333</v>
      </c>
    </row>
    <row r="42" spans="2:54" x14ac:dyDescent="0.35">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R42" s="20">
        <f>VLOOKUP(AR$26,'DB New Orders'!$A:$S,MATCH($B42,'DB New Orders'!$A$1:$S$1,0),0)</f>
        <v>0</v>
      </c>
      <c r="AS42" s="20">
        <f>VLOOKUP(AS$26,'DB New Orders'!$A:$S,MATCH($B42,'DB New Orders'!$A$1:$S$1,0),0)</f>
        <v>0</v>
      </c>
      <c r="AT42" s="20">
        <f>VLOOKUP(AT$26,'DB New Orders'!$A:$S,MATCH($B42,'DB New Orders'!$A$1:$S$1,0),0)</f>
        <v>0</v>
      </c>
      <c r="AU42" s="20">
        <f>VLOOKUP(AU$26,'DB New Orders'!$A:$S,MATCH($B42,'DB New Orders'!$A$1:$S$1,0),0)</f>
        <v>0</v>
      </c>
      <c r="AV42" s="20">
        <f>VLOOKUP(AV$26,'DB New Orders'!$A:$S,MATCH($B42,'DB New Orders'!$A$1:$S$1,0),0)</f>
        <v>0</v>
      </c>
      <c r="AW42" s="20">
        <f>VLOOKUP(AW$26,'DB New Orders'!$A:$S,MATCH($B42,'DB New Orders'!$A$1:$S$1,0),0)</f>
        <v>0</v>
      </c>
      <c r="AX42" s="20">
        <f>VLOOKUP(AX$26,'DB New Orders'!$A:$S,MATCH($B42,'DB New Orders'!$A$1:$S$1,0),0)</f>
        <v>6</v>
      </c>
      <c r="AZ42" s="20">
        <f t="shared" si="3"/>
        <v>6</v>
      </c>
      <c r="BA42" s="23">
        <f t="shared" si="4"/>
        <v>2</v>
      </c>
      <c r="BB42" s="23">
        <f t="shared" si="5"/>
        <v>1</v>
      </c>
    </row>
    <row r="43" spans="2:54" x14ac:dyDescent="0.35">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R43" s="20">
        <f>VLOOKUP(AR$26,'DB New Orders'!$A:$S,MATCH($B43,'DB New Orders'!$A$1:$S$1,0),0)</f>
        <v>6</v>
      </c>
      <c r="AS43" s="20">
        <f>VLOOKUP(AS$26,'DB New Orders'!$A:$S,MATCH($B43,'DB New Orders'!$A$1:$S$1,0),0)</f>
        <v>-7</v>
      </c>
      <c r="AT43" s="20">
        <f>VLOOKUP(AT$26,'DB New Orders'!$A:$S,MATCH($B43,'DB New Orders'!$A$1:$S$1,0),0)</f>
        <v>11</v>
      </c>
      <c r="AU43" s="20">
        <f>VLOOKUP(AU$26,'DB New Orders'!$A:$S,MATCH($B43,'DB New Orders'!$A$1:$S$1,0),0)</f>
        <v>11</v>
      </c>
      <c r="AV43" s="20">
        <f>VLOOKUP(AV$26,'DB New Orders'!$A:$S,MATCH($B43,'DB New Orders'!$A$1:$S$1,0),0)</f>
        <v>0</v>
      </c>
      <c r="AW43" s="20">
        <f>VLOOKUP(AW$26,'DB New Orders'!$A:$S,MATCH($B43,'DB New Orders'!$A$1:$S$1,0),0)</f>
        <v>6</v>
      </c>
      <c r="AX43" s="20">
        <f>VLOOKUP(AX$26,'DB New Orders'!$A:$S,MATCH($B43,'DB New Orders'!$A$1:$S$1,0),0)</f>
        <v>11</v>
      </c>
      <c r="AZ43" s="20">
        <f t="shared" si="3"/>
        <v>5</v>
      </c>
      <c r="BA43" s="23">
        <f t="shared" si="4"/>
        <v>5.666666666666667</v>
      </c>
      <c r="BB43" s="23">
        <f t="shared" si="5"/>
        <v>5.333333333333333</v>
      </c>
    </row>
    <row r="44" spans="2:54" x14ac:dyDescent="0.35">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R44" s="20">
        <f>VLOOKUP(AR$26,'DB New Orders'!$A:$S,MATCH($B44,'DB New Orders'!$A$1:$S$1,0),0)</f>
        <v>0</v>
      </c>
      <c r="AS44" s="20">
        <f>VLOOKUP(AS$26,'DB New Orders'!$A:$S,MATCH($B44,'DB New Orders'!$A$1:$S$1,0),0)</f>
        <v>6</v>
      </c>
      <c r="AT44" s="20">
        <f>VLOOKUP(AT$26,'DB New Orders'!$A:$S,MATCH($B44,'DB New Orders'!$A$1:$S$1,0),0)</f>
        <v>9</v>
      </c>
      <c r="AU44" s="20">
        <f>VLOOKUP(AU$26,'DB New Orders'!$A:$S,MATCH($B44,'DB New Orders'!$A$1:$S$1,0),0)</f>
        <v>8</v>
      </c>
      <c r="AV44" s="20">
        <f>VLOOKUP(AV$26,'DB New Orders'!$A:$S,MATCH($B44,'DB New Orders'!$A$1:$S$1,0),0)</f>
        <v>0</v>
      </c>
      <c r="AW44" s="20">
        <f>VLOOKUP(AW$26,'DB New Orders'!$A:$S,MATCH($B44,'DB New Orders'!$A$1:$S$1,0),0)</f>
        <v>0</v>
      </c>
      <c r="AX44" s="20">
        <f>VLOOKUP(AX$26,'DB New Orders'!$A:$S,MATCH($B44,'DB New Orders'!$A$1:$S$1,0),0)</f>
        <v>16</v>
      </c>
      <c r="AZ44" s="20">
        <f t="shared" si="3"/>
        <v>16</v>
      </c>
      <c r="BA44" s="23">
        <f t="shared" si="4"/>
        <v>5.333333333333333</v>
      </c>
      <c r="BB44" s="23">
        <f t="shared" si="5"/>
        <v>6.5</v>
      </c>
    </row>
    <row r="45" spans="2:54" x14ac:dyDescent="0.35">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R45" s="20">
        <f>VLOOKUP(AR$26,'DB New Orders'!$A:$S,MATCH($B45,'DB New Orders'!$A$1:$S$1,0),0)</f>
        <v>7</v>
      </c>
      <c r="AS45" s="20">
        <f>VLOOKUP(AS$26,'DB New Orders'!$A:$S,MATCH($B45,'DB New Orders'!$A$1:$S$1,0),0)</f>
        <v>-8</v>
      </c>
      <c r="AT45" s="20">
        <f>VLOOKUP(AT$26,'DB New Orders'!$A:$S,MATCH($B45,'DB New Orders'!$A$1:$S$1,0),0)</f>
        <v>10</v>
      </c>
      <c r="AU45" s="20">
        <f>VLOOKUP(AU$26,'DB New Orders'!$A:$S,MATCH($B45,'DB New Orders'!$A$1:$S$1,0),0)</f>
        <v>12</v>
      </c>
      <c r="AV45" s="20">
        <f>VLOOKUP(AV$26,'DB New Orders'!$A:$S,MATCH($B45,'DB New Orders'!$A$1:$S$1,0),0)</f>
        <v>14</v>
      </c>
      <c r="AW45" s="20">
        <f>VLOOKUP(AW$26,'DB New Orders'!$A:$S,MATCH($B45,'DB New Orders'!$A$1:$S$1,0),0)</f>
        <v>11</v>
      </c>
      <c r="AX45" s="20">
        <f>VLOOKUP(AX$26,'DB New Orders'!$A:$S,MATCH($B45,'DB New Orders'!$A$1:$S$1,0),0)</f>
        <v>17</v>
      </c>
      <c r="AZ45" s="20">
        <f t="shared" si="3"/>
        <v>6</v>
      </c>
      <c r="BA45" s="23">
        <f t="shared" si="4"/>
        <v>14</v>
      </c>
      <c r="BB45" s="23">
        <f t="shared" si="5"/>
        <v>9.3333333333333339</v>
      </c>
    </row>
    <row r="46" spans="2:54" x14ac:dyDescent="0.35">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row>
    <row r="47" spans="2:54" ht="16" customHeight="1" thickBot="1" x14ac:dyDescent="0.4">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row>
    <row r="48" spans="2:54" x14ac:dyDescent="0.35">
      <c r="B48" s="116"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26">
        <v>44743</v>
      </c>
      <c r="AS48" s="26">
        <v>44774</v>
      </c>
      <c r="AT48" s="26">
        <v>44805</v>
      </c>
      <c r="AU48" s="26">
        <v>44835</v>
      </c>
      <c r="AV48" s="26">
        <v>44866</v>
      </c>
      <c r="AW48" s="26">
        <v>44896</v>
      </c>
      <c r="AX48" s="26">
        <v>44927</v>
      </c>
      <c r="AY48" s="11"/>
      <c r="AZ48" s="120" t="s">
        <v>79</v>
      </c>
      <c r="BA48" s="120" t="s">
        <v>80</v>
      </c>
      <c r="BB48" s="120" t="s">
        <v>81</v>
      </c>
    </row>
    <row r="49" spans="2:54" ht="16" customHeight="1" thickBot="1" x14ac:dyDescent="0.4">
      <c r="B49" s="11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11"/>
      <c r="AZ49" s="121"/>
      <c r="BA49" s="121"/>
      <c r="BB49" s="121"/>
    </row>
    <row r="50" spans="2:54" x14ac:dyDescent="0.35">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R50" s="20">
        <f>VLOOKUP(AR$48,'DB Production'!$A:$S,MATCH($B50,'DB Production'!$A$1:$S$1,0),0)</f>
        <v>0</v>
      </c>
      <c r="AS50" s="20">
        <f>VLOOKUP(AS$48,'DB Production'!$A:$S,MATCH($B50,'DB Production'!$A$1:$S$1,0),0)</f>
        <v>-9</v>
      </c>
      <c r="AT50" s="20">
        <f>VLOOKUP(AT$48,'DB Production'!$A:$S,MATCH($B50,'DB Production'!$A$1:$S$1,0),0)</f>
        <v>0</v>
      </c>
      <c r="AU50" s="20">
        <f>VLOOKUP(AU$48,'DB Production'!$A:$S,MATCH($B50,'DB Production'!$A$1:$S$1,0),0)</f>
        <v>0</v>
      </c>
      <c r="AV50" s="20">
        <f>VLOOKUP(AV$48,'DB Production'!$A:$S,MATCH($B50,'DB Production'!$A$1:$S$1,0),0)</f>
        <v>7</v>
      </c>
      <c r="AW50" s="20">
        <f>VLOOKUP(AW$48,'DB Production'!$A:$S,MATCH($B50,'DB Production'!$A$1:$S$1,0),0)</f>
        <v>0</v>
      </c>
      <c r="AX50" s="20">
        <f>VLOOKUP(AX$48,'DB Production'!$A:$S,MATCH($B50,'DB Production'!$A$1:$S$1,0),0)</f>
        <v>0</v>
      </c>
      <c r="AZ50" s="20">
        <f>AX50-AW50</f>
        <v>0</v>
      </c>
      <c r="BA50" s="23">
        <f>AVERAGE(AV50:AX50)</f>
        <v>2.3333333333333335</v>
      </c>
      <c r="BB50" s="23">
        <f>AVERAGE(AS50:AX50)</f>
        <v>-0.33333333333333331</v>
      </c>
    </row>
    <row r="51" spans="2:54" x14ac:dyDescent="0.35">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R51" s="20">
        <f>VLOOKUP(AR$48,'DB Production'!$A:$S,MATCH($B51,'DB Production'!$A$1:$S$1,0),0)</f>
        <v>0</v>
      </c>
      <c r="AS51" s="20">
        <f>VLOOKUP(AS$48,'DB Production'!$A:$S,MATCH($B51,'DB Production'!$A$1:$S$1,0),0)</f>
        <v>2</v>
      </c>
      <c r="AT51" s="20">
        <f>VLOOKUP(AT$48,'DB Production'!$A:$S,MATCH($B51,'DB Production'!$A$1:$S$1,0),0)</f>
        <v>5</v>
      </c>
      <c r="AU51" s="20">
        <f>VLOOKUP(AU$48,'DB Production'!$A:$S,MATCH($B51,'DB Production'!$A$1:$S$1,0),0)</f>
        <v>2</v>
      </c>
      <c r="AV51" s="20">
        <f>VLOOKUP(AV$48,'DB Production'!$A:$S,MATCH($B51,'DB Production'!$A$1:$S$1,0),0)</f>
        <v>-4</v>
      </c>
      <c r="AW51" s="20">
        <f>VLOOKUP(AW$48,'DB Production'!$A:$S,MATCH($B51,'DB Production'!$A$1:$S$1,0),0)</f>
        <v>1</v>
      </c>
      <c r="AX51" s="20">
        <f>VLOOKUP(AX$48,'DB Production'!$A:$S,MATCH($B51,'DB Production'!$A$1:$S$1,0),0)</f>
        <v>4</v>
      </c>
      <c r="AZ51" s="20">
        <f t="shared" ref="AZ51:AZ67" si="6">AX51-AW51</f>
        <v>3</v>
      </c>
      <c r="BA51" s="23">
        <f t="shared" ref="BA51:BA67" si="7">AVERAGE(AV51:AX51)</f>
        <v>0.33333333333333331</v>
      </c>
      <c r="BB51" s="23">
        <f t="shared" ref="BB51:BB67" si="8">AVERAGE(AS51:AX51)</f>
        <v>1.6666666666666667</v>
      </c>
    </row>
    <row r="52" spans="2:54" x14ac:dyDescent="0.35">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R52" s="20">
        <f>VLOOKUP(AR$48,'DB Production'!$A:$S,MATCH($B52,'DB Production'!$A$1:$S$1,0),0)</f>
        <v>0</v>
      </c>
      <c r="AS52" s="20">
        <f>VLOOKUP(AS$48,'DB Production'!$A:$S,MATCH($B52,'DB Production'!$A$1:$S$1,0),0)</f>
        <v>-6</v>
      </c>
      <c r="AT52" s="20">
        <f>VLOOKUP(AT$48,'DB Production'!$A:$S,MATCH($B52,'DB Production'!$A$1:$S$1,0),0)</f>
        <v>0</v>
      </c>
      <c r="AU52" s="20">
        <f>VLOOKUP(AU$48,'DB Production'!$A:$S,MATCH($B52,'DB Production'!$A$1:$S$1,0),0)</f>
        <v>-5</v>
      </c>
      <c r="AV52" s="20">
        <f>VLOOKUP(AV$48,'DB Production'!$A:$S,MATCH($B52,'DB Production'!$A$1:$S$1,0),0)</f>
        <v>0</v>
      </c>
      <c r="AW52" s="20">
        <f>VLOOKUP(AW$48,'DB Production'!$A:$S,MATCH($B52,'DB Production'!$A$1:$S$1,0),0)</f>
        <v>-6</v>
      </c>
      <c r="AX52" s="20">
        <f>VLOOKUP(AX$48,'DB Production'!$A:$S,MATCH($B52,'DB Production'!$A$1:$S$1,0),0)</f>
        <v>11</v>
      </c>
      <c r="AZ52" s="20">
        <f t="shared" si="6"/>
        <v>17</v>
      </c>
      <c r="BA52" s="23">
        <f t="shared" si="7"/>
        <v>1.6666666666666667</v>
      </c>
      <c r="BB52" s="23">
        <f t="shared" si="8"/>
        <v>-1</v>
      </c>
    </row>
    <row r="53" spans="2:54" x14ac:dyDescent="0.35">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R53" s="20">
        <f>VLOOKUP(AR$48,'DB Production'!$A:$S,MATCH($B53,'DB Production'!$A$1:$S$1,0),0)</f>
        <v>0</v>
      </c>
      <c r="AS53" s="20">
        <f>VLOOKUP(AS$48,'DB Production'!$A:$S,MATCH($B53,'DB Production'!$A$1:$S$1,0),0)</f>
        <v>0</v>
      </c>
      <c r="AT53" s="20">
        <f>VLOOKUP(AT$48,'DB Production'!$A:$S,MATCH($B53,'DB Production'!$A$1:$S$1,0),0)</f>
        <v>1</v>
      </c>
      <c r="AU53" s="20">
        <f>VLOOKUP(AU$48,'DB Production'!$A:$S,MATCH($B53,'DB Production'!$A$1:$S$1,0),0)</f>
        <v>5</v>
      </c>
      <c r="AV53" s="20">
        <f>VLOOKUP(AV$48,'DB Production'!$A:$S,MATCH($B53,'DB Production'!$A$1:$S$1,0),0)</f>
        <v>4</v>
      </c>
      <c r="AW53" s="20">
        <f>VLOOKUP(AW$48,'DB Production'!$A:$S,MATCH($B53,'DB Production'!$A$1:$S$1,0),0)</f>
        <v>-1</v>
      </c>
      <c r="AX53" s="20">
        <f>VLOOKUP(AX$48,'DB Production'!$A:$S,MATCH($B53,'DB Production'!$A$1:$S$1,0),0)</f>
        <v>-1</v>
      </c>
      <c r="AZ53" s="20">
        <f t="shared" si="6"/>
        <v>0</v>
      </c>
      <c r="BA53" s="23">
        <f t="shared" si="7"/>
        <v>0.66666666666666663</v>
      </c>
      <c r="BB53" s="23">
        <f t="shared" si="8"/>
        <v>1.3333333333333333</v>
      </c>
    </row>
    <row r="54" spans="2:54" x14ac:dyDescent="0.35">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R54" s="20">
        <f>VLOOKUP(AR$48,'DB Production'!$A:$S,MATCH($B54,'DB Production'!$A$1:$S$1,0),0)</f>
        <v>0</v>
      </c>
      <c r="AS54" s="20">
        <f>VLOOKUP(AS$48,'DB Production'!$A:$S,MATCH($B54,'DB Production'!$A$1:$S$1,0),0)</f>
        <v>4</v>
      </c>
      <c r="AT54" s="20">
        <f>VLOOKUP(AT$48,'DB Production'!$A:$S,MATCH($B54,'DB Production'!$A$1:$S$1,0),0)</f>
        <v>-3</v>
      </c>
      <c r="AU54" s="20">
        <f>VLOOKUP(AU$48,'DB Production'!$A:$S,MATCH($B54,'DB Production'!$A$1:$S$1,0),0)</f>
        <v>-4</v>
      </c>
      <c r="AV54" s="20">
        <f>VLOOKUP(AV$48,'DB Production'!$A:$S,MATCH($B54,'DB Production'!$A$1:$S$1,0),0)</f>
        <v>0</v>
      </c>
      <c r="AW54" s="20">
        <f>VLOOKUP(AW$48,'DB Production'!$A:$S,MATCH($B54,'DB Production'!$A$1:$S$1,0),0)</f>
        <v>0</v>
      </c>
      <c r="AX54" s="20">
        <f>VLOOKUP(AX$48,'DB Production'!$A:$S,MATCH($B54,'DB Production'!$A$1:$S$1,0),0)</f>
        <v>0</v>
      </c>
      <c r="AZ54" s="20">
        <f t="shared" si="6"/>
        <v>0</v>
      </c>
      <c r="BA54" s="23">
        <f t="shared" si="7"/>
        <v>0</v>
      </c>
      <c r="BB54" s="23">
        <f t="shared" si="8"/>
        <v>-0.5</v>
      </c>
    </row>
    <row r="55" spans="2:54" x14ac:dyDescent="0.35">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R55" s="20">
        <f>VLOOKUP(AR$48,'DB Production'!$A:$S,MATCH($B55,'DB Production'!$A$1:$S$1,0),0)</f>
        <v>0</v>
      </c>
      <c r="AS55" s="20">
        <f>VLOOKUP(AS$48,'DB Production'!$A:$S,MATCH($B55,'DB Production'!$A$1:$S$1,0),0)</f>
        <v>-5</v>
      </c>
      <c r="AT55" s="20">
        <f>VLOOKUP(AT$48,'DB Production'!$A:$S,MATCH($B55,'DB Production'!$A$1:$S$1,0),0)</f>
        <v>7</v>
      </c>
      <c r="AU55" s="20">
        <f>VLOOKUP(AU$48,'DB Production'!$A:$S,MATCH($B55,'DB Production'!$A$1:$S$1,0),0)</f>
        <v>3</v>
      </c>
      <c r="AV55" s="20">
        <f>VLOOKUP(AV$48,'DB Production'!$A:$S,MATCH($B55,'DB Production'!$A$1:$S$1,0),0)</f>
        <v>6</v>
      </c>
      <c r="AW55" s="20">
        <f>VLOOKUP(AW$48,'DB Production'!$A:$S,MATCH($B55,'DB Production'!$A$1:$S$1,0),0)</f>
        <v>4</v>
      </c>
      <c r="AX55" s="20">
        <f>VLOOKUP(AX$48,'DB Production'!$A:$S,MATCH($B55,'DB Production'!$A$1:$S$1,0),0)</f>
        <v>8</v>
      </c>
      <c r="AZ55" s="20">
        <f t="shared" si="6"/>
        <v>4</v>
      </c>
      <c r="BA55" s="23">
        <f t="shared" si="7"/>
        <v>6</v>
      </c>
      <c r="BB55" s="23">
        <f t="shared" si="8"/>
        <v>3.8333333333333335</v>
      </c>
    </row>
    <row r="56" spans="2:54" x14ac:dyDescent="0.35">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R56" s="20">
        <f>VLOOKUP(AR$48,'DB Production'!$A:$S,MATCH($B56,'DB Production'!$A$1:$S$1,0),0)</f>
        <v>0</v>
      </c>
      <c r="AS56" s="20">
        <f>VLOOKUP(AS$48,'DB Production'!$A:$S,MATCH($B56,'DB Production'!$A$1:$S$1,0),0)</f>
        <v>0</v>
      </c>
      <c r="AT56" s="20">
        <f>VLOOKUP(AT$48,'DB Production'!$A:$S,MATCH($B56,'DB Production'!$A$1:$S$1,0),0)</f>
        <v>-6</v>
      </c>
      <c r="AU56" s="20">
        <f>VLOOKUP(AU$48,'DB Production'!$A:$S,MATCH($B56,'DB Production'!$A$1:$S$1,0),0)</f>
        <v>0</v>
      </c>
      <c r="AV56" s="20">
        <f>VLOOKUP(AV$48,'DB Production'!$A:$S,MATCH($B56,'DB Production'!$A$1:$S$1,0),0)</f>
        <v>-7</v>
      </c>
      <c r="AW56" s="20">
        <f>VLOOKUP(AW$48,'DB Production'!$A:$S,MATCH($B56,'DB Production'!$A$1:$S$1,0),0)</f>
        <v>0</v>
      </c>
      <c r="AX56" s="20">
        <f>VLOOKUP(AX$48,'DB Production'!$A:$S,MATCH($B56,'DB Production'!$A$1:$S$1,0),0)</f>
        <v>12</v>
      </c>
      <c r="AZ56" s="20">
        <f t="shared" si="6"/>
        <v>12</v>
      </c>
      <c r="BA56" s="23">
        <f t="shared" si="7"/>
        <v>1.6666666666666667</v>
      </c>
      <c r="BB56" s="23">
        <f t="shared" si="8"/>
        <v>-0.16666666666666666</v>
      </c>
    </row>
    <row r="57" spans="2:54" x14ac:dyDescent="0.35">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R57" s="20">
        <f>VLOOKUP(AR$48,'DB Production'!$A:$S,MATCH($B57,'DB Production'!$A$1:$S$1,0),0)</f>
        <v>0</v>
      </c>
      <c r="AS57" s="20">
        <f>VLOOKUP(AS$48,'DB Production'!$A:$S,MATCH($B57,'DB Production'!$A$1:$S$1,0),0)</f>
        <v>0</v>
      </c>
      <c r="AT57" s="20">
        <f>VLOOKUP(AT$48,'DB Production'!$A:$S,MATCH($B57,'DB Production'!$A$1:$S$1,0),0)</f>
        <v>-5</v>
      </c>
      <c r="AU57" s="20">
        <f>VLOOKUP(AU$48,'DB Production'!$A:$S,MATCH($B57,'DB Production'!$A$1:$S$1,0),0)</f>
        <v>-7</v>
      </c>
      <c r="AV57" s="20">
        <f>VLOOKUP(AV$48,'DB Production'!$A:$S,MATCH($B57,'DB Production'!$A$1:$S$1,0),0)</f>
        <v>-5</v>
      </c>
      <c r="AW57" s="20">
        <f>VLOOKUP(AW$48,'DB Production'!$A:$S,MATCH($B57,'DB Production'!$A$1:$S$1,0),0)</f>
        <v>-4</v>
      </c>
      <c r="AX57" s="20">
        <f>VLOOKUP(AX$48,'DB Production'!$A:$S,MATCH($B57,'DB Production'!$A$1:$S$1,0),0)</f>
        <v>7</v>
      </c>
      <c r="AZ57" s="20">
        <f t="shared" si="6"/>
        <v>11</v>
      </c>
      <c r="BA57" s="23">
        <f t="shared" si="7"/>
        <v>-0.66666666666666663</v>
      </c>
      <c r="BB57" s="23">
        <f t="shared" si="8"/>
        <v>-2.3333333333333335</v>
      </c>
    </row>
    <row r="58" spans="2:54" x14ac:dyDescent="0.35">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R58" s="20">
        <f>VLOOKUP(AR$48,'DB Production'!$A:$S,MATCH($B58,'DB Production'!$A$1:$S$1,0),0)</f>
        <v>0</v>
      </c>
      <c r="AS58" s="20">
        <f>VLOOKUP(AS$48,'DB Production'!$A:$S,MATCH($B58,'DB Production'!$A$1:$S$1,0),0)</f>
        <v>3</v>
      </c>
      <c r="AT58" s="20">
        <f>VLOOKUP(AT$48,'DB Production'!$A:$S,MATCH($B58,'DB Production'!$A$1:$S$1,0),0)</f>
        <v>0</v>
      </c>
      <c r="AU58" s="20">
        <f>VLOOKUP(AU$48,'DB Production'!$A:$S,MATCH($B58,'DB Production'!$A$1:$S$1,0),0)</f>
        <v>4</v>
      </c>
      <c r="AV58" s="20">
        <f>VLOOKUP(AV$48,'DB Production'!$A:$S,MATCH($B58,'DB Production'!$A$1:$S$1,0),0)</f>
        <v>2</v>
      </c>
      <c r="AW58" s="20">
        <f>VLOOKUP(AW$48,'DB Production'!$A:$S,MATCH($B58,'DB Production'!$A$1:$S$1,0),0)</f>
        <v>2</v>
      </c>
      <c r="AX58" s="20">
        <f>VLOOKUP(AX$48,'DB Production'!$A:$S,MATCH($B58,'DB Production'!$A$1:$S$1,0),0)</f>
        <v>2</v>
      </c>
      <c r="AZ58" s="20">
        <f t="shared" si="6"/>
        <v>0</v>
      </c>
      <c r="BA58" s="23">
        <f t="shared" si="7"/>
        <v>2</v>
      </c>
      <c r="BB58" s="23">
        <f t="shared" si="8"/>
        <v>2.1666666666666665</v>
      </c>
    </row>
    <row r="59" spans="2:54" x14ac:dyDescent="0.35">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R59" s="20">
        <f>VLOOKUP(AR$48,'DB Production'!$A:$S,MATCH($B59,'DB Production'!$A$1:$S$1,0),0)</f>
        <v>0</v>
      </c>
      <c r="AS59" s="20">
        <f>VLOOKUP(AS$48,'DB Production'!$A:$S,MATCH($B59,'DB Production'!$A$1:$S$1,0),0)</f>
        <v>-4</v>
      </c>
      <c r="AT59" s="20">
        <f>VLOOKUP(AT$48,'DB Production'!$A:$S,MATCH($B59,'DB Production'!$A$1:$S$1,0),0)</f>
        <v>-2</v>
      </c>
      <c r="AU59" s="20">
        <f>VLOOKUP(AU$48,'DB Production'!$A:$S,MATCH($B59,'DB Production'!$A$1:$S$1,0),0)</f>
        <v>-1</v>
      </c>
      <c r="AV59" s="20">
        <f>VLOOKUP(AV$48,'DB Production'!$A:$S,MATCH($B59,'DB Production'!$A$1:$S$1,0),0)</f>
        <v>0</v>
      </c>
      <c r="AW59" s="20">
        <f>VLOOKUP(AW$48,'DB Production'!$A:$S,MATCH($B59,'DB Production'!$A$1:$S$1,0),0)</f>
        <v>-8</v>
      </c>
      <c r="AX59" s="20">
        <f>VLOOKUP(AX$48,'DB Production'!$A:$S,MATCH($B59,'DB Production'!$A$1:$S$1,0),0)</f>
        <v>1</v>
      </c>
      <c r="AZ59" s="20">
        <f t="shared" si="6"/>
        <v>9</v>
      </c>
      <c r="BA59" s="23">
        <f t="shared" si="7"/>
        <v>-2.3333333333333335</v>
      </c>
      <c r="BB59" s="23">
        <f t="shared" si="8"/>
        <v>-2.3333333333333335</v>
      </c>
    </row>
    <row r="60" spans="2:54" x14ac:dyDescent="0.35">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R60" s="20">
        <f>VLOOKUP(AR$48,'DB Production'!$A:$S,MATCH($B60,'DB Production'!$A$1:$S$1,0),0)</f>
        <v>1</v>
      </c>
      <c r="AS60" s="20">
        <f>VLOOKUP(AS$48,'DB Production'!$A:$S,MATCH($B60,'DB Production'!$A$1:$S$1,0),0)</f>
        <v>-3</v>
      </c>
      <c r="AT60" s="20">
        <f>VLOOKUP(AT$48,'DB Production'!$A:$S,MATCH($B60,'DB Production'!$A$1:$S$1,0),0)</f>
        <v>-1</v>
      </c>
      <c r="AU60" s="20">
        <f>VLOOKUP(AU$48,'DB Production'!$A:$S,MATCH($B60,'DB Production'!$A$1:$S$1,0),0)</f>
        <v>-2</v>
      </c>
      <c r="AV60" s="20">
        <f>VLOOKUP(AV$48,'DB Production'!$A:$S,MATCH($B60,'DB Production'!$A$1:$S$1,0),0)</f>
        <v>-3</v>
      </c>
      <c r="AW60" s="20">
        <f>VLOOKUP(AW$48,'DB Production'!$A:$S,MATCH($B60,'DB Production'!$A$1:$S$1,0),0)</f>
        <v>0</v>
      </c>
      <c r="AX60" s="20">
        <f>VLOOKUP(AX$48,'DB Production'!$A:$S,MATCH($B60,'DB Production'!$A$1:$S$1,0),0)</f>
        <v>5</v>
      </c>
      <c r="AZ60" s="20">
        <f t="shared" si="6"/>
        <v>5</v>
      </c>
      <c r="BA60" s="23">
        <f t="shared" si="7"/>
        <v>0.66666666666666663</v>
      </c>
      <c r="BB60" s="23">
        <f t="shared" si="8"/>
        <v>-0.66666666666666663</v>
      </c>
    </row>
    <row r="61" spans="2:54" x14ac:dyDescent="0.35">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R61" s="20">
        <f>VLOOKUP(AR$48,'DB Production'!$A:$S,MATCH($B61,'DB Production'!$A$1:$S$1,0),0)</f>
        <v>4</v>
      </c>
      <c r="AS61" s="20">
        <f>VLOOKUP(AS$48,'DB Production'!$A:$S,MATCH($B61,'DB Production'!$A$1:$S$1,0),0)</f>
        <v>-2</v>
      </c>
      <c r="AT61" s="20">
        <f>VLOOKUP(AT$48,'DB Production'!$A:$S,MATCH($B61,'DB Production'!$A$1:$S$1,0),0)</f>
        <v>3</v>
      </c>
      <c r="AU61" s="20">
        <f>VLOOKUP(AU$48,'DB Production'!$A:$S,MATCH($B61,'DB Production'!$A$1:$S$1,0),0)</f>
        <v>0</v>
      </c>
      <c r="AV61" s="20">
        <f>VLOOKUP(AV$48,'DB Production'!$A:$S,MATCH($B61,'DB Production'!$A$1:$S$1,0),0)</f>
        <v>-2</v>
      </c>
      <c r="AW61" s="20">
        <f>VLOOKUP(AW$48,'DB Production'!$A:$S,MATCH($B61,'DB Production'!$A$1:$S$1,0),0)</f>
        <v>-2</v>
      </c>
      <c r="AX61" s="20">
        <f>VLOOKUP(AX$48,'DB Production'!$A:$S,MATCH($B61,'DB Production'!$A$1:$S$1,0),0)</f>
        <v>3</v>
      </c>
      <c r="AZ61" s="20">
        <f t="shared" si="6"/>
        <v>5</v>
      </c>
      <c r="BA61" s="23">
        <f t="shared" si="7"/>
        <v>-0.33333333333333331</v>
      </c>
      <c r="BB61" s="23">
        <f t="shared" si="8"/>
        <v>0</v>
      </c>
    </row>
    <row r="62" spans="2:54" x14ac:dyDescent="0.35">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R62" s="20">
        <f>VLOOKUP(AR$48,'DB Production'!$A:$S,MATCH($B62,'DB Production'!$A$1:$S$1,0),0)</f>
        <v>2</v>
      </c>
      <c r="AS62" s="20">
        <f>VLOOKUP(AS$48,'DB Production'!$A:$S,MATCH($B62,'DB Production'!$A$1:$S$1,0),0)</f>
        <v>5</v>
      </c>
      <c r="AT62" s="20">
        <f>VLOOKUP(AT$48,'DB Production'!$A:$S,MATCH($B62,'DB Production'!$A$1:$S$1,0),0)</f>
        <v>4</v>
      </c>
      <c r="AU62" s="20">
        <f>VLOOKUP(AU$48,'DB Production'!$A:$S,MATCH($B62,'DB Production'!$A$1:$S$1,0),0)</f>
        <v>-3</v>
      </c>
      <c r="AV62" s="20">
        <f>VLOOKUP(AV$48,'DB Production'!$A:$S,MATCH($B62,'DB Production'!$A$1:$S$1,0),0)</f>
        <v>1</v>
      </c>
      <c r="AW62" s="20">
        <f>VLOOKUP(AW$48,'DB Production'!$A:$S,MATCH($B62,'DB Production'!$A$1:$S$1,0),0)</f>
        <v>3</v>
      </c>
      <c r="AX62" s="20">
        <f>VLOOKUP(AX$48,'DB Production'!$A:$S,MATCH($B62,'DB Production'!$A$1:$S$1,0),0)</f>
        <v>6</v>
      </c>
      <c r="AZ62" s="20">
        <f t="shared" si="6"/>
        <v>3</v>
      </c>
      <c r="BA62" s="23">
        <f t="shared" si="7"/>
        <v>3.3333333333333335</v>
      </c>
      <c r="BB62" s="23">
        <f t="shared" si="8"/>
        <v>2.6666666666666665</v>
      </c>
    </row>
    <row r="63" spans="2:54" x14ac:dyDescent="0.35">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R63" s="20">
        <f>VLOOKUP(AR$48,'DB Production'!$A:$S,MATCH($B63,'DB Production'!$A$1:$S$1,0),0)</f>
        <v>0</v>
      </c>
      <c r="AS63" s="20">
        <f>VLOOKUP(AS$48,'DB Production'!$A:$S,MATCH($B63,'DB Production'!$A$1:$S$1,0),0)</f>
        <v>1</v>
      </c>
      <c r="AT63" s="20">
        <f>VLOOKUP(AT$48,'DB Production'!$A:$S,MATCH($B63,'DB Production'!$A$1:$S$1,0),0)</f>
        <v>6</v>
      </c>
      <c r="AU63" s="20">
        <f>VLOOKUP(AU$48,'DB Production'!$A:$S,MATCH($B63,'DB Production'!$A$1:$S$1,0),0)</f>
        <v>6</v>
      </c>
      <c r="AV63" s="20">
        <f>VLOOKUP(AV$48,'DB Production'!$A:$S,MATCH($B63,'DB Production'!$A$1:$S$1,0),0)</f>
        <v>3</v>
      </c>
      <c r="AW63" s="20">
        <f>VLOOKUP(AW$48,'DB Production'!$A:$S,MATCH($B63,'DB Production'!$A$1:$S$1,0),0)</f>
        <v>-3</v>
      </c>
      <c r="AX63" s="20">
        <f>VLOOKUP(AX$48,'DB Production'!$A:$S,MATCH($B63,'DB Production'!$A$1:$S$1,0),0)</f>
        <v>10</v>
      </c>
      <c r="AZ63" s="20">
        <f t="shared" si="6"/>
        <v>13</v>
      </c>
      <c r="BA63" s="23">
        <f t="shared" si="7"/>
        <v>3.3333333333333335</v>
      </c>
      <c r="BB63" s="23">
        <f t="shared" si="8"/>
        <v>3.8333333333333335</v>
      </c>
    </row>
    <row r="64" spans="2:54" x14ac:dyDescent="0.35">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R64" s="20">
        <f>VLOOKUP(AR$48,'DB Production'!$A:$S,MATCH($B64,'DB Production'!$A$1:$S$1,0),0)</f>
        <v>3</v>
      </c>
      <c r="AS64" s="20">
        <f>VLOOKUP(AS$48,'DB Production'!$A:$S,MATCH($B64,'DB Production'!$A$1:$S$1,0),0)</f>
        <v>-1</v>
      </c>
      <c r="AT64" s="20">
        <f>VLOOKUP(AT$48,'DB Production'!$A:$S,MATCH($B64,'DB Production'!$A$1:$S$1,0),0)</f>
        <v>2</v>
      </c>
      <c r="AU64" s="20">
        <f>VLOOKUP(AU$48,'DB Production'!$A:$S,MATCH($B64,'DB Production'!$A$1:$S$1,0),0)</f>
        <v>1</v>
      </c>
      <c r="AV64" s="20">
        <f>VLOOKUP(AV$48,'DB Production'!$A:$S,MATCH($B64,'DB Production'!$A$1:$S$1,0),0)</f>
        <v>-1</v>
      </c>
      <c r="AW64" s="20">
        <f>VLOOKUP(AW$48,'DB Production'!$A:$S,MATCH($B64,'DB Production'!$A$1:$S$1,0),0)</f>
        <v>-5</v>
      </c>
      <c r="AX64" s="20">
        <f>VLOOKUP(AX$48,'DB Production'!$A:$S,MATCH($B64,'DB Production'!$A$1:$S$1,0),0)</f>
        <v>0</v>
      </c>
      <c r="AZ64" s="20">
        <f t="shared" si="6"/>
        <v>5</v>
      </c>
      <c r="BA64" s="23">
        <f t="shared" si="7"/>
        <v>-2</v>
      </c>
      <c r="BB64" s="23">
        <f t="shared" si="8"/>
        <v>-0.66666666666666663</v>
      </c>
    </row>
    <row r="65" spans="2:54" x14ac:dyDescent="0.35">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R65" s="20">
        <f>VLOOKUP(AR$48,'DB Production'!$A:$S,MATCH($B65,'DB Production'!$A$1:$S$1,0),0)</f>
        <v>6</v>
      </c>
      <c r="AS65" s="20">
        <f>VLOOKUP(AS$48,'DB Production'!$A:$S,MATCH($B65,'DB Production'!$A$1:$S$1,0),0)</f>
        <v>-7</v>
      </c>
      <c r="AT65" s="20">
        <f>VLOOKUP(AT$48,'DB Production'!$A:$S,MATCH($B65,'DB Production'!$A$1:$S$1,0),0)</f>
        <v>-4</v>
      </c>
      <c r="AU65" s="20">
        <f>VLOOKUP(AU$48,'DB Production'!$A:$S,MATCH($B65,'DB Production'!$A$1:$S$1,0),0)</f>
        <v>-6</v>
      </c>
      <c r="AV65" s="20">
        <f>VLOOKUP(AV$48,'DB Production'!$A:$S,MATCH($B65,'DB Production'!$A$1:$S$1,0),0)</f>
        <v>0</v>
      </c>
      <c r="AW65" s="20">
        <f>VLOOKUP(AW$48,'DB Production'!$A:$S,MATCH($B65,'DB Production'!$A$1:$S$1,0),0)</f>
        <v>-7</v>
      </c>
      <c r="AX65" s="20">
        <f>VLOOKUP(AX$48,'DB Production'!$A:$S,MATCH($B65,'DB Production'!$A$1:$S$1,0),0)</f>
        <v>9</v>
      </c>
      <c r="AZ65" s="20">
        <f t="shared" si="6"/>
        <v>16</v>
      </c>
      <c r="BA65" s="23">
        <f t="shared" si="7"/>
        <v>0.66666666666666663</v>
      </c>
      <c r="BB65" s="23">
        <f t="shared" si="8"/>
        <v>-2.5</v>
      </c>
    </row>
    <row r="66" spans="2:54" x14ac:dyDescent="0.35">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R66" s="20">
        <f>VLOOKUP(AR$48,'DB Production'!$A:$S,MATCH($B66,'DB Production'!$A$1:$S$1,0),0)</f>
        <v>5</v>
      </c>
      <c r="AS66" s="20">
        <f>VLOOKUP(AS$48,'DB Production'!$A:$S,MATCH($B66,'DB Production'!$A$1:$S$1,0),0)</f>
        <v>-8</v>
      </c>
      <c r="AT66" s="20">
        <f>VLOOKUP(AT$48,'DB Production'!$A:$S,MATCH($B66,'DB Production'!$A$1:$S$1,0),0)</f>
        <v>-7</v>
      </c>
      <c r="AU66" s="20">
        <f>VLOOKUP(AU$48,'DB Production'!$A:$S,MATCH($B66,'DB Production'!$A$1:$S$1,0),0)</f>
        <v>-8</v>
      </c>
      <c r="AV66" s="20">
        <f>VLOOKUP(AV$48,'DB Production'!$A:$S,MATCH($B66,'DB Production'!$A$1:$S$1,0),0)</f>
        <v>-6</v>
      </c>
      <c r="AW66" s="20">
        <f>VLOOKUP(AW$48,'DB Production'!$A:$S,MATCH($B66,'DB Production'!$A$1:$S$1,0),0)</f>
        <v>0</v>
      </c>
      <c r="AX66" s="20">
        <f>VLOOKUP(AX$48,'DB Production'!$A:$S,MATCH($B66,'DB Production'!$A$1:$S$1,0),0)</f>
        <v>14</v>
      </c>
      <c r="AZ66" s="20">
        <f t="shared" si="6"/>
        <v>14</v>
      </c>
      <c r="BA66" s="23">
        <f t="shared" si="7"/>
        <v>2.6666666666666665</v>
      </c>
      <c r="BB66" s="23">
        <f t="shared" si="8"/>
        <v>-2.5</v>
      </c>
    </row>
    <row r="67" spans="2:54" x14ac:dyDescent="0.35">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R67" s="20">
        <f>VLOOKUP(AR$48,'DB Production'!$A:$S,MATCH($B67,'DB Production'!$A$1:$S$1,0),0)</f>
        <v>0</v>
      </c>
      <c r="AS67" s="20">
        <f>VLOOKUP(AS$48,'DB Production'!$A:$S,MATCH($B67,'DB Production'!$A$1:$S$1,0),0)</f>
        <v>6</v>
      </c>
      <c r="AT67" s="20">
        <f>VLOOKUP(AT$48,'DB Production'!$A:$S,MATCH($B67,'DB Production'!$A$1:$S$1,0),0)</f>
        <v>8</v>
      </c>
      <c r="AU67" s="20">
        <f>VLOOKUP(AU$48,'DB Production'!$A:$S,MATCH($B67,'DB Production'!$A$1:$S$1,0),0)</f>
        <v>0</v>
      </c>
      <c r="AV67" s="20">
        <f>VLOOKUP(AV$48,'DB Production'!$A:$S,MATCH($B67,'DB Production'!$A$1:$S$1,0),0)</f>
        <v>5</v>
      </c>
      <c r="AW67" s="20">
        <f>VLOOKUP(AW$48,'DB Production'!$A:$S,MATCH($B67,'DB Production'!$A$1:$S$1,0),0)</f>
        <v>0</v>
      </c>
      <c r="AX67" s="20">
        <f>VLOOKUP(AX$48,'DB Production'!$A:$S,MATCH($B67,'DB Production'!$A$1:$S$1,0),0)</f>
        <v>13</v>
      </c>
      <c r="AZ67" s="20">
        <f t="shared" si="6"/>
        <v>13</v>
      </c>
      <c r="BA67" s="23">
        <f t="shared" si="7"/>
        <v>6</v>
      </c>
      <c r="BB67" s="23">
        <f t="shared" si="8"/>
        <v>5.333333333333333</v>
      </c>
    </row>
    <row r="68" spans="2:54" x14ac:dyDescent="0.35">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row>
  </sheetData>
  <mergeCells count="14">
    <mergeCell ref="B4:B5"/>
    <mergeCell ref="B48:B49"/>
    <mergeCell ref="B26:B27"/>
    <mergeCell ref="AZ1:BB1"/>
    <mergeCell ref="BA3:BB3"/>
    <mergeCell ref="BA4:BA5"/>
    <mergeCell ref="BA26:BA27"/>
    <mergeCell ref="BA48:BA49"/>
    <mergeCell ref="BB4:BB5"/>
    <mergeCell ref="BB26:BB27"/>
    <mergeCell ref="BB48:BB49"/>
    <mergeCell ref="AZ4:AZ5"/>
    <mergeCell ref="AZ48:AZ49"/>
    <mergeCell ref="AZ26:AZ27"/>
  </mergeCells>
  <conditionalFormatting sqref="AZ6:AZ23">
    <cfRule type="colorScale" priority="1112">
      <colorScale>
        <cfvo type="min"/>
        <cfvo type="percentile" val="50"/>
        <cfvo type="max"/>
        <color rgb="FFF8696B"/>
        <color rgb="FFFFEB84"/>
        <color rgb="FF63BE7B"/>
      </colorScale>
    </cfRule>
    <cfRule type="cellIs" dxfId="38" priority="1571" operator="equal">
      <formula>0</formula>
    </cfRule>
    <cfRule type="cellIs" dxfId="37" priority="1572" operator="lessThan">
      <formula>0</formula>
    </cfRule>
    <cfRule type="cellIs" dxfId="36"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BA6:BA23">
    <cfRule type="colorScale" priority="1111">
      <colorScale>
        <cfvo type="min"/>
        <cfvo type="percentile" val="50"/>
        <cfvo type="max"/>
        <color rgb="FFF8696B"/>
        <color rgb="FFFFEB84"/>
        <color rgb="FF63BE7B"/>
      </colorScale>
    </cfRule>
    <cfRule type="cellIs" dxfId="35" priority="1566" operator="equal">
      <formula>0</formula>
    </cfRule>
    <cfRule type="cellIs" dxfId="34" priority="1567" operator="lessThan">
      <formula>0</formula>
    </cfRule>
    <cfRule type="cellIs" dxfId="33"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BB6:BB23">
    <cfRule type="colorScale" priority="1110">
      <colorScale>
        <cfvo type="min"/>
        <cfvo type="percentile" val="50"/>
        <cfvo type="max"/>
        <color rgb="FFF8696B"/>
        <color rgb="FFFFEB84"/>
        <color rgb="FF63BE7B"/>
      </colorScale>
    </cfRule>
    <cfRule type="cellIs" dxfId="32" priority="1561" operator="equal">
      <formula>0</formula>
    </cfRule>
    <cfRule type="cellIs" dxfId="31" priority="1562" operator="lessThan">
      <formula>0</formula>
    </cfRule>
    <cfRule type="cellIs" dxfId="30"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29" priority="1423" operator="equal">
      <formula>0</formula>
    </cfRule>
    <cfRule type="cellIs" dxfId="28" priority="1424" operator="lessThan">
      <formula>0</formula>
    </cfRule>
    <cfRule type="cellIs" dxfId="27"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X45">
    <cfRule type="cellIs" dxfId="26" priority="1418" operator="equal">
      <formula>0</formula>
    </cfRule>
    <cfRule type="cellIs" dxfId="25" priority="1419" operator="lessThan">
      <formula>0</formula>
    </cfRule>
    <cfRule type="cellIs" dxfId="24"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X23">
    <cfRule type="cellIs" dxfId="23" priority="825" operator="equal">
      <formula>0</formula>
    </cfRule>
    <cfRule type="cellIs" dxfId="22" priority="826" operator="lessThan">
      <formula>0</formula>
    </cfRule>
    <cfRule type="cellIs" dxfId="21"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X67">
    <cfRule type="cellIs" dxfId="20" priority="152" operator="equal">
      <formula>0</formula>
    </cfRule>
    <cfRule type="cellIs" dxfId="19" priority="153" operator="lessThan">
      <formula>0</formula>
    </cfRule>
    <cfRule type="cellIs" dxfId="18"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Z28:AZ45">
    <cfRule type="colorScale" priority="136">
      <colorScale>
        <cfvo type="min"/>
        <cfvo type="percentile" val="50"/>
        <cfvo type="max"/>
        <color rgb="FFF8696B"/>
        <color rgb="FFFFEB84"/>
        <color rgb="FF63BE7B"/>
      </colorScale>
    </cfRule>
    <cfRule type="cellIs" dxfId="17" priority="147" operator="equal">
      <formula>0</formula>
    </cfRule>
    <cfRule type="cellIs" dxfId="16" priority="148" operator="lessThan">
      <formula>0</formula>
    </cfRule>
    <cfRule type="cellIs" dxfId="15"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BA28:BA45">
    <cfRule type="colorScale" priority="135">
      <colorScale>
        <cfvo type="min"/>
        <cfvo type="percentile" val="50"/>
        <cfvo type="max"/>
        <color rgb="FFF8696B"/>
        <color rgb="FFFFEB84"/>
        <color rgb="FF63BE7B"/>
      </colorScale>
    </cfRule>
    <cfRule type="cellIs" dxfId="14" priority="142" operator="equal">
      <formula>0</formula>
    </cfRule>
    <cfRule type="cellIs" dxfId="13" priority="143" operator="lessThan">
      <formula>0</formula>
    </cfRule>
    <cfRule type="cellIs" dxfId="12"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BB28:BB45">
    <cfRule type="colorScale" priority="134">
      <colorScale>
        <cfvo type="min"/>
        <cfvo type="percentile" val="50"/>
        <cfvo type="max"/>
        <color rgb="FFF8696B"/>
        <color rgb="FFFFEB84"/>
        <color rgb="FF63BE7B"/>
      </colorScale>
    </cfRule>
    <cfRule type="cellIs" dxfId="11" priority="137" operator="equal">
      <formula>0</formula>
    </cfRule>
    <cfRule type="cellIs" dxfId="10" priority="138" operator="lessThan">
      <formula>0</formula>
    </cfRule>
    <cfRule type="cellIs" dxfId="9"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Z50:AZ67">
    <cfRule type="colorScale" priority="118">
      <colorScale>
        <cfvo type="min"/>
        <cfvo type="percentile" val="50"/>
        <cfvo type="max"/>
        <color rgb="FFF8696B"/>
        <color rgb="FFFFEB84"/>
        <color rgb="FF63BE7B"/>
      </colorScale>
    </cfRule>
    <cfRule type="cellIs" dxfId="8" priority="129" operator="equal">
      <formula>0</formula>
    </cfRule>
    <cfRule type="cellIs" dxfId="7" priority="130" operator="lessThan">
      <formula>0</formula>
    </cfRule>
    <cfRule type="cellIs" dxfId="6"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BA50:BA67">
    <cfRule type="colorScale" priority="117">
      <colorScale>
        <cfvo type="min"/>
        <cfvo type="percentile" val="50"/>
        <cfvo type="max"/>
        <color rgb="FFF8696B"/>
        <color rgb="FFFFEB84"/>
        <color rgb="FF63BE7B"/>
      </colorScale>
    </cfRule>
    <cfRule type="cellIs" dxfId="5" priority="124" operator="equal">
      <formula>0</formula>
    </cfRule>
    <cfRule type="cellIs" dxfId="4" priority="125" operator="lessThan">
      <formula>0</formula>
    </cfRule>
    <cfRule type="cellIs" dxfId="3"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BB50:BB67">
    <cfRule type="colorScale" priority="116">
      <colorScale>
        <cfvo type="min"/>
        <cfvo type="percentile" val="50"/>
        <cfvo type="max"/>
        <color rgb="FFF8696B"/>
        <color rgb="FFFFEB84"/>
        <color rgb="FF63BE7B"/>
      </colorScale>
    </cfRule>
    <cfRule type="cellIs" dxfId="2" priority="119" operator="equal">
      <formula>0</formula>
    </cfRule>
    <cfRule type="cellIs" dxfId="1" priority="120" operator="lessThan">
      <formula>0</formula>
    </cfRule>
    <cfRule type="cellIs" dxfId="0"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X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X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906"/>
  <sheetViews>
    <sheetView zoomScale="110" zoomScaleNormal="110" workbookViewId="0">
      <pane ySplit="5" topLeftCell="A868" activePane="bottomLeft" state="frozen"/>
      <selection pane="bottomLeft" activeCell="R894" sqref="R894"/>
    </sheetView>
  </sheetViews>
  <sheetFormatPr defaultColWidth="9.1796875" defaultRowHeight="14.5" x14ac:dyDescent="0.35"/>
  <cols>
    <col min="1" max="1" width="12" style="90" customWidth="1"/>
    <col min="2" max="9" width="11.36328125" style="90" customWidth="1"/>
    <col min="10" max="10" width="12.1796875" style="90" customWidth="1"/>
    <col min="11" max="11" width="11.36328125" style="90" customWidth="1"/>
    <col min="12" max="52" width="9.1796875" style="90" customWidth="1"/>
    <col min="53" max="16384" width="9.1796875" style="90"/>
  </cols>
  <sheetData>
    <row r="1" spans="1:12" x14ac:dyDescent="0.35">
      <c r="A1" s="93"/>
      <c r="B1" s="93"/>
      <c r="J1" s="92"/>
    </row>
    <row r="2" spans="1:12" x14ac:dyDescent="0.35">
      <c r="C2" s="92"/>
      <c r="D2" s="92"/>
    </row>
    <row r="3" spans="1:12" x14ac:dyDescent="0.35">
      <c r="C3" s="92"/>
      <c r="D3" s="92"/>
    </row>
    <row r="4" spans="1:12" ht="16" customHeight="1" thickBot="1" x14ac:dyDescent="0.4">
      <c r="C4" s="92"/>
      <c r="D4" s="92"/>
    </row>
    <row r="5" spans="1:12" ht="39" customHeight="1" thickBot="1" x14ac:dyDescent="0.4">
      <c r="A5" s="59" t="s">
        <v>82</v>
      </c>
      <c r="B5" s="60" t="s">
        <v>42</v>
      </c>
      <c r="C5" s="60" t="s">
        <v>44</v>
      </c>
      <c r="D5" s="60" t="s">
        <v>46</v>
      </c>
      <c r="E5" s="60" t="s">
        <v>47</v>
      </c>
      <c r="F5" s="60" t="s">
        <v>48</v>
      </c>
      <c r="G5" s="60" t="s">
        <v>50</v>
      </c>
      <c r="H5" s="60" t="s">
        <v>51</v>
      </c>
      <c r="I5" s="60" t="s">
        <v>52</v>
      </c>
      <c r="J5" s="60" t="s">
        <v>53</v>
      </c>
      <c r="K5" s="60" t="s">
        <v>54</v>
      </c>
      <c r="L5" s="61" t="s">
        <v>38</v>
      </c>
    </row>
    <row r="6" spans="1:12" x14ac:dyDescent="0.35">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35">
      <c r="A7" s="39">
        <v>17564</v>
      </c>
      <c r="B7" s="57">
        <f>VLOOKUP(Table91213[[#This Row],[Date]],'DB Details'!$A:$L,2)</f>
        <v>51.1</v>
      </c>
      <c r="C7" s="55"/>
      <c r="D7" s="55"/>
      <c r="E7" s="88">
        <f>VLOOKUP(Table91213[[#This Row],[Date]],'DB Details'!$A:$L,5)</f>
        <v>62.7</v>
      </c>
      <c r="F7" s="88">
        <f>VLOOKUP(Table91213[[#This Row],[Date]],'DB Details'!$A:$L,6)</f>
        <v>55.2</v>
      </c>
      <c r="G7" s="94"/>
      <c r="H7" s="88">
        <f>VLOOKUP(Table91213[[#This Row],[Date]],'DB Details'!$A:$L,8)</f>
        <v>43.9</v>
      </c>
      <c r="I7" s="88">
        <f>VLOOKUP(Table91213[[#This Row],[Date]],'DB Details'!$A:$L,9)</f>
        <v>37.1</v>
      </c>
      <c r="J7" s="88">
        <f>VLOOKUP(Table91213[[#This Row],[Date]],'DB Details'!$A:$L,10)</f>
        <v>55.8</v>
      </c>
      <c r="K7" s="94"/>
      <c r="L7" s="88">
        <f>VLOOKUP(Table91213[[#This Row],[Date]],'DB Details'!$A:$L,12)</f>
        <v>50.2</v>
      </c>
    </row>
    <row r="8" spans="1:12" x14ac:dyDescent="0.35">
      <c r="A8" s="39">
        <v>17593</v>
      </c>
      <c r="B8" s="57">
        <f>VLOOKUP(Table91213[[#This Row],[Date]],'DB Details'!$A:$L,2)</f>
        <v>43.9</v>
      </c>
      <c r="C8" s="55"/>
      <c r="D8" s="55"/>
      <c r="E8" s="88">
        <f>VLOOKUP(Table91213[[#This Row],[Date]],'DB Details'!$A:$L,5)</f>
        <v>69.3</v>
      </c>
      <c r="F8" s="88">
        <f>VLOOKUP(Table91213[[#This Row],[Date]],'DB Details'!$A:$L,6)</f>
        <v>47.8</v>
      </c>
      <c r="G8" s="94"/>
      <c r="H8" s="88">
        <f>VLOOKUP(Table91213[[#This Row],[Date]],'DB Details'!$A:$L,8)</f>
        <v>44.5</v>
      </c>
      <c r="I8" s="88">
        <f>VLOOKUP(Table91213[[#This Row],[Date]],'DB Details'!$A:$L,9)</f>
        <v>32.700000000000003</v>
      </c>
      <c r="J8" s="88">
        <f>VLOOKUP(Table91213[[#This Row],[Date]],'DB Details'!$A:$L,10)</f>
        <v>44</v>
      </c>
      <c r="K8" s="94"/>
      <c r="L8" s="88">
        <f>VLOOKUP(Table91213[[#This Row],[Date]],'DB Details'!$A:$L,12)</f>
        <v>43.3</v>
      </c>
    </row>
    <row r="9" spans="1:12" x14ac:dyDescent="0.35">
      <c r="A9" s="39">
        <v>17624</v>
      </c>
      <c r="B9" s="57">
        <f>VLOOKUP(Table91213[[#This Row],[Date]],'DB Details'!$A:$L,2)</f>
        <v>44.5</v>
      </c>
      <c r="C9" s="55"/>
      <c r="D9" s="55"/>
      <c r="E9" s="88">
        <f>VLOOKUP(Table91213[[#This Row],[Date]],'DB Details'!$A:$L,5)</f>
        <v>75.8</v>
      </c>
      <c r="F9" s="88">
        <f>VLOOKUP(Table91213[[#This Row],[Date]],'DB Details'!$A:$L,6)</f>
        <v>49.5</v>
      </c>
      <c r="G9" s="94"/>
      <c r="H9" s="88">
        <f>VLOOKUP(Table91213[[#This Row],[Date]],'DB Details'!$A:$L,8)</f>
        <v>46.1</v>
      </c>
      <c r="I9" s="88">
        <f>VLOOKUP(Table91213[[#This Row],[Date]],'DB Details'!$A:$L,9)</f>
        <v>41.6</v>
      </c>
      <c r="J9" s="88">
        <f>VLOOKUP(Table91213[[#This Row],[Date]],'DB Details'!$A:$L,10)</f>
        <v>43.9</v>
      </c>
      <c r="K9" s="94"/>
      <c r="L9" s="88">
        <f>VLOOKUP(Table91213[[#This Row],[Date]],'DB Details'!$A:$L,12)</f>
        <v>45.4</v>
      </c>
    </row>
    <row r="10" spans="1:12" x14ac:dyDescent="0.35">
      <c r="A10" s="39">
        <v>17654</v>
      </c>
      <c r="B10" s="57">
        <f>VLOOKUP(Table91213[[#This Row],[Date]],'DB Details'!$A:$L,2)</f>
        <v>51.2</v>
      </c>
      <c r="C10" s="55"/>
      <c r="D10" s="55"/>
      <c r="E10" s="88">
        <f>VLOOKUP(Table91213[[#This Row],[Date]],'DB Details'!$A:$L,5)</f>
        <v>70.8</v>
      </c>
      <c r="F10" s="88">
        <f>VLOOKUP(Table91213[[#This Row],[Date]],'DB Details'!$A:$L,6)</f>
        <v>52.1</v>
      </c>
      <c r="G10" s="94"/>
      <c r="H10" s="88">
        <f>VLOOKUP(Table91213[[#This Row],[Date]],'DB Details'!$A:$L,8)</f>
        <v>47</v>
      </c>
      <c r="I10" s="88">
        <f>VLOOKUP(Table91213[[#This Row],[Date]],'DB Details'!$A:$L,9)</f>
        <v>40.4</v>
      </c>
      <c r="J10" s="88">
        <f>VLOOKUP(Table91213[[#This Row],[Date]],'DB Details'!$A:$L,10)</f>
        <v>51.8</v>
      </c>
      <c r="K10" s="94"/>
      <c r="L10" s="88">
        <f>VLOOKUP(Table91213[[#This Row],[Date]],'DB Details'!$A:$L,12)</f>
        <v>49.5</v>
      </c>
    </row>
    <row r="11" spans="1:12" x14ac:dyDescent="0.35">
      <c r="A11" s="39">
        <v>17685</v>
      </c>
      <c r="B11" s="57">
        <f>VLOOKUP(Table91213[[#This Row],[Date]],'DB Details'!$A:$L,2)</f>
        <v>58.1</v>
      </c>
      <c r="C11" s="55"/>
      <c r="D11" s="55"/>
      <c r="E11" s="88">
        <f>VLOOKUP(Table91213[[#This Row],[Date]],'DB Details'!$A:$L,5)</f>
        <v>78.5</v>
      </c>
      <c r="F11" s="88">
        <f>VLOOKUP(Table91213[[#This Row],[Date]],'DB Details'!$A:$L,6)</f>
        <v>56.8</v>
      </c>
      <c r="G11" s="94"/>
      <c r="H11" s="88">
        <f>VLOOKUP(Table91213[[#This Row],[Date]],'DB Details'!$A:$L,8)</f>
        <v>54.7</v>
      </c>
      <c r="I11" s="88">
        <f>VLOOKUP(Table91213[[#This Row],[Date]],'DB Details'!$A:$L,9)</f>
        <v>38.4</v>
      </c>
      <c r="J11" s="88">
        <f>VLOOKUP(Table91213[[#This Row],[Date]],'DB Details'!$A:$L,10)</f>
        <v>50.8</v>
      </c>
      <c r="K11" s="94"/>
      <c r="L11" s="88">
        <f>VLOOKUP(Table91213[[#This Row],[Date]],'DB Details'!$A:$L,12)</f>
        <v>53</v>
      </c>
    </row>
    <row r="12" spans="1:12" x14ac:dyDescent="0.35">
      <c r="A12" s="39">
        <v>17715</v>
      </c>
      <c r="B12" s="57">
        <f>VLOOKUP(Table91213[[#This Row],[Date]],'DB Details'!$A:$L,2)</f>
        <v>50.4</v>
      </c>
      <c r="C12" s="55"/>
      <c r="D12" s="55"/>
      <c r="E12" s="88">
        <f>VLOOKUP(Table91213[[#This Row],[Date]],'DB Details'!$A:$L,5)</f>
        <v>77.3</v>
      </c>
      <c r="F12" s="88">
        <f>VLOOKUP(Table91213[[#This Row],[Date]],'DB Details'!$A:$L,6)</f>
        <v>51.4</v>
      </c>
      <c r="G12" s="94"/>
      <c r="H12" s="88">
        <f>VLOOKUP(Table91213[[#This Row],[Date]],'DB Details'!$A:$L,8)</f>
        <v>51.1</v>
      </c>
      <c r="I12" s="88">
        <f>VLOOKUP(Table91213[[#This Row],[Date]],'DB Details'!$A:$L,9)</f>
        <v>36.799999999999997</v>
      </c>
      <c r="J12" s="88">
        <f>VLOOKUP(Table91213[[#This Row],[Date]],'DB Details'!$A:$L,10)</f>
        <v>49.1</v>
      </c>
      <c r="K12" s="94"/>
      <c r="L12" s="88">
        <f>VLOOKUP(Table91213[[#This Row],[Date]],'DB Details'!$A:$L,12)</f>
        <v>48.4</v>
      </c>
    </row>
    <row r="13" spans="1:12" x14ac:dyDescent="0.35">
      <c r="A13" s="39">
        <v>17746</v>
      </c>
      <c r="B13" s="57">
        <f>VLOOKUP(Table91213[[#This Row],[Date]],'DB Details'!$A:$L,2)</f>
        <v>46</v>
      </c>
      <c r="C13" s="55"/>
      <c r="D13" s="55"/>
      <c r="E13" s="88">
        <f>VLOOKUP(Table91213[[#This Row],[Date]],'DB Details'!$A:$L,5)</f>
        <v>77</v>
      </c>
      <c r="F13" s="88">
        <f>VLOOKUP(Table91213[[#This Row],[Date]],'DB Details'!$A:$L,6)</f>
        <v>51</v>
      </c>
      <c r="G13" s="94"/>
      <c r="H13" s="88">
        <f>VLOOKUP(Table91213[[#This Row],[Date]],'DB Details'!$A:$L,8)</f>
        <v>46.6</v>
      </c>
      <c r="I13" s="88">
        <f>VLOOKUP(Table91213[[#This Row],[Date]],'DB Details'!$A:$L,9)</f>
        <v>31.2</v>
      </c>
      <c r="J13" s="88">
        <f>VLOOKUP(Table91213[[#This Row],[Date]],'DB Details'!$A:$L,10)</f>
        <v>46.1</v>
      </c>
      <c r="K13" s="94"/>
      <c r="L13" s="88">
        <f>VLOOKUP(Table91213[[#This Row],[Date]],'DB Details'!$A:$L,12)</f>
        <v>45.1</v>
      </c>
    </row>
    <row r="14" spans="1:12" x14ac:dyDescent="0.35">
      <c r="A14" s="39">
        <v>17777</v>
      </c>
      <c r="B14" s="57">
        <f>VLOOKUP(Table91213[[#This Row],[Date]],'DB Details'!$A:$L,2)</f>
        <v>40.6</v>
      </c>
      <c r="C14" s="55"/>
      <c r="D14" s="55"/>
      <c r="E14" s="88">
        <f>VLOOKUP(Table91213[[#This Row],[Date]],'DB Details'!$A:$L,5)</f>
        <v>66</v>
      </c>
      <c r="F14" s="88">
        <f>VLOOKUP(Table91213[[#This Row],[Date]],'DB Details'!$A:$L,6)</f>
        <v>47.9</v>
      </c>
      <c r="G14" s="94"/>
      <c r="H14" s="88">
        <f>VLOOKUP(Table91213[[#This Row],[Date]],'DB Details'!$A:$L,8)</f>
        <v>45.2</v>
      </c>
      <c r="I14" s="88">
        <f>VLOOKUP(Table91213[[#This Row],[Date]],'DB Details'!$A:$L,9)</f>
        <v>28.3</v>
      </c>
      <c r="J14" s="88">
        <f>VLOOKUP(Table91213[[#This Row],[Date]],'DB Details'!$A:$L,10)</f>
        <v>46.1</v>
      </c>
      <c r="K14" s="94"/>
      <c r="L14" s="88">
        <f>VLOOKUP(Table91213[[#This Row],[Date]],'DB Details'!$A:$L,12)</f>
        <v>42.1</v>
      </c>
    </row>
    <row r="15" spans="1:12" x14ac:dyDescent="0.35">
      <c r="A15" s="39">
        <v>17807</v>
      </c>
      <c r="B15" s="57">
        <f>VLOOKUP(Table91213[[#This Row],[Date]],'DB Details'!$A:$L,2)</f>
        <v>52.1</v>
      </c>
      <c r="C15" s="55"/>
      <c r="D15" s="55"/>
      <c r="E15" s="88">
        <f>VLOOKUP(Table91213[[#This Row],[Date]],'DB Details'!$A:$L,5)</f>
        <v>56.6</v>
      </c>
      <c r="F15" s="88">
        <f>VLOOKUP(Table91213[[#This Row],[Date]],'DB Details'!$A:$L,6)</f>
        <v>52.7</v>
      </c>
      <c r="G15" s="94"/>
      <c r="H15" s="88">
        <f>VLOOKUP(Table91213[[#This Row],[Date]],'DB Details'!$A:$L,8)</f>
        <v>45.4</v>
      </c>
      <c r="I15" s="88">
        <f>VLOOKUP(Table91213[[#This Row],[Date]],'DB Details'!$A:$L,9)</f>
        <v>28.7</v>
      </c>
      <c r="J15" s="88">
        <f>VLOOKUP(Table91213[[#This Row],[Date]],'DB Details'!$A:$L,10)</f>
        <v>47.5</v>
      </c>
      <c r="K15" s="94"/>
      <c r="L15" s="88">
        <f>VLOOKUP(Table91213[[#This Row],[Date]],'DB Details'!$A:$L,12)</f>
        <v>47.2</v>
      </c>
    </row>
    <row r="16" spans="1:12" x14ac:dyDescent="0.35">
      <c r="A16" s="39">
        <v>17838</v>
      </c>
      <c r="B16" s="57">
        <f>VLOOKUP(Table91213[[#This Row],[Date]],'DB Details'!$A:$L,2)</f>
        <v>43.2</v>
      </c>
      <c r="C16" s="55"/>
      <c r="D16" s="55"/>
      <c r="E16" s="88">
        <f>VLOOKUP(Table91213[[#This Row],[Date]],'DB Details'!$A:$L,5)</f>
        <v>51</v>
      </c>
      <c r="F16" s="88">
        <f>VLOOKUP(Table91213[[#This Row],[Date]],'DB Details'!$A:$L,6)</f>
        <v>48.9</v>
      </c>
      <c r="G16" s="94"/>
      <c r="H16" s="88">
        <f>VLOOKUP(Table91213[[#This Row],[Date]],'DB Details'!$A:$L,8)</f>
        <v>42.6</v>
      </c>
      <c r="I16" s="88">
        <f>VLOOKUP(Table91213[[#This Row],[Date]],'DB Details'!$A:$L,9)</f>
        <v>28</v>
      </c>
      <c r="J16" s="88">
        <f>VLOOKUP(Table91213[[#This Row],[Date]],'DB Details'!$A:$L,10)</f>
        <v>44</v>
      </c>
      <c r="K16" s="94"/>
      <c r="L16" s="88">
        <f>VLOOKUP(Table91213[[#This Row],[Date]],'DB Details'!$A:$L,12)</f>
        <v>42.4</v>
      </c>
    </row>
    <row r="17" spans="1:12" x14ac:dyDescent="0.35">
      <c r="A17" s="39">
        <v>17868</v>
      </c>
      <c r="B17" s="57">
        <f>VLOOKUP(Table91213[[#This Row],[Date]],'DB Details'!$A:$L,2)</f>
        <v>34.5</v>
      </c>
      <c r="C17" s="55"/>
      <c r="D17" s="55"/>
      <c r="E17" s="88">
        <f>VLOOKUP(Table91213[[#This Row],[Date]],'DB Details'!$A:$L,5)</f>
        <v>47.5</v>
      </c>
      <c r="F17" s="88">
        <f>VLOOKUP(Table91213[[#This Row],[Date]],'DB Details'!$A:$L,6)</f>
        <v>42.1</v>
      </c>
      <c r="G17" s="94"/>
      <c r="H17" s="88">
        <f>VLOOKUP(Table91213[[#This Row],[Date]],'DB Details'!$A:$L,8)</f>
        <v>37</v>
      </c>
      <c r="I17" s="88">
        <f>VLOOKUP(Table91213[[#This Row],[Date]],'DB Details'!$A:$L,9)</f>
        <v>17.7</v>
      </c>
      <c r="J17" s="88">
        <f>VLOOKUP(Table91213[[#This Row],[Date]],'DB Details'!$A:$L,10)</f>
        <v>39</v>
      </c>
      <c r="K17" s="94"/>
      <c r="L17" s="88">
        <f>VLOOKUP(Table91213[[#This Row],[Date]],'DB Details'!$A:$L,12)</f>
        <v>35</v>
      </c>
    </row>
    <row r="18" spans="1:12" x14ac:dyDescent="0.35">
      <c r="A18" s="39">
        <v>17899</v>
      </c>
      <c r="B18" s="57">
        <f>VLOOKUP(Table91213[[#This Row],[Date]],'DB Details'!$A:$L,2)</f>
        <v>31.4</v>
      </c>
      <c r="C18" s="55"/>
      <c r="D18" s="55"/>
      <c r="E18" s="88">
        <f>VLOOKUP(Table91213[[#This Row],[Date]],'DB Details'!$A:$L,5)</f>
        <v>39.6</v>
      </c>
      <c r="F18" s="88">
        <f>VLOOKUP(Table91213[[#This Row],[Date]],'DB Details'!$A:$L,6)</f>
        <v>42</v>
      </c>
      <c r="G18" s="94"/>
      <c r="H18" s="88">
        <f>VLOOKUP(Table91213[[#This Row],[Date]],'DB Details'!$A:$L,8)</f>
        <v>36.6</v>
      </c>
      <c r="I18" s="88">
        <f>VLOOKUP(Table91213[[#This Row],[Date]],'DB Details'!$A:$L,9)</f>
        <v>16.600000000000001</v>
      </c>
      <c r="J18" s="88">
        <f>VLOOKUP(Table91213[[#This Row],[Date]],'DB Details'!$A:$L,10)</f>
        <v>34.1</v>
      </c>
      <c r="K18" s="94"/>
      <c r="L18" s="88">
        <f>VLOOKUP(Table91213[[#This Row],[Date]],'DB Details'!$A:$L,12)</f>
        <v>32.9</v>
      </c>
    </row>
    <row r="19" spans="1:12" x14ac:dyDescent="0.35">
      <c r="A19" s="39">
        <v>17930</v>
      </c>
      <c r="B19" s="57">
        <f>VLOOKUP(Table91213[[#This Row],[Date]],'DB Details'!$A:$L,2)</f>
        <v>34.200000000000003</v>
      </c>
      <c r="C19" s="55"/>
      <c r="D19" s="55"/>
      <c r="E19" s="88">
        <f>VLOOKUP(Table91213[[#This Row],[Date]],'DB Details'!$A:$L,5)</f>
        <v>31.3</v>
      </c>
      <c r="F19" s="88">
        <f>VLOOKUP(Table91213[[#This Row],[Date]],'DB Details'!$A:$L,6)</f>
        <v>39.6</v>
      </c>
      <c r="G19" s="94"/>
      <c r="H19" s="88">
        <f>VLOOKUP(Table91213[[#This Row],[Date]],'DB Details'!$A:$L,8)</f>
        <v>34.9</v>
      </c>
      <c r="I19" s="88">
        <f>VLOOKUP(Table91213[[#This Row],[Date]],'DB Details'!$A:$L,9)</f>
        <v>13.1</v>
      </c>
      <c r="J19" s="88">
        <f>VLOOKUP(Table91213[[#This Row],[Date]],'DB Details'!$A:$L,10)</f>
        <v>28.3</v>
      </c>
      <c r="K19" s="94"/>
      <c r="L19" s="88">
        <f>VLOOKUP(Table91213[[#This Row],[Date]],'DB Details'!$A:$L,12)</f>
        <v>31.3</v>
      </c>
    </row>
    <row r="20" spans="1:12" x14ac:dyDescent="0.35">
      <c r="A20" s="39">
        <v>17958</v>
      </c>
      <c r="B20" s="57">
        <f>VLOOKUP(Table91213[[#This Row],[Date]],'DB Details'!$A:$L,2)</f>
        <v>42.1</v>
      </c>
      <c r="C20" s="55"/>
      <c r="D20" s="55"/>
      <c r="E20" s="88">
        <f>VLOOKUP(Table91213[[#This Row],[Date]],'DB Details'!$A:$L,5)</f>
        <v>31.8</v>
      </c>
      <c r="F20" s="88">
        <f>VLOOKUP(Table91213[[#This Row],[Date]],'DB Details'!$A:$L,6)</f>
        <v>41.9</v>
      </c>
      <c r="G20" s="94"/>
      <c r="H20" s="88">
        <f>VLOOKUP(Table91213[[#This Row],[Date]],'DB Details'!$A:$L,8)</f>
        <v>33.299999999999997</v>
      </c>
      <c r="I20" s="88">
        <f>VLOOKUP(Table91213[[#This Row],[Date]],'DB Details'!$A:$L,9)</f>
        <v>12.4</v>
      </c>
      <c r="J20" s="88">
        <f>VLOOKUP(Table91213[[#This Row],[Date]],'DB Details'!$A:$L,10)</f>
        <v>31.1</v>
      </c>
      <c r="K20" s="94"/>
      <c r="L20" s="88">
        <f>VLOOKUP(Table91213[[#This Row],[Date]],'DB Details'!$A:$L,12)</f>
        <v>34.5</v>
      </c>
    </row>
    <row r="21" spans="1:12" x14ac:dyDescent="0.35">
      <c r="A21" s="39">
        <v>17989</v>
      </c>
      <c r="B21" s="57">
        <f>VLOOKUP(Table91213[[#This Row],[Date]],'DB Details'!$A:$L,2)</f>
        <v>42.3</v>
      </c>
      <c r="C21" s="55"/>
      <c r="D21" s="55"/>
      <c r="E21" s="88">
        <f>VLOOKUP(Table91213[[#This Row],[Date]],'DB Details'!$A:$L,5)</f>
        <v>13.8</v>
      </c>
      <c r="F21" s="88">
        <f>VLOOKUP(Table91213[[#This Row],[Date]],'DB Details'!$A:$L,6)</f>
        <v>44.1</v>
      </c>
      <c r="G21" s="94"/>
      <c r="H21" s="88">
        <f>VLOOKUP(Table91213[[#This Row],[Date]],'DB Details'!$A:$L,8)</f>
        <v>27.9</v>
      </c>
      <c r="I21" s="88">
        <f>VLOOKUP(Table91213[[#This Row],[Date]],'DB Details'!$A:$L,9)</f>
        <v>16.2</v>
      </c>
      <c r="J21" s="88">
        <f>VLOOKUP(Table91213[[#This Row],[Date]],'DB Details'!$A:$L,10)</f>
        <v>31.6</v>
      </c>
      <c r="K21" s="94"/>
      <c r="L21" s="88">
        <f>VLOOKUP(Table91213[[#This Row],[Date]],'DB Details'!$A:$L,12)</f>
        <v>35.5</v>
      </c>
    </row>
    <row r="22" spans="1:12" x14ac:dyDescent="0.35">
      <c r="A22" s="39">
        <v>18019</v>
      </c>
      <c r="B22" s="57">
        <f>VLOOKUP(Table91213[[#This Row],[Date]],'DB Details'!$A:$L,2)</f>
        <v>41.1</v>
      </c>
      <c r="C22" s="55"/>
      <c r="D22" s="55"/>
      <c r="E22" s="88">
        <f>VLOOKUP(Table91213[[#This Row],[Date]],'DB Details'!$A:$L,5)</f>
        <v>20.100000000000001</v>
      </c>
      <c r="F22" s="88">
        <f>VLOOKUP(Table91213[[#This Row],[Date]],'DB Details'!$A:$L,6)</f>
        <v>38.200000000000003</v>
      </c>
      <c r="G22" s="94"/>
      <c r="H22" s="88">
        <f>VLOOKUP(Table91213[[#This Row],[Date]],'DB Details'!$A:$L,8)</f>
        <v>25.5</v>
      </c>
      <c r="I22" s="88">
        <f>VLOOKUP(Table91213[[#This Row],[Date]],'DB Details'!$A:$L,9)</f>
        <v>15.5</v>
      </c>
      <c r="J22" s="88">
        <f>VLOOKUP(Table91213[[#This Row],[Date]],'DB Details'!$A:$L,10)</f>
        <v>29</v>
      </c>
      <c r="K22" s="94"/>
      <c r="L22" s="88">
        <f>VLOOKUP(Table91213[[#This Row],[Date]],'DB Details'!$A:$L,12)</f>
        <v>32.6</v>
      </c>
    </row>
    <row r="23" spans="1:12" x14ac:dyDescent="0.35">
      <c r="A23" s="39">
        <v>18050</v>
      </c>
      <c r="B23" s="57">
        <f>VLOOKUP(Table91213[[#This Row],[Date]],'DB Details'!$A:$L,2)</f>
        <v>39.799999999999997</v>
      </c>
      <c r="C23" s="55"/>
      <c r="D23" s="55"/>
      <c r="E23" s="88">
        <f>VLOOKUP(Table91213[[#This Row],[Date]],'DB Details'!$A:$L,5)</f>
        <v>10.6</v>
      </c>
      <c r="F23" s="88">
        <f>VLOOKUP(Table91213[[#This Row],[Date]],'DB Details'!$A:$L,6)</f>
        <v>38.4</v>
      </c>
      <c r="G23" s="94"/>
      <c r="H23" s="88">
        <f>VLOOKUP(Table91213[[#This Row],[Date]],'DB Details'!$A:$L,8)</f>
        <v>24.1</v>
      </c>
      <c r="I23" s="88">
        <f>VLOOKUP(Table91213[[#This Row],[Date]],'DB Details'!$A:$L,9)</f>
        <v>15</v>
      </c>
      <c r="J23" s="88">
        <f>VLOOKUP(Table91213[[#This Row],[Date]],'DB Details'!$A:$L,10)</f>
        <v>27.2</v>
      </c>
      <c r="K23" s="94"/>
      <c r="L23" s="88">
        <f>VLOOKUP(Table91213[[#This Row],[Date]],'DB Details'!$A:$L,12)</f>
        <v>31.6</v>
      </c>
    </row>
    <row r="24" spans="1:12" x14ac:dyDescent="0.35">
      <c r="A24" s="39">
        <v>18080</v>
      </c>
      <c r="B24" s="57">
        <f>VLOOKUP(Table91213[[#This Row],[Date]],'DB Details'!$A:$L,2)</f>
        <v>49.1</v>
      </c>
      <c r="C24" s="55"/>
      <c r="D24" s="55"/>
      <c r="E24" s="88">
        <f>VLOOKUP(Table91213[[#This Row],[Date]],'DB Details'!$A:$L,5)</f>
        <v>28.8</v>
      </c>
      <c r="F24" s="88">
        <f>VLOOKUP(Table91213[[#This Row],[Date]],'DB Details'!$A:$L,6)</f>
        <v>47</v>
      </c>
      <c r="G24" s="94"/>
      <c r="H24" s="88">
        <f>VLOOKUP(Table91213[[#This Row],[Date]],'DB Details'!$A:$L,8)</f>
        <v>21.5</v>
      </c>
      <c r="I24" s="88">
        <f>VLOOKUP(Table91213[[#This Row],[Date]],'DB Details'!$A:$L,9)</f>
        <v>22.4</v>
      </c>
      <c r="J24" s="88">
        <f>VLOOKUP(Table91213[[#This Row],[Date]],'DB Details'!$A:$L,10)</f>
        <v>34.799999999999997</v>
      </c>
      <c r="K24" s="94"/>
      <c r="L24" s="88">
        <f>VLOOKUP(Table91213[[#This Row],[Date]],'DB Details'!$A:$L,12)</f>
        <v>39</v>
      </c>
    </row>
    <row r="25" spans="1:12" x14ac:dyDescent="0.35">
      <c r="A25" s="39">
        <v>18111</v>
      </c>
      <c r="B25" s="57">
        <f>VLOOKUP(Table91213[[#This Row],[Date]],'DB Details'!$A:$L,2)</f>
        <v>55.7</v>
      </c>
      <c r="C25" s="55"/>
      <c r="D25" s="55"/>
      <c r="E25" s="88">
        <f>VLOOKUP(Table91213[[#This Row],[Date]],'DB Details'!$A:$L,5)</f>
        <v>42.7</v>
      </c>
      <c r="F25" s="88">
        <f>VLOOKUP(Table91213[[#This Row],[Date]],'DB Details'!$A:$L,6)</f>
        <v>58.5</v>
      </c>
      <c r="G25" s="94"/>
      <c r="H25" s="88">
        <f>VLOOKUP(Table91213[[#This Row],[Date]],'DB Details'!$A:$L,8)</f>
        <v>26.8</v>
      </c>
      <c r="I25" s="88">
        <f>VLOOKUP(Table91213[[#This Row],[Date]],'DB Details'!$A:$L,9)</f>
        <v>33</v>
      </c>
      <c r="J25" s="88">
        <f>VLOOKUP(Table91213[[#This Row],[Date]],'DB Details'!$A:$L,10)</f>
        <v>40</v>
      </c>
      <c r="K25" s="94"/>
      <c r="L25" s="88">
        <f>VLOOKUP(Table91213[[#This Row],[Date]],'DB Details'!$A:$L,12)</f>
        <v>47</v>
      </c>
    </row>
    <row r="26" spans="1:12" x14ac:dyDescent="0.35">
      <c r="A26" s="39">
        <v>18142</v>
      </c>
      <c r="B26" s="57">
        <f>VLOOKUP(Table91213[[#This Row],[Date]],'DB Details'!$A:$L,2)</f>
        <v>58</v>
      </c>
      <c r="C26" s="55"/>
      <c r="D26" s="55"/>
      <c r="E26" s="88">
        <f>VLOOKUP(Table91213[[#This Row],[Date]],'DB Details'!$A:$L,5)</f>
        <v>47.5</v>
      </c>
      <c r="F26" s="88">
        <f>VLOOKUP(Table91213[[#This Row],[Date]],'DB Details'!$A:$L,6)</f>
        <v>60.3</v>
      </c>
      <c r="G26" s="94"/>
      <c r="H26" s="88">
        <f>VLOOKUP(Table91213[[#This Row],[Date]],'DB Details'!$A:$L,8)</f>
        <v>35.799999999999997</v>
      </c>
      <c r="I26" s="88">
        <f>VLOOKUP(Table91213[[#This Row],[Date]],'DB Details'!$A:$L,9)</f>
        <v>39.9</v>
      </c>
      <c r="J26" s="88">
        <f>VLOOKUP(Table91213[[#This Row],[Date]],'DB Details'!$A:$L,10)</f>
        <v>51.4</v>
      </c>
      <c r="K26" s="94"/>
      <c r="L26" s="88">
        <f>VLOOKUP(Table91213[[#This Row],[Date]],'DB Details'!$A:$L,12)</f>
        <v>52.3</v>
      </c>
    </row>
    <row r="27" spans="1:12" x14ac:dyDescent="0.35">
      <c r="A27" s="39">
        <v>18172</v>
      </c>
      <c r="B27" s="57">
        <f>VLOOKUP(Table91213[[#This Row],[Date]],'DB Details'!$A:$L,2)</f>
        <v>58.9</v>
      </c>
      <c r="C27" s="55"/>
      <c r="D27" s="55"/>
      <c r="E27" s="88">
        <f>VLOOKUP(Table91213[[#This Row],[Date]],'DB Details'!$A:$L,5)</f>
        <v>42.1</v>
      </c>
      <c r="F27" s="88">
        <f>VLOOKUP(Table91213[[#This Row],[Date]],'DB Details'!$A:$L,6)</f>
        <v>54.5</v>
      </c>
      <c r="G27" s="94"/>
      <c r="H27" s="88">
        <f>VLOOKUP(Table91213[[#This Row],[Date]],'DB Details'!$A:$L,8)</f>
        <v>40.6</v>
      </c>
      <c r="I27" s="88">
        <f>VLOOKUP(Table91213[[#This Row],[Date]],'DB Details'!$A:$L,9)</f>
        <v>46.1</v>
      </c>
      <c r="J27" s="88">
        <f>VLOOKUP(Table91213[[#This Row],[Date]],'DB Details'!$A:$L,10)</f>
        <v>43.7</v>
      </c>
      <c r="K27" s="94"/>
      <c r="L27" s="88">
        <f>VLOOKUP(Table91213[[#This Row],[Date]],'DB Details'!$A:$L,12)</f>
        <v>51</v>
      </c>
    </row>
    <row r="28" spans="1:12" x14ac:dyDescent="0.35">
      <c r="A28" s="39">
        <v>18203</v>
      </c>
      <c r="B28" s="57">
        <f>VLOOKUP(Table91213[[#This Row],[Date]],'DB Details'!$A:$L,2)</f>
        <v>58.7</v>
      </c>
      <c r="C28" s="55"/>
      <c r="D28" s="55"/>
      <c r="E28" s="88">
        <f>VLOOKUP(Table91213[[#This Row],[Date]],'DB Details'!$A:$L,5)</f>
        <v>51.1</v>
      </c>
      <c r="F28" s="88">
        <f>VLOOKUP(Table91213[[#This Row],[Date]],'DB Details'!$A:$L,6)</f>
        <v>55.7</v>
      </c>
      <c r="G28" s="94"/>
      <c r="H28" s="88">
        <f>VLOOKUP(Table91213[[#This Row],[Date]],'DB Details'!$A:$L,8)</f>
        <v>31.3</v>
      </c>
      <c r="I28" s="88">
        <f>VLOOKUP(Table91213[[#This Row],[Date]],'DB Details'!$A:$L,9)</f>
        <v>51.5</v>
      </c>
      <c r="J28" s="88">
        <f>VLOOKUP(Table91213[[#This Row],[Date]],'DB Details'!$A:$L,10)</f>
        <v>42.9</v>
      </c>
      <c r="K28" s="94"/>
      <c r="L28" s="88">
        <f>VLOOKUP(Table91213[[#This Row],[Date]],'DB Details'!$A:$L,12)</f>
        <v>51</v>
      </c>
    </row>
    <row r="29" spans="1:12" x14ac:dyDescent="0.35">
      <c r="A29" s="39">
        <v>18233</v>
      </c>
      <c r="B29" s="57">
        <f>VLOOKUP(Table91213[[#This Row],[Date]],'DB Details'!$A:$L,2)</f>
        <v>53.1</v>
      </c>
      <c r="C29" s="55"/>
      <c r="D29" s="55"/>
      <c r="E29" s="88">
        <f>VLOOKUP(Table91213[[#This Row],[Date]],'DB Details'!$A:$L,5)</f>
        <v>49.9</v>
      </c>
      <c r="F29" s="88">
        <f>VLOOKUP(Table91213[[#This Row],[Date]],'DB Details'!$A:$L,6)</f>
        <v>63.3</v>
      </c>
      <c r="G29" s="94"/>
      <c r="H29" s="88">
        <f>VLOOKUP(Table91213[[#This Row],[Date]],'DB Details'!$A:$L,8)</f>
        <v>41.7</v>
      </c>
      <c r="I29" s="88">
        <f>VLOOKUP(Table91213[[#This Row],[Date]],'DB Details'!$A:$L,9)</f>
        <v>52.2</v>
      </c>
      <c r="J29" s="88">
        <f>VLOOKUP(Table91213[[#This Row],[Date]],'DB Details'!$A:$L,10)</f>
        <v>52.6</v>
      </c>
      <c r="K29" s="94"/>
      <c r="L29" s="88">
        <f>VLOOKUP(Table91213[[#This Row],[Date]],'DB Details'!$A:$L,12)</f>
        <v>57.3</v>
      </c>
    </row>
    <row r="30" spans="1:12" x14ac:dyDescent="0.35">
      <c r="A30" s="39">
        <v>18264</v>
      </c>
      <c r="B30" s="57">
        <f>VLOOKUP(Table91213[[#This Row],[Date]],'DB Details'!$A:$L,2)</f>
        <v>62.3</v>
      </c>
      <c r="C30" s="55"/>
      <c r="D30" s="55"/>
      <c r="E30" s="88">
        <f>VLOOKUP(Table91213[[#This Row],[Date]],'DB Details'!$A:$L,5)</f>
        <v>62.4</v>
      </c>
      <c r="F30" s="88">
        <f>VLOOKUP(Table91213[[#This Row],[Date]],'DB Details'!$A:$L,6)</f>
        <v>64.3</v>
      </c>
      <c r="G30" s="94"/>
      <c r="H30" s="88">
        <f>VLOOKUP(Table91213[[#This Row],[Date]],'DB Details'!$A:$L,8)</f>
        <v>43.6</v>
      </c>
      <c r="I30" s="88">
        <f>VLOOKUP(Table91213[[#This Row],[Date]],'DB Details'!$A:$L,9)</f>
        <v>56.3</v>
      </c>
      <c r="J30" s="88">
        <f>VLOOKUP(Table91213[[#This Row],[Date]],'DB Details'!$A:$L,10)</f>
        <v>57.7</v>
      </c>
      <c r="K30" s="94"/>
      <c r="L30" s="88">
        <f>VLOOKUP(Table91213[[#This Row],[Date]],'DB Details'!$A:$L,12)</f>
        <v>59.1</v>
      </c>
    </row>
    <row r="31" spans="1:12" x14ac:dyDescent="0.35">
      <c r="A31" s="39">
        <v>18295</v>
      </c>
      <c r="B31" s="57">
        <f>VLOOKUP(Table91213[[#This Row],[Date]],'DB Details'!$A:$L,2)</f>
        <v>62.5</v>
      </c>
      <c r="C31" s="55"/>
      <c r="D31" s="55"/>
      <c r="E31" s="88">
        <f>VLOOKUP(Table91213[[#This Row],[Date]],'DB Details'!$A:$L,5)</f>
        <v>70.900000000000006</v>
      </c>
      <c r="F31" s="88">
        <f>VLOOKUP(Table91213[[#This Row],[Date]],'DB Details'!$A:$L,6)</f>
        <v>66.7</v>
      </c>
      <c r="G31" s="94"/>
      <c r="H31" s="88">
        <f>VLOOKUP(Table91213[[#This Row],[Date]],'DB Details'!$A:$L,8)</f>
        <v>46.4</v>
      </c>
      <c r="I31" s="88">
        <f>VLOOKUP(Table91213[[#This Row],[Date]],'DB Details'!$A:$L,9)</f>
        <v>68</v>
      </c>
      <c r="J31" s="88">
        <f>VLOOKUP(Table91213[[#This Row],[Date]],'DB Details'!$A:$L,10)</f>
        <v>51.1</v>
      </c>
      <c r="K31" s="94"/>
      <c r="L31" s="88">
        <f>VLOOKUP(Table91213[[#This Row],[Date]],'DB Details'!$A:$L,12)</f>
        <v>60.5</v>
      </c>
    </row>
    <row r="32" spans="1:12" x14ac:dyDescent="0.35">
      <c r="A32" s="39">
        <v>18323</v>
      </c>
      <c r="B32" s="57">
        <f>VLOOKUP(Table91213[[#This Row],[Date]],'DB Details'!$A:$L,2)</f>
        <v>61.8</v>
      </c>
      <c r="C32" s="55"/>
      <c r="D32" s="55"/>
      <c r="E32" s="88">
        <f>VLOOKUP(Table91213[[#This Row],[Date]],'DB Details'!$A:$L,5)</f>
        <v>77</v>
      </c>
      <c r="F32" s="88">
        <f>VLOOKUP(Table91213[[#This Row],[Date]],'DB Details'!$A:$L,6)</f>
        <v>65.8</v>
      </c>
      <c r="G32" s="94"/>
      <c r="H32" s="88">
        <f>VLOOKUP(Table91213[[#This Row],[Date]],'DB Details'!$A:$L,8)</f>
        <v>48.8</v>
      </c>
      <c r="I32" s="88">
        <f>VLOOKUP(Table91213[[#This Row],[Date]],'DB Details'!$A:$L,9)</f>
        <v>72</v>
      </c>
      <c r="J32" s="88">
        <f>VLOOKUP(Table91213[[#This Row],[Date]],'DB Details'!$A:$L,10)</f>
        <v>56.9</v>
      </c>
      <c r="K32" s="94"/>
      <c r="L32" s="88">
        <f>VLOOKUP(Table91213[[#This Row],[Date]],'DB Details'!$A:$L,12)</f>
        <v>62.1</v>
      </c>
    </row>
    <row r="33" spans="1:12" x14ac:dyDescent="0.35">
      <c r="A33" s="39">
        <v>18354</v>
      </c>
      <c r="B33" s="57">
        <f>VLOOKUP(Table91213[[#This Row],[Date]],'DB Details'!$A:$L,2)</f>
        <v>71</v>
      </c>
      <c r="C33" s="55"/>
      <c r="D33" s="55"/>
      <c r="E33" s="88">
        <f>VLOOKUP(Table91213[[#This Row],[Date]],'DB Details'!$A:$L,5)</f>
        <v>80.2</v>
      </c>
      <c r="F33" s="88">
        <f>VLOOKUP(Table91213[[#This Row],[Date]],'DB Details'!$A:$L,6)</f>
        <v>74.8</v>
      </c>
      <c r="G33" s="94"/>
      <c r="H33" s="88">
        <f>VLOOKUP(Table91213[[#This Row],[Date]],'DB Details'!$A:$L,8)</f>
        <v>50.6</v>
      </c>
      <c r="I33" s="88">
        <f>VLOOKUP(Table91213[[#This Row],[Date]],'DB Details'!$A:$L,9)</f>
        <v>68.8</v>
      </c>
      <c r="J33" s="88">
        <f>VLOOKUP(Table91213[[#This Row],[Date]],'DB Details'!$A:$L,10)</f>
        <v>63.4</v>
      </c>
      <c r="K33" s="94"/>
      <c r="L33" s="88">
        <f>VLOOKUP(Table91213[[#This Row],[Date]],'DB Details'!$A:$L,12)</f>
        <v>68.099999999999994</v>
      </c>
    </row>
    <row r="34" spans="1:12" x14ac:dyDescent="0.35">
      <c r="A34" s="39">
        <v>18384</v>
      </c>
      <c r="B34" s="57">
        <f>VLOOKUP(Table91213[[#This Row],[Date]],'DB Details'!$A:$L,2)</f>
        <v>76.599999999999994</v>
      </c>
      <c r="C34" s="55"/>
      <c r="D34" s="55"/>
      <c r="E34" s="88">
        <f>VLOOKUP(Table91213[[#This Row],[Date]],'DB Details'!$A:$L,5)</f>
        <v>98.2</v>
      </c>
      <c r="F34" s="88">
        <f>VLOOKUP(Table91213[[#This Row],[Date]],'DB Details'!$A:$L,6)</f>
        <v>78.099999999999994</v>
      </c>
      <c r="G34" s="94"/>
      <c r="H34" s="88">
        <f>VLOOKUP(Table91213[[#This Row],[Date]],'DB Details'!$A:$L,8)</f>
        <v>58.2</v>
      </c>
      <c r="I34" s="88">
        <f>VLOOKUP(Table91213[[#This Row],[Date]],'DB Details'!$A:$L,9)</f>
        <v>82.9</v>
      </c>
      <c r="J34" s="88">
        <f>VLOOKUP(Table91213[[#This Row],[Date]],'DB Details'!$A:$L,10)</f>
        <v>69.8</v>
      </c>
      <c r="K34" s="94"/>
      <c r="L34" s="88">
        <f>VLOOKUP(Table91213[[#This Row],[Date]],'DB Details'!$A:$L,12)</f>
        <v>74.7</v>
      </c>
    </row>
    <row r="35" spans="1:12" x14ac:dyDescent="0.35">
      <c r="A35" s="39">
        <v>18415</v>
      </c>
      <c r="B35" s="57">
        <f>VLOOKUP(Table91213[[#This Row],[Date]],'DB Details'!$A:$L,2)</f>
        <v>82.6</v>
      </c>
      <c r="C35" s="55"/>
      <c r="D35" s="55"/>
      <c r="E35" s="88">
        <f>VLOOKUP(Table91213[[#This Row],[Date]],'DB Details'!$A:$L,5)</f>
        <v>100</v>
      </c>
      <c r="F35" s="88">
        <f>VLOOKUP(Table91213[[#This Row],[Date]],'DB Details'!$A:$L,6)</f>
        <v>79.099999999999994</v>
      </c>
      <c r="G35" s="94"/>
      <c r="H35" s="88">
        <f>VLOOKUP(Table91213[[#This Row],[Date]],'DB Details'!$A:$L,8)</f>
        <v>62.1</v>
      </c>
      <c r="I35" s="88">
        <f>VLOOKUP(Table91213[[#This Row],[Date]],'DB Details'!$A:$L,9)</f>
        <v>76.5</v>
      </c>
      <c r="J35" s="88">
        <f>VLOOKUP(Table91213[[#This Row],[Date]],'DB Details'!$A:$L,10)</f>
        <v>71.900000000000006</v>
      </c>
      <c r="K35" s="94"/>
      <c r="L35" s="88">
        <f>VLOOKUP(Table91213[[#This Row],[Date]],'DB Details'!$A:$L,12)</f>
        <v>76.599999999999994</v>
      </c>
    </row>
    <row r="36" spans="1:12" x14ac:dyDescent="0.35">
      <c r="A36" s="39">
        <v>18445</v>
      </c>
      <c r="B36" s="57">
        <f>VLOOKUP(Table91213[[#This Row],[Date]],'DB Details'!$A:$L,2)</f>
        <v>80.3</v>
      </c>
      <c r="C36" s="55"/>
      <c r="D36" s="55"/>
      <c r="E36" s="88">
        <f>VLOOKUP(Table91213[[#This Row],[Date]],'DB Details'!$A:$L,5)</f>
        <v>90.7</v>
      </c>
      <c r="F36" s="88">
        <f>VLOOKUP(Table91213[[#This Row],[Date]],'DB Details'!$A:$L,6)</f>
        <v>77.099999999999994</v>
      </c>
      <c r="G36" s="94"/>
      <c r="H36" s="88">
        <f>VLOOKUP(Table91213[[#This Row],[Date]],'DB Details'!$A:$L,8)</f>
        <v>62.7</v>
      </c>
      <c r="I36" s="88">
        <f>VLOOKUP(Table91213[[#This Row],[Date]],'DB Details'!$A:$L,9)</f>
        <v>89.4</v>
      </c>
      <c r="J36" s="88">
        <f>VLOOKUP(Table91213[[#This Row],[Date]],'DB Details'!$A:$L,10)</f>
        <v>72.5</v>
      </c>
      <c r="K36" s="94"/>
      <c r="L36" s="88">
        <f>VLOOKUP(Table91213[[#This Row],[Date]],'DB Details'!$A:$L,12)</f>
        <v>77.5</v>
      </c>
    </row>
    <row r="37" spans="1:12" x14ac:dyDescent="0.35">
      <c r="A37" s="39">
        <v>18476</v>
      </c>
      <c r="B37" s="57">
        <f>VLOOKUP(Table91213[[#This Row],[Date]],'DB Details'!$A:$L,2)</f>
        <v>77.099999999999994</v>
      </c>
      <c r="C37" s="55"/>
      <c r="D37" s="55"/>
      <c r="E37" s="88">
        <f>VLOOKUP(Table91213[[#This Row],[Date]],'DB Details'!$A:$L,5)</f>
        <v>84.8</v>
      </c>
      <c r="F37" s="88">
        <f>VLOOKUP(Table91213[[#This Row],[Date]],'DB Details'!$A:$L,6)</f>
        <v>78.7</v>
      </c>
      <c r="G37" s="94"/>
      <c r="H37" s="88">
        <f>VLOOKUP(Table91213[[#This Row],[Date]],'DB Details'!$A:$L,8)</f>
        <v>62.3</v>
      </c>
      <c r="I37" s="88">
        <f>VLOOKUP(Table91213[[#This Row],[Date]],'DB Details'!$A:$L,9)</f>
        <v>81.7</v>
      </c>
      <c r="J37" s="88">
        <f>VLOOKUP(Table91213[[#This Row],[Date]],'DB Details'!$A:$L,10)</f>
        <v>72.3</v>
      </c>
      <c r="K37" s="94"/>
      <c r="L37" s="88">
        <f>VLOOKUP(Table91213[[#This Row],[Date]],'DB Details'!$A:$L,12)</f>
        <v>75.8</v>
      </c>
    </row>
    <row r="38" spans="1:12" x14ac:dyDescent="0.35">
      <c r="A38" s="39">
        <v>18507</v>
      </c>
      <c r="B38" s="57">
        <f>VLOOKUP(Table91213[[#This Row],[Date]],'DB Details'!$A:$L,2)</f>
        <v>66.400000000000006</v>
      </c>
      <c r="C38" s="55"/>
      <c r="D38" s="55"/>
      <c r="E38" s="88">
        <f>VLOOKUP(Table91213[[#This Row],[Date]],'DB Details'!$A:$L,5)</f>
        <v>84.4</v>
      </c>
      <c r="F38" s="88">
        <f>VLOOKUP(Table91213[[#This Row],[Date]],'DB Details'!$A:$L,6)</f>
        <v>68.599999999999994</v>
      </c>
      <c r="G38" s="94"/>
      <c r="H38" s="88">
        <f>VLOOKUP(Table91213[[#This Row],[Date]],'DB Details'!$A:$L,8)</f>
        <v>55.2</v>
      </c>
      <c r="I38" s="88">
        <f>VLOOKUP(Table91213[[#This Row],[Date]],'DB Details'!$A:$L,9)</f>
        <v>73.7</v>
      </c>
      <c r="J38" s="88">
        <f>VLOOKUP(Table91213[[#This Row],[Date]],'DB Details'!$A:$L,10)</f>
        <v>72.2</v>
      </c>
      <c r="K38" s="94"/>
      <c r="L38" s="88">
        <f>VLOOKUP(Table91213[[#This Row],[Date]],'DB Details'!$A:$L,12)</f>
        <v>68.099999999999994</v>
      </c>
    </row>
    <row r="39" spans="1:12" x14ac:dyDescent="0.35">
      <c r="A39" s="39">
        <v>18537</v>
      </c>
      <c r="B39" s="57">
        <f>VLOOKUP(Table91213[[#This Row],[Date]],'DB Details'!$A:$L,2)</f>
        <v>49</v>
      </c>
      <c r="C39" s="55"/>
      <c r="D39" s="55"/>
      <c r="E39" s="88">
        <f>VLOOKUP(Table91213[[#This Row],[Date]],'DB Details'!$A:$L,5)</f>
        <v>84.8</v>
      </c>
      <c r="F39" s="88">
        <f>VLOOKUP(Table91213[[#This Row],[Date]],'DB Details'!$A:$L,6)</f>
        <v>62.9</v>
      </c>
      <c r="G39" s="94"/>
      <c r="H39" s="88">
        <f>VLOOKUP(Table91213[[#This Row],[Date]],'DB Details'!$A:$L,8)</f>
        <v>50.6</v>
      </c>
      <c r="I39" s="88">
        <f>VLOOKUP(Table91213[[#This Row],[Date]],'DB Details'!$A:$L,9)</f>
        <v>70.3</v>
      </c>
      <c r="J39" s="88">
        <f>VLOOKUP(Table91213[[#This Row],[Date]],'DB Details'!$A:$L,10)</f>
        <v>65.599999999999994</v>
      </c>
      <c r="K39" s="94"/>
      <c r="L39" s="88">
        <f>VLOOKUP(Table91213[[#This Row],[Date]],'DB Details'!$A:$L,12)</f>
        <v>59.2</v>
      </c>
    </row>
    <row r="40" spans="1:12" x14ac:dyDescent="0.35">
      <c r="A40" s="39">
        <v>18568</v>
      </c>
      <c r="B40" s="57">
        <f>VLOOKUP(Table91213[[#This Row],[Date]],'DB Details'!$A:$L,2)</f>
        <v>57.2</v>
      </c>
      <c r="C40" s="55"/>
      <c r="D40" s="55"/>
      <c r="E40" s="88">
        <f>VLOOKUP(Table91213[[#This Row],[Date]],'DB Details'!$A:$L,5)</f>
        <v>85.1</v>
      </c>
      <c r="F40" s="88">
        <f>VLOOKUP(Table91213[[#This Row],[Date]],'DB Details'!$A:$L,6)</f>
        <v>63.6</v>
      </c>
      <c r="G40" s="94"/>
      <c r="H40" s="88">
        <f>VLOOKUP(Table91213[[#This Row],[Date]],'DB Details'!$A:$L,8)</f>
        <v>48.3</v>
      </c>
      <c r="I40" s="88">
        <f>VLOOKUP(Table91213[[#This Row],[Date]],'DB Details'!$A:$L,9)</f>
        <v>79.099999999999994</v>
      </c>
      <c r="J40" s="88">
        <f>VLOOKUP(Table91213[[#This Row],[Date]],'DB Details'!$A:$L,10)</f>
        <v>66.7</v>
      </c>
      <c r="K40" s="94"/>
      <c r="L40" s="88">
        <f>VLOOKUP(Table91213[[#This Row],[Date]],'DB Details'!$A:$L,12)</f>
        <v>63.1</v>
      </c>
    </row>
    <row r="41" spans="1:12" x14ac:dyDescent="0.35">
      <c r="A41" s="39">
        <v>18598</v>
      </c>
      <c r="B41" s="57">
        <f>VLOOKUP(Table91213[[#This Row],[Date]],'DB Details'!$A:$L,2)</f>
        <v>67.7</v>
      </c>
      <c r="C41" s="55"/>
      <c r="D41" s="55"/>
      <c r="E41" s="88">
        <f>VLOOKUP(Table91213[[#This Row],[Date]],'DB Details'!$A:$L,5)</f>
        <v>91.1</v>
      </c>
      <c r="F41" s="88">
        <f>VLOOKUP(Table91213[[#This Row],[Date]],'DB Details'!$A:$L,6)</f>
        <v>62.5</v>
      </c>
      <c r="G41" s="94"/>
      <c r="H41" s="88">
        <f>VLOOKUP(Table91213[[#This Row],[Date]],'DB Details'!$A:$L,8)</f>
        <v>49.7</v>
      </c>
      <c r="I41" s="88">
        <f>VLOOKUP(Table91213[[#This Row],[Date]],'DB Details'!$A:$L,9)</f>
        <v>87.5</v>
      </c>
      <c r="J41" s="88">
        <f>VLOOKUP(Table91213[[#This Row],[Date]],'DB Details'!$A:$L,10)</f>
        <v>65.099999999999994</v>
      </c>
      <c r="K41" s="94"/>
      <c r="L41" s="88">
        <f>VLOOKUP(Table91213[[#This Row],[Date]],'DB Details'!$A:$L,12)</f>
        <v>67.099999999999994</v>
      </c>
    </row>
    <row r="42" spans="1:12" x14ac:dyDescent="0.35">
      <c r="A42" s="39">
        <v>18629</v>
      </c>
      <c r="B42" s="57">
        <f>VLOOKUP(Table91213[[#This Row],[Date]],'DB Details'!$A:$L,2)</f>
        <v>67.900000000000006</v>
      </c>
      <c r="C42" s="55"/>
      <c r="D42" s="55"/>
      <c r="E42" s="88">
        <f>VLOOKUP(Table91213[[#This Row],[Date]],'DB Details'!$A:$L,5)</f>
        <v>85.1</v>
      </c>
      <c r="F42" s="88">
        <f>VLOOKUP(Table91213[[#This Row],[Date]],'DB Details'!$A:$L,6)</f>
        <v>63</v>
      </c>
      <c r="G42" s="94"/>
      <c r="H42" s="88">
        <f>VLOOKUP(Table91213[[#This Row],[Date]],'DB Details'!$A:$L,8)</f>
        <v>48</v>
      </c>
      <c r="I42" s="88">
        <f>VLOOKUP(Table91213[[#This Row],[Date]],'DB Details'!$A:$L,9)</f>
        <v>88.7</v>
      </c>
      <c r="J42" s="88">
        <f>VLOOKUP(Table91213[[#This Row],[Date]],'DB Details'!$A:$L,10)</f>
        <v>67.8</v>
      </c>
      <c r="K42" s="94"/>
      <c r="L42" s="88">
        <f>VLOOKUP(Table91213[[#This Row],[Date]],'DB Details'!$A:$L,12)</f>
        <v>67.8</v>
      </c>
    </row>
    <row r="43" spans="1:12" x14ac:dyDescent="0.35">
      <c r="A43" s="39">
        <v>18660</v>
      </c>
      <c r="B43" s="57">
        <f>VLOOKUP(Table91213[[#This Row],[Date]],'DB Details'!$A:$L,2)</f>
        <v>70</v>
      </c>
      <c r="C43" s="55"/>
      <c r="D43" s="55"/>
      <c r="E43" s="88">
        <f>VLOOKUP(Table91213[[#This Row],[Date]],'DB Details'!$A:$L,5)</f>
        <v>86.5</v>
      </c>
      <c r="F43" s="88">
        <f>VLOOKUP(Table91213[[#This Row],[Date]],'DB Details'!$A:$L,6)</f>
        <v>61.4</v>
      </c>
      <c r="G43" s="94"/>
      <c r="H43" s="88">
        <f>VLOOKUP(Table91213[[#This Row],[Date]],'DB Details'!$A:$L,8)</f>
        <v>42.1</v>
      </c>
      <c r="I43" s="88">
        <f>VLOOKUP(Table91213[[#This Row],[Date]],'DB Details'!$A:$L,9)</f>
        <v>93.3</v>
      </c>
      <c r="J43" s="88">
        <f>VLOOKUP(Table91213[[#This Row],[Date]],'DB Details'!$A:$L,10)</f>
        <v>73.7</v>
      </c>
      <c r="K43" s="94"/>
      <c r="L43" s="88">
        <f>VLOOKUP(Table91213[[#This Row],[Date]],'DB Details'!$A:$L,12)</f>
        <v>69.3</v>
      </c>
    </row>
    <row r="44" spans="1:12" x14ac:dyDescent="0.35">
      <c r="A44" s="39">
        <v>18688</v>
      </c>
      <c r="B44" s="57">
        <f>VLOOKUP(Table91213[[#This Row],[Date]],'DB Details'!$A:$L,2)</f>
        <v>61</v>
      </c>
      <c r="C44" s="55"/>
      <c r="D44" s="55"/>
      <c r="E44" s="88">
        <f>VLOOKUP(Table91213[[#This Row],[Date]],'DB Details'!$A:$L,5)</f>
        <v>76.599999999999994</v>
      </c>
      <c r="F44" s="88">
        <f>VLOOKUP(Table91213[[#This Row],[Date]],'DB Details'!$A:$L,6)</f>
        <v>61.2</v>
      </c>
      <c r="G44" s="94"/>
      <c r="H44" s="88">
        <f>VLOOKUP(Table91213[[#This Row],[Date]],'DB Details'!$A:$L,8)</f>
        <v>47.4</v>
      </c>
      <c r="I44" s="88">
        <f>VLOOKUP(Table91213[[#This Row],[Date]],'DB Details'!$A:$L,9)</f>
        <v>85.1</v>
      </c>
      <c r="J44" s="88">
        <f>VLOOKUP(Table91213[[#This Row],[Date]],'DB Details'!$A:$L,10)</f>
        <v>72</v>
      </c>
      <c r="K44" s="94"/>
      <c r="L44" s="88">
        <f>VLOOKUP(Table91213[[#This Row],[Date]],'DB Details'!$A:$L,12)</f>
        <v>65.5</v>
      </c>
    </row>
    <row r="45" spans="1:12" x14ac:dyDescent="0.35">
      <c r="A45" s="39">
        <v>18719</v>
      </c>
      <c r="B45" s="57">
        <f>VLOOKUP(Table91213[[#This Row],[Date]],'DB Details'!$A:$L,2)</f>
        <v>42.3</v>
      </c>
      <c r="C45" s="55"/>
      <c r="D45" s="55"/>
      <c r="E45" s="88">
        <f>VLOOKUP(Table91213[[#This Row],[Date]],'DB Details'!$A:$L,5)</f>
        <v>68.5</v>
      </c>
      <c r="F45" s="88">
        <f>VLOOKUP(Table91213[[#This Row],[Date]],'DB Details'!$A:$L,6)</f>
        <v>53.5</v>
      </c>
      <c r="G45" s="94"/>
      <c r="H45" s="88">
        <f>VLOOKUP(Table91213[[#This Row],[Date]],'DB Details'!$A:$L,8)</f>
        <v>51.8</v>
      </c>
      <c r="I45" s="88">
        <f>VLOOKUP(Table91213[[#This Row],[Date]],'DB Details'!$A:$L,9)</f>
        <v>65.7</v>
      </c>
      <c r="J45" s="88">
        <f>VLOOKUP(Table91213[[#This Row],[Date]],'DB Details'!$A:$L,10)</f>
        <v>61.9</v>
      </c>
      <c r="K45" s="94"/>
      <c r="L45" s="88">
        <f>VLOOKUP(Table91213[[#This Row],[Date]],'DB Details'!$A:$L,12)</f>
        <v>53.5</v>
      </c>
    </row>
    <row r="46" spans="1:12" x14ac:dyDescent="0.35">
      <c r="A46" s="39">
        <v>18749</v>
      </c>
      <c r="B46" s="57">
        <f>VLOOKUP(Table91213[[#This Row],[Date]],'DB Details'!$A:$L,2)</f>
        <v>45.2</v>
      </c>
      <c r="C46" s="55"/>
      <c r="D46" s="55"/>
      <c r="E46" s="88">
        <f>VLOOKUP(Table91213[[#This Row],[Date]],'DB Details'!$A:$L,5)</f>
        <v>63.6</v>
      </c>
      <c r="F46" s="88">
        <f>VLOOKUP(Table91213[[#This Row],[Date]],'DB Details'!$A:$L,6)</f>
        <v>54.2</v>
      </c>
      <c r="G46" s="94"/>
      <c r="H46" s="88">
        <f>VLOOKUP(Table91213[[#This Row],[Date]],'DB Details'!$A:$L,8)</f>
        <v>51.2</v>
      </c>
      <c r="I46" s="88">
        <f>VLOOKUP(Table91213[[#This Row],[Date]],'DB Details'!$A:$L,9)</f>
        <v>45</v>
      </c>
      <c r="J46" s="88">
        <f>VLOOKUP(Table91213[[#This Row],[Date]],'DB Details'!$A:$L,10)</f>
        <v>58.8</v>
      </c>
      <c r="K46" s="94"/>
      <c r="L46" s="88">
        <f>VLOOKUP(Table91213[[#This Row],[Date]],'DB Details'!$A:$L,12)</f>
        <v>50.7</v>
      </c>
    </row>
    <row r="47" spans="1:12" x14ac:dyDescent="0.35">
      <c r="A47" s="39">
        <v>18780</v>
      </c>
      <c r="B47" s="57">
        <f>VLOOKUP(Table91213[[#This Row],[Date]],'DB Details'!$A:$L,2)</f>
        <v>39.1</v>
      </c>
      <c r="C47" s="55"/>
      <c r="D47" s="55"/>
      <c r="E47" s="88">
        <f>VLOOKUP(Table91213[[#This Row],[Date]],'DB Details'!$A:$L,5)</f>
        <v>52.1</v>
      </c>
      <c r="F47" s="88">
        <f>VLOOKUP(Table91213[[#This Row],[Date]],'DB Details'!$A:$L,6)</f>
        <v>48.6</v>
      </c>
      <c r="G47" s="94"/>
      <c r="H47" s="88">
        <f>VLOOKUP(Table91213[[#This Row],[Date]],'DB Details'!$A:$L,8)</f>
        <v>48.4</v>
      </c>
      <c r="I47" s="88">
        <f>VLOOKUP(Table91213[[#This Row],[Date]],'DB Details'!$A:$L,9)</f>
        <v>36.700000000000003</v>
      </c>
      <c r="J47" s="88">
        <f>VLOOKUP(Table91213[[#This Row],[Date]],'DB Details'!$A:$L,10)</f>
        <v>56.4</v>
      </c>
      <c r="K47" s="94"/>
      <c r="L47" s="88">
        <f>VLOOKUP(Table91213[[#This Row],[Date]],'DB Details'!$A:$L,12)</f>
        <v>45.5</v>
      </c>
    </row>
    <row r="48" spans="1:12" x14ac:dyDescent="0.35">
      <c r="A48" s="39">
        <v>18810</v>
      </c>
      <c r="B48" s="57">
        <f>VLOOKUP(Table91213[[#This Row],[Date]],'DB Details'!$A:$L,2)</f>
        <v>38.200000000000003</v>
      </c>
      <c r="C48" s="55"/>
      <c r="D48" s="55"/>
      <c r="E48" s="88">
        <f>VLOOKUP(Table91213[[#This Row],[Date]],'DB Details'!$A:$L,5)</f>
        <v>46.4</v>
      </c>
      <c r="F48" s="88">
        <f>VLOOKUP(Table91213[[#This Row],[Date]],'DB Details'!$A:$L,6)</f>
        <v>41.6</v>
      </c>
      <c r="G48" s="94"/>
      <c r="H48" s="88">
        <f>VLOOKUP(Table91213[[#This Row],[Date]],'DB Details'!$A:$L,8)</f>
        <v>47.8</v>
      </c>
      <c r="I48" s="88">
        <f>VLOOKUP(Table91213[[#This Row],[Date]],'DB Details'!$A:$L,9)</f>
        <v>32.200000000000003</v>
      </c>
      <c r="J48" s="88">
        <f>VLOOKUP(Table91213[[#This Row],[Date]],'DB Details'!$A:$L,10)</f>
        <v>53.2</v>
      </c>
      <c r="K48" s="94"/>
      <c r="L48" s="88">
        <f>VLOOKUP(Table91213[[#This Row],[Date]],'DB Details'!$A:$L,12)</f>
        <v>42.1</v>
      </c>
    </row>
    <row r="49" spans="1:12" x14ac:dyDescent="0.35">
      <c r="A49" s="39">
        <v>18841</v>
      </c>
      <c r="B49" s="57">
        <f>VLOOKUP(Table91213[[#This Row],[Date]],'DB Details'!$A:$L,2)</f>
        <v>38.5</v>
      </c>
      <c r="C49" s="55"/>
      <c r="D49" s="55"/>
      <c r="E49" s="88">
        <f>VLOOKUP(Table91213[[#This Row],[Date]],'DB Details'!$A:$L,5)</f>
        <v>43.2</v>
      </c>
      <c r="F49" s="88">
        <f>VLOOKUP(Table91213[[#This Row],[Date]],'DB Details'!$A:$L,6)</f>
        <v>48.4</v>
      </c>
      <c r="G49" s="94"/>
      <c r="H49" s="88">
        <f>VLOOKUP(Table91213[[#This Row],[Date]],'DB Details'!$A:$L,8)</f>
        <v>46.7</v>
      </c>
      <c r="I49" s="88">
        <f>VLOOKUP(Table91213[[#This Row],[Date]],'DB Details'!$A:$L,9)</f>
        <v>32</v>
      </c>
      <c r="J49" s="88">
        <f>VLOOKUP(Table91213[[#This Row],[Date]],'DB Details'!$A:$L,10)</f>
        <v>51.7</v>
      </c>
      <c r="K49" s="94"/>
      <c r="L49" s="88">
        <f>VLOOKUP(Table91213[[#This Row],[Date]],'DB Details'!$A:$L,12)</f>
        <v>43.6</v>
      </c>
    </row>
    <row r="50" spans="1:12" x14ac:dyDescent="0.35">
      <c r="A50" s="39">
        <v>18872</v>
      </c>
      <c r="B50" s="57">
        <f>VLOOKUP(Table91213[[#This Row],[Date]],'DB Details'!$A:$L,2)</f>
        <v>48.2</v>
      </c>
      <c r="C50" s="55"/>
      <c r="D50" s="55"/>
      <c r="E50" s="88">
        <f>VLOOKUP(Table91213[[#This Row],[Date]],'DB Details'!$A:$L,5)</f>
        <v>45.7</v>
      </c>
      <c r="F50" s="88">
        <f>VLOOKUP(Table91213[[#This Row],[Date]],'DB Details'!$A:$L,6)</f>
        <v>50.2</v>
      </c>
      <c r="G50" s="94"/>
      <c r="H50" s="88">
        <f>VLOOKUP(Table91213[[#This Row],[Date]],'DB Details'!$A:$L,8)</f>
        <v>43.8</v>
      </c>
      <c r="I50" s="88">
        <f>VLOOKUP(Table91213[[#This Row],[Date]],'DB Details'!$A:$L,9)</f>
        <v>46.4</v>
      </c>
      <c r="J50" s="88">
        <f>VLOOKUP(Table91213[[#This Row],[Date]],'DB Details'!$A:$L,10)</f>
        <v>48.6</v>
      </c>
      <c r="K50" s="94"/>
      <c r="L50" s="88">
        <f>VLOOKUP(Table91213[[#This Row],[Date]],'DB Details'!$A:$L,12)</f>
        <v>48.1</v>
      </c>
    </row>
    <row r="51" spans="1:12" x14ac:dyDescent="0.35">
      <c r="A51" s="39">
        <v>18902</v>
      </c>
      <c r="B51" s="57">
        <f>VLOOKUP(Table91213[[#This Row],[Date]],'DB Details'!$A:$L,2)</f>
        <v>51.7</v>
      </c>
      <c r="C51" s="55"/>
      <c r="D51" s="55"/>
      <c r="E51" s="88">
        <f>VLOOKUP(Table91213[[#This Row],[Date]],'DB Details'!$A:$L,5)</f>
        <v>54.4</v>
      </c>
      <c r="F51" s="88">
        <f>VLOOKUP(Table91213[[#This Row],[Date]],'DB Details'!$A:$L,6)</f>
        <v>50.3</v>
      </c>
      <c r="G51" s="94"/>
      <c r="H51" s="88">
        <f>VLOOKUP(Table91213[[#This Row],[Date]],'DB Details'!$A:$L,8)</f>
        <v>42</v>
      </c>
      <c r="I51" s="88">
        <f>VLOOKUP(Table91213[[#This Row],[Date]],'DB Details'!$A:$L,9)</f>
        <v>47.2</v>
      </c>
      <c r="J51" s="88">
        <f>VLOOKUP(Table91213[[#This Row],[Date]],'DB Details'!$A:$L,10)</f>
        <v>51.1</v>
      </c>
      <c r="K51" s="94"/>
      <c r="L51" s="88">
        <f>VLOOKUP(Table91213[[#This Row],[Date]],'DB Details'!$A:$L,12)</f>
        <v>49.6</v>
      </c>
    </row>
    <row r="52" spans="1:12" x14ac:dyDescent="0.35">
      <c r="A52" s="39">
        <v>18933</v>
      </c>
      <c r="B52" s="57">
        <f>VLOOKUP(Table91213[[#This Row],[Date]],'DB Details'!$A:$L,2)</f>
        <v>49.3</v>
      </c>
      <c r="C52" s="55"/>
      <c r="D52" s="55"/>
      <c r="E52" s="88">
        <f>VLOOKUP(Table91213[[#This Row],[Date]],'DB Details'!$A:$L,5)</f>
        <v>55.6</v>
      </c>
      <c r="F52" s="88">
        <f>VLOOKUP(Table91213[[#This Row],[Date]],'DB Details'!$A:$L,6)</f>
        <v>50.9</v>
      </c>
      <c r="G52" s="94"/>
      <c r="H52" s="88">
        <f>VLOOKUP(Table91213[[#This Row],[Date]],'DB Details'!$A:$L,8)</f>
        <v>44.5</v>
      </c>
      <c r="I52" s="88">
        <f>VLOOKUP(Table91213[[#This Row],[Date]],'DB Details'!$A:$L,9)</f>
        <v>34.9</v>
      </c>
      <c r="J52" s="88">
        <f>VLOOKUP(Table91213[[#This Row],[Date]],'DB Details'!$A:$L,10)</f>
        <v>50.2</v>
      </c>
      <c r="K52" s="94"/>
      <c r="L52" s="88">
        <f>VLOOKUP(Table91213[[#This Row],[Date]],'DB Details'!$A:$L,12)</f>
        <v>47.2</v>
      </c>
    </row>
    <row r="53" spans="1:12" x14ac:dyDescent="0.35">
      <c r="A53" s="39">
        <v>18963</v>
      </c>
      <c r="B53" s="57">
        <f>VLOOKUP(Table91213[[#This Row],[Date]],'DB Details'!$A:$L,2)</f>
        <v>45.3</v>
      </c>
      <c r="C53" s="55"/>
      <c r="D53" s="55"/>
      <c r="E53" s="88">
        <f>VLOOKUP(Table91213[[#This Row],[Date]],'DB Details'!$A:$L,5)</f>
        <v>56.6</v>
      </c>
      <c r="F53" s="88">
        <f>VLOOKUP(Table91213[[#This Row],[Date]],'DB Details'!$A:$L,6)</f>
        <v>52.8</v>
      </c>
      <c r="G53" s="94"/>
      <c r="H53" s="88">
        <f>VLOOKUP(Table91213[[#This Row],[Date]],'DB Details'!$A:$L,8)</f>
        <v>42.6</v>
      </c>
      <c r="I53" s="88">
        <f>VLOOKUP(Table91213[[#This Row],[Date]],'DB Details'!$A:$L,9)</f>
        <v>33.6</v>
      </c>
      <c r="J53" s="88">
        <f>VLOOKUP(Table91213[[#This Row],[Date]],'DB Details'!$A:$L,10)</f>
        <v>51.8</v>
      </c>
      <c r="K53" s="94"/>
      <c r="L53" s="88">
        <f>VLOOKUP(Table91213[[#This Row],[Date]],'DB Details'!$A:$L,12)</f>
        <v>46.5</v>
      </c>
    </row>
    <row r="54" spans="1:12" x14ac:dyDescent="0.35">
      <c r="A54" s="39">
        <v>18994</v>
      </c>
      <c r="B54" s="57">
        <f>VLOOKUP(Table91213[[#This Row],[Date]],'DB Details'!$A:$L,2)</f>
        <v>46.8</v>
      </c>
      <c r="C54" s="55"/>
      <c r="D54" s="55"/>
      <c r="E54" s="88">
        <f>VLOOKUP(Table91213[[#This Row],[Date]],'DB Details'!$A:$L,5)</f>
        <v>51.8</v>
      </c>
      <c r="F54" s="88">
        <f>VLOOKUP(Table91213[[#This Row],[Date]],'DB Details'!$A:$L,6)</f>
        <v>49.5</v>
      </c>
      <c r="G54" s="94"/>
      <c r="H54" s="88">
        <f>VLOOKUP(Table91213[[#This Row],[Date]],'DB Details'!$A:$L,8)</f>
        <v>42.5</v>
      </c>
      <c r="I54" s="88">
        <f>VLOOKUP(Table91213[[#This Row],[Date]],'DB Details'!$A:$L,9)</f>
        <v>31.3</v>
      </c>
      <c r="J54" s="88">
        <f>VLOOKUP(Table91213[[#This Row],[Date]],'DB Details'!$A:$L,10)</f>
        <v>46.9</v>
      </c>
      <c r="K54" s="94"/>
      <c r="L54" s="88">
        <f>VLOOKUP(Table91213[[#This Row],[Date]],'DB Details'!$A:$L,12)</f>
        <v>44.7</v>
      </c>
    </row>
    <row r="55" spans="1:12" x14ac:dyDescent="0.35">
      <c r="A55" s="39">
        <v>19025</v>
      </c>
      <c r="B55" s="57">
        <f>VLOOKUP(Table91213[[#This Row],[Date]],'DB Details'!$A:$L,2)</f>
        <v>42.3</v>
      </c>
      <c r="C55" s="55"/>
      <c r="D55" s="55"/>
      <c r="E55" s="88">
        <f>VLOOKUP(Table91213[[#This Row],[Date]],'DB Details'!$A:$L,5)</f>
        <v>52.7</v>
      </c>
      <c r="F55" s="88">
        <f>VLOOKUP(Table91213[[#This Row],[Date]],'DB Details'!$A:$L,6)</f>
        <v>49.9</v>
      </c>
      <c r="G55" s="94"/>
      <c r="H55" s="88">
        <f>VLOOKUP(Table91213[[#This Row],[Date]],'DB Details'!$A:$L,8)</f>
        <v>39.299999999999997</v>
      </c>
      <c r="I55" s="88">
        <f>VLOOKUP(Table91213[[#This Row],[Date]],'DB Details'!$A:$L,9)</f>
        <v>24.9</v>
      </c>
      <c r="J55" s="88">
        <f>VLOOKUP(Table91213[[#This Row],[Date]],'DB Details'!$A:$L,10)</f>
        <v>44.8</v>
      </c>
      <c r="K55" s="94"/>
      <c r="L55" s="88">
        <f>VLOOKUP(Table91213[[#This Row],[Date]],'DB Details'!$A:$L,12)</f>
        <v>41.8</v>
      </c>
    </row>
    <row r="56" spans="1:12" x14ac:dyDescent="0.35">
      <c r="A56" s="39">
        <v>19054</v>
      </c>
      <c r="B56" s="57">
        <f>VLOOKUP(Table91213[[#This Row],[Date]],'DB Details'!$A:$L,2)</f>
        <v>43.7</v>
      </c>
      <c r="C56" s="55"/>
      <c r="D56" s="55"/>
      <c r="E56" s="88">
        <f>VLOOKUP(Table91213[[#This Row],[Date]],'DB Details'!$A:$L,5)</f>
        <v>44.7</v>
      </c>
      <c r="F56" s="88">
        <f>VLOOKUP(Table91213[[#This Row],[Date]],'DB Details'!$A:$L,6)</f>
        <v>48.7</v>
      </c>
      <c r="G56" s="94"/>
      <c r="H56" s="88">
        <f>VLOOKUP(Table91213[[#This Row],[Date]],'DB Details'!$A:$L,8)</f>
        <v>35.6</v>
      </c>
      <c r="I56" s="88">
        <f>VLOOKUP(Table91213[[#This Row],[Date]],'DB Details'!$A:$L,9)</f>
        <v>18.8</v>
      </c>
      <c r="J56" s="88">
        <f>VLOOKUP(Table91213[[#This Row],[Date]],'DB Details'!$A:$L,10)</f>
        <v>41.8</v>
      </c>
      <c r="K56" s="94"/>
      <c r="L56" s="88">
        <f>VLOOKUP(Table91213[[#This Row],[Date]],'DB Details'!$A:$L,12)</f>
        <v>40</v>
      </c>
    </row>
    <row r="57" spans="1:12" x14ac:dyDescent="0.35">
      <c r="A57" s="39">
        <v>19085</v>
      </c>
      <c r="B57" s="57">
        <f>VLOOKUP(Table91213[[#This Row],[Date]],'DB Details'!$A:$L,2)</f>
        <v>35.799999999999997</v>
      </c>
      <c r="C57" s="55"/>
      <c r="D57" s="55"/>
      <c r="E57" s="88">
        <f>VLOOKUP(Table91213[[#This Row],[Date]],'DB Details'!$A:$L,5)</f>
        <v>42.6</v>
      </c>
      <c r="F57" s="88">
        <f>VLOOKUP(Table91213[[#This Row],[Date]],'DB Details'!$A:$L,6)</f>
        <v>43.5</v>
      </c>
      <c r="G57" s="94"/>
      <c r="H57" s="88">
        <f>VLOOKUP(Table91213[[#This Row],[Date]],'DB Details'!$A:$L,8)</f>
        <v>35.4</v>
      </c>
      <c r="I57" s="88">
        <f>VLOOKUP(Table91213[[#This Row],[Date]],'DB Details'!$A:$L,9)</f>
        <v>19.399999999999999</v>
      </c>
      <c r="J57" s="88">
        <f>VLOOKUP(Table91213[[#This Row],[Date]],'DB Details'!$A:$L,10)</f>
        <v>43.3</v>
      </c>
      <c r="K57" s="94"/>
      <c r="L57" s="88">
        <f>VLOOKUP(Table91213[[#This Row],[Date]],'DB Details'!$A:$L,12)</f>
        <v>36.700000000000003</v>
      </c>
    </row>
    <row r="58" spans="1:12" x14ac:dyDescent="0.35">
      <c r="A58" s="39">
        <v>19115</v>
      </c>
      <c r="B58" s="57">
        <f>VLOOKUP(Table91213[[#This Row],[Date]],'DB Details'!$A:$L,2)</f>
        <v>43.9</v>
      </c>
      <c r="C58" s="55"/>
      <c r="D58" s="55"/>
      <c r="E58" s="88">
        <f>VLOOKUP(Table91213[[#This Row],[Date]],'DB Details'!$A:$L,5)</f>
        <v>38.799999999999997</v>
      </c>
      <c r="F58" s="88">
        <f>VLOOKUP(Table91213[[#This Row],[Date]],'DB Details'!$A:$L,6)</f>
        <v>45.7</v>
      </c>
      <c r="G58" s="94"/>
      <c r="H58" s="88">
        <f>VLOOKUP(Table91213[[#This Row],[Date]],'DB Details'!$A:$L,8)</f>
        <v>30.3</v>
      </c>
      <c r="I58" s="88">
        <f>VLOOKUP(Table91213[[#This Row],[Date]],'DB Details'!$A:$L,9)</f>
        <v>22.4</v>
      </c>
      <c r="J58" s="88">
        <f>VLOOKUP(Table91213[[#This Row],[Date]],'DB Details'!$A:$L,10)</f>
        <v>42.7</v>
      </c>
      <c r="K58" s="94"/>
      <c r="L58" s="88">
        <f>VLOOKUP(Table91213[[#This Row],[Date]],'DB Details'!$A:$L,12)</f>
        <v>39.5</v>
      </c>
    </row>
    <row r="59" spans="1:12" x14ac:dyDescent="0.35">
      <c r="A59" s="39">
        <v>19146</v>
      </c>
      <c r="B59" s="57">
        <f>VLOOKUP(Table91213[[#This Row],[Date]],'DB Details'!$A:$L,2)</f>
        <v>46.3</v>
      </c>
      <c r="C59" s="55"/>
      <c r="D59" s="55"/>
      <c r="E59" s="88">
        <f>VLOOKUP(Table91213[[#This Row],[Date]],'DB Details'!$A:$L,5)</f>
        <v>40.4</v>
      </c>
      <c r="F59" s="88">
        <f>VLOOKUP(Table91213[[#This Row],[Date]],'DB Details'!$A:$L,6)</f>
        <v>49.5</v>
      </c>
      <c r="G59" s="94"/>
      <c r="H59" s="88">
        <f>VLOOKUP(Table91213[[#This Row],[Date]],'DB Details'!$A:$L,8)</f>
        <v>33.799999999999997</v>
      </c>
      <c r="I59" s="88">
        <f>VLOOKUP(Table91213[[#This Row],[Date]],'DB Details'!$A:$L,9)</f>
        <v>33</v>
      </c>
      <c r="J59" s="88">
        <f>VLOOKUP(Table91213[[#This Row],[Date]],'DB Details'!$A:$L,10)</f>
        <v>43.5</v>
      </c>
      <c r="K59" s="94"/>
      <c r="L59" s="88">
        <f>VLOOKUP(Table91213[[#This Row],[Date]],'DB Details'!$A:$L,12)</f>
        <v>43.3</v>
      </c>
    </row>
    <row r="60" spans="1:12" x14ac:dyDescent="0.35">
      <c r="A60" s="39">
        <v>19176</v>
      </c>
      <c r="B60" s="57">
        <f>VLOOKUP(Table91213[[#This Row],[Date]],'DB Details'!$A:$L,2)</f>
        <v>69.400000000000006</v>
      </c>
      <c r="C60" s="55"/>
      <c r="D60" s="55"/>
      <c r="E60" s="88">
        <f>VLOOKUP(Table91213[[#This Row],[Date]],'DB Details'!$A:$L,5)</f>
        <v>60.1</v>
      </c>
      <c r="F60" s="88">
        <f>VLOOKUP(Table91213[[#This Row],[Date]],'DB Details'!$A:$L,6)</f>
        <v>37.200000000000003</v>
      </c>
      <c r="G60" s="94"/>
      <c r="H60" s="88">
        <f>VLOOKUP(Table91213[[#This Row],[Date]],'DB Details'!$A:$L,8)</f>
        <v>31.6</v>
      </c>
      <c r="I60" s="88">
        <f>VLOOKUP(Table91213[[#This Row],[Date]],'DB Details'!$A:$L,9)</f>
        <v>47.4</v>
      </c>
      <c r="J60" s="88">
        <f>VLOOKUP(Table91213[[#This Row],[Date]],'DB Details'!$A:$L,10)</f>
        <v>39.5</v>
      </c>
      <c r="K60" s="94"/>
      <c r="L60" s="88">
        <f>VLOOKUP(Table91213[[#This Row],[Date]],'DB Details'!$A:$L,12)</f>
        <v>48.3</v>
      </c>
    </row>
    <row r="61" spans="1:12" x14ac:dyDescent="0.35">
      <c r="A61" s="39">
        <v>19207</v>
      </c>
      <c r="B61" s="57">
        <f>VLOOKUP(Table91213[[#This Row],[Date]],'DB Details'!$A:$L,2)</f>
        <v>58.5</v>
      </c>
      <c r="C61" s="55"/>
      <c r="D61" s="55"/>
      <c r="E61" s="88">
        <f>VLOOKUP(Table91213[[#This Row],[Date]],'DB Details'!$A:$L,5)</f>
        <v>54.7</v>
      </c>
      <c r="F61" s="88">
        <f>VLOOKUP(Table91213[[#This Row],[Date]],'DB Details'!$A:$L,6)</f>
        <v>84</v>
      </c>
      <c r="G61" s="94"/>
      <c r="H61" s="88">
        <f>VLOOKUP(Table91213[[#This Row],[Date]],'DB Details'!$A:$L,8)</f>
        <v>30.5</v>
      </c>
      <c r="I61" s="88">
        <f>VLOOKUP(Table91213[[#This Row],[Date]],'DB Details'!$A:$L,9)</f>
        <v>41.2</v>
      </c>
      <c r="J61" s="88">
        <f>VLOOKUP(Table91213[[#This Row],[Date]],'DB Details'!$A:$L,10)</f>
        <v>63.1</v>
      </c>
      <c r="K61" s="94"/>
      <c r="L61" s="88">
        <f>VLOOKUP(Table91213[[#This Row],[Date]],'DB Details'!$A:$L,12)</f>
        <v>60.4</v>
      </c>
    </row>
    <row r="62" spans="1:12" x14ac:dyDescent="0.35">
      <c r="A62" s="39">
        <v>19238</v>
      </c>
      <c r="B62" s="57">
        <f>VLOOKUP(Table91213[[#This Row],[Date]],'DB Details'!$A:$L,2)</f>
        <v>60.3</v>
      </c>
      <c r="C62" s="55"/>
      <c r="D62" s="55"/>
      <c r="E62" s="88">
        <f>VLOOKUP(Table91213[[#This Row],[Date]],'DB Details'!$A:$L,5)</f>
        <v>57.9</v>
      </c>
      <c r="F62" s="88">
        <f>VLOOKUP(Table91213[[#This Row],[Date]],'DB Details'!$A:$L,6)</f>
        <v>66</v>
      </c>
      <c r="G62" s="94"/>
      <c r="H62" s="88">
        <f>VLOOKUP(Table91213[[#This Row],[Date]],'DB Details'!$A:$L,8)</f>
        <v>38.6</v>
      </c>
      <c r="I62" s="88">
        <f>VLOOKUP(Table91213[[#This Row],[Date]],'DB Details'!$A:$L,9)</f>
        <v>42.7</v>
      </c>
      <c r="J62" s="88">
        <f>VLOOKUP(Table91213[[#This Row],[Date]],'DB Details'!$A:$L,10)</f>
        <v>56.2</v>
      </c>
      <c r="K62" s="94"/>
      <c r="L62" s="88">
        <f>VLOOKUP(Table91213[[#This Row],[Date]],'DB Details'!$A:$L,12)</f>
        <v>56.1</v>
      </c>
    </row>
    <row r="63" spans="1:12" x14ac:dyDescent="0.35">
      <c r="A63" s="39">
        <v>19268</v>
      </c>
      <c r="B63" s="57">
        <f>VLOOKUP(Table91213[[#This Row],[Date]],'DB Details'!$A:$L,2)</f>
        <v>59.9</v>
      </c>
      <c r="C63" s="55"/>
      <c r="D63" s="55"/>
      <c r="E63" s="88">
        <f>VLOOKUP(Table91213[[#This Row],[Date]],'DB Details'!$A:$L,5)</f>
        <v>54.1</v>
      </c>
      <c r="F63" s="88">
        <f>VLOOKUP(Table91213[[#This Row],[Date]],'DB Details'!$A:$L,6)</f>
        <v>65.3</v>
      </c>
      <c r="G63" s="94"/>
      <c r="H63" s="88">
        <f>VLOOKUP(Table91213[[#This Row],[Date]],'DB Details'!$A:$L,8)</f>
        <v>38.200000000000003</v>
      </c>
      <c r="I63" s="88">
        <f>VLOOKUP(Table91213[[#This Row],[Date]],'DB Details'!$A:$L,9)</f>
        <v>43.3</v>
      </c>
      <c r="J63" s="88">
        <f>VLOOKUP(Table91213[[#This Row],[Date]],'DB Details'!$A:$L,10)</f>
        <v>57.8</v>
      </c>
      <c r="K63" s="94"/>
      <c r="L63" s="88">
        <f>VLOOKUP(Table91213[[#This Row],[Date]],'DB Details'!$A:$L,12)</f>
        <v>56.2</v>
      </c>
    </row>
    <row r="64" spans="1:12" x14ac:dyDescent="0.35">
      <c r="A64" s="39">
        <v>19299</v>
      </c>
      <c r="B64" s="57">
        <f>VLOOKUP(Table91213[[#This Row],[Date]],'DB Details'!$A:$L,2)</f>
        <v>58.8</v>
      </c>
      <c r="C64" s="55"/>
      <c r="D64" s="55"/>
      <c r="E64" s="88">
        <f>VLOOKUP(Table91213[[#This Row],[Date]],'DB Details'!$A:$L,5)</f>
        <v>49.7</v>
      </c>
      <c r="F64" s="88">
        <f>VLOOKUP(Table91213[[#This Row],[Date]],'DB Details'!$A:$L,6)</f>
        <v>65</v>
      </c>
      <c r="G64" s="94"/>
      <c r="H64" s="88">
        <f>VLOOKUP(Table91213[[#This Row],[Date]],'DB Details'!$A:$L,8)</f>
        <v>39.9</v>
      </c>
      <c r="I64" s="88">
        <f>VLOOKUP(Table91213[[#This Row],[Date]],'DB Details'!$A:$L,9)</f>
        <v>45</v>
      </c>
      <c r="J64" s="88">
        <f>VLOOKUP(Table91213[[#This Row],[Date]],'DB Details'!$A:$L,10)</f>
        <v>60.9</v>
      </c>
      <c r="K64" s="94"/>
      <c r="L64" s="88">
        <f>VLOOKUP(Table91213[[#This Row],[Date]],'DB Details'!$A:$L,12)</f>
        <v>56.8</v>
      </c>
    </row>
    <row r="65" spans="1:12" x14ac:dyDescent="0.35">
      <c r="A65" s="39">
        <v>19329</v>
      </c>
      <c r="B65" s="57">
        <f>VLOOKUP(Table91213[[#This Row],[Date]],'DB Details'!$A:$L,2)</f>
        <v>60.4</v>
      </c>
      <c r="C65" s="55"/>
      <c r="D65" s="55"/>
      <c r="E65" s="88">
        <f>VLOOKUP(Table91213[[#This Row],[Date]],'DB Details'!$A:$L,5)</f>
        <v>48.2</v>
      </c>
      <c r="F65" s="88">
        <f>VLOOKUP(Table91213[[#This Row],[Date]],'DB Details'!$A:$L,6)</f>
        <v>64.3</v>
      </c>
      <c r="G65" s="94"/>
      <c r="H65" s="88">
        <f>VLOOKUP(Table91213[[#This Row],[Date]],'DB Details'!$A:$L,8)</f>
        <v>40</v>
      </c>
      <c r="I65" s="88">
        <f>VLOOKUP(Table91213[[#This Row],[Date]],'DB Details'!$A:$L,9)</f>
        <v>43.5</v>
      </c>
      <c r="J65" s="88">
        <f>VLOOKUP(Table91213[[#This Row],[Date]],'DB Details'!$A:$L,10)</f>
        <v>55.6</v>
      </c>
      <c r="K65" s="94"/>
      <c r="L65" s="88">
        <f>VLOOKUP(Table91213[[#This Row],[Date]],'DB Details'!$A:$L,12)</f>
        <v>55.8</v>
      </c>
    </row>
    <row r="66" spans="1:12" x14ac:dyDescent="0.35">
      <c r="A66" s="39">
        <v>19360</v>
      </c>
      <c r="B66" s="57">
        <f>VLOOKUP(Table91213[[#This Row],[Date]],'DB Details'!$A:$L,2)</f>
        <v>64.599999999999994</v>
      </c>
      <c r="C66" s="55"/>
      <c r="D66" s="55"/>
      <c r="E66" s="88">
        <f>VLOOKUP(Table91213[[#This Row],[Date]],'DB Details'!$A:$L,5)</f>
        <v>45.1</v>
      </c>
      <c r="F66" s="88">
        <f>VLOOKUP(Table91213[[#This Row],[Date]],'DB Details'!$A:$L,6)</f>
        <v>69.8</v>
      </c>
      <c r="G66" s="94"/>
      <c r="H66" s="88">
        <f>VLOOKUP(Table91213[[#This Row],[Date]],'DB Details'!$A:$L,8)</f>
        <v>40.9</v>
      </c>
      <c r="I66" s="88">
        <f>VLOOKUP(Table91213[[#This Row],[Date]],'DB Details'!$A:$L,9)</f>
        <v>41.5</v>
      </c>
      <c r="J66" s="88">
        <f>VLOOKUP(Table91213[[#This Row],[Date]],'DB Details'!$A:$L,10)</f>
        <v>61.5</v>
      </c>
      <c r="K66" s="94"/>
      <c r="L66" s="88">
        <f>VLOOKUP(Table91213[[#This Row],[Date]],'DB Details'!$A:$L,12)</f>
        <v>59.4</v>
      </c>
    </row>
    <row r="67" spans="1:12" x14ac:dyDescent="0.35">
      <c r="A67" s="39">
        <v>19391</v>
      </c>
      <c r="B67" s="57">
        <f>VLOOKUP(Table91213[[#This Row],[Date]],'DB Details'!$A:$L,2)</f>
        <v>56</v>
      </c>
      <c r="C67" s="55"/>
      <c r="D67" s="55"/>
      <c r="E67" s="88">
        <f>VLOOKUP(Table91213[[#This Row],[Date]],'DB Details'!$A:$L,5)</f>
        <v>54.5</v>
      </c>
      <c r="F67" s="88">
        <f>VLOOKUP(Table91213[[#This Row],[Date]],'DB Details'!$A:$L,6)</f>
        <v>62.4</v>
      </c>
      <c r="G67" s="94"/>
      <c r="H67" s="88">
        <f>VLOOKUP(Table91213[[#This Row],[Date]],'DB Details'!$A:$L,8)</f>
        <v>44.3</v>
      </c>
      <c r="I67" s="88">
        <f>VLOOKUP(Table91213[[#This Row],[Date]],'DB Details'!$A:$L,9)</f>
        <v>41.8</v>
      </c>
      <c r="J67" s="88">
        <f>VLOOKUP(Table91213[[#This Row],[Date]],'DB Details'!$A:$L,10)</f>
        <v>61.7</v>
      </c>
      <c r="K67" s="94"/>
      <c r="L67" s="88">
        <f>VLOOKUP(Table91213[[#This Row],[Date]],'DB Details'!$A:$L,12)</f>
        <v>55.4</v>
      </c>
    </row>
    <row r="68" spans="1:12" x14ac:dyDescent="0.35">
      <c r="A68" s="39">
        <v>19419</v>
      </c>
      <c r="B68" s="57">
        <f>VLOOKUP(Table91213[[#This Row],[Date]],'DB Details'!$A:$L,2)</f>
        <v>47.2</v>
      </c>
      <c r="C68" s="55"/>
      <c r="D68" s="55"/>
      <c r="E68" s="88">
        <f>VLOOKUP(Table91213[[#This Row],[Date]],'DB Details'!$A:$L,5)</f>
        <v>73.3</v>
      </c>
      <c r="F68" s="88">
        <f>VLOOKUP(Table91213[[#This Row],[Date]],'DB Details'!$A:$L,6)</f>
        <v>54</v>
      </c>
      <c r="G68" s="94"/>
      <c r="H68" s="88">
        <f>VLOOKUP(Table91213[[#This Row],[Date]],'DB Details'!$A:$L,8)</f>
        <v>46.4</v>
      </c>
      <c r="I68" s="88">
        <f>VLOOKUP(Table91213[[#This Row],[Date]],'DB Details'!$A:$L,9)</f>
        <v>41.8</v>
      </c>
      <c r="J68" s="88">
        <f>VLOOKUP(Table91213[[#This Row],[Date]],'DB Details'!$A:$L,10)</f>
        <v>59.4</v>
      </c>
      <c r="K68" s="94"/>
      <c r="L68" s="88">
        <f>VLOOKUP(Table91213[[#This Row],[Date]],'DB Details'!$A:$L,12)</f>
        <v>50.5</v>
      </c>
    </row>
    <row r="69" spans="1:12" x14ac:dyDescent="0.35">
      <c r="A69" s="39">
        <v>19450</v>
      </c>
      <c r="B69" s="57">
        <f>VLOOKUP(Table91213[[#This Row],[Date]],'DB Details'!$A:$L,2)</f>
        <v>52</v>
      </c>
      <c r="C69" s="55"/>
      <c r="D69" s="55"/>
      <c r="E69" s="88">
        <f>VLOOKUP(Table91213[[#This Row],[Date]],'DB Details'!$A:$L,5)</f>
        <v>69.3</v>
      </c>
      <c r="F69" s="88">
        <f>VLOOKUP(Table91213[[#This Row],[Date]],'DB Details'!$A:$L,6)</f>
        <v>57.3</v>
      </c>
      <c r="G69" s="94"/>
      <c r="H69" s="88">
        <f>VLOOKUP(Table91213[[#This Row],[Date]],'DB Details'!$A:$L,8)</f>
        <v>43.8</v>
      </c>
      <c r="I69" s="88">
        <f>VLOOKUP(Table91213[[#This Row],[Date]],'DB Details'!$A:$L,9)</f>
        <v>38.6</v>
      </c>
      <c r="J69" s="88">
        <f>VLOOKUP(Table91213[[#This Row],[Date]],'DB Details'!$A:$L,10)</f>
        <v>55</v>
      </c>
      <c r="K69" s="94"/>
      <c r="L69" s="88">
        <f>VLOOKUP(Table91213[[#This Row],[Date]],'DB Details'!$A:$L,12)</f>
        <v>51.1</v>
      </c>
    </row>
    <row r="70" spans="1:12" x14ac:dyDescent="0.35">
      <c r="A70" s="39">
        <v>19480</v>
      </c>
      <c r="B70" s="57">
        <f>VLOOKUP(Table91213[[#This Row],[Date]],'DB Details'!$A:$L,2)</f>
        <v>49.3</v>
      </c>
      <c r="C70" s="55"/>
      <c r="D70" s="55"/>
      <c r="E70" s="88">
        <f>VLOOKUP(Table91213[[#This Row],[Date]],'DB Details'!$A:$L,5)</f>
        <v>72.3</v>
      </c>
      <c r="F70" s="88">
        <f>VLOOKUP(Table91213[[#This Row],[Date]],'DB Details'!$A:$L,6)</f>
        <v>57.1</v>
      </c>
      <c r="G70" s="94"/>
      <c r="H70" s="88">
        <f>VLOOKUP(Table91213[[#This Row],[Date]],'DB Details'!$A:$L,8)</f>
        <v>41.2</v>
      </c>
      <c r="I70" s="88">
        <f>VLOOKUP(Table91213[[#This Row],[Date]],'DB Details'!$A:$L,9)</f>
        <v>35.1</v>
      </c>
      <c r="J70" s="88">
        <f>VLOOKUP(Table91213[[#This Row],[Date]],'DB Details'!$A:$L,10)</f>
        <v>52.3</v>
      </c>
      <c r="K70" s="94"/>
      <c r="L70" s="88">
        <f>VLOOKUP(Table91213[[#This Row],[Date]],'DB Details'!$A:$L,12)</f>
        <v>48.9</v>
      </c>
    </row>
    <row r="71" spans="1:12" x14ac:dyDescent="0.35">
      <c r="A71" s="39">
        <v>19511</v>
      </c>
      <c r="B71" s="57">
        <f>VLOOKUP(Table91213[[#This Row],[Date]],'DB Details'!$A:$L,2)</f>
        <v>48.3</v>
      </c>
      <c r="C71" s="55"/>
      <c r="D71" s="55"/>
      <c r="E71" s="88">
        <f>VLOOKUP(Table91213[[#This Row],[Date]],'DB Details'!$A:$L,5)</f>
        <v>69.7</v>
      </c>
      <c r="F71" s="88">
        <f>VLOOKUP(Table91213[[#This Row],[Date]],'DB Details'!$A:$L,6)</f>
        <v>55.2</v>
      </c>
      <c r="G71" s="94"/>
      <c r="H71" s="88">
        <f>VLOOKUP(Table91213[[#This Row],[Date]],'DB Details'!$A:$L,8)</f>
        <v>44.6</v>
      </c>
      <c r="I71" s="88">
        <f>VLOOKUP(Table91213[[#This Row],[Date]],'DB Details'!$A:$L,9)</f>
        <v>33.299999999999997</v>
      </c>
      <c r="J71" s="88">
        <f>VLOOKUP(Table91213[[#This Row],[Date]],'DB Details'!$A:$L,10)</f>
        <v>53.8</v>
      </c>
      <c r="K71" s="94"/>
      <c r="L71" s="88">
        <f>VLOOKUP(Table91213[[#This Row],[Date]],'DB Details'!$A:$L,12)</f>
        <v>48.5</v>
      </c>
    </row>
    <row r="72" spans="1:12" x14ac:dyDescent="0.35">
      <c r="A72" s="39">
        <v>19541</v>
      </c>
      <c r="B72" s="57">
        <f>VLOOKUP(Table91213[[#This Row],[Date]],'DB Details'!$A:$L,2)</f>
        <v>44.2</v>
      </c>
      <c r="C72" s="55"/>
      <c r="D72" s="55"/>
      <c r="E72" s="88">
        <f>VLOOKUP(Table91213[[#This Row],[Date]],'DB Details'!$A:$L,5)</f>
        <v>62</v>
      </c>
      <c r="F72" s="88">
        <f>VLOOKUP(Table91213[[#This Row],[Date]],'DB Details'!$A:$L,6)</f>
        <v>53.1</v>
      </c>
      <c r="G72" s="94"/>
      <c r="H72" s="88">
        <f>VLOOKUP(Table91213[[#This Row],[Date]],'DB Details'!$A:$L,8)</f>
        <v>45.6</v>
      </c>
      <c r="I72" s="88">
        <f>VLOOKUP(Table91213[[#This Row],[Date]],'DB Details'!$A:$L,9)</f>
        <v>28.5</v>
      </c>
      <c r="J72" s="88">
        <f>VLOOKUP(Table91213[[#This Row],[Date]],'DB Details'!$A:$L,10)</f>
        <v>54.4</v>
      </c>
      <c r="K72" s="94"/>
      <c r="L72" s="88">
        <f>VLOOKUP(Table91213[[#This Row],[Date]],'DB Details'!$A:$L,12)</f>
        <v>46.3</v>
      </c>
    </row>
    <row r="73" spans="1:12" x14ac:dyDescent="0.35">
      <c r="A73" s="39">
        <v>19572</v>
      </c>
      <c r="B73" s="57">
        <f>VLOOKUP(Table91213[[#This Row],[Date]],'DB Details'!$A:$L,2)</f>
        <v>42.1</v>
      </c>
      <c r="C73" s="55"/>
      <c r="D73" s="55"/>
      <c r="E73" s="88">
        <f>VLOOKUP(Table91213[[#This Row],[Date]],'DB Details'!$A:$L,5)</f>
        <v>55.8</v>
      </c>
      <c r="F73" s="88">
        <f>VLOOKUP(Table91213[[#This Row],[Date]],'DB Details'!$A:$L,6)</f>
        <v>50.7</v>
      </c>
      <c r="G73" s="94"/>
      <c r="H73" s="88">
        <f>VLOOKUP(Table91213[[#This Row],[Date]],'DB Details'!$A:$L,8)</f>
        <v>46.2</v>
      </c>
      <c r="I73" s="88">
        <f>VLOOKUP(Table91213[[#This Row],[Date]],'DB Details'!$A:$L,9)</f>
        <v>26.5</v>
      </c>
      <c r="J73" s="88">
        <f>VLOOKUP(Table91213[[#This Row],[Date]],'DB Details'!$A:$L,10)</f>
        <v>48.1</v>
      </c>
      <c r="K73" s="94"/>
      <c r="L73" s="88">
        <f>VLOOKUP(Table91213[[#This Row],[Date]],'DB Details'!$A:$L,12)</f>
        <v>43.5</v>
      </c>
    </row>
    <row r="74" spans="1:12" x14ac:dyDescent="0.35">
      <c r="A74" s="39">
        <v>19603</v>
      </c>
      <c r="B74" s="57">
        <f>VLOOKUP(Table91213[[#This Row],[Date]],'DB Details'!$A:$L,2)</f>
        <v>39.9</v>
      </c>
      <c r="C74" s="55"/>
      <c r="D74" s="55"/>
      <c r="E74" s="88">
        <f>VLOOKUP(Table91213[[#This Row],[Date]],'DB Details'!$A:$L,5)</f>
        <v>43.8</v>
      </c>
      <c r="F74" s="88">
        <f>VLOOKUP(Table91213[[#This Row],[Date]],'DB Details'!$A:$L,6)</f>
        <v>46.8</v>
      </c>
      <c r="G74" s="94"/>
      <c r="H74" s="88">
        <f>VLOOKUP(Table91213[[#This Row],[Date]],'DB Details'!$A:$L,8)</f>
        <v>43.3</v>
      </c>
      <c r="I74" s="88">
        <f>VLOOKUP(Table91213[[#This Row],[Date]],'DB Details'!$A:$L,9)</f>
        <v>23.2</v>
      </c>
      <c r="J74" s="88">
        <f>VLOOKUP(Table91213[[#This Row],[Date]],'DB Details'!$A:$L,10)</f>
        <v>43.8</v>
      </c>
      <c r="K74" s="94"/>
      <c r="L74" s="88">
        <f>VLOOKUP(Table91213[[#This Row],[Date]],'DB Details'!$A:$L,12)</f>
        <v>40.200000000000003</v>
      </c>
    </row>
    <row r="75" spans="1:12" x14ac:dyDescent="0.35">
      <c r="A75" s="39">
        <v>19633</v>
      </c>
      <c r="B75" s="57">
        <f>VLOOKUP(Table91213[[#This Row],[Date]],'DB Details'!$A:$L,2)</f>
        <v>38</v>
      </c>
      <c r="C75" s="55"/>
      <c r="D75" s="55"/>
      <c r="E75" s="88">
        <f>VLOOKUP(Table91213[[#This Row],[Date]],'DB Details'!$A:$L,5)</f>
        <v>45.1</v>
      </c>
      <c r="F75" s="88">
        <f>VLOOKUP(Table91213[[#This Row],[Date]],'DB Details'!$A:$L,6)</f>
        <v>44.6</v>
      </c>
      <c r="G75" s="94"/>
      <c r="H75" s="88">
        <f>VLOOKUP(Table91213[[#This Row],[Date]],'DB Details'!$A:$L,8)</f>
        <v>41.3</v>
      </c>
      <c r="I75" s="88">
        <f>VLOOKUP(Table91213[[#This Row],[Date]],'DB Details'!$A:$L,9)</f>
        <v>20.7</v>
      </c>
      <c r="J75" s="88">
        <f>VLOOKUP(Table91213[[#This Row],[Date]],'DB Details'!$A:$L,10)</f>
        <v>37.9</v>
      </c>
      <c r="K75" s="94"/>
      <c r="L75" s="88">
        <f>VLOOKUP(Table91213[[#This Row],[Date]],'DB Details'!$A:$L,12)</f>
        <v>37.4</v>
      </c>
    </row>
    <row r="76" spans="1:12" x14ac:dyDescent="0.35">
      <c r="A76" s="39">
        <v>19664</v>
      </c>
      <c r="B76" s="57">
        <f>VLOOKUP(Table91213[[#This Row],[Date]],'DB Details'!$A:$L,2)</f>
        <v>40.9</v>
      </c>
      <c r="C76" s="55"/>
      <c r="D76" s="55"/>
      <c r="E76" s="88">
        <f>VLOOKUP(Table91213[[#This Row],[Date]],'DB Details'!$A:$L,5)</f>
        <v>47</v>
      </c>
      <c r="F76" s="88">
        <f>VLOOKUP(Table91213[[#This Row],[Date]],'DB Details'!$A:$L,6)</f>
        <v>43.4</v>
      </c>
      <c r="G76" s="94"/>
      <c r="H76" s="88">
        <f>VLOOKUP(Table91213[[#This Row],[Date]],'DB Details'!$A:$L,8)</f>
        <v>35.5</v>
      </c>
      <c r="I76" s="88">
        <f>VLOOKUP(Table91213[[#This Row],[Date]],'DB Details'!$A:$L,9)</f>
        <v>20.2</v>
      </c>
      <c r="J76" s="88">
        <f>VLOOKUP(Table91213[[#This Row],[Date]],'DB Details'!$A:$L,10)</f>
        <v>35.799999999999997</v>
      </c>
      <c r="K76" s="94"/>
      <c r="L76" s="88">
        <f>VLOOKUP(Table91213[[#This Row],[Date]],'DB Details'!$A:$L,12)</f>
        <v>36.9</v>
      </c>
    </row>
    <row r="77" spans="1:12" x14ac:dyDescent="0.35">
      <c r="A77" s="39">
        <v>19694</v>
      </c>
      <c r="B77" s="57">
        <f>VLOOKUP(Table91213[[#This Row],[Date]],'DB Details'!$A:$L,2)</f>
        <v>37.5</v>
      </c>
      <c r="C77" s="55"/>
      <c r="D77" s="55"/>
      <c r="E77" s="88">
        <f>VLOOKUP(Table91213[[#This Row],[Date]],'DB Details'!$A:$L,5)</f>
        <v>47.7</v>
      </c>
      <c r="F77" s="88">
        <f>VLOOKUP(Table91213[[#This Row],[Date]],'DB Details'!$A:$L,6)</f>
        <v>41.3</v>
      </c>
      <c r="G77" s="94"/>
      <c r="H77" s="88">
        <f>VLOOKUP(Table91213[[#This Row],[Date]],'DB Details'!$A:$L,8)</f>
        <v>34.200000000000003</v>
      </c>
      <c r="I77" s="88">
        <f>VLOOKUP(Table91213[[#This Row],[Date]],'DB Details'!$A:$L,9)</f>
        <v>21.8</v>
      </c>
      <c r="J77" s="88">
        <f>VLOOKUP(Table91213[[#This Row],[Date]],'DB Details'!$A:$L,10)</f>
        <v>36.6</v>
      </c>
      <c r="K77" s="94"/>
      <c r="L77" s="88">
        <f>VLOOKUP(Table91213[[#This Row],[Date]],'DB Details'!$A:$L,12)</f>
        <v>35.6</v>
      </c>
    </row>
    <row r="78" spans="1:12" x14ac:dyDescent="0.35">
      <c r="A78" s="39">
        <v>19725</v>
      </c>
      <c r="B78" s="57">
        <f>VLOOKUP(Table91213[[#This Row],[Date]],'DB Details'!$A:$L,2)</f>
        <v>42.9</v>
      </c>
      <c r="C78" s="55"/>
      <c r="D78" s="55"/>
      <c r="E78" s="88">
        <f>VLOOKUP(Table91213[[#This Row],[Date]],'DB Details'!$A:$L,5)</f>
        <v>40.5</v>
      </c>
      <c r="F78" s="88">
        <f>VLOOKUP(Table91213[[#This Row],[Date]],'DB Details'!$A:$L,6)</f>
        <v>45</v>
      </c>
      <c r="G78" s="94"/>
      <c r="H78" s="88">
        <f>VLOOKUP(Table91213[[#This Row],[Date]],'DB Details'!$A:$L,8)</f>
        <v>34.200000000000003</v>
      </c>
      <c r="I78" s="88">
        <f>VLOOKUP(Table91213[[#This Row],[Date]],'DB Details'!$A:$L,9)</f>
        <v>23.6</v>
      </c>
      <c r="J78" s="88">
        <f>VLOOKUP(Table91213[[#This Row],[Date]],'DB Details'!$A:$L,10)</f>
        <v>31.5</v>
      </c>
      <c r="K78" s="94"/>
      <c r="L78" s="88">
        <f>VLOOKUP(Table91213[[#This Row],[Date]],'DB Details'!$A:$L,12)</f>
        <v>37.4</v>
      </c>
    </row>
    <row r="79" spans="1:12" x14ac:dyDescent="0.35">
      <c r="A79" s="39">
        <v>19756</v>
      </c>
      <c r="B79" s="57">
        <f>VLOOKUP(Table91213[[#This Row],[Date]],'DB Details'!$A:$L,2)</f>
        <v>50.3</v>
      </c>
      <c r="C79" s="55"/>
      <c r="D79" s="55"/>
      <c r="E79" s="88">
        <f>VLOOKUP(Table91213[[#This Row],[Date]],'DB Details'!$A:$L,5)</f>
        <v>41.6</v>
      </c>
      <c r="F79" s="88">
        <f>VLOOKUP(Table91213[[#This Row],[Date]],'DB Details'!$A:$L,6)</f>
        <v>46</v>
      </c>
      <c r="G79" s="94"/>
      <c r="H79" s="88">
        <f>VLOOKUP(Table91213[[#This Row],[Date]],'DB Details'!$A:$L,8)</f>
        <v>30.9</v>
      </c>
      <c r="I79" s="88">
        <f>VLOOKUP(Table91213[[#This Row],[Date]],'DB Details'!$A:$L,9)</f>
        <v>26.9</v>
      </c>
      <c r="J79" s="88">
        <f>VLOOKUP(Table91213[[#This Row],[Date]],'DB Details'!$A:$L,10)</f>
        <v>34.799999999999997</v>
      </c>
      <c r="K79" s="94"/>
      <c r="L79" s="88">
        <f>VLOOKUP(Table91213[[#This Row],[Date]],'DB Details'!$A:$L,12)</f>
        <v>40.700000000000003</v>
      </c>
    </row>
    <row r="80" spans="1:12" x14ac:dyDescent="0.35">
      <c r="A80" s="39">
        <v>19784</v>
      </c>
      <c r="B80" s="57">
        <f>VLOOKUP(Table91213[[#This Row],[Date]],'DB Details'!$A:$L,2)</f>
        <v>54.7</v>
      </c>
      <c r="C80" s="55"/>
      <c r="D80" s="55"/>
      <c r="E80" s="88">
        <f>VLOOKUP(Table91213[[#This Row],[Date]],'DB Details'!$A:$L,5)</f>
        <v>46.6</v>
      </c>
      <c r="F80" s="88">
        <f>VLOOKUP(Table91213[[#This Row],[Date]],'DB Details'!$A:$L,6)</f>
        <v>51.5</v>
      </c>
      <c r="G80" s="94"/>
      <c r="H80" s="88">
        <f>VLOOKUP(Table91213[[#This Row],[Date]],'DB Details'!$A:$L,8)</f>
        <v>31.6</v>
      </c>
      <c r="I80" s="88">
        <f>VLOOKUP(Table91213[[#This Row],[Date]],'DB Details'!$A:$L,9)</f>
        <v>28</v>
      </c>
      <c r="J80" s="88">
        <f>VLOOKUP(Table91213[[#This Row],[Date]],'DB Details'!$A:$L,10)</f>
        <v>40.200000000000003</v>
      </c>
      <c r="K80" s="94"/>
      <c r="L80" s="88">
        <f>VLOOKUP(Table91213[[#This Row],[Date]],'DB Details'!$A:$L,12)</f>
        <v>44.7</v>
      </c>
    </row>
    <row r="81" spans="1:12" x14ac:dyDescent="0.35">
      <c r="A81" s="39">
        <v>19815</v>
      </c>
      <c r="B81" s="57">
        <f>VLOOKUP(Table91213[[#This Row],[Date]],'DB Details'!$A:$L,2)</f>
        <v>58.4</v>
      </c>
      <c r="C81" s="55"/>
      <c r="D81" s="55"/>
      <c r="E81" s="88">
        <f>VLOOKUP(Table91213[[#This Row],[Date]],'DB Details'!$A:$L,5)</f>
        <v>49.7</v>
      </c>
      <c r="F81" s="88">
        <f>VLOOKUP(Table91213[[#This Row],[Date]],'DB Details'!$A:$L,6)</f>
        <v>55.4</v>
      </c>
      <c r="G81" s="94"/>
      <c r="H81" s="88">
        <f>VLOOKUP(Table91213[[#This Row],[Date]],'DB Details'!$A:$L,8)</f>
        <v>33.200000000000003</v>
      </c>
      <c r="I81" s="88">
        <f>VLOOKUP(Table91213[[#This Row],[Date]],'DB Details'!$A:$L,9)</f>
        <v>30.3</v>
      </c>
      <c r="J81" s="88">
        <f>VLOOKUP(Table91213[[#This Row],[Date]],'DB Details'!$A:$L,10)</f>
        <v>42.4</v>
      </c>
      <c r="K81" s="94"/>
      <c r="L81" s="88">
        <f>VLOOKUP(Table91213[[#This Row],[Date]],'DB Details'!$A:$L,12)</f>
        <v>47.7</v>
      </c>
    </row>
    <row r="82" spans="1:12" x14ac:dyDescent="0.35">
      <c r="A82" s="39">
        <v>19845</v>
      </c>
      <c r="B82" s="57">
        <f>VLOOKUP(Table91213[[#This Row],[Date]],'DB Details'!$A:$L,2)</f>
        <v>60.2</v>
      </c>
      <c r="C82" s="55"/>
      <c r="D82" s="55"/>
      <c r="E82" s="88">
        <f>VLOOKUP(Table91213[[#This Row],[Date]],'DB Details'!$A:$L,5)</f>
        <v>45.6</v>
      </c>
      <c r="F82" s="88">
        <f>VLOOKUP(Table91213[[#This Row],[Date]],'DB Details'!$A:$L,6)</f>
        <v>56.3</v>
      </c>
      <c r="G82" s="94"/>
      <c r="H82" s="88">
        <f>VLOOKUP(Table91213[[#This Row],[Date]],'DB Details'!$A:$L,8)</f>
        <v>39.1</v>
      </c>
      <c r="I82" s="88">
        <f>VLOOKUP(Table91213[[#This Row],[Date]],'DB Details'!$A:$L,9)</f>
        <v>34.299999999999997</v>
      </c>
      <c r="J82" s="88">
        <f>VLOOKUP(Table91213[[#This Row],[Date]],'DB Details'!$A:$L,10)</f>
        <v>44.5</v>
      </c>
      <c r="K82" s="94"/>
      <c r="L82" s="88">
        <f>VLOOKUP(Table91213[[#This Row],[Date]],'DB Details'!$A:$L,12)</f>
        <v>50.1</v>
      </c>
    </row>
    <row r="83" spans="1:12" x14ac:dyDescent="0.35">
      <c r="A83" s="39">
        <v>19876</v>
      </c>
      <c r="B83" s="57">
        <f>VLOOKUP(Table91213[[#This Row],[Date]],'DB Details'!$A:$L,2)</f>
        <v>64.599999999999994</v>
      </c>
      <c r="C83" s="55"/>
      <c r="D83" s="55"/>
      <c r="E83" s="88">
        <f>VLOOKUP(Table91213[[#This Row],[Date]],'DB Details'!$A:$L,5)</f>
        <v>52.5</v>
      </c>
      <c r="F83" s="88">
        <f>VLOOKUP(Table91213[[#This Row],[Date]],'DB Details'!$A:$L,6)</f>
        <v>59.4</v>
      </c>
      <c r="G83" s="94"/>
      <c r="H83" s="88">
        <f>VLOOKUP(Table91213[[#This Row],[Date]],'DB Details'!$A:$L,8)</f>
        <v>34.4</v>
      </c>
      <c r="I83" s="88">
        <f>VLOOKUP(Table91213[[#This Row],[Date]],'DB Details'!$A:$L,9)</f>
        <v>35.799999999999997</v>
      </c>
      <c r="J83" s="88">
        <f>VLOOKUP(Table91213[[#This Row],[Date]],'DB Details'!$A:$L,10)</f>
        <v>45.2</v>
      </c>
      <c r="K83" s="94"/>
      <c r="L83" s="88">
        <f>VLOOKUP(Table91213[[#This Row],[Date]],'DB Details'!$A:$L,12)</f>
        <v>52.1</v>
      </c>
    </row>
    <row r="84" spans="1:12" x14ac:dyDescent="0.35">
      <c r="A84" s="39">
        <v>19906</v>
      </c>
      <c r="B84" s="57">
        <f>VLOOKUP(Table91213[[#This Row],[Date]],'DB Details'!$A:$L,2)</f>
        <v>63.8</v>
      </c>
      <c r="C84" s="55"/>
      <c r="D84" s="55"/>
      <c r="E84" s="88">
        <f>VLOOKUP(Table91213[[#This Row],[Date]],'DB Details'!$A:$L,5)</f>
        <v>53.8</v>
      </c>
      <c r="F84" s="88">
        <f>VLOOKUP(Table91213[[#This Row],[Date]],'DB Details'!$A:$L,6)</f>
        <v>57.4</v>
      </c>
      <c r="G84" s="94"/>
      <c r="H84" s="88">
        <f>VLOOKUP(Table91213[[#This Row],[Date]],'DB Details'!$A:$L,8)</f>
        <v>35.700000000000003</v>
      </c>
      <c r="I84" s="88">
        <f>VLOOKUP(Table91213[[#This Row],[Date]],'DB Details'!$A:$L,9)</f>
        <v>38.1</v>
      </c>
      <c r="J84" s="88">
        <f>VLOOKUP(Table91213[[#This Row],[Date]],'DB Details'!$A:$L,10)</f>
        <v>44.4</v>
      </c>
      <c r="K84" s="94"/>
      <c r="L84" s="88">
        <f>VLOOKUP(Table91213[[#This Row],[Date]],'DB Details'!$A:$L,12)</f>
        <v>51.7</v>
      </c>
    </row>
    <row r="85" spans="1:12" x14ac:dyDescent="0.35">
      <c r="A85" s="39">
        <v>19937</v>
      </c>
      <c r="B85" s="57">
        <f>VLOOKUP(Table91213[[#This Row],[Date]],'DB Details'!$A:$L,2)</f>
        <v>56.6</v>
      </c>
      <c r="C85" s="55"/>
      <c r="D85" s="55"/>
      <c r="E85" s="88">
        <f>VLOOKUP(Table91213[[#This Row],[Date]],'DB Details'!$A:$L,5)</f>
        <v>41.7</v>
      </c>
      <c r="F85" s="88">
        <f>VLOOKUP(Table91213[[#This Row],[Date]],'DB Details'!$A:$L,6)</f>
        <v>56.2</v>
      </c>
      <c r="G85" s="94"/>
      <c r="H85" s="88">
        <f>VLOOKUP(Table91213[[#This Row],[Date]],'DB Details'!$A:$L,8)</f>
        <v>37.700000000000003</v>
      </c>
      <c r="I85" s="88">
        <f>VLOOKUP(Table91213[[#This Row],[Date]],'DB Details'!$A:$L,9)</f>
        <v>36.4</v>
      </c>
      <c r="J85" s="88">
        <f>VLOOKUP(Table91213[[#This Row],[Date]],'DB Details'!$A:$L,10)</f>
        <v>37.700000000000003</v>
      </c>
      <c r="K85" s="94"/>
      <c r="L85" s="88">
        <f>VLOOKUP(Table91213[[#This Row],[Date]],'DB Details'!$A:$L,12)</f>
        <v>54.4</v>
      </c>
    </row>
    <row r="86" spans="1:12" x14ac:dyDescent="0.35">
      <c r="A86" s="39">
        <v>19968</v>
      </c>
      <c r="B86" s="57">
        <f>VLOOKUP(Table91213[[#This Row],[Date]],'DB Details'!$A:$L,2)</f>
        <v>62.2</v>
      </c>
      <c r="C86" s="55"/>
      <c r="D86" s="55"/>
      <c r="E86" s="88">
        <f>VLOOKUP(Table91213[[#This Row],[Date]],'DB Details'!$A:$L,5)</f>
        <v>53</v>
      </c>
      <c r="F86" s="88">
        <f>VLOOKUP(Table91213[[#This Row],[Date]],'DB Details'!$A:$L,6)</f>
        <v>57</v>
      </c>
      <c r="G86" s="94"/>
      <c r="H86" s="88">
        <f>VLOOKUP(Table91213[[#This Row],[Date]],'DB Details'!$A:$L,8)</f>
        <v>40.799999999999997</v>
      </c>
      <c r="I86" s="88">
        <f>VLOOKUP(Table91213[[#This Row],[Date]],'DB Details'!$A:$L,9)</f>
        <v>43.6</v>
      </c>
      <c r="J86" s="88">
        <f>VLOOKUP(Table91213[[#This Row],[Date]],'DB Details'!$A:$L,10)</f>
        <v>49.7</v>
      </c>
      <c r="K86" s="94"/>
      <c r="L86" s="88">
        <f>VLOOKUP(Table91213[[#This Row],[Date]],'DB Details'!$A:$L,12)</f>
        <v>53.5</v>
      </c>
    </row>
    <row r="87" spans="1:12" x14ac:dyDescent="0.35">
      <c r="A87" s="39">
        <v>19998</v>
      </c>
      <c r="B87" s="57">
        <f>VLOOKUP(Table91213[[#This Row],[Date]],'DB Details'!$A:$L,2)</f>
        <v>66.7</v>
      </c>
      <c r="C87" s="55"/>
      <c r="D87" s="55"/>
      <c r="E87" s="88">
        <f>VLOOKUP(Table91213[[#This Row],[Date]],'DB Details'!$A:$L,5)</f>
        <v>57.6</v>
      </c>
      <c r="F87" s="88">
        <f>VLOOKUP(Table91213[[#This Row],[Date]],'DB Details'!$A:$L,6)</f>
        <v>62.4</v>
      </c>
      <c r="G87" s="94"/>
      <c r="H87" s="88">
        <f>VLOOKUP(Table91213[[#This Row],[Date]],'DB Details'!$A:$L,8)</f>
        <v>40.5</v>
      </c>
      <c r="I87" s="88">
        <f>VLOOKUP(Table91213[[#This Row],[Date]],'DB Details'!$A:$L,9)</f>
        <v>49.5</v>
      </c>
      <c r="J87" s="88">
        <f>VLOOKUP(Table91213[[#This Row],[Date]],'DB Details'!$A:$L,10)</f>
        <v>55.8</v>
      </c>
      <c r="K87" s="94"/>
      <c r="L87" s="88">
        <f>VLOOKUP(Table91213[[#This Row],[Date]],'DB Details'!$A:$L,12)</f>
        <v>58.2</v>
      </c>
    </row>
    <row r="88" spans="1:12" x14ac:dyDescent="0.35">
      <c r="A88" s="39">
        <v>20029</v>
      </c>
      <c r="B88" s="57">
        <f>VLOOKUP(Table91213[[#This Row],[Date]],'DB Details'!$A:$L,2)</f>
        <v>66</v>
      </c>
      <c r="C88" s="55"/>
      <c r="D88" s="55"/>
      <c r="E88" s="88">
        <f>VLOOKUP(Table91213[[#This Row],[Date]],'DB Details'!$A:$L,5)</f>
        <v>57.8</v>
      </c>
      <c r="F88" s="88">
        <f>VLOOKUP(Table91213[[#This Row],[Date]],'DB Details'!$A:$L,6)</f>
        <v>63</v>
      </c>
      <c r="G88" s="94"/>
      <c r="H88" s="88">
        <f>VLOOKUP(Table91213[[#This Row],[Date]],'DB Details'!$A:$L,8)</f>
        <v>44.7</v>
      </c>
      <c r="I88" s="88">
        <f>VLOOKUP(Table91213[[#This Row],[Date]],'DB Details'!$A:$L,9)</f>
        <v>51.9</v>
      </c>
      <c r="J88" s="88">
        <f>VLOOKUP(Table91213[[#This Row],[Date]],'DB Details'!$A:$L,10)</f>
        <v>55.1</v>
      </c>
      <c r="K88" s="94"/>
      <c r="L88" s="88">
        <f>VLOOKUP(Table91213[[#This Row],[Date]],'DB Details'!$A:$L,12)</f>
        <v>58.8</v>
      </c>
    </row>
    <row r="89" spans="1:12" x14ac:dyDescent="0.35">
      <c r="A89" s="39">
        <v>20059</v>
      </c>
      <c r="B89" s="57">
        <f>VLOOKUP(Table91213[[#This Row],[Date]],'DB Details'!$A:$L,2)</f>
        <v>73.599999999999994</v>
      </c>
      <c r="C89" s="55"/>
      <c r="D89" s="55"/>
      <c r="E89" s="88">
        <f>VLOOKUP(Table91213[[#This Row],[Date]],'DB Details'!$A:$L,5)</f>
        <v>59.1</v>
      </c>
      <c r="F89" s="88">
        <f>VLOOKUP(Table91213[[#This Row],[Date]],'DB Details'!$A:$L,6)</f>
        <v>70.5</v>
      </c>
      <c r="G89" s="94"/>
      <c r="H89" s="88">
        <f>VLOOKUP(Table91213[[#This Row],[Date]],'DB Details'!$A:$L,8)</f>
        <v>47.1</v>
      </c>
      <c r="I89" s="88">
        <f>VLOOKUP(Table91213[[#This Row],[Date]],'DB Details'!$A:$L,9)</f>
        <v>54.5</v>
      </c>
      <c r="J89" s="88">
        <f>VLOOKUP(Table91213[[#This Row],[Date]],'DB Details'!$A:$L,10)</f>
        <v>55.8</v>
      </c>
      <c r="K89" s="94"/>
      <c r="L89" s="88">
        <f>VLOOKUP(Table91213[[#This Row],[Date]],'DB Details'!$A:$L,12)</f>
        <v>63.8</v>
      </c>
    </row>
    <row r="90" spans="1:12" x14ac:dyDescent="0.35">
      <c r="A90" s="39">
        <v>20090</v>
      </c>
      <c r="B90" s="57">
        <f>VLOOKUP(Table91213[[#This Row],[Date]],'DB Details'!$A:$L,2)</f>
        <v>66.8</v>
      </c>
      <c r="C90" s="55"/>
      <c r="D90" s="55"/>
      <c r="E90" s="88">
        <f>VLOOKUP(Table91213[[#This Row],[Date]],'DB Details'!$A:$L,5)</f>
        <v>66.7</v>
      </c>
      <c r="F90" s="88">
        <f>VLOOKUP(Table91213[[#This Row],[Date]],'DB Details'!$A:$L,6)</f>
        <v>69.099999999999994</v>
      </c>
      <c r="G90" s="94"/>
      <c r="H90" s="88">
        <f>VLOOKUP(Table91213[[#This Row],[Date]],'DB Details'!$A:$L,8)</f>
        <v>48</v>
      </c>
      <c r="I90" s="88">
        <f>VLOOKUP(Table91213[[#This Row],[Date]],'DB Details'!$A:$L,9)</f>
        <v>60.6</v>
      </c>
      <c r="J90" s="88">
        <f>VLOOKUP(Table91213[[#This Row],[Date]],'DB Details'!$A:$L,10)</f>
        <v>59</v>
      </c>
      <c r="K90" s="94"/>
      <c r="L90" s="88">
        <f>VLOOKUP(Table91213[[#This Row],[Date]],'DB Details'!$A:$L,12)</f>
        <v>63</v>
      </c>
    </row>
    <row r="91" spans="1:12" x14ac:dyDescent="0.35">
      <c r="A91" s="39">
        <v>20121</v>
      </c>
      <c r="B91" s="57">
        <f>VLOOKUP(Table91213[[#This Row],[Date]],'DB Details'!$A:$L,2)</f>
        <v>73.900000000000006</v>
      </c>
      <c r="C91" s="55"/>
      <c r="D91" s="55"/>
      <c r="E91" s="88">
        <f>VLOOKUP(Table91213[[#This Row],[Date]],'DB Details'!$A:$L,5)</f>
        <v>82</v>
      </c>
      <c r="F91" s="88">
        <f>VLOOKUP(Table91213[[#This Row],[Date]],'DB Details'!$A:$L,6)</f>
        <v>70.900000000000006</v>
      </c>
      <c r="G91" s="94"/>
      <c r="H91" s="88">
        <f>VLOOKUP(Table91213[[#This Row],[Date]],'DB Details'!$A:$L,8)</f>
        <v>51.3</v>
      </c>
      <c r="I91" s="88">
        <f>VLOOKUP(Table91213[[#This Row],[Date]],'DB Details'!$A:$L,9)</f>
        <v>67.2</v>
      </c>
      <c r="J91" s="88">
        <f>VLOOKUP(Table91213[[#This Row],[Date]],'DB Details'!$A:$L,10)</f>
        <v>63.4</v>
      </c>
      <c r="K91" s="94"/>
      <c r="L91" s="88">
        <f>VLOOKUP(Table91213[[#This Row],[Date]],'DB Details'!$A:$L,12)</f>
        <v>67.8</v>
      </c>
    </row>
    <row r="92" spans="1:12" x14ac:dyDescent="0.35">
      <c r="A92" s="39">
        <v>20149</v>
      </c>
      <c r="B92" s="57">
        <f>VLOOKUP(Table91213[[#This Row],[Date]],'DB Details'!$A:$L,2)</f>
        <v>71.5</v>
      </c>
      <c r="C92" s="55"/>
      <c r="D92" s="55"/>
      <c r="E92" s="88">
        <f>VLOOKUP(Table91213[[#This Row],[Date]],'DB Details'!$A:$L,5)</f>
        <v>69.8</v>
      </c>
      <c r="F92" s="88">
        <f>VLOOKUP(Table91213[[#This Row],[Date]],'DB Details'!$A:$L,6)</f>
        <v>71</v>
      </c>
      <c r="G92" s="94"/>
      <c r="H92" s="88">
        <f>VLOOKUP(Table91213[[#This Row],[Date]],'DB Details'!$A:$L,8)</f>
        <v>54.4</v>
      </c>
      <c r="I92" s="88">
        <f>VLOOKUP(Table91213[[#This Row],[Date]],'DB Details'!$A:$L,9)</f>
        <v>68.5</v>
      </c>
      <c r="J92" s="88">
        <f>VLOOKUP(Table91213[[#This Row],[Date]],'DB Details'!$A:$L,10)</f>
        <v>63</v>
      </c>
      <c r="K92" s="94"/>
      <c r="L92" s="88">
        <f>VLOOKUP(Table91213[[#This Row],[Date]],'DB Details'!$A:$L,12)</f>
        <v>67.5</v>
      </c>
    </row>
    <row r="93" spans="1:12" x14ac:dyDescent="0.35">
      <c r="A93" s="39">
        <v>20180</v>
      </c>
      <c r="B93" s="57">
        <f>VLOOKUP(Table91213[[#This Row],[Date]],'DB Details'!$A:$L,2)</f>
        <v>70.900000000000006</v>
      </c>
      <c r="C93" s="55"/>
      <c r="D93" s="55"/>
      <c r="E93" s="88">
        <f>VLOOKUP(Table91213[[#This Row],[Date]],'DB Details'!$A:$L,5)</f>
        <v>75.2</v>
      </c>
      <c r="F93" s="88">
        <f>VLOOKUP(Table91213[[#This Row],[Date]],'DB Details'!$A:$L,6)</f>
        <v>73.8</v>
      </c>
      <c r="G93" s="94"/>
      <c r="H93" s="88">
        <f>VLOOKUP(Table91213[[#This Row],[Date]],'DB Details'!$A:$L,8)</f>
        <v>54.2</v>
      </c>
      <c r="I93" s="88">
        <f>VLOOKUP(Table91213[[#This Row],[Date]],'DB Details'!$A:$L,9)</f>
        <v>71.900000000000006</v>
      </c>
      <c r="J93" s="88">
        <f>VLOOKUP(Table91213[[#This Row],[Date]],'DB Details'!$A:$L,10)</f>
        <v>63.9</v>
      </c>
      <c r="K93" s="94"/>
      <c r="L93" s="88">
        <f>VLOOKUP(Table91213[[#This Row],[Date]],'DB Details'!$A:$L,12)</f>
        <v>68.7</v>
      </c>
    </row>
    <row r="94" spans="1:12" x14ac:dyDescent="0.35">
      <c r="A94" s="39">
        <v>20210</v>
      </c>
      <c r="B94" s="57">
        <f>VLOOKUP(Table91213[[#This Row],[Date]],'DB Details'!$A:$L,2)</f>
        <v>72.900000000000006</v>
      </c>
      <c r="C94" s="55"/>
      <c r="D94" s="55"/>
      <c r="E94" s="88">
        <f>VLOOKUP(Table91213[[#This Row],[Date]],'DB Details'!$A:$L,5)</f>
        <v>81</v>
      </c>
      <c r="F94" s="88">
        <f>VLOOKUP(Table91213[[#This Row],[Date]],'DB Details'!$A:$L,6)</f>
        <v>73.5</v>
      </c>
      <c r="G94" s="94"/>
      <c r="H94" s="88">
        <f>VLOOKUP(Table91213[[#This Row],[Date]],'DB Details'!$A:$L,8)</f>
        <v>56.6</v>
      </c>
      <c r="I94" s="88">
        <f>VLOOKUP(Table91213[[#This Row],[Date]],'DB Details'!$A:$L,9)</f>
        <v>68.7</v>
      </c>
      <c r="J94" s="88">
        <f>VLOOKUP(Table91213[[#This Row],[Date]],'DB Details'!$A:$L,10)</f>
        <v>66.2</v>
      </c>
      <c r="K94" s="94"/>
      <c r="L94" s="88">
        <f>VLOOKUP(Table91213[[#This Row],[Date]],'DB Details'!$A:$L,12)</f>
        <v>69.5</v>
      </c>
    </row>
    <row r="95" spans="1:12" x14ac:dyDescent="0.35">
      <c r="A95" s="39">
        <v>20241</v>
      </c>
      <c r="B95" s="57">
        <f>VLOOKUP(Table91213[[#This Row],[Date]],'DB Details'!$A:$L,2)</f>
        <v>60.9</v>
      </c>
      <c r="C95" s="55"/>
      <c r="D95" s="55"/>
      <c r="E95" s="88">
        <f>VLOOKUP(Table91213[[#This Row],[Date]],'DB Details'!$A:$L,5)</f>
        <v>75.900000000000006</v>
      </c>
      <c r="F95" s="88">
        <f>VLOOKUP(Table91213[[#This Row],[Date]],'DB Details'!$A:$L,6)</f>
        <v>65.5</v>
      </c>
      <c r="G95" s="94"/>
      <c r="H95" s="88">
        <f>VLOOKUP(Table91213[[#This Row],[Date]],'DB Details'!$A:$L,8)</f>
        <v>65.2</v>
      </c>
      <c r="I95" s="88">
        <f>VLOOKUP(Table91213[[#This Row],[Date]],'DB Details'!$A:$L,9)</f>
        <v>65.7</v>
      </c>
      <c r="J95" s="88">
        <f>VLOOKUP(Table91213[[#This Row],[Date]],'DB Details'!$A:$L,10)</f>
        <v>61.2</v>
      </c>
      <c r="K95" s="94"/>
      <c r="L95" s="88">
        <f>VLOOKUP(Table91213[[#This Row],[Date]],'DB Details'!$A:$L,12)</f>
        <v>63.3</v>
      </c>
    </row>
    <row r="96" spans="1:12" x14ac:dyDescent="0.35">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4"/>
      <c r="H96" s="88">
        <f>VLOOKUP(Table91213[[#This Row],[Date]],'DB Details'!$A:$L,8)</f>
        <v>58.4</v>
      </c>
      <c r="I96" s="88">
        <f>VLOOKUP(Table91213[[#This Row],[Date]],'DB Details'!$A:$L,9)</f>
        <v>67</v>
      </c>
      <c r="J96" s="88">
        <f>VLOOKUP(Table91213[[#This Row],[Date]],'DB Details'!$A:$L,10)</f>
        <v>60.9</v>
      </c>
      <c r="K96" s="94"/>
      <c r="L96" s="88">
        <f>VLOOKUP(Table91213[[#This Row],[Date]],'DB Details'!$A:$L,12)</f>
        <v>66.2</v>
      </c>
    </row>
    <row r="97" spans="1:12" x14ac:dyDescent="0.35">
      <c r="A97" s="39">
        <v>20302</v>
      </c>
      <c r="B97" s="57">
        <f>VLOOKUP(Table91213[[#This Row],[Date]],'DB Details'!$A:$L,2)</f>
        <v>70.400000000000006</v>
      </c>
      <c r="C97" s="55"/>
      <c r="D97" s="55"/>
      <c r="E97" s="88">
        <f>VLOOKUP(Table91213[[#This Row],[Date]],'DB Details'!$A:$L,5)</f>
        <v>79.5</v>
      </c>
      <c r="F97" s="88">
        <f>VLOOKUP(Table91213[[#This Row],[Date]],'DB Details'!$A:$L,6)</f>
        <v>67.099999999999994</v>
      </c>
      <c r="G97" s="94"/>
      <c r="H97" s="88">
        <f>VLOOKUP(Table91213[[#This Row],[Date]],'DB Details'!$A:$L,8)</f>
        <v>54.2</v>
      </c>
      <c r="I97" s="88">
        <f>VLOOKUP(Table91213[[#This Row],[Date]],'DB Details'!$A:$L,9)</f>
        <v>64.3</v>
      </c>
      <c r="J97" s="88">
        <f>VLOOKUP(Table91213[[#This Row],[Date]],'DB Details'!$A:$L,10)</f>
        <v>59.2</v>
      </c>
      <c r="K97" s="94"/>
      <c r="L97" s="88">
        <f>VLOOKUP(Table91213[[#This Row],[Date]],'DB Details'!$A:$L,12)</f>
        <v>64.8</v>
      </c>
    </row>
    <row r="98" spans="1:12" x14ac:dyDescent="0.35">
      <c r="A98" s="39">
        <v>20333</v>
      </c>
      <c r="B98" s="57">
        <f>VLOOKUP(Table91213[[#This Row],[Date]],'DB Details'!$A:$L,2)</f>
        <v>63.7</v>
      </c>
      <c r="C98" s="55"/>
      <c r="D98" s="55"/>
      <c r="E98" s="88">
        <f>VLOOKUP(Table91213[[#This Row],[Date]],'DB Details'!$A:$L,5)</f>
        <v>82.2</v>
      </c>
      <c r="F98" s="88">
        <f>VLOOKUP(Table91213[[#This Row],[Date]],'DB Details'!$A:$L,6)</f>
        <v>64.3</v>
      </c>
      <c r="G98" s="94"/>
      <c r="H98" s="88">
        <f>VLOOKUP(Table91213[[#This Row],[Date]],'DB Details'!$A:$L,8)</f>
        <v>53.5</v>
      </c>
      <c r="I98" s="88">
        <f>VLOOKUP(Table91213[[#This Row],[Date]],'DB Details'!$A:$L,9)</f>
        <v>66.3</v>
      </c>
      <c r="J98" s="88">
        <f>VLOOKUP(Table91213[[#This Row],[Date]],'DB Details'!$A:$L,10)</f>
        <v>59.7</v>
      </c>
      <c r="K98" s="94"/>
      <c r="L98" s="88">
        <f>VLOOKUP(Table91213[[#This Row],[Date]],'DB Details'!$A:$L,12)</f>
        <v>62.4</v>
      </c>
    </row>
    <row r="99" spans="1:12" x14ac:dyDescent="0.35">
      <c r="A99" s="39">
        <v>20363</v>
      </c>
      <c r="B99" s="57">
        <f>VLOOKUP(Table91213[[#This Row],[Date]],'DB Details'!$A:$L,2)</f>
        <v>66.3</v>
      </c>
      <c r="C99" s="55"/>
      <c r="D99" s="55"/>
      <c r="E99" s="88">
        <f>VLOOKUP(Table91213[[#This Row],[Date]],'DB Details'!$A:$L,5)</f>
        <v>80.5</v>
      </c>
      <c r="F99" s="88">
        <f>VLOOKUP(Table91213[[#This Row],[Date]],'DB Details'!$A:$L,6)</f>
        <v>65.099999999999994</v>
      </c>
      <c r="G99" s="94"/>
      <c r="H99" s="88">
        <f>VLOOKUP(Table91213[[#This Row],[Date]],'DB Details'!$A:$L,8)</f>
        <v>53.5</v>
      </c>
      <c r="I99" s="88">
        <f>VLOOKUP(Table91213[[#This Row],[Date]],'DB Details'!$A:$L,9)</f>
        <v>66.5</v>
      </c>
      <c r="J99" s="88">
        <f>VLOOKUP(Table91213[[#This Row],[Date]],'DB Details'!$A:$L,10)</f>
        <v>60.9</v>
      </c>
      <c r="K99" s="94"/>
      <c r="L99" s="88">
        <f>VLOOKUP(Table91213[[#This Row],[Date]],'DB Details'!$A:$L,12)</f>
        <v>63.7</v>
      </c>
    </row>
    <row r="100" spans="1:12" x14ac:dyDescent="0.35">
      <c r="A100" s="39">
        <v>20394</v>
      </c>
      <c r="B100" s="57">
        <f>VLOOKUP(Table91213[[#This Row],[Date]],'DB Details'!$A:$L,2)</f>
        <v>61.5</v>
      </c>
      <c r="C100" s="55"/>
      <c r="D100" s="55"/>
      <c r="E100" s="88">
        <f>VLOOKUP(Table91213[[#This Row],[Date]],'DB Details'!$A:$L,5)</f>
        <v>77.3</v>
      </c>
      <c r="F100" s="88">
        <f>VLOOKUP(Table91213[[#This Row],[Date]],'DB Details'!$A:$L,6)</f>
        <v>63.9</v>
      </c>
      <c r="G100" s="94"/>
      <c r="H100" s="88">
        <f>VLOOKUP(Table91213[[#This Row],[Date]],'DB Details'!$A:$L,8)</f>
        <v>55.5</v>
      </c>
      <c r="I100" s="88">
        <f>VLOOKUP(Table91213[[#This Row],[Date]],'DB Details'!$A:$L,9)</f>
        <v>64.900000000000006</v>
      </c>
      <c r="J100" s="88">
        <f>VLOOKUP(Table91213[[#This Row],[Date]],'DB Details'!$A:$L,10)</f>
        <v>61.3</v>
      </c>
      <c r="K100" s="94"/>
      <c r="L100" s="88">
        <f>VLOOKUP(Table91213[[#This Row],[Date]],'DB Details'!$A:$L,12)</f>
        <v>62</v>
      </c>
    </row>
    <row r="101" spans="1:12" x14ac:dyDescent="0.35">
      <c r="A101" s="39">
        <v>20424</v>
      </c>
      <c r="B101" s="57">
        <f>VLOOKUP(Table91213[[#This Row],[Date]],'DB Details'!$A:$L,2)</f>
        <v>66.599999999999994</v>
      </c>
      <c r="C101" s="55"/>
      <c r="D101" s="55"/>
      <c r="E101" s="88">
        <f>VLOOKUP(Table91213[[#This Row],[Date]],'DB Details'!$A:$L,5)</f>
        <v>80</v>
      </c>
      <c r="F101" s="88">
        <f>VLOOKUP(Table91213[[#This Row],[Date]],'DB Details'!$A:$L,6)</f>
        <v>72.400000000000006</v>
      </c>
      <c r="G101" s="94"/>
      <c r="H101" s="88">
        <f>VLOOKUP(Table91213[[#This Row],[Date]],'DB Details'!$A:$L,8)</f>
        <v>55.4</v>
      </c>
      <c r="I101" s="88">
        <f>VLOOKUP(Table91213[[#This Row],[Date]],'DB Details'!$A:$L,9)</f>
        <v>61.4</v>
      </c>
      <c r="J101" s="88">
        <f>VLOOKUP(Table91213[[#This Row],[Date]],'DB Details'!$A:$L,10)</f>
        <v>63.9</v>
      </c>
      <c r="K101" s="94"/>
      <c r="L101" s="88">
        <f>VLOOKUP(Table91213[[#This Row],[Date]],'DB Details'!$A:$L,12)</f>
        <v>65.599999999999994</v>
      </c>
    </row>
    <row r="102" spans="1:12" x14ac:dyDescent="0.35">
      <c r="A102" s="39">
        <v>20455</v>
      </c>
      <c r="B102" s="57">
        <f>VLOOKUP(Table91213[[#This Row],[Date]],'DB Details'!$A:$L,2)</f>
        <v>61.8</v>
      </c>
      <c r="C102" s="55"/>
      <c r="D102" s="55"/>
      <c r="E102" s="88">
        <f>VLOOKUP(Table91213[[#This Row],[Date]],'DB Details'!$A:$L,5)</f>
        <v>82.7</v>
      </c>
      <c r="F102" s="88">
        <f>VLOOKUP(Table91213[[#This Row],[Date]],'DB Details'!$A:$L,6)</f>
        <v>64</v>
      </c>
      <c r="G102" s="94"/>
      <c r="H102" s="88">
        <f>VLOOKUP(Table91213[[#This Row],[Date]],'DB Details'!$A:$L,8)</f>
        <v>52.2</v>
      </c>
      <c r="I102" s="88">
        <f>VLOOKUP(Table91213[[#This Row],[Date]],'DB Details'!$A:$L,9)</f>
        <v>53.5</v>
      </c>
      <c r="J102" s="88">
        <f>VLOOKUP(Table91213[[#This Row],[Date]],'DB Details'!$A:$L,10)</f>
        <v>62.3</v>
      </c>
      <c r="K102" s="94"/>
      <c r="L102" s="88">
        <f>VLOOKUP(Table91213[[#This Row],[Date]],'DB Details'!$A:$L,12)</f>
        <v>60.2</v>
      </c>
    </row>
    <row r="103" spans="1:12" x14ac:dyDescent="0.35">
      <c r="A103" s="39">
        <v>20486</v>
      </c>
      <c r="B103" s="57">
        <f>VLOOKUP(Table91213[[#This Row],[Date]],'DB Details'!$A:$L,2)</f>
        <v>56.2</v>
      </c>
      <c r="C103" s="55"/>
      <c r="D103" s="55"/>
      <c r="E103" s="88">
        <f>VLOOKUP(Table91213[[#This Row],[Date]],'DB Details'!$A:$L,5)</f>
        <v>83.5</v>
      </c>
      <c r="F103" s="88">
        <f>VLOOKUP(Table91213[[#This Row],[Date]],'DB Details'!$A:$L,6)</f>
        <v>63.5</v>
      </c>
      <c r="G103" s="94"/>
      <c r="H103" s="88">
        <f>VLOOKUP(Table91213[[#This Row],[Date]],'DB Details'!$A:$L,8)</f>
        <v>56.1</v>
      </c>
      <c r="I103" s="88">
        <f>VLOOKUP(Table91213[[#This Row],[Date]],'DB Details'!$A:$L,9)</f>
        <v>51.3</v>
      </c>
      <c r="J103" s="88">
        <f>VLOOKUP(Table91213[[#This Row],[Date]],'DB Details'!$A:$L,10)</f>
        <v>61</v>
      </c>
      <c r="K103" s="94"/>
      <c r="L103" s="88">
        <f>VLOOKUP(Table91213[[#This Row],[Date]],'DB Details'!$A:$L,12)</f>
        <v>58.2</v>
      </c>
    </row>
    <row r="104" spans="1:12" x14ac:dyDescent="0.35">
      <c r="A104" s="39">
        <v>20515</v>
      </c>
      <c r="B104" s="57">
        <f>VLOOKUP(Table91213[[#This Row],[Date]],'DB Details'!$A:$L,2)</f>
        <v>57.3</v>
      </c>
      <c r="C104" s="55"/>
      <c r="D104" s="55"/>
      <c r="E104" s="88">
        <f>VLOOKUP(Table91213[[#This Row],[Date]],'DB Details'!$A:$L,5)</f>
        <v>87.7</v>
      </c>
      <c r="F104" s="88">
        <f>VLOOKUP(Table91213[[#This Row],[Date]],'DB Details'!$A:$L,6)</f>
        <v>61</v>
      </c>
      <c r="G104" s="94"/>
      <c r="H104" s="88">
        <f>VLOOKUP(Table91213[[#This Row],[Date]],'DB Details'!$A:$L,8)</f>
        <v>57.2</v>
      </c>
      <c r="I104" s="88">
        <f>VLOOKUP(Table91213[[#This Row],[Date]],'DB Details'!$A:$L,9)</f>
        <v>51</v>
      </c>
      <c r="J104" s="88">
        <f>VLOOKUP(Table91213[[#This Row],[Date]],'DB Details'!$A:$L,10)</f>
        <v>56.9</v>
      </c>
      <c r="K104" s="94"/>
      <c r="L104" s="88">
        <f>VLOOKUP(Table91213[[#This Row],[Date]],'DB Details'!$A:$L,12)</f>
        <v>57.2</v>
      </c>
    </row>
    <row r="105" spans="1:12" x14ac:dyDescent="0.35">
      <c r="A105" s="39">
        <v>20546</v>
      </c>
      <c r="B105" s="57">
        <f>VLOOKUP(Table91213[[#This Row],[Date]],'DB Details'!$A:$L,2)</f>
        <v>55.9</v>
      </c>
      <c r="C105" s="55"/>
      <c r="D105" s="55"/>
      <c r="E105" s="88">
        <f>VLOOKUP(Table91213[[#This Row],[Date]],'DB Details'!$A:$L,5)</f>
        <v>87.5</v>
      </c>
      <c r="F105" s="88">
        <f>VLOOKUP(Table91213[[#This Row],[Date]],'DB Details'!$A:$L,6)</f>
        <v>58.9</v>
      </c>
      <c r="G105" s="94"/>
      <c r="H105" s="88">
        <f>VLOOKUP(Table91213[[#This Row],[Date]],'DB Details'!$A:$L,8)</f>
        <v>57.5</v>
      </c>
      <c r="I105" s="88">
        <f>VLOOKUP(Table91213[[#This Row],[Date]],'DB Details'!$A:$L,9)</f>
        <v>51</v>
      </c>
      <c r="J105" s="88">
        <f>VLOOKUP(Table91213[[#This Row],[Date]],'DB Details'!$A:$L,10)</f>
        <v>54.8</v>
      </c>
      <c r="K105" s="94"/>
      <c r="L105" s="88">
        <f>VLOOKUP(Table91213[[#This Row],[Date]],'DB Details'!$A:$L,12)</f>
        <v>55.9</v>
      </c>
    </row>
    <row r="106" spans="1:12" x14ac:dyDescent="0.35">
      <c r="A106" s="39">
        <v>20576</v>
      </c>
      <c r="B106" s="57">
        <f>VLOOKUP(Table91213[[#This Row],[Date]],'DB Details'!$A:$L,2)</f>
        <v>53</v>
      </c>
      <c r="C106" s="55"/>
      <c r="D106" s="55"/>
      <c r="E106" s="88">
        <f>VLOOKUP(Table91213[[#This Row],[Date]],'DB Details'!$A:$L,5)</f>
        <v>81.7</v>
      </c>
      <c r="F106" s="88">
        <f>VLOOKUP(Table91213[[#This Row],[Date]],'DB Details'!$A:$L,6)</f>
        <v>52.8</v>
      </c>
      <c r="G106" s="94"/>
      <c r="H106" s="88">
        <f>VLOOKUP(Table91213[[#This Row],[Date]],'DB Details'!$A:$L,8)</f>
        <v>60.3</v>
      </c>
      <c r="I106" s="88">
        <f>VLOOKUP(Table91213[[#This Row],[Date]],'DB Details'!$A:$L,9)</f>
        <v>38.6</v>
      </c>
      <c r="J106" s="88">
        <f>VLOOKUP(Table91213[[#This Row],[Date]],'DB Details'!$A:$L,10)</f>
        <v>51.4</v>
      </c>
      <c r="K106" s="94"/>
      <c r="L106" s="88">
        <f>VLOOKUP(Table91213[[#This Row],[Date]],'DB Details'!$A:$L,12)</f>
        <v>51.2</v>
      </c>
    </row>
    <row r="107" spans="1:12" x14ac:dyDescent="0.35">
      <c r="A107" s="39">
        <v>20607</v>
      </c>
      <c r="B107" s="57">
        <f>VLOOKUP(Table91213[[#This Row],[Date]],'DB Details'!$A:$L,2)</f>
        <v>48.9</v>
      </c>
      <c r="C107" s="55"/>
      <c r="D107" s="55"/>
      <c r="E107" s="88">
        <f>VLOOKUP(Table91213[[#This Row],[Date]],'DB Details'!$A:$L,5)</f>
        <v>65.7</v>
      </c>
      <c r="F107" s="88">
        <f>VLOOKUP(Table91213[[#This Row],[Date]],'DB Details'!$A:$L,6)</f>
        <v>49.2</v>
      </c>
      <c r="G107" s="94"/>
      <c r="H107" s="88">
        <f>VLOOKUP(Table91213[[#This Row],[Date]],'DB Details'!$A:$L,8)</f>
        <v>58.4</v>
      </c>
      <c r="I107" s="88">
        <f>VLOOKUP(Table91213[[#This Row],[Date]],'DB Details'!$A:$L,9)</f>
        <v>41</v>
      </c>
      <c r="J107" s="88">
        <f>VLOOKUP(Table91213[[#This Row],[Date]],'DB Details'!$A:$L,10)</f>
        <v>43.9</v>
      </c>
      <c r="K107" s="94"/>
      <c r="L107" s="88">
        <f>VLOOKUP(Table91213[[#This Row],[Date]],'DB Details'!$A:$L,12)</f>
        <v>47.7</v>
      </c>
    </row>
    <row r="108" spans="1:12" x14ac:dyDescent="0.35">
      <c r="A108" s="39">
        <v>20637</v>
      </c>
      <c r="B108" s="57">
        <f>VLOOKUP(Table91213[[#This Row],[Date]],'DB Details'!$A:$L,2)</f>
        <v>44.4</v>
      </c>
      <c r="C108" s="55"/>
      <c r="D108" s="55"/>
      <c r="E108" s="88">
        <f>VLOOKUP(Table91213[[#This Row],[Date]],'DB Details'!$A:$L,5)</f>
        <v>74.7</v>
      </c>
      <c r="F108" s="88">
        <f>VLOOKUP(Table91213[[#This Row],[Date]],'DB Details'!$A:$L,6)</f>
        <v>38</v>
      </c>
      <c r="G108" s="94"/>
      <c r="H108" s="88">
        <f>VLOOKUP(Table91213[[#This Row],[Date]],'DB Details'!$A:$L,8)</f>
        <v>51.5</v>
      </c>
      <c r="I108" s="88">
        <f>VLOOKUP(Table91213[[#This Row],[Date]],'DB Details'!$A:$L,9)</f>
        <v>53.9</v>
      </c>
      <c r="J108" s="88">
        <f>VLOOKUP(Table91213[[#This Row],[Date]],'DB Details'!$A:$L,10)</f>
        <v>40.799999999999997</v>
      </c>
      <c r="K108" s="94"/>
      <c r="L108" s="88">
        <f>VLOOKUP(Table91213[[#This Row],[Date]],'DB Details'!$A:$L,12)</f>
        <v>44.2</v>
      </c>
    </row>
    <row r="109" spans="1:12" x14ac:dyDescent="0.35">
      <c r="A109" s="39">
        <v>20668</v>
      </c>
      <c r="B109" s="57">
        <f>VLOOKUP(Table91213[[#This Row],[Date]],'DB Details'!$A:$L,2)</f>
        <v>54.3</v>
      </c>
      <c r="C109" s="55"/>
      <c r="D109" s="55"/>
      <c r="E109" s="88">
        <f>VLOOKUP(Table91213[[#This Row],[Date]],'DB Details'!$A:$L,5)</f>
        <v>76.3</v>
      </c>
      <c r="F109" s="88">
        <f>VLOOKUP(Table91213[[#This Row],[Date]],'DB Details'!$A:$L,6)</f>
        <v>51.5</v>
      </c>
      <c r="G109" s="94"/>
      <c r="H109" s="88">
        <f>VLOOKUP(Table91213[[#This Row],[Date]],'DB Details'!$A:$L,8)</f>
        <v>52.1</v>
      </c>
      <c r="I109" s="88">
        <f>VLOOKUP(Table91213[[#This Row],[Date]],'DB Details'!$A:$L,9)</f>
        <v>46.8</v>
      </c>
      <c r="J109" s="88">
        <f>VLOOKUP(Table91213[[#This Row],[Date]],'DB Details'!$A:$L,10)</f>
        <v>50.3</v>
      </c>
      <c r="K109" s="94"/>
      <c r="L109" s="88">
        <f>VLOOKUP(Table91213[[#This Row],[Date]],'DB Details'!$A:$L,12)</f>
        <v>51.5</v>
      </c>
    </row>
    <row r="110" spans="1:12" x14ac:dyDescent="0.35">
      <c r="A110" s="39">
        <v>20699</v>
      </c>
      <c r="B110" s="57">
        <f>VLOOKUP(Table91213[[#This Row],[Date]],'DB Details'!$A:$L,2)</f>
        <v>60.5</v>
      </c>
      <c r="C110" s="55"/>
      <c r="D110" s="55"/>
      <c r="E110" s="88">
        <f>VLOOKUP(Table91213[[#This Row],[Date]],'DB Details'!$A:$L,5)</f>
        <v>79.5</v>
      </c>
      <c r="F110" s="88">
        <f>VLOOKUP(Table91213[[#This Row],[Date]],'DB Details'!$A:$L,6)</f>
        <v>60.2</v>
      </c>
      <c r="G110" s="94"/>
      <c r="H110" s="88">
        <f>VLOOKUP(Table91213[[#This Row],[Date]],'DB Details'!$A:$L,8)</f>
        <v>53.1</v>
      </c>
      <c r="I110" s="88">
        <f>VLOOKUP(Table91213[[#This Row],[Date]],'DB Details'!$A:$L,9)</f>
        <v>42.8</v>
      </c>
      <c r="J110" s="88">
        <f>VLOOKUP(Table91213[[#This Row],[Date]],'DB Details'!$A:$L,10)</f>
        <v>52.9</v>
      </c>
      <c r="K110" s="94"/>
      <c r="L110" s="88">
        <f>VLOOKUP(Table91213[[#This Row],[Date]],'DB Details'!$A:$L,12)</f>
        <v>55.5</v>
      </c>
    </row>
    <row r="111" spans="1:12" x14ac:dyDescent="0.35">
      <c r="A111" s="39">
        <v>20729</v>
      </c>
      <c r="B111" s="57">
        <f>VLOOKUP(Table91213[[#This Row],[Date]],'DB Details'!$A:$L,2)</f>
        <v>55.6</v>
      </c>
      <c r="C111" s="55"/>
      <c r="D111" s="55"/>
      <c r="E111" s="88">
        <f>VLOOKUP(Table91213[[#This Row],[Date]],'DB Details'!$A:$L,5)</f>
        <v>78.099999999999994</v>
      </c>
      <c r="F111" s="88">
        <f>VLOOKUP(Table91213[[#This Row],[Date]],'DB Details'!$A:$L,6)</f>
        <v>56.7</v>
      </c>
      <c r="G111" s="94"/>
      <c r="H111" s="88">
        <f>VLOOKUP(Table91213[[#This Row],[Date]],'DB Details'!$A:$L,8)</f>
        <v>53.6</v>
      </c>
      <c r="I111" s="88">
        <f>VLOOKUP(Table91213[[#This Row],[Date]],'DB Details'!$A:$L,9)</f>
        <v>40.1</v>
      </c>
      <c r="J111" s="88">
        <f>VLOOKUP(Table91213[[#This Row],[Date]],'DB Details'!$A:$L,10)</f>
        <v>52.2</v>
      </c>
      <c r="K111" s="94"/>
      <c r="L111" s="88">
        <f>VLOOKUP(Table91213[[#This Row],[Date]],'DB Details'!$A:$L,12)</f>
        <v>52.7</v>
      </c>
    </row>
    <row r="112" spans="1:12" x14ac:dyDescent="0.35">
      <c r="A112" s="39">
        <v>20760</v>
      </c>
      <c r="B112" s="57">
        <f>VLOOKUP(Table91213[[#This Row],[Date]],'DB Details'!$A:$L,2)</f>
        <v>57</v>
      </c>
      <c r="C112" s="55"/>
      <c r="D112" s="55"/>
      <c r="E112" s="88">
        <f>VLOOKUP(Table91213[[#This Row],[Date]],'DB Details'!$A:$L,5)</f>
        <v>80.099999999999994</v>
      </c>
      <c r="F112" s="88">
        <f>VLOOKUP(Table91213[[#This Row],[Date]],'DB Details'!$A:$L,6)</f>
        <v>62.3</v>
      </c>
      <c r="G112" s="94"/>
      <c r="H112" s="88">
        <f>VLOOKUP(Table91213[[#This Row],[Date]],'DB Details'!$A:$L,8)</f>
        <v>44.6</v>
      </c>
      <c r="I112" s="88">
        <f>VLOOKUP(Table91213[[#This Row],[Date]],'DB Details'!$A:$L,9)</f>
        <v>44.6</v>
      </c>
      <c r="J112" s="88">
        <f>VLOOKUP(Table91213[[#This Row],[Date]],'DB Details'!$A:$L,10)</f>
        <v>56</v>
      </c>
      <c r="K112" s="94"/>
      <c r="L112" s="88">
        <f>VLOOKUP(Table91213[[#This Row],[Date]],'DB Details'!$A:$L,12)</f>
        <v>55</v>
      </c>
    </row>
    <row r="113" spans="1:12" x14ac:dyDescent="0.35">
      <c r="A113" s="39">
        <v>20790</v>
      </c>
      <c r="B113" s="57">
        <f>VLOOKUP(Table91213[[#This Row],[Date]],'DB Details'!$A:$L,2)</f>
        <v>52.8</v>
      </c>
      <c r="C113" s="55"/>
      <c r="D113" s="55"/>
      <c r="E113" s="88">
        <f>VLOOKUP(Table91213[[#This Row],[Date]],'DB Details'!$A:$L,5)</f>
        <v>78.900000000000006</v>
      </c>
      <c r="F113" s="88">
        <f>VLOOKUP(Table91213[[#This Row],[Date]],'DB Details'!$A:$L,6)</f>
        <v>57.7</v>
      </c>
      <c r="G113" s="94"/>
      <c r="H113" s="88">
        <f>VLOOKUP(Table91213[[#This Row],[Date]],'DB Details'!$A:$L,8)</f>
        <v>54.3</v>
      </c>
      <c r="I113" s="88">
        <f>VLOOKUP(Table91213[[#This Row],[Date]],'DB Details'!$A:$L,9)</f>
        <v>39.5</v>
      </c>
      <c r="J113" s="88">
        <f>VLOOKUP(Table91213[[#This Row],[Date]],'DB Details'!$A:$L,10)</f>
        <v>55.4</v>
      </c>
      <c r="K113" s="94"/>
      <c r="L113" s="88">
        <f>VLOOKUP(Table91213[[#This Row],[Date]],'DB Details'!$A:$L,12)</f>
        <v>52.7</v>
      </c>
    </row>
    <row r="114" spans="1:12" x14ac:dyDescent="0.35">
      <c r="A114" s="39">
        <v>20821</v>
      </c>
      <c r="B114" s="57">
        <f>VLOOKUP(Table91213[[#This Row],[Date]],'DB Details'!$A:$L,2)</f>
        <v>57.6</v>
      </c>
      <c r="C114" s="55"/>
      <c r="D114" s="55"/>
      <c r="E114" s="88">
        <f>VLOOKUP(Table91213[[#This Row],[Date]],'DB Details'!$A:$L,5)</f>
        <v>87.1</v>
      </c>
      <c r="F114" s="88">
        <f>VLOOKUP(Table91213[[#This Row],[Date]],'DB Details'!$A:$L,6)</f>
        <v>56.6</v>
      </c>
      <c r="G114" s="94"/>
      <c r="H114" s="88">
        <f>VLOOKUP(Table91213[[#This Row],[Date]],'DB Details'!$A:$L,8)</f>
        <v>53.9</v>
      </c>
      <c r="I114" s="88">
        <f>VLOOKUP(Table91213[[#This Row],[Date]],'DB Details'!$A:$L,9)</f>
        <v>36.299999999999997</v>
      </c>
      <c r="J114" s="88">
        <f>VLOOKUP(Table91213[[#This Row],[Date]],'DB Details'!$A:$L,10)</f>
        <v>56.6</v>
      </c>
      <c r="K114" s="94"/>
      <c r="L114" s="88">
        <f>VLOOKUP(Table91213[[#This Row],[Date]],'DB Details'!$A:$L,12)</f>
        <v>53.6</v>
      </c>
    </row>
    <row r="115" spans="1:12" x14ac:dyDescent="0.35">
      <c r="A115" s="39">
        <v>20852</v>
      </c>
      <c r="B115" s="57">
        <f>VLOOKUP(Table91213[[#This Row],[Date]],'DB Details'!$A:$L,2)</f>
        <v>52.5</v>
      </c>
      <c r="C115" s="55"/>
      <c r="D115" s="55"/>
      <c r="E115" s="88">
        <f>VLOOKUP(Table91213[[#This Row],[Date]],'DB Details'!$A:$L,5)</f>
        <v>76.900000000000006</v>
      </c>
      <c r="F115" s="88">
        <f>VLOOKUP(Table91213[[#This Row],[Date]],'DB Details'!$A:$L,6)</f>
        <v>57.9</v>
      </c>
      <c r="G115" s="94"/>
      <c r="H115" s="88">
        <f>VLOOKUP(Table91213[[#This Row],[Date]],'DB Details'!$A:$L,8)</f>
        <v>53.1</v>
      </c>
      <c r="I115" s="88">
        <f>VLOOKUP(Table91213[[#This Row],[Date]],'DB Details'!$A:$L,9)</f>
        <v>31.2</v>
      </c>
      <c r="J115" s="88">
        <f>VLOOKUP(Table91213[[#This Row],[Date]],'DB Details'!$A:$L,10)</f>
        <v>53.8</v>
      </c>
      <c r="K115" s="94"/>
      <c r="L115" s="88">
        <f>VLOOKUP(Table91213[[#This Row],[Date]],'DB Details'!$A:$L,12)</f>
        <v>51</v>
      </c>
    </row>
    <row r="116" spans="1:12" x14ac:dyDescent="0.35">
      <c r="A116" s="39">
        <v>20880</v>
      </c>
      <c r="B116" s="57">
        <f>VLOOKUP(Table91213[[#This Row],[Date]],'DB Details'!$A:$L,2)</f>
        <v>51.1</v>
      </c>
      <c r="C116" s="55"/>
      <c r="D116" s="55"/>
      <c r="E116" s="88">
        <f>VLOOKUP(Table91213[[#This Row],[Date]],'DB Details'!$A:$L,5)</f>
        <v>65.3</v>
      </c>
      <c r="F116" s="88">
        <f>VLOOKUP(Table91213[[#This Row],[Date]],'DB Details'!$A:$L,6)</f>
        <v>52.1</v>
      </c>
      <c r="G116" s="94"/>
      <c r="H116" s="88">
        <f>VLOOKUP(Table91213[[#This Row],[Date]],'DB Details'!$A:$L,8)</f>
        <v>46.6</v>
      </c>
      <c r="I116" s="88">
        <f>VLOOKUP(Table91213[[#This Row],[Date]],'DB Details'!$A:$L,9)</f>
        <v>26.3</v>
      </c>
      <c r="J116" s="88">
        <f>VLOOKUP(Table91213[[#This Row],[Date]],'DB Details'!$A:$L,10)</f>
        <v>52.5</v>
      </c>
      <c r="K116" s="94"/>
      <c r="L116" s="88">
        <f>VLOOKUP(Table91213[[#This Row],[Date]],'DB Details'!$A:$L,12)</f>
        <v>47.5</v>
      </c>
    </row>
    <row r="117" spans="1:12" x14ac:dyDescent="0.35">
      <c r="A117" s="39">
        <v>20911</v>
      </c>
      <c r="B117" s="57">
        <f>VLOOKUP(Table91213[[#This Row],[Date]],'DB Details'!$A:$L,2)</f>
        <v>49.2</v>
      </c>
      <c r="C117" s="55"/>
      <c r="D117" s="55"/>
      <c r="E117" s="88">
        <f>VLOOKUP(Table91213[[#This Row],[Date]],'DB Details'!$A:$L,5)</f>
        <v>59.2</v>
      </c>
      <c r="F117" s="88">
        <f>VLOOKUP(Table91213[[#This Row],[Date]],'DB Details'!$A:$L,6)</f>
        <v>47.9</v>
      </c>
      <c r="G117" s="94"/>
      <c r="H117" s="88">
        <f>VLOOKUP(Table91213[[#This Row],[Date]],'DB Details'!$A:$L,8)</f>
        <v>39.9</v>
      </c>
      <c r="I117" s="88">
        <f>VLOOKUP(Table91213[[#This Row],[Date]],'DB Details'!$A:$L,9)</f>
        <v>28.9</v>
      </c>
      <c r="J117" s="88">
        <f>VLOOKUP(Table91213[[#This Row],[Date]],'DB Details'!$A:$L,10)</f>
        <v>40.299999999999997</v>
      </c>
      <c r="K117" s="94"/>
      <c r="L117" s="88">
        <f>VLOOKUP(Table91213[[#This Row],[Date]],'DB Details'!$A:$L,12)</f>
        <v>43.1</v>
      </c>
    </row>
    <row r="118" spans="1:12" x14ac:dyDescent="0.35">
      <c r="A118" s="39">
        <v>20941</v>
      </c>
      <c r="B118" s="57">
        <f>VLOOKUP(Table91213[[#This Row],[Date]],'DB Details'!$A:$L,2)</f>
        <v>46.1</v>
      </c>
      <c r="C118" s="55"/>
      <c r="D118" s="55"/>
      <c r="E118" s="88">
        <f>VLOOKUP(Table91213[[#This Row],[Date]],'DB Details'!$A:$L,5)</f>
        <v>57.4</v>
      </c>
      <c r="F118" s="88">
        <f>VLOOKUP(Table91213[[#This Row],[Date]],'DB Details'!$A:$L,6)</f>
        <v>49.9</v>
      </c>
      <c r="G118" s="94"/>
      <c r="H118" s="88">
        <f>VLOOKUP(Table91213[[#This Row],[Date]],'DB Details'!$A:$L,8)</f>
        <v>41.8</v>
      </c>
      <c r="I118" s="88">
        <f>VLOOKUP(Table91213[[#This Row],[Date]],'DB Details'!$A:$L,9)</f>
        <v>30</v>
      </c>
      <c r="J118" s="88">
        <f>VLOOKUP(Table91213[[#This Row],[Date]],'DB Details'!$A:$L,10)</f>
        <v>41.9</v>
      </c>
      <c r="K118" s="94"/>
      <c r="L118" s="88">
        <f>VLOOKUP(Table91213[[#This Row],[Date]],'DB Details'!$A:$L,12)</f>
        <v>43.4</v>
      </c>
    </row>
    <row r="119" spans="1:12" x14ac:dyDescent="0.35">
      <c r="A119" s="39">
        <v>20972</v>
      </c>
      <c r="B119" s="57">
        <f>VLOOKUP(Table91213[[#This Row],[Date]],'DB Details'!$A:$L,2)</f>
        <v>49.8</v>
      </c>
      <c r="C119" s="55"/>
      <c r="D119" s="55"/>
      <c r="E119" s="88">
        <f>VLOOKUP(Table91213[[#This Row],[Date]],'DB Details'!$A:$L,5)</f>
        <v>62.9</v>
      </c>
      <c r="F119" s="88">
        <f>VLOOKUP(Table91213[[#This Row],[Date]],'DB Details'!$A:$L,6)</f>
        <v>53.6</v>
      </c>
      <c r="G119" s="94"/>
      <c r="H119" s="88">
        <f>VLOOKUP(Table91213[[#This Row],[Date]],'DB Details'!$A:$L,8)</f>
        <v>40.700000000000003</v>
      </c>
      <c r="I119" s="88">
        <f>VLOOKUP(Table91213[[#This Row],[Date]],'DB Details'!$A:$L,9)</f>
        <v>30</v>
      </c>
      <c r="J119" s="88">
        <f>VLOOKUP(Table91213[[#This Row],[Date]],'DB Details'!$A:$L,10)</f>
        <v>45.1</v>
      </c>
      <c r="K119" s="94"/>
      <c r="L119" s="88">
        <f>VLOOKUP(Table91213[[#This Row],[Date]],'DB Details'!$A:$L,12)</f>
        <v>45.9</v>
      </c>
    </row>
    <row r="120" spans="1:12" x14ac:dyDescent="0.35">
      <c r="A120" s="39">
        <v>21002</v>
      </c>
      <c r="B120" s="57">
        <f>VLOOKUP(Table91213[[#This Row],[Date]],'DB Details'!$A:$L,2)</f>
        <v>47.6</v>
      </c>
      <c r="C120" s="55"/>
      <c r="D120" s="55"/>
      <c r="E120" s="88">
        <f>VLOOKUP(Table91213[[#This Row],[Date]],'DB Details'!$A:$L,5)</f>
        <v>78.7</v>
      </c>
      <c r="F120" s="88">
        <f>VLOOKUP(Table91213[[#This Row],[Date]],'DB Details'!$A:$L,6)</f>
        <v>49.2</v>
      </c>
      <c r="G120" s="94"/>
      <c r="H120" s="88">
        <f>VLOOKUP(Table91213[[#This Row],[Date]],'DB Details'!$A:$L,8)</f>
        <v>45.3</v>
      </c>
      <c r="I120" s="88">
        <f>VLOOKUP(Table91213[[#This Row],[Date]],'DB Details'!$A:$L,9)</f>
        <v>36.799999999999997</v>
      </c>
      <c r="J120" s="88">
        <f>VLOOKUP(Table91213[[#This Row],[Date]],'DB Details'!$A:$L,10)</f>
        <v>45.5</v>
      </c>
      <c r="K120" s="94"/>
      <c r="L120" s="88">
        <f>VLOOKUP(Table91213[[#This Row],[Date]],'DB Details'!$A:$L,12)</f>
        <v>45.7</v>
      </c>
    </row>
    <row r="121" spans="1:12" x14ac:dyDescent="0.35">
      <c r="A121" s="39">
        <v>21033</v>
      </c>
      <c r="B121" s="57">
        <f>VLOOKUP(Table91213[[#This Row],[Date]],'DB Details'!$A:$L,2)</f>
        <v>48.8</v>
      </c>
      <c r="C121" s="55"/>
      <c r="D121" s="55"/>
      <c r="E121" s="88">
        <f>VLOOKUP(Table91213[[#This Row],[Date]],'DB Details'!$A:$L,5)</f>
        <v>65.7</v>
      </c>
      <c r="F121" s="88">
        <f>VLOOKUP(Table91213[[#This Row],[Date]],'DB Details'!$A:$L,6)</f>
        <v>51.3</v>
      </c>
      <c r="G121" s="94"/>
      <c r="H121" s="88">
        <f>VLOOKUP(Table91213[[#This Row],[Date]],'DB Details'!$A:$L,8)</f>
        <v>46</v>
      </c>
      <c r="I121" s="88">
        <f>VLOOKUP(Table91213[[#This Row],[Date]],'DB Details'!$A:$L,9)</f>
        <v>30.8</v>
      </c>
      <c r="J121" s="88">
        <f>VLOOKUP(Table91213[[#This Row],[Date]],'DB Details'!$A:$L,10)</f>
        <v>43.1</v>
      </c>
      <c r="K121" s="94"/>
      <c r="L121" s="88">
        <f>VLOOKUP(Table91213[[#This Row],[Date]],'DB Details'!$A:$L,12)</f>
        <v>45.3</v>
      </c>
    </row>
    <row r="122" spans="1:12" x14ac:dyDescent="0.35">
      <c r="A122" s="39">
        <v>21064</v>
      </c>
      <c r="B122" s="57">
        <f>VLOOKUP(Table91213[[#This Row],[Date]],'DB Details'!$A:$L,2)</f>
        <v>53.8</v>
      </c>
      <c r="C122" s="55"/>
      <c r="D122" s="55"/>
      <c r="E122" s="88">
        <f>VLOOKUP(Table91213[[#This Row],[Date]],'DB Details'!$A:$L,5)</f>
        <v>63</v>
      </c>
      <c r="F122" s="88">
        <f>VLOOKUP(Table91213[[#This Row],[Date]],'DB Details'!$A:$L,6)</f>
        <v>50.6</v>
      </c>
      <c r="G122" s="94"/>
      <c r="H122" s="88">
        <f>VLOOKUP(Table91213[[#This Row],[Date]],'DB Details'!$A:$L,8)</f>
        <v>42.6</v>
      </c>
      <c r="I122" s="88">
        <f>VLOOKUP(Table91213[[#This Row],[Date]],'DB Details'!$A:$L,9)</f>
        <v>28.8</v>
      </c>
      <c r="J122" s="88">
        <f>VLOOKUP(Table91213[[#This Row],[Date]],'DB Details'!$A:$L,10)</f>
        <v>42.1</v>
      </c>
      <c r="K122" s="94"/>
      <c r="L122" s="88">
        <f>VLOOKUP(Table91213[[#This Row],[Date]],'DB Details'!$A:$L,12)</f>
        <v>45.8</v>
      </c>
    </row>
    <row r="123" spans="1:12" x14ac:dyDescent="0.35">
      <c r="A123" s="39">
        <v>21094</v>
      </c>
      <c r="B123" s="57">
        <f>VLOOKUP(Table91213[[#This Row],[Date]],'DB Details'!$A:$L,2)</f>
        <v>46.4</v>
      </c>
      <c r="C123" s="55"/>
      <c r="D123" s="55"/>
      <c r="E123" s="88">
        <f>VLOOKUP(Table91213[[#This Row],[Date]],'DB Details'!$A:$L,5)</f>
        <v>60.5</v>
      </c>
      <c r="F123" s="88">
        <f>VLOOKUP(Table91213[[#This Row],[Date]],'DB Details'!$A:$L,6)</f>
        <v>42.9</v>
      </c>
      <c r="G123" s="94"/>
      <c r="H123" s="88">
        <f>VLOOKUP(Table91213[[#This Row],[Date]],'DB Details'!$A:$L,8)</f>
        <v>42.7</v>
      </c>
      <c r="I123" s="88">
        <f>VLOOKUP(Table91213[[#This Row],[Date]],'DB Details'!$A:$L,9)</f>
        <v>32.6</v>
      </c>
      <c r="J123" s="88">
        <f>VLOOKUP(Table91213[[#This Row],[Date]],'DB Details'!$A:$L,10)</f>
        <v>36.6</v>
      </c>
      <c r="K123" s="94"/>
      <c r="L123" s="88">
        <f>VLOOKUP(Table91213[[#This Row],[Date]],'DB Details'!$A:$L,12)</f>
        <v>41.1</v>
      </c>
    </row>
    <row r="124" spans="1:12" x14ac:dyDescent="0.35">
      <c r="A124" s="39">
        <v>21125</v>
      </c>
      <c r="B124" s="57">
        <f>VLOOKUP(Table91213[[#This Row],[Date]],'DB Details'!$A:$L,2)</f>
        <v>47.2</v>
      </c>
      <c r="C124" s="55"/>
      <c r="D124" s="55"/>
      <c r="E124" s="88">
        <f>VLOOKUP(Table91213[[#This Row],[Date]],'DB Details'!$A:$L,5)</f>
        <v>54.8</v>
      </c>
      <c r="F124" s="88">
        <f>VLOOKUP(Table91213[[#This Row],[Date]],'DB Details'!$A:$L,6)</f>
        <v>44.4</v>
      </c>
      <c r="G124" s="94"/>
      <c r="H124" s="88">
        <f>VLOOKUP(Table91213[[#This Row],[Date]],'DB Details'!$A:$L,8)</f>
        <v>39.700000000000003</v>
      </c>
      <c r="I124" s="88">
        <f>VLOOKUP(Table91213[[#This Row],[Date]],'DB Details'!$A:$L,9)</f>
        <v>27.8</v>
      </c>
      <c r="J124" s="88">
        <f>VLOOKUP(Table91213[[#This Row],[Date]],'DB Details'!$A:$L,10)</f>
        <v>34.799999999999997</v>
      </c>
      <c r="K124" s="94"/>
      <c r="L124" s="88">
        <f>VLOOKUP(Table91213[[#This Row],[Date]],'DB Details'!$A:$L,12)</f>
        <v>40.4</v>
      </c>
    </row>
    <row r="125" spans="1:12" x14ac:dyDescent="0.35">
      <c r="A125" s="39">
        <v>21155</v>
      </c>
      <c r="B125" s="57">
        <f>VLOOKUP(Table91213[[#This Row],[Date]],'DB Details'!$A:$L,2)</f>
        <v>42.8</v>
      </c>
      <c r="C125" s="55"/>
      <c r="D125" s="55"/>
      <c r="E125" s="88">
        <f>VLOOKUP(Table91213[[#This Row],[Date]],'DB Details'!$A:$L,5)</f>
        <v>55.5</v>
      </c>
      <c r="F125" s="88">
        <f>VLOOKUP(Table91213[[#This Row],[Date]],'DB Details'!$A:$L,6)</f>
        <v>40</v>
      </c>
      <c r="G125" s="94"/>
      <c r="H125" s="88">
        <f>VLOOKUP(Table91213[[#This Row],[Date]],'DB Details'!$A:$L,8)</f>
        <v>38</v>
      </c>
      <c r="I125" s="88">
        <f>VLOOKUP(Table91213[[#This Row],[Date]],'DB Details'!$A:$L,9)</f>
        <v>27.3</v>
      </c>
      <c r="J125" s="88">
        <f>VLOOKUP(Table91213[[#This Row],[Date]],'DB Details'!$A:$L,10)</f>
        <v>30.4</v>
      </c>
      <c r="K125" s="94"/>
      <c r="L125" s="88">
        <f>VLOOKUP(Table91213[[#This Row],[Date]],'DB Details'!$A:$L,12)</f>
        <v>36.799999999999997</v>
      </c>
    </row>
    <row r="126" spans="1:12" x14ac:dyDescent="0.35">
      <c r="A126" s="39">
        <v>21186</v>
      </c>
      <c r="B126" s="57">
        <f>VLOOKUP(Table91213[[#This Row],[Date]],'DB Details'!$A:$L,2)</f>
        <v>35.200000000000003</v>
      </c>
      <c r="C126" s="55"/>
      <c r="D126" s="55"/>
      <c r="E126" s="88">
        <f>VLOOKUP(Table91213[[#This Row],[Date]],'DB Details'!$A:$L,5)</f>
        <v>50.8</v>
      </c>
      <c r="F126" s="88">
        <f>VLOOKUP(Table91213[[#This Row],[Date]],'DB Details'!$A:$L,6)</f>
        <v>34.9</v>
      </c>
      <c r="G126" s="94"/>
      <c r="H126" s="88">
        <f>VLOOKUP(Table91213[[#This Row],[Date]],'DB Details'!$A:$L,8)</f>
        <v>35.799999999999997</v>
      </c>
      <c r="I126" s="88">
        <f>VLOOKUP(Table91213[[#This Row],[Date]],'DB Details'!$A:$L,9)</f>
        <v>30.3</v>
      </c>
      <c r="J126" s="88">
        <f>VLOOKUP(Table91213[[#This Row],[Date]],'DB Details'!$A:$L,10)</f>
        <v>29.7</v>
      </c>
      <c r="K126" s="94"/>
      <c r="L126" s="88">
        <f>VLOOKUP(Table91213[[#This Row],[Date]],'DB Details'!$A:$L,12)</f>
        <v>33.4</v>
      </c>
    </row>
    <row r="127" spans="1:12" x14ac:dyDescent="0.35">
      <c r="A127" s="39">
        <v>21217</v>
      </c>
      <c r="B127" s="57">
        <f>VLOOKUP(Table91213[[#This Row],[Date]],'DB Details'!$A:$L,2)</f>
        <v>47.3</v>
      </c>
      <c r="C127" s="55"/>
      <c r="D127" s="55"/>
      <c r="E127" s="88">
        <f>VLOOKUP(Table91213[[#This Row],[Date]],'DB Details'!$A:$L,5)</f>
        <v>46.5</v>
      </c>
      <c r="F127" s="88">
        <f>VLOOKUP(Table91213[[#This Row],[Date]],'DB Details'!$A:$L,6)</f>
        <v>37.799999999999997</v>
      </c>
      <c r="G127" s="94"/>
      <c r="H127" s="88">
        <f>VLOOKUP(Table91213[[#This Row],[Date]],'DB Details'!$A:$L,8)</f>
        <v>33.1</v>
      </c>
      <c r="I127" s="88">
        <f>VLOOKUP(Table91213[[#This Row],[Date]],'DB Details'!$A:$L,9)</f>
        <v>31</v>
      </c>
      <c r="J127" s="88">
        <f>VLOOKUP(Table91213[[#This Row],[Date]],'DB Details'!$A:$L,10)</f>
        <v>27.9</v>
      </c>
      <c r="K127" s="94"/>
      <c r="L127" s="88">
        <f>VLOOKUP(Table91213[[#This Row],[Date]],'DB Details'!$A:$L,12)</f>
        <v>37.200000000000003</v>
      </c>
    </row>
    <row r="128" spans="1:12" x14ac:dyDescent="0.35">
      <c r="A128" s="39">
        <v>21245</v>
      </c>
      <c r="B128" s="57">
        <f>VLOOKUP(Table91213[[#This Row],[Date]],'DB Details'!$A:$L,2)</f>
        <v>45.3</v>
      </c>
      <c r="C128" s="55"/>
      <c r="D128" s="55"/>
      <c r="E128" s="88">
        <f>VLOOKUP(Table91213[[#This Row],[Date]],'DB Details'!$A:$L,5)</f>
        <v>47.6</v>
      </c>
      <c r="F128" s="88">
        <f>VLOOKUP(Table91213[[#This Row],[Date]],'DB Details'!$A:$L,6)</f>
        <v>45.1</v>
      </c>
      <c r="G128" s="94"/>
      <c r="H128" s="88">
        <f>VLOOKUP(Table91213[[#This Row],[Date]],'DB Details'!$A:$L,8)</f>
        <v>31.3</v>
      </c>
      <c r="I128" s="88">
        <f>VLOOKUP(Table91213[[#This Row],[Date]],'DB Details'!$A:$L,9)</f>
        <v>34</v>
      </c>
      <c r="J128" s="88">
        <f>VLOOKUP(Table91213[[#This Row],[Date]],'DB Details'!$A:$L,10)</f>
        <v>33.4</v>
      </c>
      <c r="K128" s="94"/>
      <c r="L128" s="88">
        <f>VLOOKUP(Table91213[[#This Row],[Date]],'DB Details'!$A:$L,12)</f>
        <v>39.799999999999997</v>
      </c>
    </row>
    <row r="129" spans="1:12" x14ac:dyDescent="0.35">
      <c r="A129" s="39">
        <v>21276</v>
      </c>
      <c r="B129" s="57">
        <f>VLOOKUP(Table91213[[#This Row],[Date]],'DB Details'!$A:$L,2)</f>
        <v>47.2</v>
      </c>
      <c r="C129" s="55"/>
      <c r="D129" s="55"/>
      <c r="E129" s="88">
        <f>VLOOKUP(Table91213[[#This Row],[Date]],'DB Details'!$A:$L,5)</f>
        <v>42.5</v>
      </c>
      <c r="F129" s="88">
        <f>VLOOKUP(Table91213[[#This Row],[Date]],'DB Details'!$A:$L,6)</f>
        <v>41</v>
      </c>
      <c r="G129" s="94"/>
      <c r="H129" s="88">
        <f>VLOOKUP(Table91213[[#This Row],[Date]],'DB Details'!$A:$L,8)</f>
        <v>30.8</v>
      </c>
      <c r="I129" s="88">
        <f>VLOOKUP(Table91213[[#This Row],[Date]],'DB Details'!$A:$L,9)</f>
        <v>35.5</v>
      </c>
      <c r="J129" s="88">
        <f>VLOOKUP(Table91213[[#This Row],[Date]],'DB Details'!$A:$L,10)</f>
        <v>31.5</v>
      </c>
      <c r="K129" s="94"/>
      <c r="L129" s="88">
        <f>VLOOKUP(Table91213[[#This Row],[Date]],'DB Details'!$A:$L,12)</f>
        <v>39.1</v>
      </c>
    </row>
    <row r="130" spans="1:12" x14ac:dyDescent="0.35">
      <c r="A130" s="39">
        <v>21306</v>
      </c>
      <c r="B130" s="57">
        <f>VLOOKUP(Table91213[[#This Row],[Date]],'DB Details'!$A:$L,2)</f>
        <v>56.7</v>
      </c>
      <c r="C130" s="55"/>
      <c r="D130" s="55"/>
      <c r="E130" s="88">
        <f>VLOOKUP(Table91213[[#This Row],[Date]],'DB Details'!$A:$L,5)</f>
        <v>45.8</v>
      </c>
      <c r="F130" s="88">
        <f>VLOOKUP(Table91213[[#This Row],[Date]],'DB Details'!$A:$L,6)</f>
        <v>52.6</v>
      </c>
      <c r="G130" s="94"/>
      <c r="H130" s="88">
        <f>VLOOKUP(Table91213[[#This Row],[Date]],'DB Details'!$A:$L,8)</f>
        <v>27.7</v>
      </c>
      <c r="I130" s="88">
        <f>VLOOKUP(Table91213[[#This Row],[Date]],'DB Details'!$A:$L,9)</f>
        <v>38.5</v>
      </c>
      <c r="J130" s="88">
        <f>VLOOKUP(Table91213[[#This Row],[Date]],'DB Details'!$A:$L,10)</f>
        <v>39.700000000000003</v>
      </c>
      <c r="K130" s="94"/>
      <c r="L130" s="88">
        <f>VLOOKUP(Table91213[[#This Row],[Date]],'DB Details'!$A:$L,12)</f>
        <v>46.6</v>
      </c>
    </row>
    <row r="131" spans="1:12" x14ac:dyDescent="0.35">
      <c r="A131" s="39">
        <v>21337</v>
      </c>
      <c r="B131" s="57">
        <f>VLOOKUP(Table91213[[#This Row],[Date]],'DB Details'!$A:$L,2)</f>
        <v>60.8</v>
      </c>
      <c r="C131" s="55"/>
      <c r="D131" s="55"/>
      <c r="E131" s="88">
        <f>VLOOKUP(Table91213[[#This Row],[Date]],'DB Details'!$A:$L,5)</f>
        <v>49.6</v>
      </c>
      <c r="F131" s="88">
        <f>VLOOKUP(Table91213[[#This Row],[Date]],'DB Details'!$A:$L,6)</f>
        <v>58.9</v>
      </c>
      <c r="G131" s="94"/>
      <c r="H131" s="88">
        <f>VLOOKUP(Table91213[[#This Row],[Date]],'DB Details'!$A:$L,8)</f>
        <v>32.200000000000003</v>
      </c>
      <c r="I131" s="88">
        <f>VLOOKUP(Table91213[[#This Row],[Date]],'DB Details'!$A:$L,9)</f>
        <v>39.200000000000003</v>
      </c>
      <c r="J131" s="88">
        <f>VLOOKUP(Table91213[[#This Row],[Date]],'DB Details'!$A:$L,10)</f>
        <v>46.7</v>
      </c>
      <c r="K131" s="94"/>
      <c r="L131" s="88">
        <f>VLOOKUP(Table91213[[#This Row],[Date]],'DB Details'!$A:$L,12)</f>
        <v>51.4</v>
      </c>
    </row>
    <row r="132" spans="1:12" x14ac:dyDescent="0.35">
      <c r="A132" s="39">
        <v>21367</v>
      </c>
      <c r="B132" s="57">
        <f>VLOOKUP(Table91213[[#This Row],[Date]],'DB Details'!$A:$L,2)</f>
        <v>66.5</v>
      </c>
      <c r="C132" s="55"/>
      <c r="D132" s="55"/>
      <c r="E132" s="88">
        <f>VLOOKUP(Table91213[[#This Row],[Date]],'DB Details'!$A:$L,5)</f>
        <v>52.3</v>
      </c>
      <c r="F132" s="88">
        <f>VLOOKUP(Table91213[[#This Row],[Date]],'DB Details'!$A:$L,6)</f>
        <v>61.2</v>
      </c>
      <c r="G132" s="94"/>
      <c r="H132" s="88">
        <f>VLOOKUP(Table91213[[#This Row],[Date]],'DB Details'!$A:$L,8)</f>
        <v>34.6</v>
      </c>
      <c r="I132" s="88">
        <f>VLOOKUP(Table91213[[#This Row],[Date]],'DB Details'!$A:$L,9)</f>
        <v>43</v>
      </c>
      <c r="J132" s="88">
        <f>VLOOKUP(Table91213[[#This Row],[Date]],'DB Details'!$A:$L,10)</f>
        <v>47.6</v>
      </c>
      <c r="K132" s="94"/>
      <c r="L132" s="88">
        <f>VLOOKUP(Table91213[[#This Row],[Date]],'DB Details'!$A:$L,12)</f>
        <v>54.7</v>
      </c>
    </row>
    <row r="133" spans="1:12" x14ac:dyDescent="0.35">
      <c r="A133" s="39">
        <v>21398</v>
      </c>
      <c r="B133" s="57">
        <f>VLOOKUP(Table91213[[#This Row],[Date]],'DB Details'!$A:$L,2)</f>
        <v>65.2</v>
      </c>
      <c r="C133" s="55"/>
      <c r="D133" s="55"/>
      <c r="E133" s="88">
        <f>VLOOKUP(Table91213[[#This Row],[Date]],'DB Details'!$A:$L,5)</f>
        <v>65.2</v>
      </c>
      <c r="F133" s="88">
        <f>VLOOKUP(Table91213[[#This Row],[Date]],'DB Details'!$A:$L,6)</f>
        <v>64.5</v>
      </c>
      <c r="G133" s="94"/>
      <c r="H133" s="88">
        <f>VLOOKUP(Table91213[[#This Row],[Date]],'DB Details'!$A:$L,8)</f>
        <v>44.8</v>
      </c>
      <c r="I133" s="88">
        <f>VLOOKUP(Table91213[[#This Row],[Date]],'DB Details'!$A:$L,9)</f>
        <v>44.7</v>
      </c>
      <c r="J133" s="88">
        <f>VLOOKUP(Table91213[[#This Row],[Date]],'DB Details'!$A:$L,10)</f>
        <v>52.1</v>
      </c>
      <c r="K133" s="94"/>
      <c r="L133" s="88">
        <f>VLOOKUP(Table91213[[#This Row],[Date]],'DB Details'!$A:$L,12)</f>
        <v>57.3</v>
      </c>
    </row>
    <row r="134" spans="1:12" x14ac:dyDescent="0.35">
      <c r="A134" s="39">
        <v>21429</v>
      </c>
      <c r="B134" s="57">
        <f>VLOOKUP(Table91213[[#This Row],[Date]],'DB Details'!$A:$L,2)</f>
        <v>67</v>
      </c>
      <c r="C134" s="55"/>
      <c r="D134" s="55"/>
      <c r="E134" s="88">
        <f>VLOOKUP(Table91213[[#This Row],[Date]],'DB Details'!$A:$L,5)</f>
        <v>62.6</v>
      </c>
      <c r="F134" s="88">
        <f>VLOOKUP(Table91213[[#This Row],[Date]],'DB Details'!$A:$L,6)</f>
        <v>66.8</v>
      </c>
      <c r="G134" s="94"/>
      <c r="H134" s="88">
        <f>VLOOKUP(Table91213[[#This Row],[Date]],'DB Details'!$A:$L,8)</f>
        <v>42.5</v>
      </c>
      <c r="I134" s="88">
        <f>VLOOKUP(Table91213[[#This Row],[Date]],'DB Details'!$A:$L,9)</f>
        <v>51.1</v>
      </c>
      <c r="J134" s="88">
        <f>VLOOKUP(Table91213[[#This Row],[Date]],'DB Details'!$A:$L,10)</f>
        <v>55.5</v>
      </c>
      <c r="K134" s="94"/>
      <c r="L134" s="88">
        <f>VLOOKUP(Table91213[[#This Row],[Date]],'DB Details'!$A:$L,12)</f>
        <v>59.8</v>
      </c>
    </row>
    <row r="135" spans="1:12" x14ac:dyDescent="0.35">
      <c r="A135" s="39">
        <v>21459</v>
      </c>
      <c r="B135" s="57">
        <f>VLOOKUP(Table91213[[#This Row],[Date]],'DB Details'!$A:$L,2)</f>
        <v>67.900000000000006</v>
      </c>
      <c r="C135" s="55"/>
      <c r="D135" s="55"/>
      <c r="E135" s="88">
        <f>VLOOKUP(Table91213[[#This Row],[Date]],'DB Details'!$A:$L,5)</f>
        <v>73.3</v>
      </c>
      <c r="F135" s="88">
        <f>VLOOKUP(Table91213[[#This Row],[Date]],'DB Details'!$A:$L,6)</f>
        <v>70</v>
      </c>
      <c r="G135" s="94"/>
      <c r="H135" s="88">
        <f>VLOOKUP(Table91213[[#This Row],[Date]],'DB Details'!$A:$L,8)</f>
        <v>46.4</v>
      </c>
      <c r="I135" s="88">
        <f>VLOOKUP(Table91213[[#This Row],[Date]],'DB Details'!$A:$L,9)</f>
        <v>52.4</v>
      </c>
      <c r="J135" s="88">
        <f>VLOOKUP(Table91213[[#This Row],[Date]],'DB Details'!$A:$L,10)</f>
        <v>59.6</v>
      </c>
      <c r="K135" s="94"/>
      <c r="L135" s="88">
        <f>VLOOKUP(Table91213[[#This Row],[Date]],'DB Details'!$A:$L,12)</f>
        <v>62.3</v>
      </c>
    </row>
    <row r="136" spans="1:12" x14ac:dyDescent="0.35">
      <c r="A136" s="39">
        <v>21490</v>
      </c>
      <c r="B136" s="57">
        <f>VLOOKUP(Table91213[[#This Row],[Date]],'DB Details'!$A:$L,2)</f>
        <v>68.5</v>
      </c>
      <c r="C136" s="55"/>
      <c r="D136" s="55"/>
      <c r="E136" s="88">
        <f>VLOOKUP(Table91213[[#This Row],[Date]],'DB Details'!$A:$L,5)</f>
        <v>66.3</v>
      </c>
      <c r="F136" s="88">
        <f>VLOOKUP(Table91213[[#This Row],[Date]],'DB Details'!$A:$L,6)</f>
        <v>68.3</v>
      </c>
      <c r="G136" s="94"/>
      <c r="H136" s="88">
        <f>VLOOKUP(Table91213[[#This Row],[Date]],'DB Details'!$A:$L,8)</f>
        <v>51</v>
      </c>
      <c r="I136" s="88">
        <f>VLOOKUP(Table91213[[#This Row],[Date]],'DB Details'!$A:$L,9)</f>
        <v>55.8</v>
      </c>
      <c r="J136" s="88">
        <f>VLOOKUP(Table91213[[#This Row],[Date]],'DB Details'!$A:$L,10)</f>
        <v>58</v>
      </c>
      <c r="K136" s="94"/>
      <c r="L136" s="88">
        <f>VLOOKUP(Table91213[[#This Row],[Date]],'DB Details'!$A:$L,12)</f>
        <v>62.7</v>
      </c>
    </row>
    <row r="137" spans="1:12" x14ac:dyDescent="0.35">
      <c r="A137" s="39">
        <v>21520</v>
      </c>
      <c r="B137" s="57">
        <f>VLOOKUP(Table91213[[#This Row],[Date]],'DB Details'!$A:$L,2)</f>
        <v>64.7</v>
      </c>
      <c r="C137" s="55"/>
      <c r="D137" s="55"/>
      <c r="E137" s="88">
        <f>VLOOKUP(Table91213[[#This Row],[Date]],'DB Details'!$A:$L,5)</f>
        <v>63.2</v>
      </c>
      <c r="F137" s="88">
        <f>VLOOKUP(Table91213[[#This Row],[Date]],'DB Details'!$A:$L,6)</f>
        <v>63.9</v>
      </c>
      <c r="G137" s="94"/>
      <c r="H137" s="88">
        <f>VLOOKUP(Table91213[[#This Row],[Date]],'DB Details'!$A:$L,8)</f>
        <v>49</v>
      </c>
      <c r="I137" s="88">
        <f>VLOOKUP(Table91213[[#This Row],[Date]],'DB Details'!$A:$L,9)</f>
        <v>56.4</v>
      </c>
      <c r="J137" s="88">
        <f>VLOOKUP(Table91213[[#This Row],[Date]],'DB Details'!$A:$L,10)</f>
        <v>59</v>
      </c>
      <c r="K137" s="94"/>
      <c r="L137" s="88">
        <f>VLOOKUP(Table91213[[#This Row],[Date]],'DB Details'!$A:$L,12)</f>
        <v>60.5</v>
      </c>
    </row>
    <row r="138" spans="1:12" x14ac:dyDescent="0.35">
      <c r="A138" s="39">
        <v>21551</v>
      </c>
      <c r="B138" s="57">
        <f>VLOOKUP(Table91213[[#This Row],[Date]],'DB Details'!$A:$L,2)</f>
        <v>69</v>
      </c>
      <c r="C138" s="55"/>
      <c r="D138" s="55"/>
      <c r="E138" s="88">
        <f>VLOOKUP(Table91213[[#This Row],[Date]],'DB Details'!$A:$L,5)</f>
        <v>59.1</v>
      </c>
      <c r="F138" s="88">
        <f>VLOOKUP(Table91213[[#This Row],[Date]],'DB Details'!$A:$L,6)</f>
        <v>70.7</v>
      </c>
      <c r="G138" s="94"/>
      <c r="H138" s="88">
        <f>VLOOKUP(Table91213[[#This Row],[Date]],'DB Details'!$A:$L,8)</f>
        <v>45.5</v>
      </c>
      <c r="I138" s="88">
        <f>VLOOKUP(Table91213[[#This Row],[Date]],'DB Details'!$A:$L,9)</f>
        <v>61.8</v>
      </c>
      <c r="J138" s="88">
        <f>VLOOKUP(Table91213[[#This Row],[Date]],'DB Details'!$A:$L,10)</f>
        <v>60.8</v>
      </c>
      <c r="K138" s="94"/>
      <c r="L138" s="88">
        <f>VLOOKUP(Table91213[[#This Row],[Date]],'DB Details'!$A:$L,12)</f>
        <v>64.400000000000006</v>
      </c>
    </row>
    <row r="139" spans="1:12" x14ac:dyDescent="0.35">
      <c r="A139" s="39">
        <v>21582</v>
      </c>
      <c r="B139" s="57">
        <f>VLOOKUP(Table91213[[#This Row],[Date]],'DB Details'!$A:$L,2)</f>
        <v>70.5</v>
      </c>
      <c r="C139" s="55"/>
      <c r="D139" s="55"/>
      <c r="E139" s="88">
        <f>VLOOKUP(Table91213[[#This Row],[Date]],'DB Details'!$A:$L,5)</f>
        <v>66.599999999999994</v>
      </c>
      <c r="F139" s="88">
        <f>VLOOKUP(Table91213[[#This Row],[Date]],'DB Details'!$A:$L,6)</f>
        <v>70.3</v>
      </c>
      <c r="G139" s="94"/>
      <c r="H139" s="88">
        <f>VLOOKUP(Table91213[[#This Row],[Date]],'DB Details'!$A:$L,8)</f>
        <v>55.5</v>
      </c>
      <c r="I139" s="88">
        <f>VLOOKUP(Table91213[[#This Row],[Date]],'DB Details'!$A:$L,9)</f>
        <v>67.3</v>
      </c>
      <c r="J139" s="88">
        <f>VLOOKUP(Table91213[[#This Row],[Date]],'DB Details'!$A:$L,10)</f>
        <v>62.5</v>
      </c>
      <c r="K139" s="94"/>
      <c r="L139" s="88">
        <f>VLOOKUP(Table91213[[#This Row],[Date]],'DB Details'!$A:$L,12)</f>
        <v>66.900000000000006</v>
      </c>
    </row>
    <row r="140" spans="1:12" x14ac:dyDescent="0.35">
      <c r="A140" s="39">
        <v>21610</v>
      </c>
      <c r="B140" s="57">
        <f>VLOOKUP(Table91213[[#This Row],[Date]],'DB Details'!$A:$L,2)</f>
        <v>70.2</v>
      </c>
      <c r="C140" s="55"/>
      <c r="D140" s="55"/>
      <c r="E140" s="88">
        <f>VLOOKUP(Table91213[[#This Row],[Date]],'DB Details'!$A:$L,5)</f>
        <v>68.900000000000006</v>
      </c>
      <c r="F140" s="88">
        <f>VLOOKUP(Table91213[[#This Row],[Date]],'DB Details'!$A:$L,6)</f>
        <v>71.2</v>
      </c>
      <c r="G140" s="94"/>
      <c r="H140" s="88">
        <f>VLOOKUP(Table91213[[#This Row],[Date]],'DB Details'!$A:$L,8)</f>
        <v>58.4</v>
      </c>
      <c r="I140" s="88">
        <f>VLOOKUP(Table91213[[#This Row],[Date]],'DB Details'!$A:$L,9)</f>
        <v>66.3</v>
      </c>
      <c r="J140" s="88">
        <f>VLOOKUP(Table91213[[#This Row],[Date]],'DB Details'!$A:$L,10)</f>
        <v>62.3</v>
      </c>
      <c r="K140" s="94"/>
      <c r="L140" s="88">
        <f>VLOOKUP(Table91213[[#This Row],[Date]],'DB Details'!$A:$L,12)</f>
        <v>67.099999999999994</v>
      </c>
    </row>
    <row r="141" spans="1:12" x14ac:dyDescent="0.35">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4"/>
      <c r="H141" s="88">
        <f>VLOOKUP(Table91213[[#This Row],[Date]],'DB Details'!$A:$L,8)</f>
        <v>63.4</v>
      </c>
      <c r="I141" s="88">
        <f>VLOOKUP(Table91213[[#This Row],[Date]],'DB Details'!$A:$L,9)</f>
        <v>64.8</v>
      </c>
      <c r="J141" s="88">
        <f>VLOOKUP(Table91213[[#This Row],[Date]],'DB Details'!$A:$L,10)</f>
        <v>63.6</v>
      </c>
      <c r="K141" s="94"/>
      <c r="L141" s="88">
        <f>VLOOKUP(Table91213[[#This Row],[Date]],'DB Details'!$A:$L,12)</f>
        <v>66.900000000000006</v>
      </c>
    </row>
    <row r="142" spans="1:12" x14ac:dyDescent="0.35">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4"/>
      <c r="H142" s="88">
        <f>VLOOKUP(Table91213[[#This Row],[Date]],'DB Details'!$A:$L,8)</f>
        <v>63.8</v>
      </c>
      <c r="I142" s="88">
        <f>VLOOKUP(Table91213[[#This Row],[Date]],'DB Details'!$A:$L,9)</f>
        <v>63</v>
      </c>
      <c r="J142" s="88">
        <f>VLOOKUP(Table91213[[#This Row],[Date]],'DB Details'!$A:$L,10)</f>
        <v>64.8</v>
      </c>
      <c r="K142" s="94"/>
      <c r="L142" s="88">
        <f>VLOOKUP(Table91213[[#This Row],[Date]],'DB Details'!$A:$L,12)</f>
        <v>68.2</v>
      </c>
    </row>
    <row r="143" spans="1:12" x14ac:dyDescent="0.35">
      <c r="A143" s="39">
        <v>21702</v>
      </c>
      <c r="B143" s="57">
        <f>VLOOKUP(Table91213[[#This Row],[Date]],'DB Details'!$A:$L,2)</f>
        <v>64.2</v>
      </c>
      <c r="C143" s="55"/>
      <c r="D143" s="55"/>
      <c r="E143" s="88">
        <f>VLOOKUP(Table91213[[#This Row],[Date]],'DB Details'!$A:$L,5)</f>
        <v>69.5</v>
      </c>
      <c r="F143" s="88">
        <f>VLOOKUP(Table91213[[#This Row],[Date]],'DB Details'!$A:$L,6)</f>
        <v>66.3</v>
      </c>
      <c r="G143" s="94"/>
      <c r="H143" s="88">
        <f>VLOOKUP(Table91213[[#This Row],[Date]],'DB Details'!$A:$L,8)</f>
        <v>65.599999999999994</v>
      </c>
      <c r="I143" s="88">
        <f>VLOOKUP(Table91213[[#This Row],[Date]],'DB Details'!$A:$L,9)</f>
        <v>63.7</v>
      </c>
      <c r="J143" s="88">
        <f>VLOOKUP(Table91213[[#This Row],[Date]],'DB Details'!$A:$L,10)</f>
        <v>62.2</v>
      </c>
      <c r="K143" s="94"/>
      <c r="L143" s="88">
        <f>VLOOKUP(Table91213[[#This Row],[Date]],'DB Details'!$A:$L,12)</f>
        <v>64.400000000000006</v>
      </c>
    </row>
    <row r="144" spans="1:12" x14ac:dyDescent="0.35">
      <c r="A144" s="39">
        <v>21732</v>
      </c>
      <c r="B144" s="57">
        <f>VLOOKUP(Table91213[[#This Row],[Date]],'DB Details'!$A:$L,2)</f>
        <v>61.3</v>
      </c>
      <c r="C144" s="55"/>
      <c r="D144" s="55"/>
      <c r="E144" s="88">
        <f>VLOOKUP(Table91213[[#This Row],[Date]],'DB Details'!$A:$L,5)</f>
        <v>63.9</v>
      </c>
      <c r="F144" s="88">
        <f>VLOOKUP(Table91213[[#This Row],[Date]],'DB Details'!$A:$L,6)</f>
        <v>64.8</v>
      </c>
      <c r="G144" s="94"/>
      <c r="H144" s="88">
        <f>VLOOKUP(Table91213[[#This Row],[Date]],'DB Details'!$A:$L,8)</f>
        <v>62</v>
      </c>
      <c r="I144" s="88">
        <f>VLOOKUP(Table91213[[#This Row],[Date]],'DB Details'!$A:$L,9)</f>
        <v>59.1</v>
      </c>
      <c r="J144" s="88">
        <f>VLOOKUP(Table91213[[#This Row],[Date]],'DB Details'!$A:$L,10)</f>
        <v>59</v>
      </c>
      <c r="K144" s="94"/>
      <c r="L144" s="88">
        <f>VLOOKUP(Table91213[[#This Row],[Date]],'DB Details'!$A:$L,12)</f>
        <v>61.5</v>
      </c>
    </row>
    <row r="145" spans="1:12" x14ac:dyDescent="0.35">
      <c r="A145" s="39">
        <v>21763</v>
      </c>
      <c r="B145" s="57">
        <f>VLOOKUP(Table91213[[#This Row],[Date]],'DB Details'!$A:$L,2)</f>
        <v>54.4</v>
      </c>
      <c r="C145" s="55"/>
      <c r="D145" s="55"/>
      <c r="E145" s="88">
        <f>VLOOKUP(Table91213[[#This Row],[Date]],'DB Details'!$A:$L,5)</f>
        <v>57.6</v>
      </c>
      <c r="F145" s="88">
        <f>VLOOKUP(Table91213[[#This Row],[Date]],'DB Details'!$A:$L,6)</f>
        <v>57.4</v>
      </c>
      <c r="G145" s="94"/>
      <c r="H145" s="88">
        <f>VLOOKUP(Table91213[[#This Row],[Date]],'DB Details'!$A:$L,8)</f>
        <v>50.9</v>
      </c>
      <c r="I145" s="88">
        <f>VLOOKUP(Table91213[[#This Row],[Date]],'DB Details'!$A:$L,9)</f>
        <v>57.4</v>
      </c>
      <c r="J145" s="88">
        <f>VLOOKUP(Table91213[[#This Row],[Date]],'DB Details'!$A:$L,10)</f>
        <v>53.6</v>
      </c>
      <c r="K145" s="94"/>
      <c r="L145" s="88">
        <f>VLOOKUP(Table91213[[#This Row],[Date]],'DB Details'!$A:$L,12)</f>
        <v>55.1</v>
      </c>
    </row>
    <row r="146" spans="1:12" x14ac:dyDescent="0.35">
      <c r="A146" s="39">
        <v>21794</v>
      </c>
      <c r="B146" s="57">
        <f>VLOOKUP(Table91213[[#This Row],[Date]],'DB Details'!$A:$L,2)</f>
        <v>43.7</v>
      </c>
      <c r="C146" s="55"/>
      <c r="D146" s="55"/>
      <c r="E146" s="88">
        <f>VLOOKUP(Table91213[[#This Row],[Date]],'DB Details'!$A:$L,5)</f>
        <v>61.6</v>
      </c>
      <c r="F146" s="88">
        <f>VLOOKUP(Table91213[[#This Row],[Date]],'DB Details'!$A:$L,6)</f>
        <v>50.9</v>
      </c>
      <c r="G146" s="94"/>
      <c r="H146" s="88">
        <f>VLOOKUP(Table91213[[#This Row],[Date]],'DB Details'!$A:$L,8)</f>
        <v>42.3</v>
      </c>
      <c r="I146" s="88">
        <f>VLOOKUP(Table91213[[#This Row],[Date]],'DB Details'!$A:$L,9)</f>
        <v>57.5</v>
      </c>
      <c r="J146" s="88">
        <f>VLOOKUP(Table91213[[#This Row],[Date]],'DB Details'!$A:$L,10)</f>
        <v>48</v>
      </c>
      <c r="K146" s="94"/>
      <c r="L146" s="88">
        <f>VLOOKUP(Table91213[[#This Row],[Date]],'DB Details'!$A:$L,12)</f>
        <v>48.3</v>
      </c>
    </row>
    <row r="147" spans="1:12" x14ac:dyDescent="0.35">
      <c r="A147" s="39">
        <v>21824</v>
      </c>
      <c r="B147" s="57">
        <f>VLOOKUP(Table91213[[#This Row],[Date]],'DB Details'!$A:$L,2)</f>
        <v>50</v>
      </c>
      <c r="C147" s="55"/>
      <c r="D147" s="55"/>
      <c r="E147" s="88">
        <f>VLOOKUP(Table91213[[#This Row],[Date]],'DB Details'!$A:$L,5)</f>
        <v>63.1</v>
      </c>
      <c r="F147" s="88">
        <f>VLOOKUP(Table91213[[#This Row],[Date]],'DB Details'!$A:$L,6)</f>
        <v>50.4</v>
      </c>
      <c r="G147" s="94"/>
      <c r="H147" s="88">
        <f>VLOOKUP(Table91213[[#This Row],[Date]],'DB Details'!$A:$L,8)</f>
        <v>39.1</v>
      </c>
      <c r="I147" s="88">
        <f>VLOOKUP(Table91213[[#This Row],[Date]],'DB Details'!$A:$L,9)</f>
        <v>58.5</v>
      </c>
      <c r="J147" s="88">
        <f>VLOOKUP(Table91213[[#This Row],[Date]],'DB Details'!$A:$L,10)</f>
        <v>47.3</v>
      </c>
      <c r="K147" s="94"/>
      <c r="L147" s="88">
        <f>VLOOKUP(Table91213[[#This Row],[Date]],'DB Details'!$A:$L,12)</f>
        <v>49.7</v>
      </c>
    </row>
    <row r="148" spans="1:12" x14ac:dyDescent="0.35">
      <c r="A148" s="39">
        <v>21855</v>
      </c>
      <c r="B148" s="57">
        <f>VLOOKUP(Table91213[[#This Row],[Date]],'DB Details'!$A:$L,2)</f>
        <v>51.1</v>
      </c>
      <c r="C148" s="55"/>
      <c r="D148" s="55"/>
      <c r="E148" s="88">
        <f>VLOOKUP(Table91213[[#This Row],[Date]],'DB Details'!$A:$L,5)</f>
        <v>65.099999999999994</v>
      </c>
      <c r="F148" s="88">
        <f>VLOOKUP(Table91213[[#This Row],[Date]],'DB Details'!$A:$L,6)</f>
        <v>51.9</v>
      </c>
      <c r="G148" s="94"/>
      <c r="H148" s="88">
        <f>VLOOKUP(Table91213[[#This Row],[Date]],'DB Details'!$A:$L,8)</f>
        <v>43.4</v>
      </c>
      <c r="I148" s="88">
        <f>VLOOKUP(Table91213[[#This Row],[Date]],'DB Details'!$A:$L,9)</f>
        <v>54.6</v>
      </c>
      <c r="J148" s="88">
        <f>VLOOKUP(Table91213[[#This Row],[Date]],'DB Details'!$A:$L,10)</f>
        <v>48.8</v>
      </c>
      <c r="K148" s="94"/>
      <c r="L148" s="88">
        <f>VLOOKUP(Table91213[[#This Row],[Date]],'DB Details'!$A:$L,12)</f>
        <v>50.6</v>
      </c>
    </row>
    <row r="149" spans="1:12" x14ac:dyDescent="0.35">
      <c r="A149" s="39">
        <v>21885</v>
      </c>
      <c r="B149" s="57">
        <f>VLOOKUP(Table91213[[#This Row],[Date]],'DB Details'!$A:$L,2)</f>
        <v>62.8</v>
      </c>
      <c r="C149" s="55"/>
      <c r="D149" s="55"/>
      <c r="E149" s="88">
        <f>VLOOKUP(Table91213[[#This Row],[Date]],'DB Details'!$A:$L,5)</f>
        <v>63.6</v>
      </c>
      <c r="F149" s="88">
        <f>VLOOKUP(Table91213[[#This Row],[Date]],'DB Details'!$A:$L,6)</f>
        <v>61.7</v>
      </c>
      <c r="G149" s="94"/>
      <c r="H149" s="88">
        <f>VLOOKUP(Table91213[[#This Row],[Date]],'DB Details'!$A:$L,8)</f>
        <v>49.1</v>
      </c>
      <c r="I149" s="88">
        <f>VLOOKUP(Table91213[[#This Row],[Date]],'DB Details'!$A:$L,9)</f>
        <v>53.7</v>
      </c>
      <c r="J149" s="88">
        <f>VLOOKUP(Table91213[[#This Row],[Date]],'DB Details'!$A:$L,10)</f>
        <v>54.8</v>
      </c>
      <c r="K149" s="94"/>
      <c r="L149" s="88">
        <f>VLOOKUP(Table91213[[#This Row],[Date]],'DB Details'!$A:$L,12)</f>
        <v>58.2</v>
      </c>
    </row>
    <row r="150" spans="1:12" x14ac:dyDescent="0.35">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4"/>
      <c r="H150" s="88">
        <f>VLOOKUP(Table91213[[#This Row],[Date]],'DB Details'!$A:$L,8)</f>
        <v>48.3</v>
      </c>
      <c r="I150" s="88">
        <f>VLOOKUP(Table91213[[#This Row],[Date]],'DB Details'!$A:$L,9)</f>
        <v>46.2</v>
      </c>
      <c r="J150" s="88">
        <f>VLOOKUP(Table91213[[#This Row],[Date]],'DB Details'!$A:$L,10)</f>
        <v>60.8</v>
      </c>
      <c r="K150" s="94"/>
      <c r="L150" s="88">
        <f>VLOOKUP(Table91213[[#This Row],[Date]],'DB Details'!$A:$L,12)</f>
        <v>61.5</v>
      </c>
    </row>
    <row r="151" spans="1:12" x14ac:dyDescent="0.35">
      <c r="A151" s="39">
        <v>21947</v>
      </c>
      <c r="B151" s="57">
        <f>VLOOKUP(Table91213[[#This Row],[Date]],'DB Details'!$A:$L,2)</f>
        <v>52.5</v>
      </c>
      <c r="C151" s="55"/>
      <c r="D151" s="55"/>
      <c r="E151" s="88">
        <f>VLOOKUP(Table91213[[#This Row],[Date]],'DB Details'!$A:$L,5)</f>
        <v>60.9</v>
      </c>
      <c r="F151" s="88">
        <f>VLOOKUP(Table91213[[#This Row],[Date]],'DB Details'!$A:$L,6)</f>
        <v>58.6</v>
      </c>
      <c r="G151" s="94"/>
      <c r="H151" s="88">
        <f>VLOOKUP(Table91213[[#This Row],[Date]],'DB Details'!$A:$L,8)</f>
        <v>56.6</v>
      </c>
      <c r="I151" s="88">
        <f>VLOOKUP(Table91213[[#This Row],[Date]],'DB Details'!$A:$L,9)</f>
        <v>31.7</v>
      </c>
      <c r="J151" s="88">
        <f>VLOOKUP(Table91213[[#This Row],[Date]],'DB Details'!$A:$L,10)</f>
        <v>57.2</v>
      </c>
      <c r="K151" s="94"/>
      <c r="L151" s="88">
        <f>VLOOKUP(Table91213[[#This Row],[Date]],'DB Details'!$A:$L,12)</f>
        <v>52.3</v>
      </c>
    </row>
    <row r="152" spans="1:12" x14ac:dyDescent="0.35">
      <c r="A152" s="39">
        <v>21976</v>
      </c>
      <c r="B152" s="57">
        <f>VLOOKUP(Table91213[[#This Row],[Date]],'DB Details'!$A:$L,2)</f>
        <v>52.2</v>
      </c>
      <c r="C152" s="55"/>
      <c r="D152" s="55"/>
      <c r="E152" s="88">
        <f>VLOOKUP(Table91213[[#This Row],[Date]],'DB Details'!$A:$L,5)</f>
        <v>57.3</v>
      </c>
      <c r="F152" s="88">
        <f>VLOOKUP(Table91213[[#This Row],[Date]],'DB Details'!$A:$L,6)</f>
        <v>52.4</v>
      </c>
      <c r="G152" s="94"/>
      <c r="H152" s="88">
        <f>VLOOKUP(Table91213[[#This Row],[Date]],'DB Details'!$A:$L,8)</f>
        <v>50.7</v>
      </c>
      <c r="I152" s="88">
        <f>VLOOKUP(Table91213[[#This Row],[Date]],'DB Details'!$A:$L,9)</f>
        <v>28.8</v>
      </c>
      <c r="J152" s="88">
        <f>VLOOKUP(Table91213[[#This Row],[Date]],'DB Details'!$A:$L,10)</f>
        <v>48</v>
      </c>
      <c r="K152" s="94"/>
      <c r="L152" s="88">
        <f>VLOOKUP(Table91213[[#This Row],[Date]],'DB Details'!$A:$L,12)</f>
        <v>47.8</v>
      </c>
    </row>
    <row r="153" spans="1:12" x14ac:dyDescent="0.35">
      <c r="A153" s="39">
        <v>22007</v>
      </c>
      <c r="B153" s="57">
        <f>VLOOKUP(Table91213[[#This Row],[Date]],'DB Details'!$A:$L,2)</f>
        <v>52</v>
      </c>
      <c r="C153" s="55"/>
      <c r="D153" s="55"/>
      <c r="E153" s="88">
        <f>VLOOKUP(Table91213[[#This Row],[Date]],'DB Details'!$A:$L,5)</f>
        <v>60.4</v>
      </c>
      <c r="F153" s="88">
        <f>VLOOKUP(Table91213[[#This Row],[Date]],'DB Details'!$A:$L,6)</f>
        <v>49.8</v>
      </c>
      <c r="G153" s="94"/>
      <c r="H153" s="88">
        <f>VLOOKUP(Table91213[[#This Row],[Date]],'DB Details'!$A:$L,8)</f>
        <v>45.5</v>
      </c>
      <c r="I153" s="88">
        <f>VLOOKUP(Table91213[[#This Row],[Date]],'DB Details'!$A:$L,9)</f>
        <v>28.9</v>
      </c>
      <c r="J153" s="88">
        <f>VLOOKUP(Table91213[[#This Row],[Date]],'DB Details'!$A:$L,10)</f>
        <v>42</v>
      </c>
      <c r="K153" s="94"/>
      <c r="L153" s="88">
        <f>VLOOKUP(Table91213[[#This Row],[Date]],'DB Details'!$A:$L,12)</f>
        <v>45.3</v>
      </c>
    </row>
    <row r="154" spans="1:12" x14ac:dyDescent="0.35">
      <c r="A154" s="39">
        <v>22037</v>
      </c>
      <c r="B154" s="57">
        <f>VLOOKUP(Table91213[[#This Row],[Date]],'DB Details'!$A:$L,2)</f>
        <v>45.8</v>
      </c>
      <c r="C154" s="55"/>
      <c r="D154" s="55"/>
      <c r="E154" s="88">
        <f>VLOOKUP(Table91213[[#This Row],[Date]],'DB Details'!$A:$L,5)</f>
        <v>57</v>
      </c>
      <c r="F154" s="88">
        <f>VLOOKUP(Table91213[[#This Row],[Date]],'DB Details'!$A:$L,6)</f>
        <v>45</v>
      </c>
      <c r="G154" s="94"/>
      <c r="H154" s="88">
        <f>VLOOKUP(Table91213[[#This Row],[Date]],'DB Details'!$A:$L,8)</f>
        <v>42.5</v>
      </c>
      <c r="I154" s="88">
        <f>VLOOKUP(Table91213[[#This Row],[Date]],'DB Details'!$A:$L,9)</f>
        <v>32.299999999999997</v>
      </c>
      <c r="J154" s="88">
        <f>VLOOKUP(Table91213[[#This Row],[Date]],'DB Details'!$A:$L,10)</f>
        <v>42.5</v>
      </c>
      <c r="K154" s="94"/>
      <c r="L154" s="88">
        <f>VLOOKUP(Table91213[[#This Row],[Date]],'DB Details'!$A:$L,12)</f>
        <v>42.6</v>
      </c>
    </row>
    <row r="155" spans="1:12" x14ac:dyDescent="0.35">
      <c r="A155" s="39">
        <v>22068</v>
      </c>
      <c r="B155" s="57">
        <f>VLOOKUP(Table91213[[#This Row],[Date]],'DB Details'!$A:$L,2)</f>
        <v>49.2</v>
      </c>
      <c r="C155" s="55"/>
      <c r="D155" s="55"/>
      <c r="E155" s="88">
        <f>VLOOKUP(Table91213[[#This Row],[Date]],'DB Details'!$A:$L,5)</f>
        <v>52.6</v>
      </c>
      <c r="F155" s="88">
        <f>VLOOKUP(Table91213[[#This Row],[Date]],'DB Details'!$A:$L,6)</f>
        <v>48.5</v>
      </c>
      <c r="G155" s="94"/>
      <c r="H155" s="88">
        <f>VLOOKUP(Table91213[[#This Row],[Date]],'DB Details'!$A:$L,8)</f>
        <v>43.9</v>
      </c>
      <c r="I155" s="88">
        <f>VLOOKUP(Table91213[[#This Row],[Date]],'DB Details'!$A:$L,9)</f>
        <v>34.799999999999997</v>
      </c>
      <c r="J155" s="88">
        <f>VLOOKUP(Table91213[[#This Row],[Date]],'DB Details'!$A:$L,10)</f>
        <v>39.700000000000003</v>
      </c>
      <c r="K155" s="94"/>
      <c r="L155" s="88">
        <f>VLOOKUP(Table91213[[#This Row],[Date]],'DB Details'!$A:$L,12)</f>
        <v>44.4</v>
      </c>
    </row>
    <row r="156" spans="1:12" x14ac:dyDescent="0.35">
      <c r="A156" s="39">
        <v>22098</v>
      </c>
      <c r="B156" s="57">
        <f>VLOOKUP(Table91213[[#This Row],[Date]],'DB Details'!$A:$L,2)</f>
        <v>45.7</v>
      </c>
      <c r="C156" s="55"/>
      <c r="D156" s="55"/>
      <c r="E156" s="88">
        <f>VLOOKUP(Table91213[[#This Row],[Date]],'DB Details'!$A:$L,5)</f>
        <v>49.9</v>
      </c>
      <c r="F156" s="88">
        <f>VLOOKUP(Table91213[[#This Row],[Date]],'DB Details'!$A:$L,6)</f>
        <v>48.2</v>
      </c>
      <c r="G156" s="94"/>
      <c r="H156" s="88">
        <f>VLOOKUP(Table91213[[#This Row],[Date]],'DB Details'!$A:$L,8)</f>
        <v>41.9</v>
      </c>
      <c r="I156" s="88">
        <f>VLOOKUP(Table91213[[#This Row],[Date]],'DB Details'!$A:$L,9)</f>
        <v>35.799999999999997</v>
      </c>
      <c r="J156" s="88">
        <f>VLOOKUP(Table91213[[#This Row],[Date]],'DB Details'!$A:$L,10)</f>
        <v>42.1</v>
      </c>
      <c r="K156" s="94"/>
      <c r="L156" s="88">
        <f>VLOOKUP(Table91213[[#This Row],[Date]],'DB Details'!$A:$L,12)</f>
        <v>43.7</v>
      </c>
    </row>
    <row r="157" spans="1:12" x14ac:dyDescent="0.35">
      <c r="A157" s="39">
        <v>22129</v>
      </c>
      <c r="B157" s="57">
        <f>VLOOKUP(Table91213[[#This Row],[Date]],'DB Details'!$A:$L,2)</f>
        <v>55.6</v>
      </c>
      <c r="C157" s="55"/>
      <c r="D157" s="55"/>
      <c r="E157" s="88">
        <f>VLOOKUP(Table91213[[#This Row],[Date]],'DB Details'!$A:$L,5)</f>
        <v>50.6</v>
      </c>
      <c r="F157" s="88">
        <f>VLOOKUP(Table91213[[#This Row],[Date]],'DB Details'!$A:$L,6)</f>
        <v>50.3</v>
      </c>
      <c r="G157" s="94"/>
      <c r="H157" s="88">
        <f>VLOOKUP(Table91213[[#This Row],[Date]],'DB Details'!$A:$L,8)</f>
        <v>39.1</v>
      </c>
      <c r="I157" s="88">
        <f>VLOOKUP(Table91213[[#This Row],[Date]],'DB Details'!$A:$L,9)</f>
        <v>38</v>
      </c>
      <c r="J157" s="88">
        <f>VLOOKUP(Table91213[[#This Row],[Date]],'DB Details'!$A:$L,10)</f>
        <v>43.6</v>
      </c>
      <c r="K157" s="94"/>
      <c r="L157" s="88">
        <f>VLOOKUP(Table91213[[#This Row],[Date]],'DB Details'!$A:$L,12)</f>
        <v>47.6</v>
      </c>
    </row>
    <row r="158" spans="1:12" x14ac:dyDescent="0.35">
      <c r="A158" s="39">
        <v>22160</v>
      </c>
      <c r="B158" s="57">
        <f>VLOOKUP(Table91213[[#This Row],[Date]],'DB Details'!$A:$L,2)</f>
        <v>50.5</v>
      </c>
      <c r="C158" s="55"/>
      <c r="D158" s="55"/>
      <c r="E158" s="88">
        <f>VLOOKUP(Table91213[[#This Row],[Date]],'DB Details'!$A:$L,5)</f>
        <v>48.4</v>
      </c>
      <c r="F158" s="88">
        <f>VLOOKUP(Table91213[[#This Row],[Date]],'DB Details'!$A:$L,6)</f>
        <v>50</v>
      </c>
      <c r="G158" s="94"/>
      <c r="H158" s="88">
        <f>VLOOKUP(Table91213[[#This Row],[Date]],'DB Details'!$A:$L,8)</f>
        <v>40.799999999999997</v>
      </c>
      <c r="I158" s="88">
        <f>VLOOKUP(Table91213[[#This Row],[Date]],'DB Details'!$A:$L,9)</f>
        <v>37.299999999999997</v>
      </c>
      <c r="J158" s="88">
        <f>VLOOKUP(Table91213[[#This Row],[Date]],'DB Details'!$A:$L,10)</f>
        <v>40.200000000000003</v>
      </c>
      <c r="K158" s="94"/>
      <c r="L158" s="88">
        <f>VLOOKUP(Table91213[[#This Row],[Date]],'DB Details'!$A:$L,12)</f>
        <v>45.4</v>
      </c>
    </row>
    <row r="159" spans="1:12" x14ac:dyDescent="0.35">
      <c r="A159" s="39">
        <v>22190</v>
      </c>
      <c r="B159" s="57">
        <f>VLOOKUP(Table91213[[#This Row],[Date]],'DB Details'!$A:$L,2)</f>
        <v>50.1</v>
      </c>
      <c r="C159" s="55"/>
      <c r="D159" s="55"/>
      <c r="E159" s="88">
        <f>VLOOKUP(Table91213[[#This Row],[Date]],'DB Details'!$A:$L,5)</f>
        <v>45</v>
      </c>
      <c r="F159" s="88">
        <f>VLOOKUP(Table91213[[#This Row],[Date]],'DB Details'!$A:$L,6)</f>
        <v>51.2</v>
      </c>
      <c r="G159" s="94"/>
      <c r="H159" s="88">
        <f>VLOOKUP(Table91213[[#This Row],[Date]],'DB Details'!$A:$L,8)</f>
        <v>39.700000000000003</v>
      </c>
      <c r="I159" s="88">
        <f>VLOOKUP(Table91213[[#This Row],[Date]],'DB Details'!$A:$L,9)</f>
        <v>36.200000000000003</v>
      </c>
      <c r="J159" s="88">
        <f>VLOOKUP(Table91213[[#This Row],[Date]],'DB Details'!$A:$L,10)</f>
        <v>43.7</v>
      </c>
      <c r="K159" s="94"/>
      <c r="L159" s="88">
        <f>VLOOKUP(Table91213[[#This Row],[Date]],'DB Details'!$A:$L,12)</f>
        <v>46</v>
      </c>
    </row>
    <row r="160" spans="1:12" x14ac:dyDescent="0.35">
      <c r="A160" s="39">
        <v>22221</v>
      </c>
      <c r="B160" s="57">
        <f>VLOOKUP(Table91213[[#This Row],[Date]],'DB Details'!$A:$L,2)</f>
        <v>48.2</v>
      </c>
      <c r="C160" s="55"/>
      <c r="D160" s="55"/>
      <c r="E160" s="88">
        <f>VLOOKUP(Table91213[[#This Row],[Date]],'DB Details'!$A:$L,5)</f>
        <v>46.9</v>
      </c>
      <c r="F160" s="88">
        <f>VLOOKUP(Table91213[[#This Row],[Date]],'DB Details'!$A:$L,6)</f>
        <v>45.6</v>
      </c>
      <c r="G160" s="94"/>
      <c r="H160" s="88">
        <f>VLOOKUP(Table91213[[#This Row],[Date]],'DB Details'!$A:$L,8)</f>
        <v>41.7</v>
      </c>
      <c r="I160" s="88">
        <f>VLOOKUP(Table91213[[#This Row],[Date]],'DB Details'!$A:$L,9)</f>
        <v>37.6</v>
      </c>
      <c r="J160" s="88">
        <f>VLOOKUP(Table91213[[#This Row],[Date]],'DB Details'!$A:$L,10)</f>
        <v>43</v>
      </c>
      <c r="K160" s="94"/>
      <c r="L160" s="88">
        <f>VLOOKUP(Table91213[[#This Row],[Date]],'DB Details'!$A:$L,12)</f>
        <v>44.3</v>
      </c>
    </row>
    <row r="161" spans="1:12" x14ac:dyDescent="0.35">
      <c r="A161" s="39">
        <v>22251</v>
      </c>
      <c r="B161" s="57">
        <f>VLOOKUP(Table91213[[#This Row],[Date]],'DB Details'!$A:$L,2)</f>
        <v>47.5</v>
      </c>
      <c r="C161" s="55"/>
      <c r="D161" s="55"/>
      <c r="E161" s="88">
        <f>VLOOKUP(Table91213[[#This Row],[Date]],'DB Details'!$A:$L,5)</f>
        <v>46.6</v>
      </c>
      <c r="F161" s="88">
        <f>VLOOKUP(Table91213[[#This Row],[Date]],'DB Details'!$A:$L,6)</f>
        <v>47.5</v>
      </c>
      <c r="G161" s="94"/>
      <c r="H161" s="88">
        <f>VLOOKUP(Table91213[[#This Row],[Date]],'DB Details'!$A:$L,8)</f>
        <v>39.299999999999997</v>
      </c>
      <c r="I161" s="88">
        <f>VLOOKUP(Table91213[[#This Row],[Date]],'DB Details'!$A:$L,9)</f>
        <v>40.4</v>
      </c>
      <c r="J161" s="88">
        <f>VLOOKUP(Table91213[[#This Row],[Date]],'DB Details'!$A:$L,10)</f>
        <v>40.700000000000003</v>
      </c>
      <c r="K161" s="94"/>
      <c r="L161" s="88">
        <f>VLOOKUP(Table91213[[#This Row],[Date]],'DB Details'!$A:$L,12)</f>
        <v>44.3</v>
      </c>
    </row>
    <row r="162" spans="1:12" x14ac:dyDescent="0.35">
      <c r="A162" s="39">
        <v>22282</v>
      </c>
      <c r="B162" s="57">
        <f>VLOOKUP(Table91213[[#This Row],[Date]],'DB Details'!$A:$L,2)</f>
        <v>47.2</v>
      </c>
      <c r="C162" s="55"/>
      <c r="D162" s="55"/>
      <c r="E162" s="88">
        <f>VLOOKUP(Table91213[[#This Row],[Date]],'DB Details'!$A:$L,5)</f>
        <v>49.1</v>
      </c>
      <c r="F162" s="88">
        <f>VLOOKUP(Table91213[[#This Row],[Date]],'DB Details'!$A:$L,6)</f>
        <v>47.3</v>
      </c>
      <c r="G162" s="94"/>
      <c r="H162" s="88">
        <f>VLOOKUP(Table91213[[#This Row],[Date]],'DB Details'!$A:$L,8)</f>
        <v>40.5</v>
      </c>
      <c r="I162" s="88">
        <f>VLOOKUP(Table91213[[#This Row],[Date]],'DB Details'!$A:$L,9)</f>
        <v>39.200000000000003</v>
      </c>
      <c r="J162" s="88">
        <f>VLOOKUP(Table91213[[#This Row],[Date]],'DB Details'!$A:$L,10)</f>
        <v>39.700000000000003</v>
      </c>
      <c r="K162" s="94"/>
      <c r="L162" s="88">
        <f>VLOOKUP(Table91213[[#This Row],[Date]],'DB Details'!$A:$L,12)</f>
        <v>43.9</v>
      </c>
    </row>
    <row r="163" spans="1:12" x14ac:dyDescent="0.35">
      <c r="A163" s="39">
        <v>22313</v>
      </c>
      <c r="B163" s="57">
        <f>VLOOKUP(Table91213[[#This Row],[Date]],'DB Details'!$A:$L,2)</f>
        <v>48.7</v>
      </c>
      <c r="C163" s="55"/>
      <c r="D163" s="55"/>
      <c r="E163" s="88">
        <f>VLOOKUP(Table91213[[#This Row],[Date]],'DB Details'!$A:$L,5)</f>
        <v>50.3</v>
      </c>
      <c r="F163" s="88">
        <f>VLOOKUP(Table91213[[#This Row],[Date]],'DB Details'!$A:$L,6)</f>
        <v>49.2</v>
      </c>
      <c r="G163" s="94"/>
      <c r="H163" s="88">
        <f>VLOOKUP(Table91213[[#This Row],[Date]],'DB Details'!$A:$L,8)</f>
        <v>36.6</v>
      </c>
      <c r="I163" s="88">
        <f>VLOOKUP(Table91213[[#This Row],[Date]],'DB Details'!$A:$L,9)</f>
        <v>41.1</v>
      </c>
      <c r="J163" s="88">
        <f>VLOOKUP(Table91213[[#This Row],[Date]],'DB Details'!$A:$L,10)</f>
        <v>34.200000000000003</v>
      </c>
      <c r="K163" s="94"/>
      <c r="L163" s="88">
        <f>VLOOKUP(Table91213[[#This Row],[Date]],'DB Details'!$A:$L,12)</f>
        <v>43.6</v>
      </c>
    </row>
    <row r="164" spans="1:12" x14ac:dyDescent="0.35">
      <c r="A164" s="39">
        <v>22341</v>
      </c>
      <c r="B164" s="57">
        <f>VLOOKUP(Table91213[[#This Row],[Date]],'DB Details'!$A:$L,2)</f>
        <v>55.2</v>
      </c>
      <c r="C164" s="55"/>
      <c r="D164" s="55"/>
      <c r="E164" s="88">
        <f>VLOOKUP(Table91213[[#This Row],[Date]],'DB Details'!$A:$L,5)</f>
        <v>50.2</v>
      </c>
      <c r="F164" s="88">
        <f>VLOOKUP(Table91213[[#This Row],[Date]],'DB Details'!$A:$L,6)</f>
        <v>55.4</v>
      </c>
      <c r="G164" s="94"/>
      <c r="H164" s="88">
        <f>VLOOKUP(Table91213[[#This Row],[Date]],'DB Details'!$A:$L,8)</f>
        <v>38.9</v>
      </c>
      <c r="I164" s="88">
        <f>VLOOKUP(Table91213[[#This Row],[Date]],'DB Details'!$A:$L,9)</f>
        <v>42.1</v>
      </c>
      <c r="J164" s="88">
        <f>VLOOKUP(Table91213[[#This Row],[Date]],'DB Details'!$A:$L,10)</f>
        <v>42.2</v>
      </c>
      <c r="K164" s="94"/>
      <c r="L164" s="88">
        <f>VLOOKUP(Table91213[[#This Row],[Date]],'DB Details'!$A:$L,12)</f>
        <v>49.1</v>
      </c>
    </row>
    <row r="165" spans="1:12" x14ac:dyDescent="0.35">
      <c r="A165" s="39">
        <v>22372</v>
      </c>
      <c r="B165" s="57">
        <f>VLOOKUP(Table91213[[#This Row],[Date]],'DB Details'!$A:$L,2)</f>
        <v>67.7</v>
      </c>
      <c r="C165" s="55"/>
      <c r="D165" s="55"/>
      <c r="E165" s="88">
        <f>VLOOKUP(Table91213[[#This Row],[Date]],'DB Details'!$A:$L,5)</f>
        <v>51.8</v>
      </c>
      <c r="F165" s="88">
        <f>VLOOKUP(Table91213[[#This Row],[Date]],'DB Details'!$A:$L,6)</f>
        <v>61.7</v>
      </c>
      <c r="G165" s="94"/>
      <c r="H165" s="88">
        <f>VLOOKUP(Table91213[[#This Row],[Date]],'DB Details'!$A:$L,8)</f>
        <v>41.3</v>
      </c>
      <c r="I165" s="88">
        <f>VLOOKUP(Table91213[[#This Row],[Date]],'DB Details'!$A:$L,9)</f>
        <v>47.5</v>
      </c>
      <c r="J165" s="88">
        <f>VLOOKUP(Table91213[[#This Row],[Date]],'DB Details'!$A:$L,10)</f>
        <v>53.2</v>
      </c>
      <c r="K165" s="94"/>
      <c r="L165" s="88">
        <f>VLOOKUP(Table91213[[#This Row],[Date]],'DB Details'!$A:$L,12)</f>
        <v>57.6</v>
      </c>
    </row>
    <row r="166" spans="1:12" x14ac:dyDescent="0.35">
      <c r="A166" s="39">
        <v>22402</v>
      </c>
      <c r="B166" s="57">
        <f>VLOOKUP(Table91213[[#This Row],[Date]],'DB Details'!$A:$L,2)</f>
        <v>64.8</v>
      </c>
      <c r="C166" s="55"/>
      <c r="D166" s="55"/>
      <c r="E166" s="88">
        <f>VLOOKUP(Table91213[[#This Row],[Date]],'DB Details'!$A:$L,5)</f>
        <v>55</v>
      </c>
      <c r="F166" s="88">
        <f>VLOOKUP(Table91213[[#This Row],[Date]],'DB Details'!$A:$L,6)</f>
        <v>66.599999999999994</v>
      </c>
      <c r="G166" s="94"/>
      <c r="H166" s="88">
        <f>VLOOKUP(Table91213[[#This Row],[Date]],'DB Details'!$A:$L,8)</f>
        <v>44</v>
      </c>
      <c r="I166" s="88">
        <f>VLOOKUP(Table91213[[#This Row],[Date]],'DB Details'!$A:$L,9)</f>
        <v>47.9</v>
      </c>
      <c r="J166" s="88">
        <f>VLOOKUP(Table91213[[#This Row],[Date]],'DB Details'!$A:$L,10)</f>
        <v>56.3</v>
      </c>
      <c r="K166" s="94"/>
      <c r="L166" s="88">
        <f>VLOOKUP(Table91213[[#This Row],[Date]],'DB Details'!$A:$L,12)</f>
        <v>58.9</v>
      </c>
    </row>
    <row r="167" spans="1:12" x14ac:dyDescent="0.35">
      <c r="A167" s="39">
        <v>22433</v>
      </c>
      <c r="B167" s="57">
        <f>VLOOKUP(Table91213[[#This Row],[Date]],'DB Details'!$A:$L,2)</f>
        <v>64</v>
      </c>
      <c r="C167" s="55"/>
      <c r="D167" s="55"/>
      <c r="E167" s="88">
        <f>VLOOKUP(Table91213[[#This Row],[Date]],'DB Details'!$A:$L,5)</f>
        <v>50</v>
      </c>
      <c r="F167" s="88">
        <f>VLOOKUP(Table91213[[#This Row],[Date]],'DB Details'!$A:$L,6)</f>
        <v>65.3</v>
      </c>
      <c r="G167" s="94"/>
      <c r="H167" s="88">
        <f>VLOOKUP(Table91213[[#This Row],[Date]],'DB Details'!$A:$L,8)</f>
        <v>42</v>
      </c>
      <c r="I167" s="88">
        <f>VLOOKUP(Table91213[[#This Row],[Date]],'DB Details'!$A:$L,9)</f>
        <v>49.3</v>
      </c>
      <c r="J167" s="88">
        <f>VLOOKUP(Table91213[[#This Row],[Date]],'DB Details'!$A:$L,10)</f>
        <v>55.1</v>
      </c>
      <c r="K167" s="94"/>
      <c r="L167" s="88">
        <f>VLOOKUP(Table91213[[#This Row],[Date]],'DB Details'!$A:$L,12)</f>
        <v>58.1</v>
      </c>
    </row>
    <row r="168" spans="1:12" x14ac:dyDescent="0.35">
      <c r="A168" s="39">
        <v>22463</v>
      </c>
      <c r="B168" s="57">
        <f>VLOOKUP(Table91213[[#This Row],[Date]],'DB Details'!$A:$L,2)</f>
        <v>64.5</v>
      </c>
      <c r="C168" s="55"/>
      <c r="D168" s="55"/>
      <c r="E168" s="88">
        <f>VLOOKUP(Table91213[[#This Row],[Date]],'DB Details'!$A:$L,5)</f>
        <v>50.9</v>
      </c>
      <c r="F168" s="88">
        <f>VLOOKUP(Table91213[[#This Row],[Date]],'DB Details'!$A:$L,6)</f>
        <v>64.3</v>
      </c>
      <c r="G168" s="94"/>
      <c r="H168" s="88">
        <f>VLOOKUP(Table91213[[#This Row],[Date]],'DB Details'!$A:$L,8)</f>
        <v>45.3</v>
      </c>
      <c r="I168" s="88">
        <f>VLOOKUP(Table91213[[#This Row],[Date]],'DB Details'!$A:$L,9)</f>
        <v>49.4</v>
      </c>
      <c r="J168" s="88">
        <f>VLOOKUP(Table91213[[#This Row],[Date]],'DB Details'!$A:$L,10)</f>
        <v>54.1</v>
      </c>
      <c r="K168" s="94"/>
      <c r="L168" s="88">
        <f>VLOOKUP(Table91213[[#This Row],[Date]],'DB Details'!$A:$L,12)</f>
        <v>58.2</v>
      </c>
    </row>
    <row r="169" spans="1:12" x14ac:dyDescent="0.35">
      <c r="A169" s="39">
        <v>22494</v>
      </c>
      <c r="B169" s="57">
        <f>VLOOKUP(Table91213[[#This Row],[Date]],'DB Details'!$A:$L,2)</f>
        <v>62.9</v>
      </c>
      <c r="C169" s="55"/>
      <c r="D169" s="55"/>
      <c r="E169" s="88">
        <f>VLOOKUP(Table91213[[#This Row],[Date]],'DB Details'!$A:$L,5)</f>
        <v>52.2</v>
      </c>
      <c r="F169" s="88">
        <f>VLOOKUP(Table91213[[#This Row],[Date]],'DB Details'!$A:$L,6)</f>
        <v>68.400000000000006</v>
      </c>
      <c r="G169" s="94"/>
      <c r="H169" s="88">
        <f>VLOOKUP(Table91213[[#This Row],[Date]],'DB Details'!$A:$L,8)</f>
        <v>54.5</v>
      </c>
      <c r="I169" s="88">
        <f>VLOOKUP(Table91213[[#This Row],[Date]],'DB Details'!$A:$L,9)</f>
        <v>50.6</v>
      </c>
      <c r="J169" s="88">
        <f>VLOOKUP(Table91213[[#This Row],[Date]],'DB Details'!$A:$L,10)</f>
        <v>58.3</v>
      </c>
      <c r="K169" s="94"/>
      <c r="L169" s="88">
        <f>VLOOKUP(Table91213[[#This Row],[Date]],'DB Details'!$A:$L,12)</f>
        <v>60.7</v>
      </c>
    </row>
    <row r="170" spans="1:12" x14ac:dyDescent="0.35">
      <c r="A170" s="39">
        <v>22525</v>
      </c>
      <c r="B170" s="57">
        <f>VLOOKUP(Table91213[[#This Row],[Date]],'DB Details'!$A:$L,2)</f>
        <v>69.5</v>
      </c>
      <c r="C170" s="55"/>
      <c r="D170" s="55"/>
      <c r="E170" s="88">
        <f>VLOOKUP(Table91213[[#This Row],[Date]],'DB Details'!$A:$L,5)</f>
        <v>53.9</v>
      </c>
      <c r="F170" s="88">
        <f>VLOOKUP(Table91213[[#This Row],[Date]],'DB Details'!$A:$L,6)</f>
        <v>66.8</v>
      </c>
      <c r="G170" s="94"/>
      <c r="H170" s="88">
        <f>VLOOKUP(Table91213[[#This Row],[Date]],'DB Details'!$A:$L,8)</f>
        <v>56.3</v>
      </c>
      <c r="I170" s="88">
        <f>VLOOKUP(Table91213[[#This Row],[Date]],'DB Details'!$A:$L,9)</f>
        <v>50.7</v>
      </c>
      <c r="J170" s="88">
        <f>VLOOKUP(Table91213[[#This Row],[Date]],'DB Details'!$A:$L,10)</f>
        <v>61.1</v>
      </c>
      <c r="K170" s="94"/>
      <c r="L170" s="88">
        <f>VLOOKUP(Table91213[[#This Row],[Date]],'DB Details'!$A:$L,12)</f>
        <v>63</v>
      </c>
    </row>
    <row r="171" spans="1:12" x14ac:dyDescent="0.35">
      <c r="A171" s="39">
        <v>22555</v>
      </c>
      <c r="B171" s="57">
        <f>VLOOKUP(Table91213[[#This Row],[Date]],'DB Details'!$A:$L,2)</f>
        <v>68.3</v>
      </c>
      <c r="C171" s="55"/>
      <c r="D171" s="55"/>
      <c r="E171" s="88">
        <f>VLOOKUP(Table91213[[#This Row],[Date]],'DB Details'!$A:$L,5)</f>
        <v>55.5</v>
      </c>
      <c r="F171" s="88">
        <f>VLOOKUP(Table91213[[#This Row],[Date]],'DB Details'!$A:$L,6)</f>
        <v>66.3</v>
      </c>
      <c r="G171" s="94"/>
      <c r="H171" s="88">
        <f>VLOOKUP(Table91213[[#This Row],[Date]],'DB Details'!$A:$L,8)</f>
        <v>56.7</v>
      </c>
      <c r="I171" s="88">
        <f>VLOOKUP(Table91213[[#This Row],[Date]],'DB Details'!$A:$L,9)</f>
        <v>52.4</v>
      </c>
      <c r="J171" s="88">
        <f>VLOOKUP(Table91213[[#This Row],[Date]],'DB Details'!$A:$L,10)</f>
        <v>58.2</v>
      </c>
      <c r="K171" s="94"/>
      <c r="L171" s="88">
        <f>VLOOKUP(Table91213[[#This Row],[Date]],'DB Details'!$A:$L,12)</f>
        <v>62.2</v>
      </c>
    </row>
    <row r="172" spans="1:12" x14ac:dyDescent="0.35">
      <c r="A172" s="39">
        <v>22586</v>
      </c>
      <c r="B172" s="57">
        <f>VLOOKUP(Table91213[[#This Row],[Date]],'DB Details'!$A:$L,2)</f>
        <v>65.099999999999994</v>
      </c>
      <c r="C172" s="55"/>
      <c r="D172" s="55"/>
      <c r="E172" s="88">
        <f>VLOOKUP(Table91213[[#This Row],[Date]],'DB Details'!$A:$L,5)</f>
        <v>51.9</v>
      </c>
      <c r="F172" s="88">
        <f>VLOOKUP(Table91213[[#This Row],[Date]],'DB Details'!$A:$L,6)</f>
        <v>58.3</v>
      </c>
      <c r="G172" s="94"/>
      <c r="H172" s="88">
        <f>VLOOKUP(Table91213[[#This Row],[Date]],'DB Details'!$A:$L,8)</f>
        <v>54.6</v>
      </c>
      <c r="I172" s="88">
        <f>VLOOKUP(Table91213[[#This Row],[Date]],'DB Details'!$A:$L,9)</f>
        <v>51.1</v>
      </c>
      <c r="J172" s="88">
        <f>VLOOKUP(Table91213[[#This Row],[Date]],'DB Details'!$A:$L,10)</f>
        <v>59</v>
      </c>
      <c r="K172" s="94"/>
      <c r="L172" s="88">
        <f>VLOOKUP(Table91213[[#This Row],[Date]],'DB Details'!$A:$L,12)</f>
        <v>59</v>
      </c>
    </row>
    <row r="173" spans="1:12" x14ac:dyDescent="0.35">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4"/>
      <c r="H173" s="88">
        <f>VLOOKUP(Table91213[[#This Row],[Date]],'DB Details'!$A:$L,8)</f>
        <v>56.1</v>
      </c>
      <c r="I173" s="88">
        <f>VLOOKUP(Table91213[[#This Row],[Date]],'DB Details'!$A:$L,9)</f>
        <v>55.8</v>
      </c>
      <c r="J173" s="88">
        <f>VLOOKUP(Table91213[[#This Row],[Date]],'DB Details'!$A:$L,10)</f>
        <v>58.6</v>
      </c>
      <c r="K173" s="94"/>
      <c r="L173" s="88">
        <f>VLOOKUP(Table91213[[#This Row],[Date]],'DB Details'!$A:$L,12)</f>
        <v>64.2</v>
      </c>
    </row>
    <row r="174" spans="1:12" x14ac:dyDescent="0.35">
      <c r="A174" s="39">
        <v>22647</v>
      </c>
      <c r="B174" s="57">
        <f>VLOOKUP(Table91213[[#This Row],[Date]],'DB Details'!$A:$L,2)</f>
        <v>59.4</v>
      </c>
      <c r="C174" s="55"/>
      <c r="D174" s="55"/>
      <c r="E174" s="88">
        <f>VLOOKUP(Table91213[[#This Row],[Date]],'DB Details'!$A:$L,5)</f>
        <v>57.1</v>
      </c>
      <c r="F174" s="88">
        <f>VLOOKUP(Table91213[[#This Row],[Date]],'DB Details'!$A:$L,6)</f>
        <v>66.400000000000006</v>
      </c>
      <c r="G174" s="94"/>
      <c r="H174" s="88">
        <f>VLOOKUP(Table91213[[#This Row],[Date]],'DB Details'!$A:$L,8)</f>
        <v>59</v>
      </c>
      <c r="I174" s="88">
        <f>VLOOKUP(Table91213[[#This Row],[Date]],'DB Details'!$A:$L,9)</f>
        <v>57.1</v>
      </c>
      <c r="J174" s="88">
        <f>VLOOKUP(Table91213[[#This Row],[Date]],'DB Details'!$A:$L,10)</f>
        <v>60.3</v>
      </c>
      <c r="K174" s="94"/>
      <c r="L174" s="88">
        <f>VLOOKUP(Table91213[[#This Row],[Date]],'DB Details'!$A:$L,12)</f>
        <v>60.9</v>
      </c>
    </row>
    <row r="175" spans="1:12" x14ac:dyDescent="0.35">
      <c r="A175" s="39">
        <v>22678</v>
      </c>
      <c r="B175" s="57">
        <f>VLOOKUP(Table91213[[#This Row],[Date]],'DB Details'!$A:$L,2)</f>
        <v>61.8</v>
      </c>
      <c r="C175" s="55"/>
      <c r="D175" s="55"/>
      <c r="E175" s="88">
        <f>VLOOKUP(Table91213[[#This Row],[Date]],'DB Details'!$A:$L,5)</f>
        <v>54.7</v>
      </c>
      <c r="F175" s="88">
        <f>VLOOKUP(Table91213[[#This Row],[Date]],'DB Details'!$A:$L,6)</f>
        <v>64.7</v>
      </c>
      <c r="G175" s="94"/>
      <c r="H175" s="88">
        <f>VLOOKUP(Table91213[[#This Row],[Date]],'DB Details'!$A:$L,8)</f>
        <v>58.6</v>
      </c>
      <c r="I175" s="88">
        <f>VLOOKUP(Table91213[[#This Row],[Date]],'DB Details'!$A:$L,9)</f>
        <v>56.2</v>
      </c>
      <c r="J175" s="88">
        <f>VLOOKUP(Table91213[[#This Row],[Date]],'DB Details'!$A:$L,10)</f>
        <v>60.5</v>
      </c>
      <c r="K175" s="94"/>
      <c r="L175" s="88">
        <f>VLOOKUP(Table91213[[#This Row],[Date]],'DB Details'!$A:$L,12)</f>
        <v>61.1</v>
      </c>
    </row>
    <row r="176" spans="1:12" x14ac:dyDescent="0.35">
      <c r="A176" s="39">
        <v>22706</v>
      </c>
      <c r="B176" s="57">
        <f>VLOOKUP(Table91213[[#This Row],[Date]],'DB Details'!$A:$L,2)</f>
        <v>60.1</v>
      </c>
      <c r="C176" s="55"/>
      <c r="D176" s="55"/>
      <c r="E176" s="88">
        <f>VLOOKUP(Table91213[[#This Row],[Date]],'DB Details'!$A:$L,5)</f>
        <v>56.8</v>
      </c>
      <c r="F176" s="88">
        <f>VLOOKUP(Table91213[[#This Row],[Date]],'DB Details'!$A:$L,6)</f>
        <v>66.900000000000006</v>
      </c>
      <c r="G176" s="94"/>
      <c r="H176" s="88">
        <f>VLOOKUP(Table91213[[#This Row],[Date]],'DB Details'!$A:$L,8)</f>
        <v>57.5</v>
      </c>
      <c r="I176" s="88">
        <f>VLOOKUP(Table91213[[#This Row],[Date]],'DB Details'!$A:$L,9)</f>
        <v>57</v>
      </c>
      <c r="J176" s="88">
        <f>VLOOKUP(Table91213[[#This Row],[Date]],'DB Details'!$A:$L,10)</f>
        <v>57.6</v>
      </c>
      <c r="K176" s="94"/>
      <c r="L176" s="88">
        <f>VLOOKUP(Table91213[[#This Row],[Date]],'DB Details'!$A:$L,12)</f>
        <v>60.6</v>
      </c>
    </row>
    <row r="177" spans="1:12" x14ac:dyDescent="0.35">
      <c r="A177" s="39">
        <v>22737</v>
      </c>
      <c r="B177" s="57">
        <f>VLOOKUP(Table91213[[#This Row],[Date]],'DB Details'!$A:$L,2)</f>
        <v>57.3</v>
      </c>
      <c r="C177" s="55"/>
      <c r="D177" s="55"/>
      <c r="E177" s="88">
        <f>VLOOKUP(Table91213[[#This Row],[Date]],'DB Details'!$A:$L,5)</f>
        <v>53.6</v>
      </c>
      <c r="F177" s="88">
        <f>VLOOKUP(Table91213[[#This Row],[Date]],'DB Details'!$A:$L,6)</f>
        <v>57.4</v>
      </c>
      <c r="G177" s="94"/>
      <c r="H177" s="88">
        <f>VLOOKUP(Table91213[[#This Row],[Date]],'DB Details'!$A:$L,8)</f>
        <v>53.5</v>
      </c>
      <c r="I177" s="88">
        <f>VLOOKUP(Table91213[[#This Row],[Date]],'DB Details'!$A:$L,9)</f>
        <v>47.4</v>
      </c>
      <c r="J177" s="88">
        <f>VLOOKUP(Table91213[[#This Row],[Date]],'DB Details'!$A:$L,10)</f>
        <v>55.6</v>
      </c>
      <c r="K177" s="94"/>
      <c r="L177" s="88">
        <f>VLOOKUP(Table91213[[#This Row],[Date]],'DB Details'!$A:$L,12)</f>
        <v>55.1</v>
      </c>
    </row>
    <row r="178" spans="1:12" x14ac:dyDescent="0.35">
      <c r="A178" s="39">
        <v>22767</v>
      </c>
      <c r="B178" s="57">
        <f>VLOOKUP(Table91213[[#This Row],[Date]],'DB Details'!$A:$L,2)</f>
        <v>53.6</v>
      </c>
      <c r="C178" s="55"/>
      <c r="D178" s="55"/>
      <c r="E178" s="88">
        <f>VLOOKUP(Table91213[[#This Row],[Date]],'DB Details'!$A:$L,5)</f>
        <v>52</v>
      </c>
      <c r="F178" s="88">
        <f>VLOOKUP(Table91213[[#This Row],[Date]],'DB Details'!$A:$L,6)</f>
        <v>55.3</v>
      </c>
      <c r="G178" s="94"/>
      <c r="H178" s="88">
        <f>VLOOKUP(Table91213[[#This Row],[Date]],'DB Details'!$A:$L,8)</f>
        <v>50.3</v>
      </c>
      <c r="I178" s="88">
        <f>VLOOKUP(Table91213[[#This Row],[Date]],'DB Details'!$A:$L,9)</f>
        <v>45.2</v>
      </c>
      <c r="J178" s="88">
        <f>VLOOKUP(Table91213[[#This Row],[Date]],'DB Details'!$A:$L,10)</f>
        <v>52.3</v>
      </c>
      <c r="K178" s="94"/>
      <c r="L178" s="88">
        <f>VLOOKUP(Table91213[[#This Row],[Date]],'DB Details'!$A:$L,12)</f>
        <v>52.2</v>
      </c>
    </row>
    <row r="179" spans="1:12" x14ac:dyDescent="0.35">
      <c r="A179" s="39">
        <v>22798</v>
      </c>
      <c r="B179" s="57">
        <f>VLOOKUP(Table91213[[#This Row],[Date]],'DB Details'!$A:$L,2)</f>
        <v>52.5</v>
      </c>
      <c r="C179" s="55"/>
      <c r="D179" s="55"/>
      <c r="E179" s="88">
        <f>VLOOKUP(Table91213[[#This Row],[Date]],'DB Details'!$A:$L,5)</f>
        <v>51.7</v>
      </c>
      <c r="F179" s="88">
        <f>VLOOKUP(Table91213[[#This Row],[Date]],'DB Details'!$A:$L,6)</f>
        <v>54.8</v>
      </c>
      <c r="G179" s="94"/>
      <c r="H179" s="88">
        <f>VLOOKUP(Table91213[[#This Row],[Date]],'DB Details'!$A:$L,8)</f>
        <v>46.4</v>
      </c>
      <c r="I179" s="88">
        <f>VLOOKUP(Table91213[[#This Row],[Date]],'DB Details'!$A:$L,9)</f>
        <v>43.3</v>
      </c>
      <c r="J179" s="88">
        <f>VLOOKUP(Table91213[[#This Row],[Date]],'DB Details'!$A:$L,10)</f>
        <v>51.6</v>
      </c>
      <c r="K179" s="94"/>
      <c r="L179" s="88">
        <f>VLOOKUP(Table91213[[#This Row],[Date]],'DB Details'!$A:$L,12)</f>
        <v>50.8</v>
      </c>
    </row>
    <row r="180" spans="1:12" x14ac:dyDescent="0.35">
      <c r="A180" s="39">
        <v>22828</v>
      </c>
      <c r="B180" s="57">
        <f>VLOOKUP(Table91213[[#This Row],[Date]],'DB Details'!$A:$L,2)</f>
        <v>53.2</v>
      </c>
      <c r="C180" s="55"/>
      <c r="D180" s="55"/>
      <c r="E180" s="88">
        <f>VLOOKUP(Table91213[[#This Row],[Date]],'DB Details'!$A:$L,5)</f>
        <v>51.6</v>
      </c>
      <c r="F180" s="88">
        <f>VLOOKUP(Table91213[[#This Row],[Date]],'DB Details'!$A:$L,6)</f>
        <v>54.7</v>
      </c>
      <c r="G180" s="94"/>
      <c r="H180" s="88">
        <f>VLOOKUP(Table91213[[#This Row],[Date]],'DB Details'!$A:$L,8)</f>
        <v>43.8</v>
      </c>
      <c r="I180" s="88">
        <f>VLOOKUP(Table91213[[#This Row],[Date]],'DB Details'!$A:$L,9)</f>
        <v>45.1</v>
      </c>
      <c r="J180" s="88">
        <f>VLOOKUP(Table91213[[#This Row],[Date]],'DB Details'!$A:$L,10)</f>
        <v>51.2</v>
      </c>
      <c r="K180" s="94"/>
      <c r="L180" s="88">
        <f>VLOOKUP(Table91213[[#This Row],[Date]],'DB Details'!$A:$L,12)</f>
        <v>51</v>
      </c>
    </row>
    <row r="181" spans="1:12" x14ac:dyDescent="0.35">
      <c r="A181" s="39">
        <v>22859</v>
      </c>
      <c r="B181" s="57">
        <f>VLOOKUP(Table91213[[#This Row],[Date]],'DB Details'!$A:$L,2)</f>
        <v>52.9</v>
      </c>
      <c r="C181" s="55"/>
      <c r="D181" s="55"/>
      <c r="E181" s="88">
        <f>VLOOKUP(Table91213[[#This Row],[Date]],'DB Details'!$A:$L,5)</f>
        <v>47.7</v>
      </c>
      <c r="F181" s="88">
        <f>VLOOKUP(Table91213[[#This Row],[Date]],'DB Details'!$A:$L,6)</f>
        <v>52.5</v>
      </c>
      <c r="G181" s="94"/>
      <c r="H181" s="88">
        <f>VLOOKUP(Table91213[[#This Row],[Date]],'DB Details'!$A:$L,8)</f>
        <v>45.2</v>
      </c>
      <c r="I181" s="88">
        <f>VLOOKUP(Table91213[[#This Row],[Date]],'DB Details'!$A:$L,9)</f>
        <v>43.7</v>
      </c>
      <c r="J181" s="88">
        <f>VLOOKUP(Table91213[[#This Row],[Date]],'DB Details'!$A:$L,10)</f>
        <v>47</v>
      </c>
      <c r="K181" s="94"/>
      <c r="L181" s="88">
        <f>VLOOKUP(Table91213[[#This Row],[Date]],'DB Details'!$A:$L,12)</f>
        <v>49.5</v>
      </c>
    </row>
    <row r="182" spans="1:12" x14ac:dyDescent="0.35">
      <c r="A182" s="39">
        <v>22890</v>
      </c>
      <c r="B182" s="57">
        <f>VLOOKUP(Table91213[[#This Row],[Date]],'DB Details'!$A:$L,2)</f>
        <v>53</v>
      </c>
      <c r="C182" s="55"/>
      <c r="D182" s="55"/>
      <c r="E182" s="88">
        <f>VLOOKUP(Table91213[[#This Row],[Date]],'DB Details'!$A:$L,5)</f>
        <v>45.4</v>
      </c>
      <c r="F182" s="88">
        <f>VLOOKUP(Table91213[[#This Row],[Date]],'DB Details'!$A:$L,6)</f>
        <v>52.4</v>
      </c>
      <c r="G182" s="94"/>
      <c r="H182" s="88">
        <f>VLOOKUP(Table91213[[#This Row],[Date]],'DB Details'!$A:$L,8)</f>
        <v>42.5</v>
      </c>
      <c r="I182" s="88">
        <f>VLOOKUP(Table91213[[#This Row],[Date]],'DB Details'!$A:$L,9)</f>
        <v>45.1</v>
      </c>
      <c r="J182" s="88">
        <f>VLOOKUP(Table91213[[#This Row],[Date]],'DB Details'!$A:$L,10)</f>
        <v>49.7</v>
      </c>
      <c r="K182" s="94"/>
      <c r="L182" s="88">
        <f>VLOOKUP(Table91213[[#This Row],[Date]],'DB Details'!$A:$L,12)</f>
        <v>50</v>
      </c>
    </row>
    <row r="183" spans="1:12" x14ac:dyDescent="0.35">
      <c r="A183" s="39">
        <v>22920</v>
      </c>
      <c r="B183" s="57">
        <f>VLOOKUP(Table91213[[#This Row],[Date]],'DB Details'!$A:$L,2)</f>
        <v>53.6</v>
      </c>
      <c r="C183" s="55"/>
      <c r="D183" s="55"/>
      <c r="E183" s="88">
        <f>VLOOKUP(Table91213[[#This Row],[Date]],'DB Details'!$A:$L,5)</f>
        <v>43.9</v>
      </c>
      <c r="F183" s="88">
        <f>VLOOKUP(Table91213[[#This Row],[Date]],'DB Details'!$A:$L,6)</f>
        <v>54</v>
      </c>
      <c r="G183" s="94"/>
      <c r="H183" s="88">
        <f>VLOOKUP(Table91213[[#This Row],[Date]],'DB Details'!$A:$L,8)</f>
        <v>46.2</v>
      </c>
      <c r="I183" s="88">
        <f>VLOOKUP(Table91213[[#This Row],[Date]],'DB Details'!$A:$L,9)</f>
        <v>46.7</v>
      </c>
      <c r="J183" s="88">
        <f>VLOOKUP(Table91213[[#This Row],[Date]],'DB Details'!$A:$L,10)</f>
        <v>49.9</v>
      </c>
      <c r="K183" s="94"/>
      <c r="L183" s="88">
        <f>VLOOKUP(Table91213[[#This Row],[Date]],'DB Details'!$A:$L,12)</f>
        <v>51.2</v>
      </c>
    </row>
    <row r="184" spans="1:12" x14ac:dyDescent="0.35">
      <c r="A184" s="39">
        <v>22951</v>
      </c>
      <c r="B184" s="57">
        <f>VLOOKUP(Table91213[[#This Row],[Date]],'DB Details'!$A:$L,2)</f>
        <v>57.8</v>
      </c>
      <c r="C184" s="55"/>
      <c r="D184" s="55"/>
      <c r="E184" s="88">
        <f>VLOOKUP(Table91213[[#This Row],[Date]],'DB Details'!$A:$L,5)</f>
        <v>47.1</v>
      </c>
      <c r="F184" s="88">
        <f>VLOOKUP(Table91213[[#This Row],[Date]],'DB Details'!$A:$L,6)</f>
        <v>56.9</v>
      </c>
      <c r="G184" s="94"/>
      <c r="H184" s="88">
        <f>VLOOKUP(Table91213[[#This Row],[Date]],'DB Details'!$A:$L,8)</f>
        <v>51.5</v>
      </c>
      <c r="I184" s="88">
        <f>VLOOKUP(Table91213[[#This Row],[Date]],'DB Details'!$A:$L,9)</f>
        <v>48.7</v>
      </c>
      <c r="J184" s="88">
        <f>VLOOKUP(Table91213[[#This Row],[Date]],'DB Details'!$A:$L,10)</f>
        <v>48.7</v>
      </c>
      <c r="K184" s="94"/>
      <c r="L184" s="88">
        <f>VLOOKUP(Table91213[[#This Row],[Date]],'DB Details'!$A:$L,12)</f>
        <v>53.8</v>
      </c>
    </row>
    <row r="185" spans="1:12" x14ac:dyDescent="0.35">
      <c r="A185" s="39">
        <v>22981</v>
      </c>
      <c r="B185" s="57">
        <f>VLOOKUP(Table91213[[#This Row],[Date]],'DB Details'!$A:$L,2)</f>
        <v>59.7</v>
      </c>
      <c r="C185" s="55"/>
      <c r="D185" s="55"/>
      <c r="E185" s="88">
        <f>VLOOKUP(Table91213[[#This Row],[Date]],'DB Details'!$A:$L,5)</f>
        <v>47.3</v>
      </c>
      <c r="F185" s="88">
        <f>VLOOKUP(Table91213[[#This Row],[Date]],'DB Details'!$A:$L,6)</f>
        <v>63.3</v>
      </c>
      <c r="G185" s="94"/>
      <c r="H185" s="88">
        <f>VLOOKUP(Table91213[[#This Row],[Date]],'DB Details'!$A:$L,8)</f>
        <v>50.1</v>
      </c>
      <c r="I185" s="88">
        <f>VLOOKUP(Table91213[[#This Row],[Date]],'DB Details'!$A:$L,9)</f>
        <v>50.1</v>
      </c>
      <c r="J185" s="88">
        <f>VLOOKUP(Table91213[[#This Row],[Date]],'DB Details'!$A:$L,10)</f>
        <v>54.6</v>
      </c>
      <c r="K185" s="94"/>
      <c r="L185" s="88">
        <f>VLOOKUP(Table91213[[#This Row],[Date]],'DB Details'!$A:$L,12)</f>
        <v>57.2</v>
      </c>
    </row>
    <row r="186" spans="1:12" x14ac:dyDescent="0.35">
      <c r="A186" s="39">
        <v>23012</v>
      </c>
      <c r="B186" s="57">
        <f>VLOOKUP(Table91213[[#This Row],[Date]],'DB Details'!$A:$L,2)</f>
        <v>60.9</v>
      </c>
      <c r="C186" s="55"/>
      <c r="D186" s="55"/>
      <c r="E186" s="88">
        <f>VLOOKUP(Table91213[[#This Row],[Date]],'DB Details'!$A:$L,5)</f>
        <v>48.5</v>
      </c>
      <c r="F186" s="88">
        <f>VLOOKUP(Table91213[[#This Row],[Date]],'DB Details'!$A:$L,6)</f>
        <v>56.5</v>
      </c>
      <c r="G186" s="94"/>
      <c r="H186" s="88">
        <f>VLOOKUP(Table91213[[#This Row],[Date]],'DB Details'!$A:$L,8)</f>
        <v>47.4</v>
      </c>
      <c r="I186" s="88">
        <f>VLOOKUP(Table91213[[#This Row],[Date]],'DB Details'!$A:$L,9)</f>
        <v>50.4</v>
      </c>
      <c r="J186" s="88">
        <f>VLOOKUP(Table91213[[#This Row],[Date]],'DB Details'!$A:$L,10)</f>
        <v>52.5</v>
      </c>
      <c r="K186" s="94"/>
      <c r="L186" s="88">
        <f>VLOOKUP(Table91213[[#This Row],[Date]],'DB Details'!$A:$L,12)</f>
        <v>55.2</v>
      </c>
    </row>
    <row r="187" spans="1:12" x14ac:dyDescent="0.35">
      <c r="A187" s="39">
        <v>23043</v>
      </c>
      <c r="B187" s="57">
        <f>VLOOKUP(Table91213[[#This Row],[Date]],'DB Details'!$A:$L,2)</f>
        <v>60.4</v>
      </c>
      <c r="C187" s="55"/>
      <c r="D187" s="55"/>
      <c r="E187" s="88">
        <f>VLOOKUP(Table91213[[#This Row],[Date]],'DB Details'!$A:$L,5)</f>
        <v>51.7</v>
      </c>
      <c r="F187" s="88">
        <f>VLOOKUP(Table91213[[#This Row],[Date]],'DB Details'!$A:$L,6)</f>
        <v>57.7</v>
      </c>
      <c r="G187" s="94"/>
      <c r="H187" s="88">
        <f>VLOOKUP(Table91213[[#This Row],[Date]],'DB Details'!$A:$L,8)</f>
        <v>48.3</v>
      </c>
      <c r="I187" s="88">
        <f>VLOOKUP(Table91213[[#This Row],[Date]],'DB Details'!$A:$L,9)</f>
        <v>51</v>
      </c>
      <c r="J187" s="88">
        <f>VLOOKUP(Table91213[[#This Row],[Date]],'DB Details'!$A:$L,10)</f>
        <v>50.2</v>
      </c>
      <c r="K187" s="94"/>
      <c r="L187" s="88">
        <f>VLOOKUP(Table91213[[#This Row],[Date]],'DB Details'!$A:$L,12)</f>
        <v>55.1</v>
      </c>
    </row>
    <row r="188" spans="1:12" x14ac:dyDescent="0.35">
      <c r="A188" s="39">
        <v>23071</v>
      </c>
      <c r="B188" s="57">
        <f>VLOOKUP(Table91213[[#This Row],[Date]],'DB Details'!$A:$L,2)</f>
        <v>57.5</v>
      </c>
      <c r="C188" s="55"/>
      <c r="D188" s="55"/>
      <c r="E188" s="88">
        <f>VLOOKUP(Table91213[[#This Row],[Date]],'DB Details'!$A:$L,5)</f>
        <v>47.5</v>
      </c>
      <c r="F188" s="88">
        <f>VLOOKUP(Table91213[[#This Row],[Date]],'DB Details'!$A:$L,6)</f>
        <v>56.3</v>
      </c>
      <c r="G188" s="94"/>
      <c r="H188" s="88">
        <f>VLOOKUP(Table91213[[#This Row],[Date]],'DB Details'!$A:$L,8)</f>
        <v>46.8</v>
      </c>
      <c r="I188" s="88">
        <f>VLOOKUP(Table91213[[#This Row],[Date]],'DB Details'!$A:$L,9)</f>
        <v>54.9</v>
      </c>
      <c r="J188" s="88">
        <f>VLOOKUP(Table91213[[#This Row],[Date]],'DB Details'!$A:$L,10)</f>
        <v>52.4</v>
      </c>
      <c r="K188" s="94"/>
      <c r="L188" s="88">
        <f>VLOOKUP(Table91213[[#This Row],[Date]],'DB Details'!$A:$L,12)</f>
        <v>54.7</v>
      </c>
    </row>
    <row r="189" spans="1:12" x14ac:dyDescent="0.35">
      <c r="A189" s="39">
        <v>23102</v>
      </c>
      <c r="B189" s="57">
        <f>VLOOKUP(Table91213[[#This Row],[Date]],'DB Details'!$A:$L,2)</f>
        <v>60.6</v>
      </c>
      <c r="C189" s="55"/>
      <c r="D189" s="55"/>
      <c r="E189" s="88">
        <f>VLOOKUP(Table91213[[#This Row],[Date]],'DB Details'!$A:$L,5)</f>
        <v>55</v>
      </c>
      <c r="F189" s="88">
        <f>VLOOKUP(Table91213[[#This Row],[Date]],'DB Details'!$A:$L,6)</f>
        <v>61</v>
      </c>
      <c r="G189" s="94"/>
      <c r="H189" s="88">
        <f>VLOOKUP(Table91213[[#This Row],[Date]],'DB Details'!$A:$L,8)</f>
        <v>48.6</v>
      </c>
      <c r="I189" s="88">
        <f>VLOOKUP(Table91213[[#This Row],[Date]],'DB Details'!$A:$L,9)</f>
        <v>58.2</v>
      </c>
      <c r="J189" s="88">
        <f>VLOOKUP(Table91213[[#This Row],[Date]],'DB Details'!$A:$L,10)</f>
        <v>52.7</v>
      </c>
      <c r="K189" s="94"/>
      <c r="L189" s="88">
        <f>VLOOKUP(Table91213[[#This Row],[Date]],'DB Details'!$A:$L,12)</f>
        <v>57.6</v>
      </c>
    </row>
    <row r="190" spans="1:12" x14ac:dyDescent="0.35">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4"/>
      <c r="H190" s="88">
        <f>VLOOKUP(Table91213[[#This Row],[Date]],'DB Details'!$A:$L,8)</f>
        <v>54.2</v>
      </c>
      <c r="I190" s="88">
        <f>VLOOKUP(Table91213[[#This Row],[Date]],'DB Details'!$A:$L,9)</f>
        <v>56.4</v>
      </c>
      <c r="J190" s="88">
        <f>VLOOKUP(Table91213[[#This Row],[Date]],'DB Details'!$A:$L,10)</f>
        <v>53.5</v>
      </c>
      <c r="K190" s="94"/>
      <c r="L190" s="88">
        <f>VLOOKUP(Table91213[[#This Row],[Date]],'DB Details'!$A:$L,12)</f>
        <v>59.8</v>
      </c>
    </row>
    <row r="191" spans="1:12" x14ac:dyDescent="0.35">
      <c r="A191" s="39">
        <v>23163</v>
      </c>
      <c r="B191" s="57">
        <f>VLOOKUP(Table91213[[#This Row],[Date]],'DB Details'!$A:$L,2)</f>
        <v>61.9</v>
      </c>
      <c r="C191" s="55"/>
      <c r="D191" s="55"/>
      <c r="E191" s="88">
        <f>VLOOKUP(Table91213[[#This Row],[Date]],'DB Details'!$A:$L,5)</f>
        <v>58.7</v>
      </c>
      <c r="F191" s="88">
        <f>VLOOKUP(Table91213[[#This Row],[Date]],'DB Details'!$A:$L,6)</f>
        <v>60.6</v>
      </c>
      <c r="G191" s="94"/>
      <c r="H191" s="88">
        <f>VLOOKUP(Table91213[[#This Row],[Date]],'DB Details'!$A:$L,8)</f>
        <v>55</v>
      </c>
      <c r="I191" s="88">
        <f>VLOOKUP(Table91213[[#This Row],[Date]],'DB Details'!$A:$L,9)</f>
        <v>56.3</v>
      </c>
      <c r="J191" s="88">
        <f>VLOOKUP(Table91213[[#This Row],[Date]],'DB Details'!$A:$L,10)</f>
        <v>52.6</v>
      </c>
      <c r="K191" s="94"/>
      <c r="L191" s="88">
        <f>VLOOKUP(Table91213[[#This Row],[Date]],'DB Details'!$A:$L,12)</f>
        <v>58.2</v>
      </c>
    </row>
    <row r="192" spans="1:12" x14ac:dyDescent="0.35">
      <c r="A192" s="39">
        <v>23193</v>
      </c>
      <c r="B192" s="57">
        <f>VLOOKUP(Table91213[[#This Row],[Date]],'DB Details'!$A:$L,2)</f>
        <v>60.1</v>
      </c>
      <c r="C192" s="55"/>
      <c r="D192" s="55"/>
      <c r="E192" s="88">
        <f>VLOOKUP(Table91213[[#This Row],[Date]],'DB Details'!$A:$L,5)</f>
        <v>61</v>
      </c>
      <c r="F192" s="88">
        <f>VLOOKUP(Table91213[[#This Row],[Date]],'DB Details'!$A:$L,6)</f>
        <v>60.4</v>
      </c>
      <c r="G192" s="94"/>
      <c r="H192" s="88">
        <f>VLOOKUP(Table91213[[#This Row],[Date]],'DB Details'!$A:$L,8)</f>
        <v>54</v>
      </c>
      <c r="I192" s="88">
        <f>VLOOKUP(Table91213[[#This Row],[Date]],'DB Details'!$A:$L,9)</f>
        <v>43.6</v>
      </c>
      <c r="J192" s="88">
        <f>VLOOKUP(Table91213[[#This Row],[Date]],'DB Details'!$A:$L,10)</f>
        <v>52</v>
      </c>
      <c r="K192" s="94"/>
      <c r="L192" s="88">
        <f>VLOOKUP(Table91213[[#This Row],[Date]],'DB Details'!$A:$L,12)</f>
        <v>55.5</v>
      </c>
    </row>
    <row r="193" spans="1:12" x14ac:dyDescent="0.35">
      <c r="A193" s="39">
        <v>23224</v>
      </c>
      <c r="B193" s="57">
        <f>VLOOKUP(Table91213[[#This Row],[Date]],'DB Details'!$A:$L,2)</f>
        <v>62</v>
      </c>
      <c r="C193" s="55"/>
      <c r="D193" s="55"/>
      <c r="E193" s="88">
        <f>VLOOKUP(Table91213[[#This Row],[Date]],'DB Details'!$A:$L,5)</f>
        <v>59.8</v>
      </c>
      <c r="F193" s="88">
        <f>VLOOKUP(Table91213[[#This Row],[Date]],'DB Details'!$A:$L,6)</f>
        <v>56.8</v>
      </c>
      <c r="G193" s="94"/>
      <c r="H193" s="88">
        <f>VLOOKUP(Table91213[[#This Row],[Date]],'DB Details'!$A:$L,8)</f>
        <v>48.1</v>
      </c>
      <c r="I193" s="88">
        <f>VLOOKUP(Table91213[[#This Row],[Date]],'DB Details'!$A:$L,9)</f>
        <v>48.5</v>
      </c>
      <c r="J193" s="88">
        <f>VLOOKUP(Table91213[[#This Row],[Date]],'DB Details'!$A:$L,10)</f>
        <v>51.1</v>
      </c>
      <c r="K193" s="94"/>
      <c r="L193" s="88">
        <f>VLOOKUP(Table91213[[#This Row],[Date]],'DB Details'!$A:$L,12)</f>
        <v>55.1</v>
      </c>
    </row>
    <row r="194" spans="1:12" x14ac:dyDescent="0.35">
      <c r="A194" s="39">
        <v>23255</v>
      </c>
      <c r="B194" s="57">
        <f>VLOOKUP(Table91213[[#This Row],[Date]],'DB Details'!$A:$L,2)</f>
        <v>59.8</v>
      </c>
      <c r="C194" s="55"/>
      <c r="D194" s="55"/>
      <c r="E194" s="88">
        <f>VLOOKUP(Table91213[[#This Row],[Date]],'DB Details'!$A:$L,5)</f>
        <v>57.8</v>
      </c>
      <c r="F194" s="88">
        <f>VLOOKUP(Table91213[[#This Row],[Date]],'DB Details'!$A:$L,6)</f>
        <v>63.2</v>
      </c>
      <c r="G194" s="94"/>
      <c r="H194" s="88">
        <f>VLOOKUP(Table91213[[#This Row],[Date]],'DB Details'!$A:$L,8)</f>
        <v>47.9</v>
      </c>
      <c r="I194" s="88">
        <f>VLOOKUP(Table91213[[#This Row],[Date]],'DB Details'!$A:$L,9)</f>
        <v>49.7</v>
      </c>
      <c r="J194" s="88">
        <f>VLOOKUP(Table91213[[#This Row],[Date]],'DB Details'!$A:$L,10)</f>
        <v>54.8</v>
      </c>
      <c r="K194" s="94"/>
      <c r="L194" s="88">
        <f>VLOOKUP(Table91213[[#This Row],[Date]],'DB Details'!$A:$L,12)</f>
        <v>56.9</v>
      </c>
    </row>
    <row r="195" spans="1:12" x14ac:dyDescent="0.35">
      <c r="A195" s="39">
        <v>23285</v>
      </c>
      <c r="B195" s="57">
        <f>VLOOKUP(Table91213[[#This Row],[Date]],'DB Details'!$A:$L,2)</f>
        <v>64</v>
      </c>
      <c r="C195" s="55"/>
      <c r="D195" s="55"/>
      <c r="E195" s="88">
        <f>VLOOKUP(Table91213[[#This Row],[Date]],'DB Details'!$A:$L,5)</f>
        <v>76.900000000000006</v>
      </c>
      <c r="F195" s="88">
        <f>VLOOKUP(Table91213[[#This Row],[Date]],'DB Details'!$A:$L,6)</f>
        <v>63.3</v>
      </c>
      <c r="G195" s="94"/>
      <c r="H195" s="88">
        <f>VLOOKUP(Table91213[[#This Row],[Date]],'DB Details'!$A:$L,8)</f>
        <v>46.4</v>
      </c>
      <c r="I195" s="88">
        <f>VLOOKUP(Table91213[[#This Row],[Date]],'DB Details'!$A:$L,9)</f>
        <v>47.4</v>
      </c>
      <c r="J195" s="88">
        <f>VLOOKUP(Table91213[[#This Row],[Date]],'DB Details'!$A:$L,10)</f>
        <v>54.5</v>
      </c>
      <c r="K195" s="94"/>
      <c r="L195" s="88">
        <f>VLOOKUP(Table91213[[#This Row],[Date]],'DB Details'!$A:$L,12)</f>
        <v>57.7</v>
      </c>
    </row>
    <row r="196" spans="1:12" x14ac:dyDescent="0.35">
      <c r="A196" s="39">
        <v>23316</v>
      </c>
      <c r="B196" s="57">
        <f>VLOOKUP(Table91213[[#This Row],[Date]],'DB Details'!$A:$L,2)</f>
        <v>63.7</v>
      </c>
      <c r="C196" s="55"/>
      <c r="D196" s="55"/>
      <c r="E196" s="88">
        <f>VLOOKUP(Table91213[[#This Row],[Date]],'DB Details'!$A:$L,5)</f>
        <v>66.2</v>
      </c>
      <c r="F196" s="88">
        <f>VLOOKUP(Table91213[[#This Row],[Date]],'DB Details'!$A:$L,6)</f>
        <v>64.099999999999994</v>
      </c>
      <c r="G196" s="94"/>
      <c r="H196" s="88">
        <f>VLOOKUP(Table91213[[#This Row],[Date]],'DB Details'!$A:$L,8)</f>
        <v>43.7</v>
      </c>
      <c r="I196" s="88">
        <f>VLOOKUP(Table91213[[#This Row],[Date]],'DB Details'!$A:$L,9)</f>
        <v>48.7</v>
      </c>
      <c r="J196" s="88">
        <f>VLOOKUP(Table91213[[#This Row],[Date]],'DB Details'!$A:$L,10)</f>
        <v>53.5</v>
      </c>
      <c r="K196" s="94"/>
      <c r="L196" s="88">
        <f>VLOOKUP(Table91213[[#This Row],[Date]],'DB Details'!$A:$L,12)</f>
        <v>57.5</v>
      </c>
    </row>
    <row r="197" spans="1:12" x14ac:dyDescent="0.35">
      <c r="A197" s="39">
        <v>23346</v>
      </c>
      <c r="B197" s="57">
        <f>VLOOKUP(Table91213[[#This Row],[Date]],'DB Details'!$A:$L,2)</f>
        <v>58.6</v>
      </c>
      <c r="C197" s="55"/>
      <c r="D197" s="55"/>
      <c r="E197" s="88">
        <f>VLOOKUP(Table91213[[#This Row],[Date]],'DB Details'!$A:$L,5)</f>
        <v>64.400000000000006</v>
      </c>
      <c r="F197" s="88">
        <f>VLOOKUP(Table91213[[#This Row],[Date]],'DB Details'!$A:$L,6)</f>
        <v>60.7</v>
      </c>
      <c r="G197" s="94"/>
      <c r="H197" s="88">
        <f>VLOOKUP(Table91213[[#This Row],[Date]],'DB Details'!$A:$L,8)</f>
        <v>44.2</v>
      </c>
      <c r="I197" s="88">
        <f>VLOOKUP(Table91213[[#This Row],[Date]],'DB Details'!$A:$L,9)</f>
        <v>47.6</v>
      </c>
      <c r="J197" s="88">
        <f>VLOOKUP(Table91213[[#This Row],[Date]],'DB Details'!$A:$L,10)</f>
        <v>48.4</v>
      </c>
      <c r="K197" s="94"/>
      <c r="L197" s="88">
        <f>VLOOKUP(Table91213[[#This Row],[Date]],'DB Details'!$A:$L,12)</f>
        <v>54</v>
      </c>
    </row>
    <row r="198" spans="1:12" x14ac:dyDescent="0.35">
      <c r="A198" s="39">
        <v>23377</v>
      </c>
      <c r="B198" s="57">
        <f>VLOOKUP(Table91213[[#This Row],[Date]],'DB Details'!$A:$L,2)</f>
        <v>61.3</v>
      </c>
      <c r="C198" s="55"/>
      <c r="D198" s="55"/>
      <c r="E198" s="88">
        <f>VLOOKUP(Table91213[[#This Row],[Date]],'DB Details'!$A:$L,5)</f>
        <v>60</v>
      </c>
      <c r="F198" s="88">
        <f>VLOOKUP(Table91213[[#This Row],[Date]],'DB Details'!$A:$L,6)</f>
        <v>63.3</v>
      </c>
      <c r="G198" s="94"/>
      <c r="H198" s="88">
        <f>VLOOKUP(Table91213[[#This Row],[Date]],'DB Details'!$A:$L,8)</f>
        <v>42.9</v>
      </c>
      <c r="I198" s="88">
        <f>VLOOKUP(Table91213[[#This Row],[Date]],'DB Details'!$A:$L,9)</f>
        <v>55.3</v>
      </c>
      <c r="J198" s="88">
        <f>VLOOKUP(Table91213[[#This Row],[Date]],'DB Details'!$A:$L,10)</f>
        <v>51.4</v>
      </c>
      <c r="K198" s="94"/>
      <c r="L198" s="88">
        <f>VLOOKUP(Table91213[[#This Row],[Date]],'DB Details'!$A:$L,12)</f>
        <v>57.1</v>
      </c>
    </row>
    <row r="199" spans="1:12" x14ac:dyDescent="0.35">
      <c r="A199" s="39">
        <v>23408</v>
      </c>
      <c r="B199" s="57">
        <f>VLOOKUP(Table91213[[#This Row],[Date]],'DB Details'!$A:$L,2)</f>
        <v>61.8</v>
      </c>
      <c r="C199" s="55"/>
      <c r="D199" s="55"/>
      <c r="E199" s="88">
        <f>VLOOKUP(Table91213[[#This Row],[Date]],'DB Details'!$A:$L,5)</f>
        <v>60.1</v>
      </c>
      <c r="F199" s="88">
        <f>VLOOKUP(Table91213[[#This Row],[Date]],'DB Details'!$A:$L,6)</f>
        <v>64</v>
      </c>
      <c r="G199" s="94"/>
      <c r="H199" s="88">
        <f>VLOOKUP(Table91213[[#This Row],[Date]],'DB Details'!$A:$L,8)</f>
        <v>50.4</v>
      </c>
      <c r="I199" s="88">
        <f>VLOOKUP(Table91213[[#This Row],[Date]],'DB Details'!$A:$L,9)</f>
        <v>51.9</v>
      </c>
      <c r="J199" s="88">
        <f>VLOOKUP(Table91213[[#This Row],[Date]],'DB Details'!$A:$L,10)</f>
        <v>52.7</v>
      </c>
      <c r="K199" s="94"/>
      <c r="L199" s="88">
        <f>VLOOKUP(Table91213[[#This Row],[Date]],'DB Details'!$A:$L,12)</f>
        <v>57.9</v>
      </c>
    </row>
    <row r="200" spans="1:12" x14ac:dyDescent="0.35">
      <c r="A200" s="39">
        <v>23437</v>
      </c>
      <c r="B200" s="57">
        <f>VLOOKUP(Table91213[[#This Row],[Date]],'DB Details'!$A:$L,2)</f>
        <v>61.7</v>
      </c>
      <c r="C200" s="55"/>
      <c r="D200" s="55"/>
      <c r="E200" s="88">
        <f>VLOOKUP(Table91213[[#This Row],[Date]],'DB Details'!$A:$L,5)</f>
        <v>60.6</v>
      </c>
      <c r="F200" s="88">
        <f>VLOOKUP(Table91213[[#This Row],[Date]],'DB Details'!$A:$L,6)</f>
        <v>64.400000000000006</v>
      </c>
      <c r="G200" s="94"/>
      <c r="H200" s="88">
        <f>VLOOKUP(Table91213[[#This Row],[Date]],'DB Details'!$A:$L,8)</f>
        <v>54.6</v>
      </c>
      <c r="I200" s="88">
        <f>VLOOKUP(Table91213[[#This Row],[Date]],'DB Details'!$A:$L,9)</f>
        <v>60.3</v>
      </c>
      <c r="J200" s="88">
        <f>VLOOKUP(Table91213[[#This Row],[Date]],'DB Details'!$A:$L,10)</f>
        <v>55.2</v>
      </c>
      <c r="K200" s="94"/>
      <c r="L200" s="88">
        <f>VLOOKUP(Table91213[[#This Row],[Date]],'DB Details'!$A:$L,12)</f>
        <v>60.2</v>
      </c>
    </row>
    <row r="201" spans="1:12" x14ac:dyDescent="0.35">
      <c r="A201" s="39">
        <v>23468</v>
      </c>
      <c r="B201" s="57">
        <f>VLOOKUP(Table91213[[#This Row],[Date]],'DB Details'!$A:$L,2)</f>
        <v>63.6</v>
      </c>
      <c r="C201" s="55"/>
      <c r="D201" s="55"/>
      <c r="E201" s="88">
        <f>VLOOKUP(Table91213[[#This Row],[Date]],'DB Details'!$A:$L,5)</f>
        <v>65.400000000000006</v>
      </c>
      <c r="F201" s="88">
        <f>VLOOKUP(Table91213[[#This Row],[Date]],'DB Details'!$A:$L,6)</f>
        <v>60.6</v>
      </c>
      <c r="G201" s="94"/>
      <c r="H201" s="88">
        <f>VLOOKUP(Table91213[[#This Row],[Date]],'DB Details'!$A:$L,8)</f>
        <v>53.1</v>
      </c>
      <c r="I201" s="88">
        <f>VLOOKUP(Table91213[[#This Row],[Date]],'DB Details'!$A:$L,9)</f>
        <v>57.7</v>
      </c>
      <c r="J201" s="88">
        <f>VLOOKUP(Table91213[[#This Row],[Date]],'DB Details'!$A:$L,10)</f>
        <v>55.2</v>
      </c>
      <c r="K201" s="94"/>
      <c r="L201" s="88">
        <f>VLOOKUP(Table91213[[#This Row],[Date]],'DB Details'!$A:$L,12)</f>
        <v>59.2</v>
      </c>
    </row>
    <row r="202" spans="1:12" x14ac:dyDescent="0.35">
      <c r="A202" s="39">
        <v>23498</v>
      </c>
      <c r="B202" s="57">
        <f>VLOOKUP(Table91213[[#This Row],[Date]],'DB Details'!$A:$L,2)</f>
        <v>59.9</v>
      </c>
      <c r="C202" s="55"/>
      <c r="D202" s="55"/>
      <c r="E202" s="88">
        <f>VLOOKUP(Table91213[[#This Row],[Date]],'DB Details'!$A:$L,5)</f>
        <v>60.3</v>
      </c>
      <c r="F202" s="88">
        <f>VLOOKUP(Table91213[[#This Row],[Date]],'DB Details'!$A:$L,6)</f>
        <v>61</v>
      </c>
      <c r="G202" s="94"/>
      <c r="H202" s="88">
        <f>VLOOKUP(Table91213[[#This Row],[Date]],'DB Details'!$A:$L,8)</f>
        <v>50.3</v>
      </c>
      <c r="I202" s="88">
        <f>VLOOKUP(Table91213[[#This Row],[Date]],'DB Details'!$A:$L,9)</f>
        <v>61.4</v>
      </c>
      <c r="J202" s="88">
        <f>VLOOKUP(Table91213[[#This Row],[Date]],'DB Details'!$A:$L,10)</f>
        <v>56</v>
      </c>
      <c r="K202" s="94"/>
      <c r="L202" s="88">
        <f>VLOOKUP(Table91213[[#This Row],[Date]],'DB Details'!$A:$L,12)</f>
        <v>58.7</v>
      </c>
    </row>
    <row r="203" spans="1:12" x14ac:dyDescent="0.35">
      <c r="A203" s="39">
        <v>23529</v>
      </c>
      <c r="B203" s="57">
        <f>VLOOKUP(Table91213[[#This Row],[Date]],'DB Details'!$A:$L,2)</f>
        <v>64.7</v>
      </c>
      <c r="C203" s="55"/>
      <c r="D203" s="55"/>
      <c r="E203" s="88">
        <f>VLOOKUP(Table91213[[#This Row],[Date]],'DB Details'!$A:$L,5)</f>
        <v>58.9</v>
      </c>
      <c r="F203" s="88">
        <f>VLOOKUP(Table91213[[#This Row],[Date]],'DB Details'!$A:$L,6)</f>
        <v>62.1</v>
      </c>
      <c r="G203" s="94"/>
      <c r="H203" s="88">
        <f>VLOOKUP(Table91213[[#This Row],[Date]],'DB Details'!$A:$L,8)</f>
        <v>53.5</v>
      </c>
      <c r="I203" s="88">
        <f>VLOOKUP(Table91213[[#This Row],[Date]],'DB Details'!$A:$L,9)</f>
        <v>57.6</v>
      </c>
      <c r="J203" s="88">
        <f>VLOOKUP(Table91213[[#This Row],[Date]],'DB Details'!$A:$L,10)</f>
        <v>55.7</v>
      </c>
      <c r="K203" s="94"/>
      <c r="L203" s="88">
        <f>VLOOKUP(Table91213[[#This Row],[Date]],'DB Details'!$A:$L,12)</f>
        <v>60.1</v>
      </c>
    </row>
    <row r="204" spans="1:12" x14ac:dyDescent="0.35">
      <c r="A204" s="39">
        <v>23559</v>
      </c>
      <c r="B204" s="57">
        <f>VLOOKUP(Table91213[[#This Row],[Date]],'DB Details'!$A:$L,2)</f>
        <v>69.900000000000006</v>
      </c>
      <c r="C204" s="55"/>
      <c r="D204" s="55"/>
      <c r="E204" s="88">
        <f>VLOOKUP(Table91213[[#This Row],[Date]],'DB Details'!$A:$L,5)</f>
        <v>60.9</v>
      </c>
      <c r="F204" s="88">
        <f>VLOOKUP(Table91213[[#This Row],[Date]],'DB Details'!$A:$L,6)</f>
        <v>63.7</v>
      </c>
      <c r="G204" s="94"/>
      <c r="H204" s="88">
        <f>VLOOKUP(Table91213[[#This Row],[Date]],'DB Details'!$A:$L,8)</f>
        <v>55.5</v>
      </c>
      <c r="I204" s="88">
        <f>VLOOKUP(Table91213[[#This Row],[Date]],'DB Details'!$A:$L,9)</f>
        <v>61.8</v>
      </c>
      <c r="J204" s="88">
        <f>VLOOKUP(Table91213[[#This Row],[Date]],'DB Details'!$A:$L,10)</f>
        <v>56.3</v>
      </c>
      <c r="K204" s="94"/>
      <c r="L204" s="88">
        <f>VLOOKUP(Table91213[[#This Row],[Date]],'DB Details'!$A:$L,12)</f>
        <v>62.9</v>
      </c>
    </row>
    <row r="205" spans="1:12" x14ac:dyDescent="0.35">
      <c r="A205" s="39">
        <v>23590</v>
      </c>
      <c r="B205" s="57">
        <f>VLOOKUP(Table91213[[#This Row],[Date]],'DB Details'!$A:$L,2)</f>
        <v>68</v>
      </c>
      <c r="C205" s="55"/>
      <c r="D205" s="55"/>
      <c r="E205" s="88">
        <f>VLOOKUP(Table91213[[#This Row],[Date]],'DB Details'!$A:$L,5)</f>
        <v>61.7</v>
      </c>
      <c r="F205" s="88">
        <f>VLOOKUP(Table91213[[#This Row],[Date]],'DB Details'!$A:$L,6)</f>
        <v>63.9</v>
      </c>
      <c r="G205" s="94"/>
      <c r="H205" s="88">
        <f>VLOOKUP(Table91213[[#This Row],[Date]],'DB Details'!$A:$L,8)</f>
        <v>53.5</v>
      </c>
      <c r="I205" s="88">
        <f>VLOOKUP(Table91213[[#This Row],[Date]],'DB Details'!$A:$L,9)</f>
        <v>66.2</v>
      </c>
      <c r="J205" s="88">
        <f>VLOOKUP(Table91213[[#This Row],[Date]],'DB Details'!$A:$L,10)</f>
        <v>58</v>
      </c>
      <c r="K205" s="94"/>
      <c r="L205" s="88">
        <f>VLOOKUP(Table91213[[#This Row],[Date]],'DB Details'!$A:$L,12)</f>
        <v>63.3</v>
      </c>
    </row>
    <row r="206" spans="1:12" x14ac:dyDescent="0.35">
      <c r="A206" s="39">
        <v>23621</v>
      </c>
      <c r="B206" s="57">
        <f>VLOOKUP(Table91213[[#This Row],[Date]],'DB Details'!$A:$L,2)</f>
        <v>63.3</v>
      </c>
      <c r="C206" s="55"/>
      <c r="D206" s="55"/>
      <c r="E206" s="88">
        <f>VLOOKUP(Table91213[[#This Row],[Date]],'DB Details'!$A:$L,5)</f>
        <v>64.8</v>
      </c>
      <c r="F206" s="88">
        <f>VLOOKUP(Table91213[[#This Row],[Date]],'DB Details'!$A:$L,6)</f>
        <v>64.900000000000006</v>
      </c>
      <c r="G206" s="94"/>
      <c r="H206" s="88">
        <f>VLOOKUP(Table91213[[#This Row],[Date]],'DB Details'!$A:$L,8)</f>
        <v>59</v>
      </c>
      <c r="I206" s="88">
        <f>VLOOKUP(Table91213[[#This Row],[Date]],'DB Details'!$A:$L,9)</f>
        <v>71.900000000000006</v>
      </c>
      <c r="J206" s="88">
        <f>VLOOKUP(Table91213[[#This Row],[Date]],'DB Details'!$A:$L,10)</f>
        <v>56.8</v>
      </c>
      <c r="K206" s="94"/>
      <c r="L206" s="88">
        <f>VLOOKUP(Table91213[[#This Row],[Date]],'DB Details'!$A:$L,12)</f>
        <v>63.3</v>
      </c>
    </row>
    <row r="207" spans="1:12" x14ac:dyDescent="0.35">
      <c r="A207" s="39">
        <v>23651</v>
      </c>
      <c r="B207" s="57">
        <f>VLOOKUP(Table91213[[#This Row],[Date]],'DB Details'!$A:$L,2)</f>
        <v>58.9</v>
      </c>
      <c r="C207" s="55"/>
      <c r="D207" s="55"/>
      <c r="E207" s="88">
        <f>VLOOKUP(Table91213[[#This Row],[Date]],'DB Details'!$A:$L,5)</f>
        <v>68.8</v>
      </c>
      <c r="F207" s="88">
        <f>VLOOKUP(Table91213[[#This Row],[Date]],'DB Details'!$A:$L,6)</f>
        <v>61.8</v>
      </c>
      <c r="G207" s="94"/>
      <c r="H207" s="88">
        <f>VLOOKUP(Table91213[[#This Row],[Date]],'DB Details'!$A:$L,8)</f>
        <v>59.1</v>
      </c>
      <c r="I207" s="88">
        <f>VLOOKUP(Table91213[[#This Row],[Date]],'DB Details'!$A:$L,9)</f>
        <v>71.2</v>
      </c>
      <c r="J207" s="88">
        <f>VLOOKUP(Table91213[[#This Row],[Date]],'DB Details'!$A:$L,10)</f>
        <v>55</v>
      </c>
      <c r="K207" s="94"/>
      <c r="L207" s="88">
        <f>VLOOKUP(Table91213[[#This Row],[Date]],'DB Details'!$A:$L,12)</f>
        <v>60.7</v>
      </c>
    </row>
    <row r="208" spans="1:12" x14ac:dyDescent="0.35">
      <c r="A208" s="39">
        <v>23682</v>
      </c>
      <c r="B208" s="57">
        <f>VLOOKUP(Table91213[[#This Row],[Date]],'DB Details'!$A:$L,2)</f>
        <v>60.7</v>
      </c>
      <c r="C208" s="55"/>
      <c r="D208" s="55"/>
      <c r="E208" s="88">
        <f>VLOOKUP(Table91213[[#This Row],[Date]],'DB Details'!$A:$L,5)</f>
        <v>68.5</v>
      </c>
      <c r="F208" s="88">
        <f>VLOOKUP(Table91213[[#This Row],[Date]],'DB Details'!$A:$L,6)</f>
        <v>62.1</v>
      </c>
      <c r="G208" s="94"/>
      <c r="H208" s="88">
        <f>VLOOKUP(Table91213[[#This Row],[Date]],'DB Details'!$A:$L,8)</f>
        <v>61</v>
      </c>
      <c r="I208" s="88">
        <f>VLOOKUP(Table91213[[#This Row],[Date]],'DB Details'!$A:$L,9)</f>
        <v>70.3</v>
      </c>
      <c r="J208" s="88">
        <f>VLOOKUP(Table91213[[#This Row],[Date]],'DB Details'!$A:$L,10)</f>
        <v>57.3</v>
      </c>
      <c r="K208" s="94"/>
      <c r="L208" s="88">
        <f>VLOOKUP(Table91213[[#This Row],[Date]],'DB Details'!$A:$L,12)</f>
        <v>61.8</v>
      </c>
    </row>
    <row r="209" spans="1:12" x14ac:dyDescent="0.35">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4"/>
      <c r="H209" s="88">
        <f>VLOOKUP(Table91213[[#This Row],[Date]],'DB Details'!$A:$L,8)</f>
        <v>59.5</v>
      </c>
      <c r="I209" s="88">
        <f>VLOOKUP(Table91213[[#This Row],[Date]],'DB Details'!$A:$L,9)</f>
        <v>67.8</v>
      </c>
      <c r="J209" s="88">
        <f>VLOOKUP(Table91213[[#This Row],[Date]],'DB Details'!$A:$L,10)</f>
        <v>55.2</v>
      </c>
      <c r="K209" s="94"/>
      <c r="L209" s="88">
        <f>VLOOKUP(Table91213[[#This Row],[Date]],'DB Details'!$A:$L,12)</f>
        <v>62.4</v>
      </c>
    </row>
    <row r="210" spans="1:12" x14ac:dyDescent="0.35">
      <c r="A210" s="39">
        <v>23743</v>
      </c>
      <c r="B210" s="57">
        <f>VLOOKUP(Table91213[[#This Row],[Date]],'DB Details'!$A:$L,2)</f>
        <v>62.3</v>
      </c>
      <c r="C210" s="55"/>
      <c r="D210" s="55"/>
      <c r="E210" s="88">
        <f>VLOOKUP(Table91213[[#This Row],[Date]],'DB Details'!$A:$L,5)</f>
        <v>70.7</v>
      </c>
      <c r="F210" s="88">
        <f>VLOOKUP(Table91213[[#This Row],[Date]],'DB Details'!$A:$L,6)</f>
        <v>58.2</v>
      </c>
      <c r="G210" s="94"/>
      <c r="H210" s="88">
        <f>VLOOKUP(Table91213[[#This Row],[Date]],'DB Details'!$A:$L,8)</f>
        <v>61.4</v>
      </c>
      <c r="I210" s="88">
        <f>VLOOKUP(Table91213[[#This Row],[Date]],'DB Details'!$A:$L,9)</f>
        <v>68.5</v>
      </c>
      <c r="J210" s="88">
        <f>VLOOKUP(Table91213[[#This Row],[Date]],'DB Details'!$A:$L,10)</f>
        <v>56.7</v>
      </c>
      <c r="K210" s="94"/>
      <c r="L210" s="88">
        <f>VLOOKUP(Table91213[[#This Row],[Date]],'DB Details'!$A:$L,12)</f>
        <v>61</v>
      </c>
    </row>
    <row r="211" spans="1:12" x14ac:dyDescent="0.35">
      <c r="A211" s="39">
        <v>23774</v>
      </c>
      <c r="B211" s="57">
        <f>VLOOKUP(Table91213[[#This Row],[Date]],'DB Details'!$A:$L,2)</f>
        <v>63.2</v>
      </c>
      <c r="C211" s="55"/>
      <c r="D211" s="55"/>
      <c r="E211" s="88">
        <f>VLOOKUP(Table91213[[#This Row],[Date]],'DB Details'!$A:$L,5)</f>
        <v>64.8</v>
      </c>
      <c r="F211" s="88">
        <f>VLOOKUP(Table91213[[#This Row],[Date]],'DB Details'!$A:$L,6)</f>
        <v>59.8</v>
      </c>
      <c r="G211" s="94"/>
      <c r="H211" s="88">
        <f>VLOOKUP(Table91213[[#This Row],[Date]],'DB Details'!$A:$L,8)</f>
        <v>63.2</v>
      </c>
      <c r="I211" s="88">
        <f>VLOOKUP(Table91213[[#This Row],[Date]],'DB Details'!$A:$L,9)</f>
        <v>68.099999999999994</v>
      </c>
      <c r="J211" s="88">
        <f>VLOOKUP(Table91213[[#This Row],[Date]],'DB Details'!$A:$L,10)</f>
        <v>58.3</v>
      </c>
      <c r="K211" s="94"/>
      <c r="L211" s="88">
        <f>VLOOKUP(Table91213[[#This Row],[Date]],'DB Details'!$A:$L,12)</f>
        <v>62.1</v>
      </c>
    </row>
    <row r="212" spans="1:12" x14ac:dyDescent="0.35">
      <c r="A212" s="39">
        <v>23802</v>
      </c>
      <c r="B212" s="57">
        <f>VLOOKUP(Table91213[[#This Row],[Date]],'DB Details'!$A:$L,2)</f>
        <v>68.7</v>
      </c>
      <c r="C212" s="55"/>
      <c r="D212" s="55"/>
      <c r="E212" s="88">
        <f>VLOOKUP(Table91213[[#This Row],[Date]],'DB Details'!$A:$L,5)</f>
        <v>64.5</v>
      </c>
      <c r="F212" s="88">
        <f>VLOOKUP(Table91213[[#This Row],[Date]],'DB Details'!$A:$L,6)</f>
        <v>65.7</v>
      </c>
      <c r="G212" s="94"/>
      <c r="H212" s="88">
        <f>VLOOKUP(Table91213[[#This Row],[Date]],'DB Details'!$A:$L,8)</f>
        <v>57.8</v>
      </c>
      <c r="I212" s="88">
        <f>VLOOKUP(Table91213[[#This Row],[Date]],'DB Details'!$A:$L,9)</f>
        <v>65.900000000000006</v>
      </c>
      <c r="J212" s="88">
        <f>VLOOKUP(Table91213[[#This Row],[Date]],'DB Details'!$A:$L,10)</f>
        <v>61.2</v>
      </c>
      <c r="K212" s="94"/>
      <c r="L212" s="88">
        <f>VLOOKUP(Table91213[[#This Row],[Date]],'DB Details'!$A:$L,12)</f>
        <v>64.900000000000006</v>
      </c>
    </row>
    <row r="213" spans="1:12" x14ac:dyDescent="0.35">
      <c r="A213" s="39">
        <v>23833</v>
      </c>
      <c r="B213" s="57">
        <f>VLOOKUP(Table91213[[#This Row],[Date]],'DB Details'!$A:$L,2)</f>
        <v>59.8</v>
      </c>
      <c r="C213" s="41"/>
      <c r="D213" s="55"/>
      <c r="E213" s="88">
        <f>VLOOKUP(Table91213[[#This Row],[Date]],'DB Details'!$A:$L,5)</f>
        <v>68.7</v>
      </c>
      <c r="F213" s="88">
        <f>VLOOKUP(Table91213[[#This Row],[Date]],'DB Details'!$A:$L,6)</f>
        <v>62.6</v>
      </c>
      <c r="G213" s="94"/>
      <c r="H213" s="88">
        <f>VLOOKUP(Table91213[[#This Row],[Date]],'DB Details'!$A:$L,8)</f>
        <v>61.9</v>
      </c>
      <c r="I213" s="88">
        <f>VLOOKUP(Table91213[[#This Row],[Date]],'DB Details'!$A:$L,9)</f>
        <v>69.400000000000006</v>
      </c>
      <c r="J213" s="88">
        <f>VLOOKUP(Table91213[[#This Row],[Date]],'DB Details'!$A:$L,10)</f>
        <v>59.2</v>
      </c>
      <c r="K213" s="94"/>
      <c r="L213" s="88">
        <f>VLOOKUP(Table91213[[#This Row],[Date]],'DB Details'!$A:$L,12)</f>
        <v>62</v>
      </c>
    </row>
    <row r="214" spans="1:12" x14ac:dyDescent="0.35">
      <c r="A214" s="39">
        <v>23863</v>
      </c>
      <c r="B214" s="57">
        <f>VLOOKUP(Table91213[[#This Row],[Date]],'DB Details'!$A:$L,2)</f>
        <v>60.2</v>
      </c>
      <c r="C214" s="41"/>
      <c r="D214" s="55"/>
      <c r="E214" s="88">
        <f>VLOOKUP(Table91213[[#This Row],[Date]],'DB Details'!$A:$L,5)</f>
        <v>70</v>
      </c>
      <c r="F214" s="88">
        <f>VLOOKUP(Table91213[[#This Row],[Date]],'DB Details'!$A:$L,6)</f>
        <v>62.4</v>
      </c>
      <c r="G214" s="94"/>
      <c r="H214" s="88">
        <f>VLOOKUP(Table91213[[#This Row],[Date]],'DB Details'!$A:$L,8)</f>
        <v>60.6</v>
      </c>
      <c r="I214" s="88">
        <f>VLOOKUP(Table91213[[#This Row],[Date]],'DB Details'!$A:$L,9)</f>
        <v>68.900000000000006</v>
      </c>
      <c r="J214" s="88">
        <f>VLOOKUP(Table91213[[#This Row],[Date]],'DB Details'!$A:$L,10)</f>
        <v>56.4</v>
      </c>
      <c r="K214" s="94"/>
      <c r="L214" s="88">
        <f>VLOOKUP(Table91213[[#This Row],[Date]],'DB Details'!$A:$L,12)</f>
        <v>61.3</v>
      </c>
    </row>
    <row r="215" spans="1:12" x14ac:dyDescent="0.35">
      <c r="A215" s="39">
        <v>23894</v>
      </c>
      <c r="B215" s="57">
        <f>VLOOKUP(Table91213[[#This Row],[Date]],'DB Details'!$A:$L,2)</f>
        <v>57.4</v>
      </c>
      <c r="C215" s="41"/>
      <c r="D215" s="55"/>
      <c r="E215" s="88">
        <f>VLOOKUP(Table91213[[#This Row],[Date]],'DB Details'!$A:$L,5)</f>
        <v>73.2</v>
      </c>
      <c r="F215" s="88">
        <f>VLOOKUP(Table91213[[#This Row],[Date]],'DB Details'!$A:$L,6)</f>
        <v>57.5</v>
      </c>
      <c r="G215" s="94"/>
      <c r="H215" s="88">
        <f>VLOOKUP(Table91213[[#This Row],[Date]],'DB Details'!$A:$L,8)</f>
        <v>55.8</v>
      </c>
      <c r="I215" s="88">
        <f>VLOOKUP(Table91213[[#This Row],[Date]],'DB Details'!$A:$L,9)</f>
        <v>69.3</v>
      </c>
      <c r="J215" s="88">
        <f>VLOOKUP(Table91213[[#This Row],[Date]],'DB Details'!$A:$L,10)</f>
        <v>55.4</v>
      </c>
      <c r="K215" s="94"/>
      <c r="L215" s="88">
        <f>VLOOKUP(Table91213[[#This Row],[Date]],'DB Details'!$A:$L,12)</f>
        <v>58.7</v>
      </c>
    </row>
    <row r="216" spans="1:12" x14ac:dyDescent="0.35">
      <c r="A216" s="39">
        <v>23924</v>
      </c>
      <c r="B216" s="57">
        <f>VLOOKUP(Table91213[[#This Row],[Date]],'DB Details'!$A:$L,2)</f>
        <v>56.6</v>
      </c>
      <c r="C216" s="41"/>
      <c r="D216" s="55"/>
      <c r="E216" s="88">
        <f>VLOOKUP(Table91213[[#This Row],[Date]],'DB Details'!$A:$L,5)</f>
        <v>71.8</v>
      </c>
      <c r="F216" s="88">
        <f>VLOOKUP(Table91213[[#This Row],[Date]],'DB Details'!$A:$L,6)</f>
        <v>59</v>
      </c>
      <c r="G216" s="94"/>
      <c r="H216" s="88">
        <f>VLOOKUP(Table91213[[#This Row],[Date]],'DB Details'!$A:$L,8)</f>
        <v>53.8</v>
      </c>
      <c r="I216" s="88">
        <f>VLOOKUP(Table91213[[#This Row],[Date]],'DB Details'!$A:$L,9)</f>
        <v>65.099999999999994</v>
      </c>
      <c r="J216" s="88">
        <f>VLOOKUP(Table91213[[#This Row],[Date]],'DB Details'!$A:$L,10)</f>
        <v>56.2</v>
      </c>
      <c r="K216" s="94"/>
      <c r="L216" s="88">
        <f>VLOOKUP(Table91213[[#This Row],[Date]],'DB Details'!$A:$L,12)</f>
        <v>58.1</v>
      </c>
    </row>
    <row r="217" spans="1:12" x14ac:dyDescent="0.35">
      <c r="A217" s="39">
        <v>23955</v>
      </c>
      <c r="B217" s="57">
        <f>VLOOKUP(Table91213[[#This Row],[Date]],'DB Details'!$A:$L,2)</f>
        <v>56</v>
      </c>
      <c r="C217" s="41"/>
      <c r="D217" s="55"/>
      <c r="E217" s="88">
        <f>VLOOKUP(Table91213[[#This Row],[Date]],'DB Details'!$A:$L,5)</f>
        <v>70.5</v>
      </c>
      <c r="F217" s="88">
        <f>VLOOKUP(Table91213[[#This Row],[Date]],'DB Details'!$A:$L,6)</f>
        <v>56.6</v>
      </c>
      <c r="G217" s="94"/>
      <c r="H217" s="88">
        <f>VLOOKUP(Table91213[[#This Row],[Date]],'DB Details'!$A:$L,8)</f>
        <v>57.2</v>
      </c>
      <c r="I217" s="88">
        <f>VLOOKUP(Table91213[[#This Row],[Date]],'DB Details'!$A:$L,9)</f>
        <v>65.400000000000006</v>
      </c>
      <c r="J217" s="88">
        <f>VLOOKUP(Table91213[[#This Row],[Date]],'DB Details'!$A:$L,10)</f>
        <v>58</v>
      </c>
      <c r="K217" s="94"/>
      <c r="L217" s="88">
        <f>VLOOKUP(Table91213[[#This Row],[Date]],'DB Details'!$A:$L,12)</f>
        <v>58.1</v>
      </c>
    </row>
    <row r="218" spans="1:12" x14ac:dyDescent="0.35">
      <c r="A218" s="39">
        <v>23986</v>
      </c>
      <c r="B218" s="57">
        <f>VLOOKUP(Table91213[[#This Row],[Date]],'DB Details'!$A:$L,2)</f>
        <v>63.6</v>
      </c>
      <c r="C218" s="41"/>
      <c r="D218" s="55"/>
      <c r="E218" s="88">
        <f>VLOOKUP(Table91213[[#This Row],[Date]],'DB Details'!$A:$L,5)</f>
        <v>66.3</v>
      </c>
      <c r="F218" s="88">
        <f>VLOOKUP(Table91213[[#This Row],[Date]],'DB Details'!$A:$L,6)</f>
        <v>63.8</v>
      </c>
      <c r="G218" s="94"/>
      <c r="H218" s="88">
        <f>VLOOKUP(Table91213[[#This Row],[Date]],'DB Details'!$A:$L,8)</f>
        <v>55.7</v>
      </c>
      <c r="I218" s="88">
        <f>VLOOKUP(Table91213[[#This Row],[Date]],'DB Details'!$A:$L,9)</f>
        <v>61.2</v>
      </c>
      <c r="J218" s="88">
        <f>VLOOKUP(Table91213[[#This Row],[Date]],'DB Details'!$A:$L,10)</f>
        <v>56.2</v>
      </c>
      <c r="K218" s="94"/>
      <c r="L218" s="88">
        <f>VLOOKUP(Table91213[[#This Row],[Date]],'DB Details'!$A:$L,12)</f>
        <v>61</v>
      </c>
    </row>
    <row r="219" spans="1:12" x14ac:dyDescent="0.35">
      <c r="A219" s="39">
        <v>24016</v>
      </c>
      <c r="B219" s="57">
        <f>VLOOKUP(Table91213[[#This Row],[Date]],'DB Details'!$A:$L,2)</f>
        <v>62</v>
      </c>
      <c r="C219" s="41"/>
      <c r="D219" s="55"/>
      <c r="E219" s="88">
        <f>VLOOKUP(Table91213[[#This Row],[Date]],'DB Details'!$A:$L,5)</f>
        <v>68.599999999999994</v>
      </c>
      <c r="F219" s="88">
        <f>VLOOKUP(Table91213[[#This Row],[Date]],'DB Details'!$A:$L,6)</f>
        <v>60.5</v>
      </c>
      <c r="G219" s="94"/>
      <c r="H219" s="88">
        <f>VLOOKUP(Table91213[[#This Row],[Date]],'DB Details'!$A:$L,8)</f>
        <v>46.5</v>
      </c>
      <c r="I219" s="88">
        <f>VLOOKUP(Table91213[[#This Row],[Date]],'DB Details'!$A:$L,9)</f>
        <v>59.1</v>
      </c>
      <c r="J219" s="88">
        <f>VLOOKUP(Table91213[[#This Row],[Date]],'DB Details'!$A:$L,10)</f>
        <v>56.9</v>
      </c>
      <c r="K219" s="94"/>
      <c r="L219" s="88">
        <f>VLOOKUP(Table91213[[#This Row],[Date]],'DB Details'!$A:$L,12)</f>
        <v>58.6</v>
      </c>
    </row>
    <row r="220" spans="1:12" x14ac:dyDescent="0.35">
      <c r="A220" s="39">
        <v>24047</v>
      </c>
      <c r="B220" s="57">
        <f>VLOOKUP(Table91213[[#This Row],[Date]],'DB Details'!$A:$L,2)</f>
        <v>61.9</v>
      </c>
      <c r="C220" s="41"/>
      <c r="D220" s="55"/>
      <c r="E220" s="88">
        <f>VLOOKUP(Table91213[[#This Row],[Date]],'DB Details'!$A:$L,5)</f>
        <v>70.599999999999994</v>
      </c>
      <c r="F220" s="88">
        <f>VLOOKUP(Table91213[[#This Row],[Date]],'DB Details'!$A:$L,6)</f>
        <v>60.9</v>
      </c>
      <c r="G220" s="94"/>
      <c r="H220" s="88">
        <f>VLOOKUP(Table91213[[#This Row],[Date]],'DB Details'!$A:$L,8)</f>
        <v>48.7</v>
      </c>
      <c r="I220" s="88">
        <f>VLOOKUP(Table91213[[#This Row],[Date]],'DB Details'!$A:$L,9)</f>
        <v>65.099999999999994</v>
      </c>
      <c r="J220" s="88">
        <f>VLOOKUP(Table91213[[#This Row],[Date]],'DB Details'!$A:$L,10)</f>
        <v>54.7</v>
      </c>
      <c r="K220" s="94"/>
      <c r="L220" s="88">
        <f>VLOOKUP(Table91213[[#This Row],[Date]],'DB Details'!$A:$L,12)</f>
        <v>59.4</v>
      </c>
    </row>
    <row r="221" spans="1:12" x14ac:dyDescent="0.35">
      <c r="A221" s="39">
        <v>24077</v>
      </c>
      <c r="B221" s="57">
        <f>VLOOKUP(Table91213[[#This Row],[Date]],'DB Details'!$A:$L,2)</f>
        <v>62.9</v>
      </c>
      <c r="C221" s="41"/>
      <c r="D221" s="55"/>
      <c r="E221" s="88">
        <f>VLOOKUP(Table91213[[#This Row],[Date]],'DB Details'!$A:$L,5)</f>
        <v>67</v>
      </c>
      <c r="F221" s="88">
        <f>VLOOKUP(Table91213[[#This Row],[Date]],'DB Details'!$A:$L,6)</f>
        <v>64.400000000000006</v>
      </c>
      <c r="G221" s="94"/>
      <c r="H221" s="88">
        <f>VLOOKUP(Table91213[[#This Row],[Date]],'DB Details'!$A:$L,8)</f>
        <v>47.4</v>
      </c>
      <c r="I221" s="88">
        <f>VLOOKUP(Table91213[[#This Row],[Date]],'DB Details'!$A:$L,9)</f>
        <v>73.5</v>
      </c>
      <c r="J221" s="88">
        <f>VLOOKUP(Table91213[[#This Row],[Date]],'DB Details'!$A:$L,10)</f>
        <v>60.2</v>
      </c>
      <c r="K221" s="94"/>
      <c r="L221" s="88">
        <f>VLOOKUP(Table91213[[#This Row],[Date]],'DB Details'!$A:$L,12)</f>
        <v>62.8</v>
      </c>
    </row>
    <row r="222" spans="1:12" x14ac:dyDescent="0.35">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4"/>
      <c r="H222" s="88">
        <f>VLOOKUP(Table91213[[#This Row],[Date]],'DB Details'!$A:$L,8)</f>
        <v>49.7</v>
      </c>
      <c r="I222" s="88">
        <f>VLOOKUP(Table91213[[#This Row],[Date]],'DB Details'!$A:$L,9)</f>
        <v>74.900000000000006</v>
      </c>
      <c r="J222" s="88">
        <f>VLOOKUP(Table91213[[#This Row],[Date]],'DB Details'!$A:$L,10)</f>
        <v>62.6</v>
      </c>
      <c r="K222" s="94"/>
      <c r="L222" s="88">
        <f>VLOOKUP(Table91213[[#This Row],[Date]],'DB Details'!$A:$L,12)</f>
        <v>65.8</v>
      </c>
    </row>
    <row r="223" spans="1:12" x14ac:dyDescent="0.35">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4"/>
      <c r="H223" s="88">
        <f>VLOOKUP(Table91213[[#This Row],[Date]],'DB Details'!$A:$L,8)</f>
        <v>48.7</v>
      </c>
      <c r="I223" s="88">
        <f>VLOOKUP(Table91213[[#This Row],[Date]],'DB Details'!$A:$L,9)</f>
        <v>80.099999999999994</v>
      </c>
      <c r="J223" s="88">
        <f>VLOOKUP(Table91213[[#This Row],[Date]],'DB Details'!$A:$L,10)</f>
        <v>61.2</v>
      </c>
      <c r="K223" s="94"/>
      <c r="L223" s="88">
        <f>VLOOKUP(Table91213[[#This Row],[Date]],'DB Details'!$A:$L,12)</f>
        <v>65.5</v>
      </c>
    </row>
    <row r="224" spans="1:12" x14ac:dyDescent="0.35">
      <c r="A224" s="39">
        <v>24167</v>
      </c>
      <c r="B224" s="57">
        <f>VLOOKUP(Table91213[[#This Row],[Date]],'DB Details'!$A:$L,2)</f>
        <v>64.3</v>
      </c>
      <c r="C224" s="41"/>
      <c r="D224" s="55"/>
      <c r="E224" s="88">
        <f>VLOOKUP(Table91213[[#This Row],[Date]],'DB Details'!$A:$L,5)</f>
        <v>85.7</v>
      </c>
      <c r="F224" s="88">
        <f>VLOOKUP(Table91213[[#This Row],[Date]],'DB Details'!$A:$L,6)</f>
        <v>63.8</v>
      </c>
      <c r="G224" s="94"/>
      <c r="H224" s="88">
        <f>VLOOKUP(Table91213[[#This Row],[Date]],'DB Details'!$A:$L,8)</f>
        <v>52.3</v>
      </c>
      <c r="I224" s="88">
        <f>VLOOKUP(Table91213[[#This Row],[Date]],'DB Details'!$A:$L,9)</f>
        <v>86.4</v>
      </c>
      <c r="J224" s="88">
        <f>VLOOKUP(Table91213[[#This Row],[Date]],'DB Details'!$A:$L,10)</f>
        <v>61.5</v>
      </c>
      <c r="K224" s="94"/>
      <c r="L224" s="88">
        <f>VLOOKUP(Table91213[[#This Row],[Date]],'DB Details'!$A:$L,12)</f>
        <v>65.7</v>
      </c>
    </row>
    <row r="225" spans="1:12" x14ac:dyDescent="0.35">
      <c r="A225" s="39">
        <v>24198</v>
      </c>
      <c r="B225" s="57">
        <f>VLOOKUP(Table91213[[#This Row],[Date]],'DB Details'!$A:$L,2)</f>
        <v>64.3</v>
      </c>
      <c r="C225" s="41"/>
      <c r="D225" s="55"/>
      <c r="E225" s="88">
        <f>VLOOKUP(Table91213[[#This Row],[Date]],'DB Details'!$A:$L,5)</f>
        <v>83.9</v>
      </c>
      <c r="F225" s="88">
        <f>VLOOKUP(Table91213[[#This Row],[Date]],'DB Details'!$A:$L,6)</f>
        <v>63.1</v>
      </c>
      <c r="G225" s="94"/>
      <c r="H225" s="88">
        <f>VLOOKUP(Table91213[[#This Row],[Date]],'DB Details'!$A:$L,8)</f>
        <v>53</v>
      </c>
      <c r="I225" s="88">
        <f>VLOOKUP(Table91213[[#This Row],[Date]],'DB Details'!$A:$L,9)</f>
        <v>79.3</v>
      </c>
      <c r="J225" s="88">
        <f>VLOOKUP(Table91213[[#This Row],[Date]],'DB Details'!$A:$L,10)</f>
        <v>59.9</v>
      </c>
      <c r="K225" s="94"/>
      <c r="L225" s="88">
        <f>VLOOKUP(Table91213[[#This Row],[Date]],'DB Details'!$A:$L,12)</f>
        <v>64.2</v>
      </c>
    </row>
    <row r="226" spans="1:12" x14ac:dyDescent="0.35">
      <c r="A226" s="39">
        <v>24228</v>
      </c>
      <c r="B226" s="57">
        <f>VLOOKUP(Table91213[[#This Row],[Date]],'DB Details'!$A:$L,2)</f>
        <v>52.7</v>
      </c>
      <c r="C226" s="41"/>
      <c r="D226" s="55"/>
      <c r="E226" s="88">
        <f>VLOOKUP(Table91213[[#This Row],[Date]],'DB Details'!$A:$L,5)</f>
        <v>83.3</v>
      </c>
      <c r="F226" s="88">
        <f>VLOOKUP(Table91213[[#This Row],[Date]],'DB Details'!$A:$L,6)</f>
        <v>55.5</v>
      </c>
      <c r="G226" s="94"/>
      <c r="H226" s="88">
        <f>VLOOKUP(Table91213[[#This Row],[Date]],'DB Details'!$A:$L,8)</f>
        <v>53.8</v>
      </c>
      <c r="I226" s="88">
        <f>VLOOKUP(Table91213[[#This Row],[Date]],'DB Details'!$A:$L,9)</f>
        <v>74.599999999999994</v>
      </c>
      <c r="J226" s="88">
        <f>VLOOKUP(Table91213[[#This Row],[Date]],'DB Details'!$A:$L,10)</f>
        <v>57</v>
      </c>
      <c r="K226" s="94"/>
      <c r="L226" s="88">
        <f>VLOOKUP(Table91213[[#This Row],[Date]],'DB Details'!$A:$L,12)</f>
        <v>57.7</v>
      </c>
    </row>
    <row r="227" spans="1:12" x14ac:dyDescent="0.35">
      <c r="A227" s="39">
        <v>24259</v>
      </c>
      <c r="B227" s="57">
        <f>VLOOKUP(Table91213[[#This Row],[Date]],'DB Details'!$A:$L,2)</f>
        <v>55.9</v>
      </c>
      <c r="C227" s="41"/>
      <c r="D227" s="55"/>
      <c r="E227" s="88">
        <f>VLOOKUP(Table91213[[#This Row],[Date]],'DB Details'!$A:$L,5)</f>
        <v>81.5</v>
      </c>
      <c r="F227" s="88">
        <f>VLOOKUP(Table91213[[#This Row],[Date]],'DB Details'!$A:$L,6)</f>
        <v>57.6</v>
      </c>
      <c r="G227" s="94"/>
      <c r="H227" s="88">
        <f>VLOOKUP(Table91213[[#This Row],[Date]],'DB Details'!$A:$L,8)</f>
        <v>53.3</v>
      </c>
      <c r="I227" s="88">
        <f>VLOOKUP(Table91213[[#This Row],[Date]],'DB Details'!$A:$L,9)</f>
        <v>71.599999999999994</v>
      </c>
      <c r="J227" s="88">
        <f>VLOOKUP(Table91213[[#This Row],[Date]],'DB Details'!$A:$L,10)</f>
        <v>58.8</v>
      </c>
      <c r="K227" s="94"/>
      <c r="L227" s="88">
        <f>VLOOKUP(Table91213[[#This Row],[Date]],'DB Details'!$A:$L,12)</f>
        <v>59</v>
      </c>
    </row>
    <row r="228" spans="1:12" x14ac:dyDescent="0.35">
      <c r="A228" s="39">
        <v>24289</v>
      </c>
      <c r="B228" s="57">
        <f>VLOOKUP(Table91213[[#This Row],[Date]],'DB Details'!$A:$L,2)</f>
        <v>56.3</v>
      </c>
      <c r="C228" s="41"/>
      <c r="D228" s="55"/>
      <c r="E228" s="88">
        <f>VLOOKUP(Table91213[[#This Row],[Date]],'DB Details'!$A:$L,5)</f>
        <v>79.7</v>
      </c>
      <c r="F228" s="88">
        <f>VLOOKUP(Table91213[[#This Row],[Date]],'DB Details'!$A:$L,6)</f>
        <v>59.3</v>
      </c>
      <c r="G228" s="94"/>
      <c r="H228" s="88">
        <f>VLOOKUP(Table91213[[#This Row],[Date]],'DB Details'!$A:$L,8)</f>
        <v>57.9</v>
      </c>
      <c r="I228" s="88">
        <f>VLOOKUP(Table91213[[#This Row],[Date]],'DB Details'!$A:$L,9)</f>
        <v>73.099999999999994</v>
      </c>
      <c r="J228" s="88">
        <f>VLOOKUP(Table91213[[#This Row],[Date]],'DB Details'!$A:$L,10)</f>
        <v>58.9</v>
      </c>
      <c r="K228" s="94"/>
      <c r="L228" s="88">
        <f>VLOOKUP(Table91213[[#This Row],[Date]],'DB Details'!$A:$L,12)</f>
        <v>60.3</v>
      </c>
    </row>
    <row r="229" spans="1:12" x14ac:dyDescent="0.35">
      <c r="A229" s="39">
        <v>24320</v>
      </c>
      <c r="B229" s="57">
        <f>VLOOKUP(Table91213[[#This Row],[Date]],'DB Details'!$A:$L,2)</f>
        <v>53.3</v>
      </c>
      <c r="C229" s="41"/>
      <c r="D229" s="55"/>
      <c r="E229" s="88">
        <f>VLOOKUP(Table91213[[#This Row],[Date]],'DB Details'!$A:$L,5)</f>
        <v>79.5</v>
      </c>
      <c r="F229" s="88">
        <f>VLOOKUP(Table91213[[#This Row],[Date]],'DB Details'!$A:$L,6)</f>
        <v>57.7</v>
      </c>
      <c r="G229" s="94"/>
      <c r="H229" s="88">
        <f>VLOOKUP(Table91213[[#This Row],[Date]],'DB Details'!$A:$L,8)</f>
        <v>57</v>
      </c>
      <c r="I229" s="88">
        <f>VLOOKUP(Table91213[[#This Row],[Date]],'DB Details'!$A:$L,9)</f>
        <v>74.3</v>
      </c>
      <c r="J229" s="88">
        <f>VLOOKUP(Table91213[[#This Row],[Date]],'DB Details'!$A:$L,10)</f>
        <v>56.4</v>
      </c>
      <c r="K229" s="94"/>
      <c r="L229" s="88">
        <f>VLOOKUP(Table91213[[#This Row],[Date]],'DB Details'!$A:$L,12)</f>
        <v>58.5</v>
      </c>
    </row>
    <row r="230" spans="1:12" x14ac:dyDescent="0.35">
      <c r="A230" s="39">
        <v>24351</v>
      </c>
      <c r="B230" s="57">
        <f>VLOOKUP(Table91213[[#This Row],[Date]],'DB Details'!$A:$L,2)</f>
        <v>55.2</v>
      </c>
      <c r="C230" s="41"/>
      <c r="D230" s="55"/>
      <c r="E230" s="88">
        <f>VLOOKUP(Table91213[[#This Row],[Date]],'DB Details'!$A:$L,5)</f>
        <v>73.7</v>
      </c>
      <c r="F230" s="88">
        <f>VLOOKUP(Table91213[[#This Row],[Date]],'DB Details'!$A:$L,6)</f>
        <v>57.9</v>
      </c>
      <c r="G230" s="94"/>
      <c r="H230" s="88">
        <f>VLOOKUP(Table91213[[#This Row],[Date]],'DB Details'!$A:$L,8)</f>
        <v>54.8</v>
      </c>
      <c r="I230" s="88">
        <f>VLOOKUP(Table91213[[#This Row],[Date]],'DB Details'!$A:$L,9)</f>
        <v>72.400000000000006</v>
      </c>
      <c r="J230" s="88">
        <f>VLOOKUP(Table91213[[#This Row],[Date]],'DB Details'!$A:$L,10)</f>
        <v>56.5</v>
      </c>
      <c r="K230" s="94"/>
      <c r="L230" s="88">
        <f>VLOOKUP(Table91213[[#This Row],[Date]],'DB Details'!$A:$L,12)</f>
        <v>58.7</v>
      </c>
    </row>
    <row r="231" spans="1:12" x14ac:dyDescent="0.35">
      <c r="A231" s="39">
        <v>24381</v>
      </c>
      <c r="B231" s="57">
        <f>VLOOKUP(Table91213[[#This Row],[Date]],'DB Details'!$A:$L,2)</f>
        <v>51.6</v>
      </c>
      <c r="C231" s="41"/>
      <c r="D231" s="55"/>
      <c r="E231" s="88">
        <f>VLOOKUP(Table91213[[#This Row],[Date]],'DB Details'!$A:$L,5)</f>
        <v>70.3</v>
      </c>
      <c r="F231" s="88">
        <f>VLOOKUP(Table91213[[#This Row],[Date]],'DB Details'!$A:$L,6)</f>
        <v>57</v>
      </c>
      <c r="G231" s="94"/>
      <c r="H231" s="88">
        <f>VLOOKUP(Table91213[[#This Row],[Date]],'DB Details'!$A:$L,8)</f>
        <v>58.2</v>
      </c>
      <c r="I231" s="88">
        <f>VLOOKUP(Table91213[[#This Row],[Date]],'DB Details'!$A:$L,9)</f>
        <v>68.7</v>
      </c>
      <c r="J231" s="88">
        <f>VLOOKUP(Table91213[[#This Row],[Date]],'DB Details'!$A:$L,10)</f>
        <v>56.9</v>
      </c>
      <c r="K231" s="94"/>
      <c r="L231" s="88">
        <f>VLOOKUP(Table91213[[#This Row],[Date]],'DB Details'!$A:$L,12)</f>
        <v>57.2</v>
      </c>
    </row>
    <row r="232" spans="1:12" x14ac:dyDescent="0.35">
      <c r="A232" s="39">
        <v>24412</v>
      </c>
      <c r="B232" s="57">
        <f>VLOOKUP(Table91213[[#This Row],[Date]],'DB Details'!$A:$L,2)</f>
        <v>46.8</v>
      </c>
      <c r="C232" s="41"/>
      <c r="D232" s="55"/>
      <c r="E232" s="88">
        <f>VLOOKUP(Table91213[[#This Row],[Date]],'DB Details'!$A:$L,5)</f>
        <v>71.900000000000006</v>
      </c>
      <c r="F232" s="88">
        <f>VLOOKUP(Table91213[[#This Row],[Date]],'DB Details'!$A:$L,6)</f>
        <v>54.2</v>
      </c>
      <c r="G232" s="94"/>
      <c r="H232" s="88">
        <f>VLOOKUP(Table91213[[#This Row],[Date]],'DB Details'!$A:$L,8)</f>
        <v>55.6</v>
      </c>
      <c r="I232" s="88">
        <f>VLOOKUP(Table91213[[#This Row],[Date]],'DB Details'!$A:$L,9)</f>
        <v>62.6</v>
      </c>
      <c r="J232" s="88">
        <f>VLOOKUP(Table91213[[#This Row],[Date]],'DB Details'!$A:$L,10)</f>
        <v>55.6</v>
      </c>
      <c r="K232" s="94"/>
      <c r="L232" s="88">
        <f>VLOOKUP(Table91213[[#This Row],[Date]],'DB Details'!$A:$L,12)</f>
        <v>53.7</v>
      </c>
    </row>
    <row r="233" spans="1:12" x14ac:dyDescent="0.35">
      <c r="A233" s="39">
        <v>24442</v>
      </c>
      <c r="B233" s="57">
        <f>VLOOKUP(Table91213[[#This Row],[Date]],'DB Details'!$A:$L,2)</f>
        <v>48.8</v>
      </c>
      <c r="C233" s="41"/>
      <c r="D233" s="55"/>
      <c r="E233" s="88">
        <f>VLOOKUP(Table91213[[#This Row],[Date]],'DB Details'!$A:$L,5)</f>
        <v>67.599999999999994</v>
      </c>
      <c r="F233" s="88">
        <f>VLOOKUP(Table91213[[#This Row],[Date]],'DB Details'!$A:$L,6)</f>
        <v>54.1</v>
      </c>
      <c r="G233" s="94"/>
      <c r="H233" s="88">
        <f>VLOOKUP(Table91213[[#This Row],[Date]],'DB Details'!$A:$L,8)</f>
        <v>53.7</v>
      </c>
      <c r="I233" s="88">
        <f>VLOOKUP(Table91213[[#This Row],[Date]],'DB Details'!$A:$L,9)</f>
        <v>57.9</v>
      </c>
      <c r="J233" s="88">
        <f>VLOOKUP(Table91213[[#This Row],[Date]],'DB Details'!$A:$L,10)</f>
        <v>50.7</v>
      </c>
      <c r="K233" s="94"/>
      <c r="L233" s="88">
        <f>VLOOKUP(Table91213[[#This Row],[Date]],'DB Details'!$A:$L,12)</f>
        <v>52.4</v>
      </c>
    </row>
    <row r="234" spans="1:12" x14ac:dyDescent="0.35">
      <c r="A234" s="39">
        <v>24473</v>
      </c>
      <c r="B234" s="57">
        <f>VLOOKUP(Table91213[[#This Row],[Date]],'DB Details'!$A:$L,2)</f>
        <v>46.2</v>
      </c>
      <c r="C234" s="41"/>
      <c r="D234" s="55"/>
      <c r="E234" s="88">
        <f>VLOOKUP(Table91213[[#This Row],[Date]],'DB Details'!$A:$L,5)</f>
        <v>72.900000000000006</v>
      </c>
      <c r="F234" s="88">
        <f>VLOOKUP(Table91213[[#This Row],[Date]],'DB Details'!$A:$L,6)</f>
        <v>54.1</v>
      </c>
      <c r="G234" s="94"/>
      <c r="H234" s="88">
        <f>VLOOKUP(Table91213[[#This Row],[Date]],'DB Details'!$A:$L,8)</f>
        <v>48.2</v>
      </c>
      <c r="I234" s="88">
        <f>VLOOKUP(Table91213[[#This Row],[Date]],'DB Details'!$A:$L,9)</f>
        <v>48.2</v>
      </c>
      <c r="J234" s="88">
        <f>VLOOKUP(Table91213[[#This Row],[Date]],'DB Details'!$A:$L,10)</f>
        <v>48.3</v>
      </c>
      <c r="K234" s="94"/>
      <c r="L234" s="88">
        <f>VLOOKUP(Table91213[[#This Row],[Date]],'DB Details'!$A:$L,12)</f>
        <v>49.1</v>
      </c>
    </row>
    <row r="235" spans="1:12" x14ac:dyDescent="0.35">
      <c r="A235" s="39">
        <v>24504</v>
      </c>
      <c r="B235" s="57">
        <f>VLOOKUP(Table91213[[#This Row],[Date]],'DB Details'!$A:$L,2)</f>
        <v>45.1</v>
      </c>
      <c r="C235" s="41"/>
      <c r="D235" s="55"/>
      <c r="E235" s="88">
        <f>VLOOKUP(Table91213[[#This Row],[Date]],'DB Details'!$A:$L,5)</f>
        <v>61.8</v>
      </c>
      <c r="F235" s="88">
        <f>VLOOKUP(Table91213[[#This Row],[Date]],'DB Details'!$A:$L,6)</f>
        <v>50.4</v>
      </c>
      <c r="G235" s="94"/>
      <c r="H235" s="88">
        <f>VLOOKUP(Table91213[[#This Row],[Date]],'DB Details'!$A:$L,8)</f>
        <v>45.3</v>
      </c>
      <c r="I235" s="88">
        <f>VLOOKUP(Table91213[[#This Row],[Date]],'DB Details'!$A:$L,9)</f>
        <v>49.9</v>
      </c>
      <c r="J235" s="88">
        <f>VLOOKUP(Table91213[[#This Row],[Date]],'DB Details'!$A:$L,10)</f>
        <v>47.6</v>
      </c>
      <c r="K235" s="94"/>
      <c r="L235" s="88">
        <f>VLOOKUP(Table91213[[#This Row],[Date]],'DB Details'!$A:$L,12)</f>
        <v>47.6</v>
      </c>
    </row>
    <row r="236" spans="1:12" x14ac:dyDescent="0.35">
      <c r="A236" s="39">
        <v>24532</v>
      </c>
      <c r="B236" s="57">
        <f>VLOOKUP(Table91213[[#This Row],[Date]],'DB Details'!$A:$L,2)</f>
        <v>45.3</v>
      </c>
      <c r="C236" s="41"/>
      <c r="D236" s="55"/>
      <c r="E236" s="88">
        <f>VLOOKUP(Table91213[[#This Row],[Date]],'DB Details'!$A:$L,5)</f>
        <v>54</v>
      </c>
      <c r="F236" s="88">
        <f>VLOOKUP(Table91213[[#This Row],[Date]],'DB Details'!$A:$L,6)</f>
        <v>48.7</v>
      </c>
      <c r="G236" s="94"/>
      <c r="H236" s="88">
        <f>VLOOKUP(Table91213[[#This Row],[Date]],'DB Details'!$A:$L,8)</f>
        <v>45.6</v>
      </c>
      <c r="I236" s="88">
        <f>VLOOKUP(Table91213[[#This Row],[Date]],'DB Details'!$A:$L,9)</f>
        <v>38</v>
      </c>
      <c r="J236" s="88">
        <f>VLOOKUP(Table91213[[#This Row],[Date]],'DB Details'!$A:$L,10)</f>
        <v>46.3</v>
      </c>
      <c r="K236" s="94"/>
      <c r="L236" s="88">
        <f>VLOOKUP(Table91213[[#This Row],[Date]],'DB Details'!$A:$L,12)</f>
        <v>45.3</v>
      </c>
    </row>
    <row r="237" spans="1:12" x14ac:dyDescent="0.35">
      <c r="A237" s="39">
        <v>24563</v>
      </c>
      <c r="B237" s="57">
        <f>VLOOKUP(Table91213[[#This Row],[Date]],'DB Details'!$A:$L,2)</f>
        <v>46.4</v>
      </c>
      <c r="C237" s="41"/>
      <c r="D237" s="55"/>
      <c r="E237" s="88">
        <f>VLOOKUP(Table91213[[#This Row],[Date]],'DB Details'!$A:$L,5)</f>
        <v>56.3</v>
      </c>
      <c r="F237" s="88">
        <f>VLOOKUP(Table91213[[#This Row],[Date]],'DB Details'!$A:$L,6)</f>
        <v>44.3</v>
      </c>
      <c r="G237" s="94"/>
      <c r="H237" s="88">
        <f>VLOOKUP(Table91213[[#This Row],[Date]],'DB Details'!$A:$L,8)</f>
        <v>39.4</v>
      </c>
      <c r="I237" s="88">
        <f>VLOOKUP(Table91213[[#This Row],[Date]],'DB Details'!$A:$L,9)</f>
        <v>36.9</v>
      </c>
      <c r="J237" s="88">
        <f>VLOOKUP(Table91213[[#This Row],[Date]],'DB Details'!$A:$L,10)</f>
        <v>41.8</v>
      </c>
      <c r="K237" s="94"/>
      <c r="L237" s="88">
        <f>VLOOKUP(Table91213[[#This Row],[Date]],'DB Details'!$A:$L,12)</f>
        <v>42.8</v>
      </c>
    </row>
    <row r="238" spans="1:12" x14ac:dyDescent="0.35">
      <c r="A238" s="39">
        <v>24593</v>
      </c>
      <c r="B238" s="57">
        <f>VLOOKUP(Table91213[[#This Row],[Date]],'DB Details'!$A:$L,2)</f>
        <v>47.6</v>
      </c>
      <c r="C238" s="41"/>
      <c r="D238" s="55"/>
      <c r="E238" s="88">
        <f>VLOOKUP(Table91213[[#This Row],[Date]],'DB Details'!$A:$L,5)</f>
        <v>56.1</v>
      </c>
      <c r="F238" s="88">
        <f>VLOOKUP(Table91213[[#This Row],[Date]],'DB Details'!$A:$L,6)</f>
        <v>48</v>
      </c>
      <c r="G238" s="94"/>
      <c r="H238" s="88">
        <f>VLOOKUP(Table91213[[#This Row],[Date]],'DB Details'!$A:$L,8)</f>
        <v>39.700000000000003</v>
      </c>
      <c r="I238" s="88">
        <f>VLOOKUP(Table91213[[#This Row],[Date]],'DB Details'!$A:$L,9)</f>
        <v>34.4</v>
      </c>
      <c r="J238" s="88">
        <f>VLOOKUP(Table91213[[#This Row],[Date]],'DB Details'!$A:$L,10)</f>
        <v>45.5</v>
      </c>
      <c r="K238" s="94"/>
      <c r="L238" s="88">
        <f>VLOOKUP(Table91213[[#This Row],[Date]],'DB Details'!$A:$L,12)</f>
        <v>44.5</v>
      </c>
    </row>
    <row r="239" spans="1:12" x14ac:dyDescent="0.35">
      <c r="A239" s="39">
        <v>24624</v>
      </c>
      <c r="B239" s="57">
        <f>VLOOKUP(Table91213[[#This Row],[Date]],'DB Details'!$A:$L,2)</f>
        <v>51.8</v>
      </c>
      <c r="C239" s="41"/>
      <c r="D239" s="55"/>
      <c r="E239" s="88">
        <f>VLOOKUP(Table91213[[#This Row],[Date]],'DB Details'!$A:$L,5)</f>
        <v>58.4</v>
      </c>
      <c r="F239" s="88">
        <f>VLOOKUP(Table91213[[#This Row],[Date]],'DB Details'!$A:$L,6)</f>
        <v>50.7</v>
      </c>
      <c r="G239" s="94"/>
      <c r="H239" s="88">
        <f>VLOOKUP(Table91213[[#This Row],[Date]],'DB Details'!$A:$L,8)</f>
        <v>39.6</v>
      </c>
      <c r="I239" s="88">
        <f>VLOOKUP(Table91213[[#This Row],[Date]],'DB Details'!$A:$L,9)</f>
        <v>36.5</v>
      </c>
      <c r="J239" s="88">
        <f>VLOOKUP(Table91213[[#This Row],[Date]],'DB Details'!$A:$L,10)</f>
        <v>45.8</v>
      </c>
      <c r="K239" s="94"/>
      <c r="L239" s="88">
        <f>VLOOKUP(Table91213[[#This Row],[Date]],'DB Details'!$A:$L,12)</f>
        <v>46.8</v>
      </c>
    </row>
    <row r="240" spans="1:12" x14ac:dyDescent="0.35">
      <c r="A240" s="39">
        <v>24654</v>
      </c>
      <c r="B240" s="57">
        <f>VLOOKUP(Table91213[[#This Row],[Date]],'DB Details'!$A:$L,2)</f>
        <v>53.7</v>
      </c>
      <c r="C240" s="41"/>
      <c r="D240" s="55"/>
      <c r="E240" s="88">
        <f>VLOOKUP(Table91213[[#This Row],[Date]],'DB Details'!$A:$L,5)</f>
        <v>63.9</v>
      </c>
      <c r="F240" s="88">
        <f>VLOOKUP(Table91213[[#This Row],[Date]],'DB Details'!$A:$L,6)</f>
        <v>53.4</v>
      </c>
      <c r="G240" s="94"/>
      <c r="H240" s="88">
        <f>VLOOKUP(Table91213[[#This Row],[Date]],'DB Details'!$A:$L,8)</f>
        <v>38.1</v>
      </c>
      <c r="I240" s="88">
        <f>VLOOKUP(Table91213[[#This Row],[Date]],'DB Details'!$A:$L,9)</f>
        <v>40.9</v>
      </c>
      <c r="J240" s="88">
        <f>VLOOKUP(Table91213[[#This Row],[Date]],'DB Details'!$A:$L,10)</f>
        <v>50.2</v>
      </c>
      <c r="K240" s="94"/>
      <c r="L240" s="88">
        <f>VLOOKUP(Table91213[[#This Row],[Date]],'DB Details'!$A:$L,12)</f>
        <v>49.5</v>
      </c>
    </row>
    <row r="241" spans="1:12" x14ac:dyDescent="0.35">
      <c r="A241" s="39">
        <v>24685</v>
      </c>
      <c r="B241" s="57">
        <f>VLOOKUP(Table91213[[#This Row],[Date]],'DB Details'!$A:$L,2)</f>
        <v>55.4</v>
      </c>
      <c r="C241" s="41"/>
      <c r="D241" s="55"/>
      <c r="E241" s="88">
        <f>VLOOKUP(Table91213[[#This Row],[Date]],'DB Details'!$A:$L,5)</f>
        <v>67.5</v>
      </c>
      <c r="F241" s="88">
        <f>VLOOKUP(Table91213[[#This Row],[Date]],'DB Details'!$A:$L,6)</f>
        <v>56.4</v>
      </c>
      <c r="G241" s="94"/>
      <c r="H241" s="88">
        <f>VLOOKUP(Table91213[[#This Row],[Date]],'DB Details'!$A:$L,8)</f>
        <v>41.7</v>
      </c>
      <c r="I241" s="88">
        <f>VLOOKUP(Table91213[[#This Row],[Date]],'DB Details'!$A:$L,9)</f>
        <v>44.8</v>
      </c>
      <c r="J241" s="88">
        <f>VLOOKUP(Table91213[[#This Row],[Date]],'DB Details'!$A:$L,10)</f>
        <v>52.9</v>
      </c>
      <c r="K241" s="94"/>
      <c r="L241" s="88">
        <f>VLOOKUP(Table91213[[#This Row],[Date]],'DB Details'!$A:$L,12)</f>
        <v>52.2</v>
      </c>
    </row>
    <row r="242" spans="1:12" x14ac:dyDescent="0.35">
      <c r="A242" s="39">
        <v>24716</v>
      </c>
      <c r="B242" s="57">
        <f>VLOOKUP(Table91213[[#This Row],[Date]],'DB Details'!$A:$L,2)</f>
        <v>62</v>
      </c>
      <c r="C242" s="41"/>
      <c r="D242" s="55"/>
      <c r="E242" s="88">
        <f>VLOOKUP(Table91213[[#This Row],[Date]],'DB Details'!$A:$L,5)</f>
        <v>75.2</v>
      </c>
      <c r="F242" s="88">
        <f>VLOOKUP(Table91213[[#This Row],[Date]],'DB Details'!$A:$L,6)</f>
        <v>57.4</v>
      </c>
      <c r="G242" s="94"/>
      <c r="H242" s="88">
        <f>VLOOKUP(Table91213[[#This Row],[Date]],'DB Details'!$A:$L,8)</f>
        <v>46.8</v>
      </c>
      <c r="I242" s="88">
        <f>VLOOKUP(Table91213[[#This Row],[Date]],'DB Details'!$A:$L,9)</f>
        <v>46.5</v>
      </c>
      <c r="J242" s="88">
        <f>VLOOKUP(Table91213[[#This Row],[Date]],'DB Details'!$A:$L,10)</f>
        <v>51.6</v>
      </c>
      <c r="K242" s="94"/>
      <c r="L242" s="88">
        <f>VLOOKUP(Table91213[[#This Row],[Date]],'DB Details'!$A:$L,12)</f>
        <v>54.9</v>
      </c>
    </row>
    <row r="243" spans="1:12" x14ac:dyDescent="0.35">
      <c r="A243" s="39">
        <v>24746</v>
      </c>
      <c r="B243" s="57">
        <f>VLOOKUP(Table91213[[#This Row],[Date]],'DB Details'!$A:$L,2)</f>
        <v>55.8</v>
      </c>
      <c r="C243" s="41"/>
      <c r="D243" s="55"/>
      <c r="E243" s="88">
        <f>VLOOKUP(Table91213[[#This Row],[Date]],'DB Details'!$A:$L,5)</f>
        <v>78.7</v>
      </c>
      <c r="F243" s="88">
        <f>VLOOKUP(Table91213[[#This Row],[Date]],'DB Details'!$A:$L,6)</f>
        <v>57.7</v>
      </c>
      <c r="G243" s="94"/>
      <c r="H243" s="88">
        <f>VLOOKUP(Table91213[[#This Row],[Date]],'DB Details'!$A:$L,8)</f>
        <v>48</v>
      </c>
      <c r="I243" s="88">
        <f>VLOOKUP(Table91213[[#This Row],[Date]],'DB Details'!$A:$L,9)</f>
        <v>51.1</v>
      </c>
      <c r="J243" s="88">
        <f>VLOOKUP(Table91213[[#This Row],[Date]],'DB Details'!$A:$L,10)</f>
        <v>52.4</v>
      </c>
      <c r="K243" s="94"/>
      <c r="L243" s="88">
        <f>VLOOKUP(Table91213[[#This Row],[Date]],'DB Details'!$A:$L,12)</f>
        <v>54.1</v>
      </c>
    </row>
    <row r="244" spans="1:12" x14ac:dyDescent="0.35">
      <c r="A244" s="39">
        <v>24777</v>
      </c>
      <c r="B244" s="57">
        <f>VLOOKUP(Table91213[[#This Row],[Date]],'DB Details'!$A:$L,2)</f>
        <v>57</v>
      </c>
      <c r="C244" s="41"/>
      <c r="D244" s="55"/>
      <c r="E244" s="88">
        <f>VLOOKUP(Table91213[[#This Row],[Date]],'DB Details'!$A:$L,5)</f>
        <v>83.8</v>
      </c>
      <c r="F244" s="88">
        <f>VLOOKUP(Table91213[[#This Row],[Date]],'DB Details'!$A:$L,6)</f>
        <v>58.6</v>
      </c>
      <c r="G244" s="94"/>
      <c r="H244" s="88">
        <f>VLOOKUP(Table91213[[#This Row],[Date]],'DB Details'!$A:$L,8)</f>
        <v>44.4</v>
      </c>
      <c r="I244" s="88">
        <f>VLOOKUP(Table91213[[#This Row],[Date]],'DB Details'!$A:$L,9)</f>
        <v>51.4</v>
      </c>
      <c r="J244" s="88">
        <f>VLOOKUP(Table91213[[#This Row],[Date]],'DB Details'!$A:$L,10)</f>
        <v>51.5</v>
      </c>
      <c r="K244" s="94"/>
      <c r="L244" s="88">
        <f>VLOOKUP(Table91213[[#This Row],[Date]],'DB Details'!$A:$L,12)</f>
        <v>54.2</v>
      </c>
    </row>
    <row r="245" spans="1:12" x14ac:dyDescent="0.35">
      <c r="A245" s="39">
        <v>24807</v>
      </c>
      <c r="B245" s="57">
        <f>VLOOKUP(Table91213[[#This Row],[Date]],'DB Details'!$A:$L,2)</f>
        <v>59.4</v>
      </c>
      <c r="C245" s="41"/>
      <c r="D245" s="55"/>
      <c r="E245" s="88">
        <f>VLOOKUP(Table91213[[#This Row],[Date]],'DB Details'!$A:$L,5)</f>
        <v>79.599999999999994</v>
      </c>
      <c r="F245" s="88">
        <f>VLOOKUP(Table91213[[#This Row],[Date]],'DB Details'!$A:$L,6)</f>
        <v>58.7</v>
      </c>
      <c r="G245" s="94"/>
      <c r="H245" s="88">
        <f>VLOOKUP(Table91213[[#This Row],[Date]],'DB Details'!$A:$L,8)</f>
        <v>53.8</v>
      </c>
      <c r="I245" s="88">
        <f>VLOOKUP(Table91213[[#This Row],[Date]],'DB Details'!$A:$L,9)</f>
        <v>49.9</v>
      </c>
      <c r="J245" s="88">
        <f>VLOOKUP(Table91213[[#This Row],[Date]],'DB Details'!$A:$L,10)</f>
        <v>51.5</v>
      </c>
      <c r="K245" s="94"/>
      <c r="L245" s="88">
        <f>VLOOKUP(Table91213[[#This Row],[Date]],'DB Details'!$A:$L,12)</f>
        <v>55.6</v>
      </c>
    </row>
    <row r="246" spans="1:12" x14ac:dyDescent="0.35">
      <c r="A246" s="39">
        <v>24838</v>
      </c>
      <c r="B246" s="57">
        <f>VLOOKUP(Table91213[[#This Row],[Date]],'DB Details'!$A:$L,2)</f>
        <v>60.1</v>
      </c>
      <c r="C246" s="41"/>
      <c r="D246" s="55"/>
      <c r="E246" s="88">
        <f>VLOOKUP(Table91213[[#This Row],[Date]],'DB Details'!$A:$L,5)</f>
        <v>78</v>
      </c>
      <c r="F246" s="88">
        <f>VLOOKUP(Table91213[[#This Row],[Date]],'DB Details'!$A:$L,6)</f>
        <v>59.3</v>
      </c>
      <c r="G246" s="94"/>
      <c r="H246" s="88">
        <f>VLOOKUP(Table91213[[#This Row],[Date]],'DB Details'!$A:$L,8)</f>
        <v>54.8</v>
      </c>
      <c r="I246" s="88">
        <f>VLOOKUP(Table91213[[#This Row],[Date]],'DB Details'!$A:$L,9)</f>
        <v>50.6</v>
      </c>
      <c r="J246" s="88">
        <f>VLOOKUP(Table91213[[#This Row],[Date]],'DB Details'!$A:$L,10)</f>
        <v>53.2</v>
      </c>
      <c r="K246" s="94"/>
      <c r="L246" s="88">
        <f>VLOOKUP(Table91213[[#This Row],[Date]],'DB Details'!$A:$L,12)</f>
        <v>56.6</v>
      </c>
    </row>
    <row r="247" spans="1:12" x14ac:dyDescent="0.35">
      <c r="A247" s="39">
        <v>24869</v>
      </c>
      <c r="B247" s="57">
        <f>VLOOKUP(Table91213[[#This Row],[Date]],'DB Details'!$A:$L,2)</f>
        <v>56.6</v>
      </c>
      <c r="C247" s="41"/>
      <c r="D247" s="55"/>
      <c r="E247" s="88">
        <f>VLOOKUP(Table91213[[#This Row],[Date]],'DB Details'!$A:$L,5)</f>
        <v>76.3</v>
      </c>
      <c r="F247" s="88">
        <f>VLOOKUP(Table91213[[#This Row],[Date]],'DB Details'!$A:$L,6)</f>
        <v>58.1</v>
      </c>
      <c r="G247" s="94"/>
      <c r="H247" s="88">
        <f>VLOOKUP(Table91213[[#This Row],[Date]],'DB Details'!$A:$L,8)</f>
        <v>53.7</v>
      </c>
      <c r="I247" s="88">
        <f>VLOOKUP(Table91213[[#This Row],[Date]],'DB Details'!$A:$L,9)</f>
        <v>53.9</v>
      </c>
      <c r="J247" s="88">
        <f>VLOOKUP(Table91213[[#This Row],[Date]],'DB Details'!$A:$L,10)</f>
        <v>50.3</v>
      </c>
      <c r="K247" s="94"/>
      <c r="L247" s="88">
        <f>VLOOKUP(Table91213[[#This Row],[Date]],'DB Details'!$A:$L,12)</f>
        <v>55</v>
      </c>
    </row>
    <row r="248" spans="1:12" x14ac:dyDescent="0.35">
      <c r="A248" s="39">
        <v>24898</v>
      </c>
      <c r="B248" s="57">
        <f>VLOOKUP(Table91213[[#This Row],[Date]],'DB Details'!$A:$L,2)</f>
        <v>55.7</v>
      </c>
      <c r="C248" s="41"/>
      <c r="D248" s="55"/>
      <c r="E248" s="88">
        <f>VLOOKUP(Table91213[[#This Row],[Date]],'DB Details'!$A:$L,5)</f>
        <v>76.099999999999994</v>
      </c>
      <c r="F248" s="88">
        <f>VLOOKUP(Table91213[[#This Row],[Date]],'DB Details'!$A:$L,6)</f>
        <v>55.8</v>
      </c>
      <c r="G248" s="94"/>
      <c r="H248" s="88">
        <f>VLOOKUP(Table91213[[#This Row],[Date]],'DB Details'!$A:$L,8)</f>
        <v>50.7</v>
      </c>
      <c r="I248" s="88">
        <f>VLOOKUP(Table91213[[#This Row],[Date]],'DB Details'!$A:$L,9)</f>
        <v>54</v>
      </c>
      <c r="J248" s="88">
        <f>VLOOKUP(Table91213[[#This Row],[Date]],'DB Details'!$A:$L,10)</f>
        <v>50.1</v>
      </c>
      <c r="K248" s="94"/>
      <c r="L248" s="88">
        <f>VLOOKUP(Table91213[[#This Row],[Date]],'DB Details'!$A:$L,12)</f>
        <v>53.8</v>
      </c>
    </row>
    <row r="249" spans="1:12" x14ac:dyDescent="0.35">
      <c r="A249" s="39">
        <v>24929</v>
      </c>
      <c r="B249" s="57">
        <f>VLOOKUP(Table91213[[#This Row],[Date]],'DB Details'!$A:$L,2)</f>
        <v>64.5</v>
      </c>
      <c r="C249" s="41"/>
      <c r="D249" s="55"/>
      <c r="E249" s="88">
        <f>VLOOKUP(Table91213[[#This Row],[Date]],'DB Details'!$A:$L,5)</f>
        <v>71.5</v>
      </c>
      <c r="F249" s="88">
        <f>VLOOKUP(Table91213[[#This Row],[Date]],'DB Details'!$A:$L,6)</f>
        <v>60.1</v>
      </c>
      <c r="G249" s="94"/>
      <c r="H249" s="88">
        <f>VLOOKUP(Table91213[[#This Row],[Date]],'DB Details'!$A:$L,8)</f>
        <v>54.9</v>
      </c>
      <c r="I249" s="88">
        <f>VLOOKUP(Table91213[[#This Row],[Date]],'DB Details'!$A:$L,9)</f>
        <v>49</v>
      </c>
      <c r="J249" s="88">
        <f>VLOOKUP(Table91213[[#This Row],[Date]],'DB Details'!$A:$L,10)</f>
        <v>53.5</v>
      </c>
      <c r="K249" s="94"/>
      <c r="L249" s="88">
        <f>VLOOKUP(Table91213[[#This Row],[Date]],'DB Details'!$A:$L,12)</f>
        <v>58</v>
      </c>
    </row>
    <row r="250" spans="1:12" x14ac:dyDescent="0.35">
      <c r="A250" s="39">
        <v>24959</v>
      </c>
      <c r="B250" s="57">
        <f>VLOOKUP(Table91213[[#This Row],[Date]],'DB Details'!$A:$L,2)</f>
        <v>56.2</v>
      </c>
      <c r="C250" s="41"/>
      <c r="D250" s="55"/>
      <c r="E250" s="88">
        <f>VLOOKUP(Table91213[[#This Row],[Date]],'DB Details'!$A:$L,5)</f>
        <v>69.2</v>
      </c>
      <c r="F250" s="88">
        <f>VLOOKUP(Table91213[[#This Row],[Date]],'DB Details'!$A:$L,6)</f>
        <v>60</v>
      </c>
      <c r="G250" s="94"/>
      <c r="H250" s="88">
        <f>VLOOKUP(Table91213[[#This Row],[Date]],'DB Details'!$A:$L,8)</f>
        <v>54</v>
      </c>
      <c r="I250" s="88">
        <f>VLOOKUP(Table91213[[#This Row],[Date]],'DB Details'!$A:$L,9)</f>
        <v>49.4</v>
      </c>
      <c r="J250" s="88">
        <f>VLOOKUP(Table91213[[#This Row],[Date]],'DB Details'!$A:$L,10)</f>
        <v>53.1</v>
      </c>
      <c r="K250" s="94"/>
      <c r="L250" s="88">
        <f>VLOOKUP(Table91213[[#This Row],[Date]],'DB Details'!$A:$L,12)</f>
        <v>55.3</v>
      </c>
    </row>
    <row r="251" spans="1:12" x14ac:dyDescent="0.35">
      <c r="A251" s="39">
        <v>24990</v>
      </c>
      <c r="B251" s="57">
        <f>VLOOKUP(Table91213[[#This Row],[Date]],'DB Details'!$A:$L,2)</f>
        <v>54.3</v>
      </c>
      <c r="C251" s="41"/>
      <c r="D251" s="55"/>
      <c r="E251" s="88">
        <f>VLOOKUP(Table91213[[#This Row],[Date]],'DB Details'!$A:$L,5)</f>
        <v>70.400000000000006</v>
      </c>
      <c r="F251" s="88">
        <f>VLOOKUP(Table91213[[#This Row],[Date]],'DB Details'!$A:$L,6)</f>
        <v>54.9</v>
      </c>
      <c r="G251" s="94"/>
      <c r="H251" s="88">
        <f>VLOOKUP(Table91213[[#This Row],[Date]],'DB Details'!$A:$L,8)</f>
        <v>55</v>
      </c>
      <c r="I251" s="88">
        <f>VLOOKUP(Table91213[[#This Row],[Date]],'DB Details'!$A:$L,9)</f>
        <v>49.9</v>
      </c>
      <c r="J251" s="88">
        <f>VLOOKUP(Table91213[[#This Row],[Date]],'DB Details'!$A:$L,10)</f>
        <v>52.6</v>
      </c>
      <c r="K251" s="94"/>
      <c r="L251" s="88">
        <f>VLOOKUP(Table91213[[#This Row],[Date]],'DB Details'!$A:$L,12)</f>
        <v>53.5</v>
      </c>
    </row>
    <row r="252" spans="1:12" x14ac:dyDescent="0.35">
      <c r="A252" s="39">
        <v>25020</v>
      </c>
      <c r="B252" s="57">
        <f>VLOOKUP(Table91213[[#This Row],[Date]],'DB Details'!$A:$L,2)</f>
        <v>54.5</v>
      </c>
      <c r="C252" s="41"/>
      <c r="D252" s="55"/>
      <c r="E252" s="88">
        <f>VLOOKUP(Table91213[[#This Row],[Date]],'DB Details'!$A:$L,5)</f>
        <v>67.099999999999994</v>
      </c>
      <c r="F252" s="88">
        <f>VLOOKUP(Table91213[[#This Row],[Date]],'DB Details'!$A:$L,6)</f>
        <v>56.5</v>
      </c>
      <c r="G252" s="94"/>
      <c r="H252" s="88">
        <f>VLOOKUP(Table91213[[#This Row],[Date]],'DB Details'!$A:$L,8)</f>
        <v>55.8</v>
      </c>
      <c r="I252" s="88">
        <f>VLOOKUP(Table91213[[#This Row],[Date]],'DB Details'!$A:$L,9)</f>
        <v>55.9</v>
      </c>
      <c r="J252" s="88">
        <f>VLOOKUP(Table91213[[#This Row],[Date]],'DB Details'!$A:$L,10)</f>
        <v>48.2</v>
      </c>
      <c r="K252" s="94"/>
      <c r="L252" s="88">
        <f>VLOOKUP(Table91213[[#This Row],[Date]],'DB Details'!$A:$L,12)</f>
        <v>54.1</v>
      </c>
    </row>
    <row r="253" spans="1:12" x14ac:dyDescent="0.35">
      <c r="A253" s="39">
        <v>25051</v>
      </c>
      <c r="B253" s="57">
        <f>VLOOKUP(Table91213[[#This Row],[Date]],'DB Details'!$A:$L,2)</f>
        <v>53.8</v>
      </c>
      <c r="C253" s="41"/>
      <c r="D253" s="55"/>
      <c r="E253" s="88">
        <f>VLOOKUP(Table91213[[#This Row],[Date]],'DB Details'!$A:$L,5)</f>
        <v>74.3</v>
      </c>
      <c r="F253" s="88">
        <f>VLOOKUP(Table91213[[#This Row],[Date]],'DB Details'!$A:$L,6)</f>
        <v>56.1</v>
      </c>
      <c r="G253" s="94"/>
      <c r="H253" s="88">
        <f>VLOOKUP(Table91213[[#This Row],[Date]],'DB Details'!$A:$L,8)</f>
        <v>54.2</v>
      </c>
      <c r="I253" s="88">
        <f>VLOOKUP(Table91213[[#This Row],[Date]],'DB Details'!$A:$L,9)</f>
        <v>47.8</v>
      </c>
      <c r="J253" s="88">
        <f>VLOOKUP(Table91213[[#This Row],[Date]],'DB Details'!$A:$L,10)</f>
        <v>49.5</v>
      </c>
      <c r="K253" s="94"/>
      <c r="L253" s="88">
        <f>VLOOKUP(Table91213[[#This Row],[Date]],'DB Details'!$A:$L,12)</f>
        <v>52.7</v>
      </c>
    </row>
    <row r="254" spans="1:12" x14ac:dyDescent="0.35">
      <c r="A254" s="39">
        <v>25082</v>
      </c>
      <c r="B254" s="57">
        <f>VLOOKUP(Table91213[[#This Row],[Date]],'DB Details'!$A:$L,2)</f>
        <v>55.4</v>
      </c>
      <c r="C254" s="41"/>
      <c r="D254" s="55"/>
      <c r="E254" s="88">
        <f>VLOOKUP(Table91213[[#This Row],[Date]],'DB Details'!$A:$L,5)</f>
        <v>72.400000000000006</v>
      </c>
      <c r="F254" s="88">
        <f>VLOOKUP(Table91213[[#This Row],[Date]],'DB Details'!$A:$L,6)</f>
        <v>57</v>
      </c>
      <c r="G254" s="94"/>
      <c r="H254" s="88">
        <f>VLOOKUP(Table91213[[#This Row],[Date]],'DB Details'!$A:$L,8)</f>
        <v>42.4</v>
      </c>
      <c r="I254" s="88">
        <f>VLOOKUP(Table91213[[#This Row],[Date]],'DB Details'!$A:$L,9)</f>
        <v>48.4</v>
      </c>
      <c r="J254" s="88">
        <f>VLOOKUP(Table91213[[#This Row],[Date]],'DB Details'!$A:$L,10)</f>
        <v>47.1</v>
      </c>
      <c r="K254" s="94"/>
      <c r="L254" s="88">
        <f>VLOOKUP(Table91213[[#This Row],[Date]],'DB Details'!$A:$L,12)</f>
        <v>51.8</v>
      </c>
    </row>
    <row r="255" spans="1:12" x14ac:dyDescent="0.35">
      <c r="A255" s="39">
        <v>25112</v>
      </c>
      <c r="B255" s="57">
        <f>VLOOKUP(Table91213[[#This Row],[Date]],'DB Details'!$A:$L,2)</f>
        <v>58.5</v>
      </c>
      <c r="C255" s="41"/>
      <c r="D255" s="55"/>
      <c r="E255" s="88">
        <f>VLOOKUP(Table91213[[#This Row],[Date]],'DB Details'!$A:$L,5)</f>
        <v>70.8</v>
      </c>
      <c r="F255" s="88">
        <f>VLOOKUP(Table91213[[#This Row],[Date]],'DB Details'!$A:$L,6)</f>
        <v>61.1</v>
      </c>
      <c r="G255" s="94"/>
      <c r="H255" s="88">
        <f>VLOOKUP(Table91213[[#This Row],[Date]],'DB Details'!$A:$L,8)</f>
        <v>44.3</v>
      </c>
      <c r="I255" s="88">
        <f>VLOOKUP(Table91213[[#This Row],[Date]],'DB Details'!$A:$L,9)</f>
        <v>53.3</v>
      </c>
      <c r="J255" s="88">
        <f>VLOOKUP(Table91213[[#This Row],[Date]],'DB Details'!$A:$L,10)</f>
        <v>52.6</v>
      </c>
      <c r="K255" s="94"/>
      <c r="L255" s="88">
        <f>VLOOKUP(Table91213[[#This Row],[Date]],'DB Details'!$A:$L,12)</f>
        <v>55.8</v>
      </c>
    </row>
    <row r="256" spans="1:12" x14ac:dyDescent="0.35">
      <c r="A256" s="39">
        <v>25143</v>
      </c>
      <c r="B256" s="57">
        <f>VLOOKUP(Table91213[[#This Row],[Date]],'DB Details'!$A:$L,2)</f>
        <v>61.3</v>
      </c>
      <c r="C256" s="41"/>
      <c r="D256" s="55"/>
      <c r="E256" s="88">
        <f>VLOOKUP(Table91213[[#This Row],[Date]],'DB Details'!$A:$L,5)</f>
        <v>69.5</v>
      </c>
      <c r="F256" s="88">
        <f>VLOOKUP(Table91213[[#This Row],[Date]],'DB Details'!$A:$L,6)</f>
        <v>59.8</v>
      </c>
      <c r="G256" s="94"/>
      <c r="H256" s="88">
        <f>VLOOKUP(Table91213[[#This Row],[Date]],'DB Details'!$A:$L,8)</f>
        <v>43.5</v>
      </c>
      <c r="I256" s="88">
        <f>VLOOKUP(Table91213[[#This Row],[Date]],'DB Details'!$A:$L,9)</f>
        <v>61</v>
      </c>
      <c r="J256" s="88">
        <f>VLOOKUP(Table91213[[#This Row],[Date]],'DB Details'!$A:$L,10)</f>
        <v>56.4</v>
      </c>
      <c r="K256" s="94"/>
      <c r="L256" s="88">
        <f>VLOOKUP(Table91213[[#This Row],[Date]],'DB Details'!$A:$L,12)</f>
        <v>58.1</v>
      </c>
    </row>
    <row r="257" spans="1:12" x14ac:dyDescent="0.35">
      <c r="A257" s="39">
        <v>25173</v>
      </c>
      <c r="B257" s="57">
        <f>VLOOKUP(Table91213[[#This Row],[Date]],'DB Details'!$A:$L,2)</f>
        <v>56.7</v>
      </c>
      <c r="C257" s="41"/>
      <c r="D257" s="55"/>
      <c r="E257" s="88">
        <f>VLOOKUP(Table91213[[#This Row],[Date]],'DB Details'!$A:$L,5)</f>
        <v>76.8</v>
      </c>
      <c r="F257" s="88">
        <f>VLOOKUP(Table91213[[#This Row],[Date]],'DB Details'!$A:$L,6)</f>
        <v>60.6</v>
      </c>
      <c r="G257" s="94"/>
      <c r="H257" s="88">
        <f>VLOOKUP(Table91213[[#This Row],[Date]],'DB Details'!$A:$L,8)</f>
        <v>46.3</v>
      </c>
      <c r="I257" s="88">
        <f>VLOOKUP(Table91213[[#This Row],[Date]],'DB Details'!$A:$L,9)</f>
        <v>58.3</v>
      </c>
      <c r="J257" s="88">
        <f>VLOOKUP(Table91213[[#This Row],[Date]],'DB Details'!$A:$L,10)</f>
        <v>52.8</v>
      </c>
      <c r="K257" s="94"/>
      <c r="L257" s="88">
        <f>VLOOKUP(Table91213[[#This Row],[Date]],'DB Details'!$A:$L,12)</f>
        <v>56.1</v>
      </c>
    </row>
    <row r="258" spans="1:12" x14ac:dyDescent="0.35">
      <c r="A258" s="39">
        <v>25204</v>
      </c>
      <c r="B258" s="57">
        <f>VLOOKUP(Table91213[[#This Row],[Date]],'DB Details'!$A:$L,2)</f>
        <v>54.4</v>
      </c>
      <c r="C258" s="41"/>
      <c r="D258" s="55"/>
      <c r="E258" s="88">
        <f>VLOOKUP(Table91213[[#This Row],[Date]],'DB Details'!$A:$L,5)</f>
        <v>77.099999999999994</v>
      </c>
      <c r="F258" s="88">
        <f>VLOOKUP(Table91213[[#This Row],[Date]],'DB Details'!$A:$L,6)</f>
        <v>57.1</v>
      </c>
      <c r="G258" s="94"/>
      <c r="H258" s="88">
        <f>VLOOKUP(Table91213[[#This Row],[Date]],'DB Details'!$A:$L,8)</f>
        <v>44.2</v>
      </c>
      <c r="I258" s="88">
        <f>VLOOKUP(Table91213[[#This Row],[Date]],'DB Details'!$A:$L,9)</f>
        <v>63.6</v>
      </c>
      <c r="J258" s="88">
        <f>VLOOKUP(Table91213[[#This Row],[Date]],'DB Details'!$A:$L,10)</f>
        <v>51.9</v>
      </c>
      <c r="K258" s="94"/>
      <c r="L258" s="88">
        <f>VLOOKUP(Table91213[[#This Row],[Date]],'DB Details'!$A:$L,12)</f>
        <v>54.9</v>
      </c>
    </row>
    <row r="259" spans="1:12" x14ac:dyDescent="0.35">
      <c r="A259" s="39">
        <v>25235</v>
      </c>
      <c r="B259" s="57">
        <f>VLOOKUP(Table91213[[#This Row],[Date]],'DB Details'!$A:$L,2)</f>
        <v>57.9</v>
      </c>
      <c r="C259" s="41"/>
      <c r="D259" s="55"/>
      <c r="E259" s="88">
        <f>VLOOKUP(Table91213[[#This Row],[Date]],'DB Details'!$A:$L,5)</f>
        <v>79.599999999999994</v>
      </c>
      <c r="F259" s="88">
        <f>VLOOKUP(Table91213[[#This Row],[Date]],'DB Details'!$A:$L,6)</f>
        <v>59.1</v>
      </c>
      <c r="G259" s="94"/>
      <c r="H259" s="88">
        <f>VLOOKUP(Table91213[[#This Row],[Date]],'DB Details'!$A:$L,8)</f>
        <v>46.3</v>
      </c>
      <c r="I259" s="88">
        <f>VLOOKUP(Table91213[[#This Row],[Date]],'DB Details'!$A:$L,9)</f>
        <v>60.1</v>
      </c>
      <c r="J259" s="88">
        <f>VLOOKUP(Table91213[[#This Row],[Date]],'DB Details'!$A:$L,10)</f>
        <v>56.1</v>
      </c>
      <c r="K259" s="94"/>
      <c r="L259" s="88">
        <f>VLOOKUP(Table91213[[#This Row],[Date]],'DB Details'!$A:$L,12)</f>
        <v>57</v>
      </c>
    </row>
    <row r="260" spans="1:12" x14ac:dyDescent="0.35">
      <c r="A260" s="39">
        <v>25263</v>
      </c>
      <c r="B260" s="57">
        <f>VLOOKUP(Table91213[[#This Row],[Date]],'DB Details'!$A:$L,2)</f>
        <v>59.3</v>
      </c>
      <c r="C260" s="41"/>
      <c r="D260" s="55"/>
      <c r="E260" s="88">
        <f>VLOOKUP(Table91213[[#This Row],[Date]],'DB Details'!$A:$L,5)</f>
        <v>79.400000000000006</v>
      </c>
      <c r="F260" s="88">
        <f>VLOOKUP(Table91213[[#This Row],[Date]],'DB Details'!$A:$L,6)</f>
        <v>58.8</v>
      </c>
      <c r="G260" s="94"/>
      <c r="H260" s="88">
        <f>VLOOKUP(Table91213[[#This Row],[Date]],'DB Details'!$A:$L,8)</f>
        <v>47.6</v>
      </c>
      <c r="I260" s="88">
        <f>VLOOKUP(Table91213[[#This Row],[Date]],'DB Details'!$A:$L,9)</f>
        <v>60.5</v>
      </c>
      <c r="J260" s="88">
        <f>VLOOKUP(Table91213[[#This Row],[Date]],'DB Details'!$A:$L,10)</f>
        <v>53.8</v>
      </c>
      <c r="K260" s="94"/>
      <c r="L260" s="88">
        <f>VLOOKUP(Table91213[[#This Row],[Date]],'DB Details'!$A:$L,12)</f>
        <v>57.1</v>
      </c>
    </row>
    <row r="261" spans="1:12" x14ac:dyDescent="0.35">
      <c r="A261" s="39">
        <v>25294</v>
      </c>
      <c r="B261" s="57">
        <f>VLOOKUP(Table91213[[#This Row],[Date]],'DB Details'!$A:$L,2)</f>
        <v>54.4</v>
      </c>
      <c r="C261" s="41"/>
      <c r="D261" s="55"/>
      <c r="E261" s="88">
        <f>VLOOKUP(Table91213[[#This Row],[Date]],'DB Details'!$A:$L,5)</f>
        <v>78.8</v>
      </c>
      <c r="F261" s="88">
        <f>VLOOKUP(Table91213[[#This Row],[Date]],'DB Details'!$A:$L,6)</f>
        <v>55.1</v>
      </c>
      <c r="G261" s="94"/>
      <c r="H261" s="88">
        <f>VLOOKUP(Table91213[[#This Row],[Date]],'DB Details'!$A:$L,8)</f>
        <v>49.2</v>
      </c>
      <c r="I261" s="88">
        <f>VLOOKUP(Table91213[[#This Row],[Date]],'DB Details'!$A:$L,9)</f>
        <v>63.9</v>
      </c>
      <c r="J261" s="88">
        <f>VLOOKUP(Table91213[[#This Row],[Date]],'DB Details'!$A:$L,10)</f>
        <v>52.7</v>
      </c>
      <c r="K261" s="94"/>
      <c r="L261" s="88">
        <f>VLOOKUP(Table91213[[#This Row],[Date]],'DB Details'!$A:$L,12)</f>
        <v>55.2</v>
      </c>
    </row>
    <row r="262" spans="1:12" x14ac:dyDescent="0.35">
      <c r="A262" s="39">
        <v>25324</v>
      </c>
      <c r="B262" s="57">
        <f>VLOOKUP(Table91213[[#This Row],[Date]],'DB Details'!$A:$L,2)</f>
        <v>57.6</v>
      </c>
      <c r="C262" s="41"/>
      <c r="D262" s="55"/>
      <c r="E262" s="88">
        <f>VLOOKUP(Table91213[[#This Row],[Date]],'DB Details'!$A:$L,5)</f>
        <v>79.3</v>
      </c>
      <c r="F262" s="88">
        <f>VLOOKUP(Table91213[[#This Row],[Date]],'DB Details'!$A:$L,6)</f>
        <v>56.3</v>
      </c>
      <c r="G262" s="94"/>
      <c r="H262" s="88">
        <f>VLOOKUP(Table91213[[#This Row],[Date]],'DB Details'!$A:$L,8)</f>
        <v>50.7</v>
      </c>
      <c r="I262" s="88">
        <f>VLOOKUP(Table91213[[#This Row],[Date]],'DB Details'!$A:$L,9)</f>
        <v>64.900000000000006</v>
      </c>
      <c r="J262" s="88">
        <f>VLOOKUP(Table91213[[#This Row],[Date]],'DB Details'!$A:$L,10)</f>
        <v>52.8</v>
      </c>
      <c r="K262" s="94"/>
      <c r="L262" s="88">
        <f>VLOOKUP(Table91213[[#This Row],[Date]],'DB Details'!$A:$L,12)</f>
        <v>56.7</v>
      </c>
    </row>
    <row r="263" spans="1:12" x14ac:dyDescent="0.35">
      <c r="A263" s="39">
        <v>25355</v>
      </c>
      <c r="B263" s="57">
        <f>VLOOKUP(Table91213[[#This Row],[Date]],'DB Details'!$A:$L,2)</f>
        <v>52.7</v>
      </c>
      <c r="C263" s="41"/>
      <c r="D263" s="55"/>
      <c r="E263" s="88">
        <f>VLOOKUP(Table91213[[#This Row],[Date]],'DB Details'!$A:$L,5)</f>
        <v>80.900000000000006</v>
      </c>
      <c r="F263" s="88">
        <f>VLOOKUP(Table91213[[#This Row],[Date]],'DB Details'!$A:$L,6)</f>
        <v>56.9</v>
      </c>
      <c r="G263" s="94"/>
      <c r="H263" s="88">
        <f>VLOOKUP(Table91213[[#This Row],[Date]],'DB Details'!$A:$L,8)</f>
        <v>47.8</v>
      </c>
      <c r="I263" s="88">
        <f>VLOOKUP(Table91213[[#This Row],[Date]],'DB Details'!$A:$L,9)</f>
        <v>67</v>
      </c>
      <c r="J263" s="88">
        <f>VLOOKUP(Table91213[[#This Row],[Date]],'DB Details'!$A:$L,10)</f>
        <v>53.1</v>
      </c>
      <c r="K263" s="94"/>
      <c r="L263" s="88">
        <f>VLOOKUP(Table91213[[#This Row],[Date]],'DB Details'!$A:$L,12)</f>
        <v>55.5</v>
      </c>
    </row>
    <row r="264" spans="1:12" x14ac:dyDescent="0.35">
      <c r="A264" s="39">
        <v>25385</v>
      </c>
      <c r="B264" s="57">
        <f>VLOOKUP(Table91213[[#This Row],[Date]],'DB Details'!$A:$L,2)</f>
        <v>49.8</v>
      </c>
      <c r="C264" s="41"/>
      <c r="D264" s="55"/>
      <c r="E264" s="88">
        <f>VLOOKUP(Table91213[[#This Row],[Date]],'DB Details'!$A:$L,5)</f>
        <v>80.900000000000006</v>
      </c>
      <c r="F264" s="88">
        <f>VLOOKUP(Table91213[[#This Row],[Date]],'DB Details'!$A:$L,6)</f>
        <v>51.2</v>
      </c>
      <c r="G264" s="94"/>
      <c r="H264" s="88">
        <f>VLOOKUP(Table91213[[#This Row],[Date]],'DB Details'!$A:$L,8)</f>
        <v>49.3</v>
      </c>
      <c r="I264" s="88">
        <f>VLOOKUP(Table91213[[#This Row],[Date]],'DB Details'!$A:$L,9)</f>
        <v>65.7</v>
      </c>
      <c r="J264" s="88">
        <f>VLOOKUP(Table91213[[#This Row],[Date]],'DB Details'!$A:$L,10)</f>
        <v>53</v>
      </c>
      <c r="K264" s="94"/>
      <c r="L264" s="88">
        <f>VLOOKUP(Table91213[[#This Row],[Date]],'DB Details'!$A:$L,12)</f>
        <v>53.1</v>
      </c>
    </row>
    <row r="265" spans="1:12" x14ac:dyDescent="0.35">
      <c r="A265" s="39">
        <v>25416</v>
      </c>
      <c r="B265" s="57">
        <f>VLOOKUP(Table91213[[#This Row],[Date]],'DB Details'!$A:$L,2)</f>
        <v>51.5</v>
      </c>
      <c r="C265" s="41"/>
      <c r="D265" s="55"/>
      <c r="E265" s="88">
        <f>VLOOKUP(Table91213[[#This Row],[Date]],'DB Details'!$A:$L,5)</f>
        <v>84.4</v>
      </c>
      <c r="F265" s="88">
        <f>VLOOKUP(Table91213[[#This Row],[Date]],'DB Details'!$A:$L,6)</f>
        <v>54.1</v>
      </c>
      <c r="G265" s="94"/>
      <c r="H265" s="88">
        <f>VLOOKUP(Table91213[[#This Row],[Date]],'DB Details'!$A:$L,8)</f>
        <v>50.9</v>
      </c>
      <c r="I265" s="88">
        <f>VLOOKUP(Table91213[[#This Row],[Date]],'DB Details'!$A:$L,9)</f>
        <v>70.3</v>
      </c>
      <c r="J265" s="88">
        <f>VLOOKUP(Table91213[[#This Row],[Date]],'DB Details'!$A:$L,10)</f>
        <v>51.2</v>
      </c>
      <c r="K265" s="94"/>
      <c r="L265" s="88">
        <f>VLOOKUP(Table91213[[#This Row],[Date]],'DB Details'!$A:$L,12)</f>
        <v>54.8</v>
      </c>
    </row>
    <row r="266" spans="1:12" x14ac:dyDescent="0.35">
      <c r="A266" s="39">
        <v>25447</v>
      </c>
      <c r="B266" s="57">
        <f>VLOOKUP(Table91213[[#This Row],[Date]],'DB Details'!$A:$L,2)</f>
        <v>50.4</v>
      </c>
      <c r="C266" s="41"/>
      <c r="D266" s="55"/>
      <c r="E266" s="88">
        <f>VLOOKUP(Table91213[[#This Row],[Date]],'DB Details'!$A:$L,5)</f>
        <v>83.2</v>
      </c>
      <c r="F266" s="88">
        <f>VLOOKUP(Table91213[[#This Row],[Date]],'DB Details'!$A:$L,6)</f>
        <v>54.8</v>
      </c>
      <c r="G266" s="94"/>
      <c r="H266" s="88">
        <f>VLOOKUP(Table91213[[#This Row],[Date]],'DB Details'!$A:$L,8)</f>
        <v>49.4</v>
      </c>
      <c r="I266" s="88">
        <f>VLOOKUP(Table91213[[#This Row],[Date]],'DB Details'!$A:$L,9)</f>
        <v>68.900000000000006</v>
      </c>
      <c r="J266" s="88">
        <f>VLOOKUP(Table91213[[#This Row],[Date]],'DB Details'!$A:$L,10)</f>
        <v>50.3</v>
      </c>
      <c r="K266" s="94"/>
      <c r="L266" s="88">
        <f>VLOOKUP(Table91213[[#This Row],[Date]],'DB Details'!$A:$L,12)</f>
        <v>54.1</v>
      </c>
    </row>
    <row r="267" spans="1:12" x14ac:dyDescent="0.35">
      <c r="A267" s="39">
        <v>25477</v>
      </c>
      <c r="B267" s="57">
        <f>VLOOKUP(Table91213[[#This Row],[Date]],'DB Details'!$A:$L,2)</f>
        <v>51.9</v>
      </c>
      <c r="C267" s="41"/>
      <c r="D267" s="55"/>
      <c r="E267" s="88">
        <f>VLOOKUP(Table91213[[#This Row],[Date]],'DB Details'!$A:$L,5)</f>
        <v>85.3</v>
      </c>
      <c r="F267" s="88">
        <f>VLOOKUP(Table91213[[#This Row],[Date]],'DB Details'!$A:$L,6)</f>
        <v>53.2</v>
      </c>
      <c r="G267" s="94"/>
      <c r="H267" s="88">
        <f>VLOOKUP(Table91213[[#This Row],[Date]],'DB Details'!$A:$L,8)</f>
        <v>54.2</v>
      </c>
      <c r="I267" s="88">
        <f>VLOOKUP(Table91213[[#This Row],[Date]],'DB Details'!$A:$L,9)</f>
        <v>66.8</v>
      </c>
      <c r="J267" s="88">
        <f>VLOOKUP(Table91213[[#This Row],[Date]],'DB Details'!$A:$L,10)</f>
        <v>51.3</v>
      </c>
      <c r="K267" s="94"/>
      <c r="L267" s="88">
        <f>VLOOKUP(Table91213[[#This Row],[Date]],'DB Details'!$A:$L,12)</f>
        <v>54.6</v>
      </c>
    </row>
    <row r="268" spans="1:12" x14ac:dyDescent="0.35">
      <c r="A268" s="39">
        <v>25508</v>
      </c>
      <c r="B268" s="57">
        <f>VLOOKUP(Table91213[[#This Row],[Date]],'DB Details'!$A:$L,2)</f>
        <v>50.6</v>
      </c>
      <c r="C268" s="41"/>
      <c r="D268" s="55"/>
      <c r="E268" s="88">
        <f>VLOOKUP(Table91213[[#This Row],[Date]],'DB Details'!$A:$L,5)</f>
        <v>81.8</v>
      </c>
      <c r="F268" s="88">
        <f>VLOOKUP(Table91213[[#This Row],[Date]],'DB Details'!$A:$L,6)</f>
        <v>51.2</v>
      </c>
      <c r="G268" s="94"/>
      <c r="H268" s="88">
        <f>VLOOKUP(Table91213[[#This Row],[Date]],'DB Details'!$A:$L,8)</f>
        <v>55.6</v>
      </c>
      <c r="I268" s="88">
        <f>VLOOKUP(Table91213[[#This Row],[Date]],'DB Details'!$A:$L,9)</f>
        <v>64.099999999999994</v>
      </c>
      <c r="J268" s="88">
        <f>VLOOKUP(Table91213[[#This Row],[Date]],'DB Details'!$A:$L,10)</f>
        <v>50.4</v>
      </c>
      <c r="K268" s="94"/>
      <c r="L268" s="88">
        <f>VLOOKUP(Table91213[[#This Row],[Date]],'DB Details'!$A:$L,12)</f>
        <v>53.2</v>
      </c>
    </row>
    <row r="269" spans="1:12" x14ac:dyDescent="0.35">
      <c r="A269" s="39">
        <v>25538</v>
      </c>
      <c r="B269" s="57">
        <f>VLOOKUP(Table91213[[#This Row],[Date]],'DB Details'!$A:$L,2)</f>
        <v>48</v>
      </c>
      <c r="C269" s="41"/>
      <c r="D269" s="55"/>
      <c r="E269" s="88">
        <f>VLOOKUP(Table91213[[#This Row],[Date]],'DB Details'!$A:$L,5)</f>
        <v>82.2</v>
      </c>
      <c r="F269" s="88">
        <f>VLOOKUP(Table91213[[#This Row],[Date]],'DB Details'!$A:$L,6)</f>
        <v>50.3</v>
      </c>
      <c r="G269" s="94"/>
      <c r="H269" s="88">
        <f>VLOOKUP(Table91213[[#This Row],[Date]],'DB Details'!$A:$L,8)</f>
        <v>51.5</v>
      </c>
      <c r="I269" s="88">
        <f>VLOOKUP(Table91213[[#This Row],[Date]],'DB Details'!$A:$L,9)</f>
        <v>66.8</v>
      </c>
      <c r="J269" s="88">
        <f>VLOOKUP(Table91213[[#This Row],[Date]],'DB Details'!$A:$L,10)</f>
        <v>49.6</v>
      </c>
      <c r="K269" s="94"/>
      <c r="L269" s="88">
        <f>VLOOKUP(Table91213[[#This Row],[Date]],'DB Details'!$A:$L,12)</f>
        <v>52</v>
      </c>
    </row>
    <row r="270" spans="1:12" x14ac:dyDescent="0.35">
      <c r="A270" s="39">
        <v>25569</v>
      </c>
      <c r="B270" s="57">
        <f>VLOOKUP(Table91213[[#This Row],[Date]],'DB Details'!$A:$L,2)</f>
        <v>45.8</v>
      </c>
      <c r="C270" s="41"/>
      <c r="D270" s="55"/>
      <c r="E270" s="88">
        <f>VLOOKUP(Table91213[[#This Row],[Date]],'DB Details'!$A:$L,5)</f>
        <v>80.599999999999994</v>
      </c>
      <c r="F270" s="88">
        <f>VLOOKUP(Table91213[[#This Row],[Date]],'DB Details'!$A:$L,6)</f>
        <v>48.1</v>
      </c>
      <c r="G270" s="94"/>
      <c r="H270" s="88">
        <f>VLOOKUP(Table91213[[#This Row],[Date]],'DB Details'!$A:$L,8)</f>
        <v>50.2</v>
      </c>
      <c r="I270" s="88">
        <f>VLOOKUP(Table91213[[#This Row],[Date]],'DB Details'!$A:$L,9)</f>
        <v>57.9</v>
      </c>
      <c r="J270" s="88">
        <f>VLOOKUP(Table91213[[#This Row],[Date]],'DB Details'!$A:$L,10)</f>
        <v>46.3</v>
      </c>
      <c r="K270" s="94"/>
      <c r="L270" s="88">
        <f>VLOOKUP(Table91213[[#This Row],[Date]],'DB Details'!$A:$L,12)</f>
        <v>48.7</v>
      </c>
    </row>
    <row r="271" spans="1:12" x14ac:dyDescent="0.35">
      <c r="A271" s="39">
        <v>25600</v>
      </c>
      <c r="B271" s="57">
        <f>VLOOKUP(Table91213[[#This Row],[Date]],'DB Details'!$A:$L,2)</f>
        <v>45.8</v>
      </c>
      <c r="C271" s="41"/>
      <c r="D271" s="55"/>
      <c r="E271" s="88">
        <f>VLOOKUP(Table91213[[#This Row],[Date]],'DB Details'!$A:$L,5)</f>
        <v>74.5</v>
      </c>
      <c r="F271" s="88">
        <f>VLOOKUP(Table91213[[#This Row],[Date]],'DB Details'!$A:$L,6)</f>
        <v>45.9</v>
      </c>
      <c r="G271" s="94"/>
      <c r="H271" s="88">
        <f>VLOOKUP(Table91213[[#This Row],[Date]],'DB Details'!$A:$L,8)</f>
        <v>48.6</v>
      </c>
      <c r="I271" s="88">
        <f>VLOOKUP(Table91213[[#This Row],[Date]],'DB Details'!$A:$L,9)</f>
        <v>57.7</v>
      </c>
      <c r="J271" s="88">
        <f>VLOOKUP(Table91213[[#This Row],[Date]],'DB Details'!$A:$L,10)</f>
        <v>43.3</v>
      </c>
      <c r="K271" s="94"/>
      <c r="L271" s="88">
        <f>VLOOKUP(Table91213[[#This Row],[Date]],'DB Details'!$A:$L,12)</f>
        <v>47.4</v>
      </c>
    </row>
    <row r="272" spans="1:12" x14ac:dyDescent="0.35">
      <c r="A272" s="39">
        <v>25628</v>
      </c>
      <c r="B272" s="57">
        <f>VLOOKUP(Table91213[[#This Row],[Date]],'DB Details'!$A:$L,2)</f>
        <v>45.2</v>
      </c>
      <c r="C272" s="41"/>
      <c r="D272" s="55"/>
      <c r="E272" s="88">
        <f>VLOOKUP(Table91213[[#This Row],[Date]],'DB Details'!$A:$L,5)</f>
        <v>67.8</v>
      </c>
      <c r="F272" s="88">
        <f>VLOOKUP(Table91213[[#This Row],[Date]],'DB Details'!$A:$L,6)</f>
        <v>47.3</v>
      </c>
      <c r="G272" s="94"/>
      <c r="H272" s="88">
        <f>VLOOKUP(Table91213[[#This Row],[Date]],'DB Details'!$A:$L,8)</f>
        <v>51.4</v>
      </c>
      <c r="I272" s="88">
        <f>VLOOKUP(Table91213[[#This Row],[Date]],'DB Details'!$A:$L,9)</f>
        <v>49.3</v>
      </c>
      <c r="J272" s="88">
        <f>VLOOKUP(Table91213[[#This Row],[Date]],'DB Details'!$A:$L,10)</f>
        <v>44.8</v>
      </c>
      <c r="K272" s="94"/>
      <c r="L272" s="88">
        <f>VLOOKUP(Table91213[[#This Row],[Date]],'DB Details'!$A:$L,12)</f>
        <v>46.9</v>
      </c>
    </row>
    <row r="273" spans="1:12" x14ac:dyDescent="0.35">
      <c r="A273" s="39">
        <v>25659</v>
      </c>
      <c r="B273" s="57">
        <f>VLOOKUP(Table91213[[#This Row],[Date]],'DB Details'!$A:$L,2)</f>
        <v>45.7</v>
      </c>
      <c r="C273" s="41"/>
      <c r="D273" s="55"/>
      <c r="E273" s="88">
        <f>VLOOKUP(Table91213[[#This Row],[Date]],'DB Details'!$A:$L,5)</f>
        <v>75.099999999999994</v>
      </c>
      <c r="F273" s="88">
        <f>VLOOKUP(Table91213[[#This Row],[Date]],'DB Details'!$A:$L,6)</f>
        <v>45.5</v>
      </c>
      <c r="G273" s="94"/>
      <c r="H273" s="88">
        <f>VLOOKUP(Table91213[[#This Row],[Date]],'DB Details'!$A:$L,8)</f>
        <v>44.3</v>
      </c>
      <c r="I273" s="88">
        <f>VLOOKUP(Table91213[[#This Row],[Date]],'DB Details'!$A:$L,9)</f>
        <v>48.7</v>
      </c>
      <c r="J273" s="88">
        <f>VLOOKUP(Table91213[[#This Row],[Date]],'DB Details'!$A:$L,10)</f>
        <v>40.700000000000003</v>
      </c>
      <c r="K273" s="94"/>
      <c r="L273" s="88">
        <f>VLOOKUP(Table91213[[#This Row],[Date]],'DB Details'!$A:$L,12)</f>
        <v>45</v>
      </c>
    </row>
    <row r="274" spans="1:12" x14ac:dyDescent="0.35">
      <c r="A274" s="39">
        <v>25689</v>
      </c>
      <c r="B274" s="57">
        <f>VLOOKUP(Table91213[[#This Row],[Date]],'DB Details'!$A:$L,2)</f>
        <v>45.3</v>
      </c>
      <c r="C274" s="41"/>
      <c r="D274" s="55"/>
      <c r="E274" s="88">
        <f>VLOOKUP(Table91213[[#This Row],[Date]],'DB Details'!$A:$L,5)</f>
        <v>78.3</v>
      </c>
      <c r="F274" s="88">
        <f>VLOOKUP(Table91213[[#This Row],[Date]],'DB Details'!$A:$L,6)</f>
        <v>45.2</v>
      </c>
      <c r="G274" s="94"/>
      <c r="H274" s="88">
        <f>VLOOKUP(Table91213[[#This Row],[Date]],'DB Details'!$A:$L,8)</f>
        <v>40.4</v>
      </c>
      <c r="I274" s="88">
        <f>VLOOKUP(Table91213[[#This Row],[Date]],'DB Details'!$A:$L,9)</f>
        <v>67.2</v>
      </c>
      <c r="J274" s="88">
        <f>VLOOKUP(Table91213[[#This Row],[Date]],'DB Details'!$A:$L,10)</f>
        <v>40.799999999999997</v>
      </c>
      <c r="K274" s="94"/>
      <c r="L274" s="88">
        <f>VLOOKUP(Table91213[[#This Row],[Date]],'DB Details'!$A:$L,12)</f>
        <v>47.2</v>
      </c>
    </row>
    <row r="275" spans="1:12" x14ac:dyDescent="0.35">
      <c r="A275" s="39">
        <v>25720</v>
      </c>
      <c r="B275" s="57">
        <f>VLOOKUP(Table91213[[#This Row],[Date]],'DB Details'!$A:$L,2)</f>
        <v>53.2</v>
      </c>
      <c r="C275" s="41"/>
      <c r="D275" s="55"/>
      <c r="E275" s="88">
        <f>VLOOKUP(Table91213[[#This Row],[Date]],'DB Details'!$A:$L,5)</f>
        <v>73.8</v>
      </c>
      <c r="F275" s="88">
        <f>VLOOKUP(Table91213[[#This Row],[Date]],'DB Details'!$A:$L,6)</f>
        <v>49.7</v>
      </c>
      <c r="G275" s="94"/>
      <c r="H275" s="88">
        <f>VLOOKUP(Table91213[[#This Row],[Date]],'DB Details'!$A:$L,8)</f>
        <v>45.3</v>
      </c>
      <c r="I275" s="88">
        <f>VLOOKUP(Table91213[[#This Row],[Date]],'DB Details'!$A:$L,9)</f>
        <v>66.099999999999994</v>
      </c>
      <c r="J275" s="88">
        <f>VLOOKUP(Table91213[[#This Row],[Date]],'DB Details'!$A:$L,10)</f>
        <v>41.4</v>
      </c>
      <c r="K275" s="94"/>
      <c r="L275" s="88">
        <f>VLOOKUP(Table91213[[#This Row],[Date]],'DB Details'!$A:$L,12)</f>
        <v>51.1</v>
      </c>
    </row>
    <row r="276" spans="1:12" x14ac:dyDescent="0.35">
      <c r="A276" s="39">
        <v>25750</v>
      </c>
      <c r="B276" s="57">
        <f>VLOOKUP(Table91213[[#This Row],[Date]],'DB Details'!$A:$L,2)</f>
        <v>52.5</v>
      </c>
      <c r="C276" s="41"/>
      <c r="D276" s="55"/>
      <c r="E276" s="88">
        <f>VLOOKUP(Table91213[[#This Row],[Date]],'DB Details'!$A:$L,5)</f>
        <v>72.400000000000006</v>
      </c>
      <c r="F276" s="88">
        <f>VLOOKUP(Table91213[[#This Row],[Date]],'DB Details'!$A:$L,6)</f>
        <v>54.5</v>
      </c>
      <c r="G276" s="94"/>
      <c r="H276" s="88">
        <f>VLOOKUP(Table91213[[#This Row],[Date]],'DB Details'!$A:$L,8)</f>
        <v>45.4</v>
      </c>
      <c r="I276" s="88">
        <f>VLOOKUP(Table91213[[#This Row],[Date]],'DB Details'!$A:$L,9)</f>
        <v>49.8</v>
      </c>
      <c r="J276" s="88">
        <f>VLOOKUP(Table91213[[#This Row],[Date]],'DB Details'!$A:$L,10)</f>
        <v>40.6</v>
      </c>
      <c r="K276" s="94"/>
      <c r="L276" s="88">
        <f>VLOOKUP(Table91213[[#This Row],[Date]],'DB Details'!$A:$L,12)</f>
        <v>49.5</v>
      </c>
    </row>
    <row r="277" spans="1:12" x14ac:dyDescent="0.35">
      <c r="A277" s="39">
        <v>25781</v>
      </c>
      <c r="B277" s="57">
        <f>VLOOKUP(Table91213[[#This Row],[Date]],'DB Details'!$A:$L,2)</f>
        <v>51.8</v>
      </c>
      <c r="C277" s="41"/>
      <c r="D277" s="55"/>
      <c r="E277" s="88">
        <f>VLOOKUP(Table91213[[#This Row],[Date]],'DB Details'!$A:$L,5)</f>
        <v>68.599999999999994</v>
      </c>
      <c r="F277" s="88">
        <f>VLOOKUP(Table91213[[#This Row],[Date]],'DB Details'!$A:$L,6)</f>
        <v>49.7</v>
      </c>
      <c r="G277" s="94"/>
      <c r="H277" s="88">
        <f>VLOOKUP(Table91213[[#This Row],[Date]],'DB Details'!$A:$L,8)</f>
        <v>43.8</v>
      </c>
      <c r="I277" s="88">
        <f>VLOOKUP(Table91213[[#This Row],[Date]],'DB Details'!$A:$L,9)</f>
        <v>46.1</v>
      </c>
      <c r="J277" s="88">
        <f>VLOOKUP(Table91213[[#This Row],[Date]],'DB Details'!$A:$L,10)</f>
        <v>40.1</v>
      </c>
      <c r="K277" s="94"/>
      <c r="L277" s="88">
        <f>VLOOKUP(Table91213[[#This Row],[Date]],'DB Details'!$A:$L,12)</f>
        <v>47.3</v>
      </c>
    </row>
    <row r="278" spans="1:12" x14ac:dyDescent="0.35">
      <c r="A278" s="39">
        <v>25812</v>
      </c>
      <c r="B278" s="57">
        <f>VLOOKUP(Table91213[[#This Row],[Date]],'DB Details'!$A:$L,2)</f>
        <v>44.2</v>
      </c>
      <c r="C278" s="41"/>
      <c r="D278" s="55"/>
      <c r="E278" s="88">
        <f>VLOOKUP(Table91213[[#This Row],[Date]],'DB Details'!$A:$L,5)</f>
        <v>70.599999999999994</v>
      </c>
      <c r="F278" s="88">
        <f>VLOOKUP(Table91213[[#This Row],[Date]],'DB Details'!$A:$L,6)</f>
        <v>45.1</v>
      </c>
      <c r="G278" s="94"/>
      <c r="H278" s="88">
        <f>VLOOKUP(Table91213[[#This Row],[Date]],'DB Details'!$A:$L,8)</f>
        <v>47.2</v>
      </c>
      <c r="I278" s="88">
        <f>VLOOKUP(Table91213[[#This Row],[Date]],'DB Details'!$A:$L,9)</f>
        <v>46.5</v>
      </c>
      <c r="J278" s="88">
        <f>VLOOKUP(Table91213[[#This Row],[Date]],'DB Details'!$A:$L,10)</f>
        <v>39.5</v>
      </c>
      <c r="K278" s="94"/>
      <c r="L278" s="88">
        <f>VLOOKUP(Table91213[[#This Row],[Date]],'DB Details'!$A:$L,12)</f>
        <v>44.1</v>
      </c>
    </row>
    <row r="279" spans="1:12" x14ac:dyDescent="0.35">
      <c r="A279" s="39">
        <v>25842</v>
      </c>
      <c r="B279" s="57">
        <f>VLOOKUP(Table91213[[#This Row],[Date]],'DB Details'!$A:$L,2)</f>
        <v>44.7</v>
      </c>
      <c r="C279" s="41"/>
      <c r="D279" s="55"/>
      <c r="E279" s="88">
        <f>VLOOKUP(Table91213[[#This Row],[Date]],'DB Details'!$A:$L,5)</f>
        <v>67.8</v>
      </c>
      <c r="F279" s="88">
        <f>VLOOKUP(Table91213[[#This Row],[Date]],'DB Details'!$A:$L,6)</f>
        <v>44.1</v>
      </c>
      <c r="G279" s="94"/>
      <c r="H279" s="88">
        <f>VLOOKUP(Table91213[[#This Row],[Date]],'DB Details'!$A:$L,8)</f>
        <v>45.7</v>
      </c>
      <c r="I279" s="88">
        <f>VLOOKUP(Table91213[[#This Row],[Date]],'DB Details'!$A:$L,9)</f>
        <v>39</v>
      </c>
      <c r="J279" s="88">
        <f>VLOOKUP(Table91213[[#This Row],[Date]],'DB Details'!$A:$L,10)</f>
        <v>37.6</v>
      </c>
      <c r="K279" s="94"/>
      <c r="L279" s="88">
        <f>VLOOKUP(Table91213[[#This Row],[Date]],'DB Details'!$A:$L,12)</f>
        <v>42.4</v>
      </c>
    </row>
    <row r="280" spans="1:12" x14ac:dyDescent="0.35">
      <c r="A280" s="39">
        <v>25873</v>
      </c>
      <c r="B280" s="57">
        <f>VLOOKUP(Table91213[[#This Row],[Date]],'DB Details'!$A:$L,2)</f>
        <v>43.3</v>
      </c>
      <c r="C280" s="41"/>
      <c r="D280" s="55"/>
      <c r="E280" s="88">
        <f>VLOOKUP(Table91213[[#This Row],[Date]],'DB Details'!$A:$L,5)</f>
        <v>68.099999999999994</v>
      </c>
      <c r="F280" s="88">
        <f>VLOOKUP(Table91213[[#This Row],[Date]],'DB Details'!$A:$L,6)</f>
        <v>38.5</v>
      </c>
      <c r="G280" s="94"/>
      <c r="H280" s="88">
        <f>VLOOKUP(Table91213[[#This Row],[Date]],'DB Details'!$A:$L,8)</f>
        <v>46.3</v>
      </c>
      <c r="I280" s="88">
        <f>VLOOKUP(Table91213[[#This Row],[Date]],'DB Details'!$A:$L,9)</f>
        <v>37.799999999999997</v>
      </c>
      <c r="J280" s="88">
        <f>VLOOKUP(Table91213[[#This Row],[Date]],'DB Details'!$A:$L,10)</f>
        <v>33.799999999999997</v>
      </c>
      <c r="K280" s="94"/>
      <c r="L280" s="88">
        <f>VLOOKUP(Table91213[[#This Row],[Date]],'DB Details'!$A:$L,12)</f>
        <v>39.700000000000003</v>
      </c>
    </row>
    <row r="281" spans="1:12" x14ac:dyDescent="0.35">
      <c r="A281" s="39">
        <v>25903</v>
      </c>
      <c r="B281" s="57">
        <f>VLOOKUP(Table91213[[#This Row],[Date]],'DB Details'!$A:$L,2)</f>
        <v>51.2</v>
      </c>
      <c r="C281" s="41"/>
      <c r="D281" s="55"/>
      <c r="E281" s="88">
        <f>VLOOKUP(Table91213[[#This Row],[Date]],'DB Details'!$A:$L,5)</f>
        <v>64.5</v>
      </c>
      <c r="F281" s="88">
        <f>VLOOKUP(Table91213[[#This Row],[Date]],'DB Details'!$A:$L,6)</f>
        <v>46.8</v>
      </c>
      <c r="G281" s="94"/>
      <c r="H281" s="88">
        <f>VLOOKUP(Table91213[[#This Row],[Date]],'DB Details'!$A:$L,8)</f>
        <v>44.4</v>
      </c>
      <c r="I281" s="88">
        <f>VLOOKUP(Table91213[[#This Row],[Date]],'DB Details'!$A:$L,9)</f>
        <v>37.5</v>
      </c>
      <c r="J281" s="88">
        <f>VLOOKUP(Table91213[[#This Row],[Date]],'DB Details'!$A:$L,10)</f>
        <v>41.4</v>
      </c>
      <c r="K281" s="94"/>
      <c r="L281" s="88">
        <f>VLOOKUP(Table91213[[#This Row],[Date]],'DB Details'!$A:$L,12)</f>
        <v>45.4</v>
      </c>
    </row>
    <row r="282" spans="1:12" x14ac:dyDescent="0.35">
      <c r="A282" s="39">
        <v>25934</v>
      </c>
      <c r="B282" s="57">
        <f>VLOOKUP(Table91213[[#This Row],[Date]],'DB Details'!$A:$L,2)</f>
        <v>55.4</v>
      </c>
      <c r="C282" s="41"/>
      <c r="D282" s="55"/>
      <c r="E282" s="88">
        <f>VLOOKUP(Table91213[[#This Row],[Date]],'DB Details'!$A:$L,5)</f>
        <v>65.099999999999994</v>
      </c>
      <c r="F282" s="88">
        <f>VLOOKUP(Table91213[[#This Row],[Date]],'DB Details'!$A:$L,6)</f>
        <v>50.5</v>
      </c>
      <c r="G282" s="94"/>
      <c r="H282" s="88">
        <f>VLOOKUP(Table91213[[#This Row],[Date]],'DB Details'!$A:$L,8)</f>
        <v>47.4</v>
      </c>
      <c r="I282" s="88">
        <f>VLOOKUP(Table91213[[#This Row],[Date]],'DB Details'!$A:$L,9)</f>
        <v>39.799999999999997</v>
      </c>
      <c r="J282" s="88">
        <f>VLOOKUP(Table91213[[#This Row],[Date]],'DB Details'!$A:$L,10)</f>
        <v>40</v>
      </c>
      <c r="K282" s="94"/>
      <c r="L282" s="88">
        <f>VLOOKUP(Table91213[[#This Row],[Date]],'DB Details'!$A:$L,12)</f>
        <v>47.9</v>
      </c>
    </row>
    <row r="283" spans="1:12" x14ac:dyDescent="0.35">
      <c r="A283" s="39">
        <v>25965</v>
      </c>
      <c r="B283" s="57">
        <f>VLOOKUP(Table91213[[#This Row],[Date]],'DB Details'!$A:$L,2)</f>
        <v>62.8</v>
      </c>
      <c r="C283" s="41"/>
      <c r="D283" s="55"/>
      <c r="E283" s="88">
        <f>VLOOKUP(Table91213[[#This Row],[Date]],'DB Details'!$A:$L,5)</f>
        <v>64.599999999999994</v>
      </c>
      <c r="F283" s="88">
        <f>VLOOKUP(Table91213[[#This Row],[Date]],'DB Details'!$A:$L,6)</f>
        <v>60</v>
      </c>
      <c r="G283" s="94"/>
      <c r="H283" s="88">
        <f>VLOOKUP(Table91213[[#This Row],[Date]],'DB Details'!$A:$L,8)</f>
        <v>48</v>
      </c>
      <c r="I283" s="88">
        <f>VLOOKUP(Table91213[[#This Row],[Date]],'DB Details'!$A:$L,9)</f>
        <v>44.2</v>
      </c>
      <c r="J283" s="88">
        <f>VLOOKUP(Table91213[[#This Row],[Date]],'DB Details'!$A:$L,10)</f>
        <v>47.7</v>
      </c>
      <c r="K283" s="94"/>
      <c r="L283" s="88">
        <f>VLOOKUP(Table91213[[#This Row],[Date]],'DB Details'!$A:$L,12)</f>
        <v>54.8</v>
      </c>
    </row>
    <row r="284" spans="1:12" x14ac:dyDescent="0.35">
      <c r="A284" s="39">
        <v>25993</v>
      </c>
      <c r="B284" s="57">
        <f>VLOOKUP(Table91213[[#This Row],[Date]],'DB Details'!$A:$L,2)</f>
        <v>56.2</v>
      </c>
      <c r="C284" s="41"/>
      <c r="D284" s="55"/>
      <c r="E284" s="88">
        <f>VLOOKUP(Table91213[[#This Row],[Date]],'DB Details'!$A:$L,5)</f>
        <v>67</v>
      </c>
      <c r="F284" s="88">
        <f>VLOOKUP(Table91213[[#This Row],[Date]],'DB Details'!$A:$L,6)</f>
        <v>54.4</v>
      </c>
      <c r="G284" s="94"/>
      <c r="H284" s="88">
        <f>VLOOKUP(Table91213[[#This Row],[Date]],'DB Details'!$A:$L,8)</f>
        <v>51.2</v>
      </c>
      <c r="I284" s="88">
        <f>VLOOKUP(Table91213[[#This Row],[Date]],'DB Details'!$A:$L,9)</f>
        <v>45</v>
      </c>
      <c r="J284" s="88">
        <f>VLOOKUP(Table91213[[#This Row],[Date]],'DB Details'!$A:$L,10)</f>
        <v>44.3</v>
      </c>
      <c r="K284" s="94"/>
      <c r="L284" s="88">
        <f>VLOOKUP(Table91213[[#This Row],[Date]],'DB Details'!$A:$L,12)</f>
        <v>51.2</v>
      </c>
    </row>
    <row r="285" spans="1:12" x14ac:dyDescent="0.35">
      <c r="A285" s="39">
        <v>26024</v>
      </c>
      <c r="B285" s="57">
        <f>VLOOKUP(Table91213[[#This Row],[Date]],'DB Details'!$A:$L,2)</f>
        <v>59.6</v>
      </c>
      <c r="C285" s="41"/>
      <c r="D285" s="55"/>
      <c r="E285" s="88">
        <f>VLOOKUP(Table91213[[#This Row],[Date]],'DB Details'!$A:$L,5)</f>
        <v>70.8</v>
      </c>
      <c r="F285" s="88">
        <f>VLOOKUP(Table91213[[#This Row],[Date]],'DB Details'!$A:$L,6)</f>
        <v>58.1</v>
      </c>
      <c r="G285" s="94"/>
      <c r="H285" s="88">
        <f>VLOOKUP(Table91213[[#This Row],[Date]],'DB Details'!$A:$L,8)</f>
        <v>55.5</v>
      </c>
      <c r="I285" s="88">
        <f>VLOOKUP(Table91213[[#This Row],[Date]],'DB Details'!$A:$L,9)</f>
        <v>48.9</v>
      </c>
      <c r="J285" s="88">
        <f>VLOOKUP(Table91213[[#This Row],[Date]],'DB Details'!$A:$L,10)</f>
        <v>45.7</v>
      </c>
      <c r="K285" s="94"/>
      <c r="L285" s="88">
        <f>VLOOKUP(Table91213[[#This Row],[Date]],'DB Details'!$A:$L,12)</f>
        <v>54.5</v>
      </c>
    </row>
    <row r="286" spans="1:12" x14ac:dyDescent="0.35">
      <c r="A286" s="39">
        <v>26054</v>
      </c>
      <c r="B286" s="57">
        <f>VLOOKUP(Table91213[[#This Row],[Date]],'DB Details'!$A:$L,2)</f>
        <v>57</v>
      </c>
      <c r="C286" s="41"/>
      <c r="D286" s="55"/>
      <c r="E286" s="88">
        <f>VLOOKUP(Table91213[[#This Row],[Date]],'DB Details'!$A:$L,5)</f>
        <v>71.599999999999994</v>
      </c>
      <c r="F286" s="88">
        <f>VLOOKUP(Table91213[[#This Row],[Date]],'DB Details'!$A:$L,6)</f>
        <v>58.9</v>
      </c>
      <c r="G286" s="94"/>
      <c r="H286" s="88">
        <f>VLOOKUP(Table91213[[#This Row],[Date]],'DB Details'!$A:$L,8)</f>
        <v>55.1</v>
      </c>
      <c r="I286" s="88">
        <f>VLOOKUP(Table91213[[#This Row],[Date]],'DB Details'!$A:$L,9)</f>
        <v>49.4</v>
      </c>
      <c r="J286" s="88">
        <f>VLOOKUP(Table91213[[#This Row],[Date]],'DB Details'!$A:$L,10)</f>
        <v>47.4</v>
      </c>
      <c r="K286" s="94"/>
      <c r="L286" s="88">
        <f>VLOOKUP(Table91213[[#This Row],[Date]],'DB Details'!$A:$L,12)</f>
        <v>54.2</v>
      </c>
    </row>
    <row r="287" spans="1:12" x14ac:dyDescent="0.35">
      <c r="A287" s="39">
        <v>26085</v>
      </c>
      <c r="B287" s="57">
        <f>VLOOKUP(Table91213[[#This Row],[Date]],'DB Details'!$A:$L,2)</f>
        <v>57.9</v>
      </c>
      <c r="C287" s="41"/>
      <c r="D287" s="55"/>
      <c r="E287" s="88">
        <f>VLOOKUP(Table91213[[#This Row],[Date]],'DB Details'!$A:$L,5)</f>
        <v>78.099999999999994</v>
      </c>
      <c r="F287" s="88">
        <f>VLOOKUP(Table91213[[#This Row],[Date]],'DB Details'!$A:$L,6)</f>
        <v>55.4</v>
      </c>
      <c r="G287" s="94"/>
      <c r="H287" s="88">
        <f>VLOOKUP(Table91213[[#This Row],[Date]],'DB Details'!$A:$L,8)</f>
        <v>59</v>
      </c>
      <c r="I287" s="88">
        <f>VLOOKUP(Table91213[[#This Row],[Date]],'DB Details'!$A:$L,9)</f>
        <v>47.9</v>
      </c>
      <c r="J287" s="88">
        <f>VLOOKUP(Table91213[[#This Row],[Date]],'DB Details'!$A:$L,10)</f>
        <v>47.5</v>
      </c>
      <c r="K287" s="94"/>
      <c r="L287" s="88">
        <f>VLOOKUP(Table91213[[#This Row],[Date]],'DB Details'!$A:$L,12)</f>
        <v>53.8</v>
      </c>
    </row>
    <row r="288" spans="1:12" x14ac:dyDescent="0.35">
      <c r="A288" s="39">
        <v>26115</v>
      </c>
      <c r="B288" s="57">
        <f>VLOOKUP(Table91213[[#This Row],[Date]],'DB Details'!$A:$L,2)</f>
        <v>57.8</v>
      </c>
      <c r="C288" s="41"/>
      <c r="D288" s="55"/>
      <c r="E288" s="88">
        <f>VLOOKUP(Table91213[[#This Row],[Date]],'DB Details'!$A:$L,5)</f>
        <v>72.599999999999994</v>
      </c>
      <c r="F288" s="88">
        <f>VLOOKUP(Table91213[[#This Row],[Date]],'DB Details'!$A:$L,6)</f>
        <v>56.8</v>
      </c>
      <c r="G288" s="94"/>
      <c r="H288" s="88">
        <f>VLOOKUP(Table91213[[#This Row],[Date]],'DB Details'!$A:$L,8)</f>
        <v>58.9</v>
      </c>
      <c r="I288" s="88">
        <f>VLOOKUP(Table91213[[#This Row],[Date]],'DB Details'!$A:$L,9)</f>
        <v>47.4</v>
      </c>
      <c r="J288" s="88">
        <f>VLOOKUP(Table91213[[#This Row],[Date]],'DB Details'!$A:$L,10)</f>
        <v>49.5</v>
      </c>
      <c r="K288" s="94"/>
      <c r="L288" s="88">
        <f>VLOOKUP(Table91213[[#This Row],[Date]],'DB Details'!$A:$L,12)</f>
        <v>54.4</v>
      </c>
    </row>
    <row r="289" spans="1:12" x14ac:dyDescent="0.35">
      <c r="A289" s="39">
        <v>26146</v>
      </c>
      <c r="B289" s="57">
        <f>VLOOKUP(Table91213[[#This Row],[Date]],'DB Details'!$A:$L,2)</f>
        <v>58.4</v>
      </c>
      <c r="C289" s="41"/>
      <c r="D289" s="55"/>
      <c r="E289" s="88">
        <f>VLOOKUP(Table91213[[#This Row],[Date]],'DB Details'!$A:$L,5)</f>
        <v>72.400000000000006</v>
      </c>
      <c r="F289" s="88">
        <f>VLOOKUP(Table91213[[#This Row],[Date]],'DB Details'!$A:$L,6)</f>
        <v>55.6</v>
      </c>
      <c r="G289" s="94"/>
      <c r="H289" s="88">
        <f>VLOOKUP(Table91213[[#This Row],[Date]],'DB Details'!$A:$L,8)</f>
        <v>50.9</v>
      </c>
      <c r="I289" s="88">
        <f>VLOOKUP(Table91213[[#This Row],[Date]],'DB Details'!$A:$L,9)</f>
        <v>49.7</v>
      </c>
      <c r="J289" s="88">
        <f>VLOOKUP(Table91213[[#This Row],[Date]],'DB Details'!$A:$L,10)</f>
        <v>48.4</v>
      </c>
      <c r="K289" s="94"/>
      <c r="L289" s="88">
        <f>VLOOKUP(Table91213[[#This Row],[Date]],'DB Details'!$A:$L,12)</f>
        <v>53.6</v>
      </c>
    </row>
    <row r="290" spans="1:12" x14ac:dyDescent="0.35">
      <c r="A290" s="39">
        <v>26177</v>
      </c>
      <c r="B290" s="57">
        <f>VLOOKUP(Table91213[[#This Row],[Date]],'DB Details'!$A:$L,2)</f>
        <v>61</v>
      </c>
      <c r="C290" s="41"/>
      <c r="D290" s="55"/>
      <c r="E290" s="88">
        <f>VLOOKUP(Table91213[[#This Row],[Date]],'DB Details'!$A:$L,5)</f>
        <v>52.3</v>
      </c>
      <c r="F290" s="88">
        <f>VLOOKUP(Table91213[[#This Row],[Date]],'DB Details'!$A:$L,6)</f>
        <v>59.3</v>
      </c>
      <c r="G290" s="94"/>
      <c r="H290" s="88">
        <f>VLOOKUP(Table91213[[#This Row],[Date]],'DB Details'!$A:$L,8)</f>
        <v>40.200000000000003</v>
      </c>
      <c r="I290" s="88">
        <f>VLOOKUP(Table91213[[#This Row],[Date]],'DB Details'!$A:$L,9)</f>
        <v>48.9</v>
      </c>
      <c r="J290" s="88">
        <f>VLOOKUP(Table91213[[#This Row],[Date]],'DB Details'!$A:$L,10)</f>
        <v>53</v>
      </c>
      <c r="K290" s="94"/>
      <c r="L290" s="88">
        <f>VLOOKUP(Table91213[[#This Row],[Date]],'DB Details'!$A:$L,12)</f>
        <v>55.1</v>
      </c>
    </row>
    <row r="291" spans="1:12" x14ac:dyDescent="0.35">
      <c r="A291" s="39">
        <v>26207</v>
      </c>
      <c r="B291" s="57">
        <f>VLOOKUP(Table91213[[#This Row],[Date]],'DB Details'!$A:$L,2)</f>
        <v>61.4</v>
      </c>
      <c r="C291" s="41"/>
      <c r="D291" s="55"/>
      <c r="E291" s="88">
        <f>VLOOKUP(Table91213[[#This Row],[Date]],'DB Details'!$A:$L,5)</f>
        <v>51.7</v>
      </c>
      <c r="F291" s="88">
        <f>VLOOKUP(Table91213[[#This Row],[Date]],'DB Details'!$A:$L,6)</f>
        <v>60.8</v>
      </c>
      <c r="G291" s="94"/>
      <c r="H291" s="88">
        <f>VLOOKUP(Table91213[[#This Row],[Date]],'DB Details'!$A:$L,8)</f>
        <v>38.1</v>
      </c>
      <c r="I291" s="88">
        <f>VLOOKUP(Table91213[[#This Row],[Date]],'DB Details'!$A:$L,9)</f>
        <v>50.9</v>
      </c>
      <c r="J291" s="88">
        <f>VLOOKUP(Table91213[[#This Row],[Date]],'DB Details'!$A:$L,10)</f>
        <v>49.8</v>
      </c>
      <c r="K291" s="94"/>
      <c r="L291" s="88">
        <f>VLOOKUP(Table91213[[#This Row],[Date]],'DB Details'!$A:$L,12)</f>
        <v>55</v>
      </c>
    </row>
    <row r="292" spans="1:12" x14ac:dyDescent="0.35">
      <c r="A292" s="39">
        <v>26238</v>
      </c>
      <c r="B292" s="57">
        <f>VLOOKUP(Table91213[[#This Row],[Date]],'DB Details'!$A:$L,2)</f>
        <v>55.4</v>
      </c>
      <c r="C292" s="41"/>
      <c r="D292" s="55"/>
      <c r="E292" s="88">
        <f>VLOOKUP(Table91213[[#This Row],[Date]],'DB Details'!$A:$L,5)</f>
        <v>53.9</v>
      </c>
      <c r="F292" s="88">
        <f>VLOOKUP(Table91213[[#This Row],[Date]],'DB Details'!$A:$L,6)</f>
        <v>56.1</v>
      </c>
      <c r="G292" s="94"/>
      <c r="H292" s="88">
        <f>VLOOKUP(Table91213[[#This Row],[Date]],'DB Details'!$A:$L,8)</f>
        <v>41.6</v>
      </c>
      <c r="I292" s="88">
        <f>VLOOKUP(Table91213[[#This Row],[Date]],'DB Details'!$A:$L,9)</f>
        <v>50.9</v>
      </c>
      <c r="J292" s="88">
        <f>VLOOKUP(Table91213[[#This Row],[Date]],'DB Details'!$A:$L,10)</f>
        <v>49.3</v>
      </c>
      <c r="K292" s="94"/>
      <c r="L292" s="88">
        <f>VLOOKUP(Table91213[[#This Row],[Date]],'DB Details'!$A:$L,12)</f>
        <v>52.3</v>
      </c>
    </row>
    <row r="293" spans="1:12" x14ac:dyDescent="0.35">
      <c r="A293" s="39">
        <v>26268</v>
      </c>
      <c r="B293" s="57">
        <f>VLOOKUP(Table91213[[#This Row],[Date]],'DB Details'!$A:$L,2)</f>
        <v>63.5</v>
      </c>
      <c r="C293" s="41"/>
      <c r="D293" s="55"/>
      <c r="E293" s="88">
        <f>VLOOKUP(Table91213[[#This Row],[Date]],'DB Details'!$A:$L,5)</f>
        <v>65.099999999999994</v>
      </c>
      <c r="F293" s="88">
        <f>VLOOKUP(Table91213[[#This Row],[Date]],'DB Details'!$A:$L,6)</f>
        <v>63.9</v>
      </c>
      <c r="G293" s="94"/>
      <c r="H293" s="88">
        <f>VLOOKUP(Table91213[[#This Row],[Date]],'DB Details'!$A:$L,8)</f>
        <v>47.7</v>
      </c>
      <c r="I293" s="88">
        <f>VLOOKUP(Table91213[[#This Row],[Date]],'DB Details'!$A:$L,9)</f>
        <v>53.3</v>
      </c>
      <c r="J293" s="88">
        <f>VLOOKUP(Table91213[[#This Row],[Date]],'DB Details'!$A:$L,10)</f>
        <v>49</v>
      </c>
      <c r="K293" s="94"/>
      <c r="L293" s="88">
        <f>VLOOKUP(Table91213[[#This Row],[Date]],'DB Details'!$A:$L,12)</f>
        <v>57.6</v>
      </c>
    </row>
    <row r="294" spans="1:12" x14ac:dyDescent="0.35">
      <c r="A294" s="39">
        <v>26299</v>
      </c>
      <c r="B294" s="57">
        <f>VLOOKUP(Table91213[[#This Row],[Date]],'DB Details'!$A:$L,2)</f>
        <v>64.8</v>
      </c>
      <c r="C294" s="41"/>
      <c r="D294" s="55"/>
      <c r="E294" s="88">
        <f>VLOOKUP(Table91213[[#This Row],[Date]],'DB Details'!$A:$L,5)</f>
        <v>79.3</v>
      </c>
      <c r="F294" s="88">
        <f>VLOOKUP(Table91213[[#This Row],[Date]],'DB Details'!$A:$L,6)</f>
        <v>65.599999999999994</v>
      </c>
      <c r="G294" s="94"/>
      <c r="H294" s="88">
        <f>VLOOKUP(Table91213[[#This Row],[Date]],'DB Details'!$A:$L,8)</f>
        <v>48.4</v>
      </c>
      <c r="I294" s="88">
        <f>VLOOKUP(Table91213[[#This Row],[Date]],'DB Details'!$A:$L,9)</f>
        <v>55.2</v>
      </c>
      <c r="J294" s="88">
        <f>VLOOKUP(Table91213[[#This Row],[Date]],'DB Details'!$A:$L,10)</f>
        <v>53.3</v>
      </c>
      <c r="K294" s="94"/>
      <c r="L294" s="88">
        <f>VLOOKUP(Table91213[[#This Row],[Date]],'DB Details'!$A:$L,12)</f>
        <v>59.6</v>
      </c>
    </row>
    <row r="295" spans="1:12" x14ac:dyDescent="0.35">
      <c r="A295" s="39">
        <v>26330</v>
      </c>
      <c r="B295" s="57">
        <f>VLOOKUP(Table91213[[#This Row],[Date]],'DB Details'!$A:$L,2)</f>
        <v>66</v>
      </c>
      <c r="C295" s="41"/>
      <c r="D295" s="55"/>
      <c r="E295" s="88">
        <f>VLOOKUP(Table91213[[#This Row],[Date]],'DB Details'!$A:$L,5)</f>
        <v>74.099999999999994</v>
      </c>
      <c r="F295" s="88">
        <f>VLOOKUP(Table91213[[#This Row],[Date]],'DB Details'!$A:$L,6)</f>
        <v>67.7</v>
      </c>
      <c r="G295" s="94"/>
      <c r="H295" s="88">
        <f>VLOOKUP(Table91213[[#This Row],[Date]],'DB Details'!$A:$L,8)</f>
        <v>51.7</v>
      </c>
      <c r="I295" s="88">
        <f>VLOOKUP(Table91213[[#This Row],[Date]],'DB Details'!$A:$L,9)</f>
        <v>52.6</v>
      </c>
      <c r="J295" s="88">
        <f>VLOOKUP(Table91213[[#This Row],[Date]],'DB Details'!$A:$L,10)</f>
        <v>54.4</v>
      </c>
      <c r="K295" s="94"/>
      <c r="L295" s="88">
        <f>VLOOKUP(Table91213[[#This Row],[Date]],'DB Details'!$A:$L,12)</f>
        <v>60.6</v>
      </c>
    </row>
    <row r="296" spans="1:12" x14ac:dyDescent="0.35">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4"/>
      <c r="H296" s="88">
        <f>VLOOKUP(Table91213[[#This Row],[Date]],'DB Details'!$A:$L,8)</f>
        <v>51.5</v>
      </c>
      <c r="I296" s="88">
        <f>VLOOKUP(Table91213[[#This Row],[Date]],'DB Details'!$A:$L,9)</f>
        <v>57.1</v>
      </c>
      <c r="J296" s="88">
        <f>VLOOKUP(Table91213[[#This Row],[Date]],'DB Details'!$A:$L,10)</f>
        <v>53.9</v>
      </c>
      <c r="K296" s="94"/>
      <c r="L296" s="88">
        <f>VLOOKUP(Table91213[[#This Row],[Date]],'DB Details'!$A:$L,12)</f>
        <v>59.8</v>
      </c>
    </row>
    <row r="297" spans="1:12" x14ac:dyDescent="0.35">
      <c r="A297" s="39">
        <v>26390</v>
      </c>
      <c r="B297" s="57">
        <f>VLOOKUP(Table91213[[#This Row],[Date]],'DB Details'!$A:$L,2)</f>
        <v>63</v>
      </c>
      <c r="C297" s="41"/>
      <c r="D297" s="55"/>
      <c r="E297" s="88">
        <f>VLOOKUP(Table91213[[#This Row],[Date]],'DB Details'!$A:$L,5)</f>
        <v>73.400000000000006</v>
      </c>
      <c r="F297" s="88">
        <f>VLOOKUP(Table91213[[#This Row],[Date]],'DB Details'!$A:$L,6)</f>
        <v>62.6</v>
      </c>
      <c r="G297" s="94"/>
      <c r="H297" s="88">
        <f>VLOOKUP(Table91213[[#This Row],[Date]],'DB Details'!$A:$L,8)</f>
        <v>52.3</v>
      </c>
      <c r="I297" s="88">
        <f>VLOOKUP(Table91213[[#This Row],[Date]],'DB Details'!$A:$L,9)</f>
        <v>55</v>
      </c>
      <c r="J297" s="88">
        <f>VLOOKUP(Table91213[[#This Row],[Date]],'DB Details'!$A:$L,10)</f>
        <v>55.9</v>
      </c>
      <c r="K297" s="94"/>
      <c r="L297" s="88">
        <f>VLOOKUP(Table91213[[#This Row],[Date]],'DB Details'!$A:$L,12)</f>
        <v>59.3</v>
      </c>
    </row>
    <row r="298" spans="1:12" x14ac:dyDescent="0.35">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4"/>
      <c r="H298" s="88">
        <f>VLOOKUP(Table91213[[#This Row],[Date]],'DB Details'!$A:$L,8)</f>
        <v>53.1</v>
      </c>
      <c r="I298" s="88">
        <f>VLOOKUP(Table91213[[#This Row],[Date]],'DB Details'!$A:$L,9)</f>
        <v>56.1</v>
      </c>
      <c r="J298" s="88">
        <f>VLOOKUP(Table91213[[#This Row],[Date]],'DB Details'!$A:$L,10)</f>
        <v>56</v>
      </c>
      <c r="K298" s="94"/>
      <c r="L298" s="88">
        <f>VLOOKUP(Table91213[[#This Row],[Date]],'DB Details'!$A:$L,12)</f>
        <v>61.4</v>
      </c>
    </row>
    <row r="299" spans="1:12" x14ac:dyDescent="0.35">
      <c r="A299" s="39">
        <v>26451</v>
      </c>
      <c r="B299" s="57">
        <f>VLOOKUP(Table91213[[#This Row],[Date]],'DB Details'!$A:$L,2)</f>
        <v>62.1</v>
      </c>
      <c r="C299" s="41"/>
      <c r="D299" s="55"/>
      <c r="E299" s="88">
        <f>VLOOKUP(Table91213[[#This Row],[Date]],'DB Details'!$A:$L,5)</f>
        <v>70.2</v>
      </c>
      <c r="F299" s="88">
        <f>VLOOKUP(Table91213[[#This Row],[Date]],'DB Details'!$A:$L,6)</f>
        <v>62.2</v>
      </c>
      <c r="G299" s="94"/>
      <c r="H299" s="88">
        <f>VLOOKUP(Table91213[[#This Row],[Date]],'DB Details'!$A:$L,8)</f>
        <v>49.6</v>
      </c>
      <c r="I299" s="88">
        <f>VLOOKUP(Table91213[[#This Row],[Date]],'DB Details'!$A:$L,9)</f>
        <v>57.7</v>
      </c>
      <c r="J299" s="88">
        <f>VLOOKUP(Table91213[[#This Row],[Date]],'DB Details'!$A:$L,10)</f>
        <v>53.9</v>
      </c>
      <c r="K299" s="94"/>
      <c r="L299" s="88">
        <f>VLOOKUP(Table91213[[#This Row],[Date]],'DB Details'!$A:$L,12)</f>
        <v>58.6</v>
      </c>
    </row>
    <row r="300" spans="1:12" x14ac:dyDescent="0.35">
      <c r="A300" s="39">
        <v>26481</v>
      </c>
      <c r="B300" s="57">
        <f>VLOOKUP(Table91213[[#This Row],[Date]],'DB Details'!$A:$L,2)</f>
        <v>64.7</v>
      </c>
      <c r="C300" s="41"/>
      <c r="D300" s="55"/>
      <c r="E300" s="88">
        <f>VLOOKUP(Table91213[[#This Row],[Date]],'DB Details'!$A:$L,5)</f>
        <v>70.599999999999994</v>
      </c>
      <c r="F300" s="88">
        <f>VLOOKUP(Table91213[[#This Row],[Date]],'DB Details'!$A:$L,6)</f>
        <v>65.3</v>
      </c>
      <c r="G300" s="94"/>
      <c r="H300" s="88">
        <f>VLOOKUP(Table91213[[#This Row],[Date]],'DB Details'!$A:$L,8)</f>
        <v>46.7</v>
      </c>
      <c r="I300" s="88">
        <f>VLOOKUP(Table91213[[#This Row],[Date]],'DB Details'!$A:$L,9)</f>
        <v>61.7</v>
      </c>
      <c r="J300" s="88">
        <f>VLOOKUP(Table91213[[#This Row],[Date]],'DB Details'!$A:$L,10)</f>
        <v>52.1</v>
      </c>
      <c r="K300" s="94"/>
      <c r="L300" s="88">
        <f>VLOOKUP(Table91213[[#This Row],[Date]],'DB Details'!$A:$L,12)</f>
        <v>60.1</v>
      </c>
    </row>
    <row r="301" spans="1:12" x14ac:dyDescent="0.35">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4"/>
      <c r="H301" s="88">
        <f>VLOOKUP(Table91213[[#This Row],[Date]],'DB Details'!$A:$L,8)</f>
        <v>55.5</v>
      </c>
      <c r="I301" s="88">
        <f>VLOOKUP(Table91213[[#This Row],[Date]],'DB Details'!$A:$L,9)</f>
        <v>62.9</v>
      </c>
      <c r="J301" s="88">
        <f>VLOOKUP(Table91213[[#This Row],[Date]],'DB Details'!$A:$L,10)</f>
        <v>57.1</v>
      </c>
      <c r="K301" s="94"/>
      <c r="L301" s="88">
        <f>VLOOKUP(Table91213[[#This Row],[Date]],'DB Details'!$A:$L,12)</f>
        <v>61.7</v>
      </c>
    </row>
    <row r="302" spans="1:12" x14ac:dyDescent="0.35">
      <c r="A302" s="39">
        <v>26543</v>
      </c>
      <c r="B302" s="57">
        <f>VLOOKUP(Table91213[[#This Row],[Date]],'DB Details'!$A:$L,2)</f>
        <v>69.3</v>
      </c>
      <c r="C302" s="41"/>
      <c r="D302" s="55"/>
      <c r="E302" s="88">
        <f>VLOOKUP(Table91213[[#This Row],[Date]],'DB Details'!$A:$L,5)</f>
        <v>67.8</v>
      </c>
      <c r="F302" s="88">
        <f>VLOOKUP(Table91213[[#This Row],[Date]],'DB Details'!$A:$L,6)</f>
        <v>68.3</v>
      </c>
      <c r="G302" s="94"/>
      <c r="H302" s="88">
        <f>VLOOKUP(Table91213[[#This Row],[Date]],'DB Details'!$A:$L,8)</f>
        <v>56.8</v>
      </c>
      <c r="I302" s="88">
        <f>VLOOKUP(Table91213[[#This Row],[Date]],'DB Details'!$A:$L,9)</f>
        <v>65.5</v>
      </c>
      <c r="J302" s="88">
        <f>VLOOKUP(Table91213[[#This Row],[Date]],'DB Details'!$A:$L,10)</f>
        <v>58.6</v>
      </c>
      <c r="K302" s="94"/>
      <c r="L302" s="88">
        <f>VLOOKUP(Table91213[[#This Row],[Date]],'DB Details'!$A:$L,12)</f>
        <v>65.099999999999994</v>
      </c>
    </row>
    <row r="303" spans="1:12" x14ac:dyDescent="0.35">
      <c r="A303" s="39">
        <v>26573</v>
      </c>
      <c r="B303" s="57">
        <f>VLOOKUP(Table91213[[#This Row],[Date]],'DB Details'!$A:$L,2)</f>
        <v>70.8</v>
      </c>
      <c r="C303" s="41"/>
      <c r="D303" s="55"/>
      <c r="E303" s="88">
        <f>VLOOKUP(Table91213[[#This Row],[Date]],'DB Details'!$A:$L,5)</f>
        <v>72</v>
      </c>
      <c r="F303" s="88">
        <f>VLOOKUP(Table91213[[#This Row],[Date]],'DB Details'!$A:$L,6)</f>
        <v>66.900000000000006</v>
      </c>
      <c r="G303" s="94"/>
      <c r="H303" s="88">
        <f>VLOOKUP(Table91213[[#This Row],[Date]],'DB Details'!$A:$L,8)</f>
        <v>63</v>
      </c>
      <c r="I303" s="88">
        <f>VLOOKUP(Table91213[[#This Row],[Date]],'DB Details'!$A:$L,9)</f>
        <v>73</v>
      </c>
      <c r="J303" s="88">
        <f>VLOOKUP(Table91213[[#This Row],[Date]],'DB Details'!$A:$L,10)</f>
        <v>59</v>
      </c>
      <c r="K303" s="94"/>
      <c r="L303" s="88">
        <f>VLOOKUP(Table91213[[#This Row],[Date]],'DB Details'!$A:$L,12)</f>
        <v>67</v>
      </c>
    </row>
    <row r="304" spans="1:12" x14ac:dyDescent="0.35">
      <c r="A304" s="39">
        <v>26604</v>
      </c>
      <c r="B304" s="57">
        <f>VLOOKUP(Table91213[[#This Row],[Date]],'DB Details'!$A:$L,2)</f>
        <v>73</v>
      </c>
      <c r="C304" s="41"/>
      <c r="D304" s="55"/>
      <c r="E304" s="88">
        <f>VLOOKUP(Table91213[[#This Row],[Date]],'DB Details'!$A:$L,5)</f>
        <v>74.5</v>
      </c>
      <c r="F304" s="88">
        <f>VLOOKUP(Table91213[[#This Row],[Date]],'DB Details'!$A:$L,6)</f>
        <v>72.7</v>
      </c>
      <c r="G304" s="94"/>
      <c r="H304" s="88">
        <f>VLOOKUP(Table91213[[#This Row],[Date]],'DB Details'!$A:$L,8)</f>
        <v>63.4</v>
      </c>
      <c r="I304" s="88">
        <f>VLOOKUP(Table91213[[#This Row],[Date]],'DB Details'!$A:$L,9)</f>
        <v>74.5</v>
      </c>
      <c r="J304" s="88">
        <f>VLOOKUP(Table91213[[#This Row],[Date]],'DB Details'!$A:$L,10)</f>
        <v>61.7</v>
      </c>
      <c r="K304" s="94"/>
      <c r="L304" s="88">
        <f>VLOOKUP(Table91213[[#This Row],[Date]],'DB Details'!$A:$L,12)</f>
        <v>69.900000000000006</v>
      </c>
    </row>
    <row r="305" spans="1:12" x14ac:dyDescent="0.35">
      <c r="A305" s="39">
        <v>26634</v>
      </c>
      <c r="B305" s="57">
        <f>VLOOKUP(Table91213[[#This Row],[Date]],'DB Details'!$A:$L,2)</f>
        <v>71.900000000000006</v>
      </c>
      <c r="C305" s="41"/>
      <c r="D305" s="55"/>
      <c r="E305" s="88">
        <f>VLOOKUP(Table91213[[#This Row],[Date]],'DB Details'!$A:$L,5)</f>
        <v>78</v>
      </c>
      <c r="F305" s="88">
        <f>VLOOKUP(Table91213[[#This Row],[Date]],'DB Details'!$A:$L,6)</f>
        <v>71.8</v>
      </c>
      <c r="G305" s="94"/>
      <c r="H305" s="88">
        <f>VLOOKUP(Table91213[[#This Row],[Date]],'DB Details'!$A:$L,8)</f>
        <v>62.5</v>
      </c>
      <c r="I305" s="88">
        <f>VLOOKUP(Table91213[[#This Row],[Date]],'DB Details'!$A:$L,9)</f>
        <v>80.7</v>
      </c>
      <c r="J305" s="88">
        <f>VLOOKUP(Table91213[[#This Row],[Date]],'DB Details'!$A:$L,10)</f>
        <v>63.2</v>
      </c>
      <c r="K305" s="94"/>
      <c r="L305" s="88">
        <f>VLOOKUP(Table91213[[#This Row],[Date]],'DB Details'!$A:$L,12)</f>
        <v>70.5</v>
      </c>
    </row>
    <row r="306" spans="1:12" x14ac:dyDescent="0.35">
      <c r="A306" s="39">
        <v>26665</v>
      </c>
      <c r="B306" s="57">
        <f>VLOOKUP(Table91213[[#This Row],[Date]],'DB Details'!$A:$L,2)</f>
        <v>73.8</v>
      </c>
      <c r="C306" s="41"/>
      <c r="D306" s="55"/>
      <c r="E306" s="88">
        <f>VLOOKUP(Table91213[[#This Row],[Date]],'DB Details'!$A:$L,5)</f>
        <v>82.9</v>
      </c>
      <c r="F306" s="88">
        <f>VLOOKUP(Table91213[[#This Row],[Date]],'DB Details'!$A:$L,6)</f>
        <v>71.099999999999994</v>
      </c>
      <c r="G306" s="94"/>
      <c r="H306" s="88">
        <f>VLOOKUP(Table91213[[#This Row],[Date]],'DB Details'!$A:$L,8)</f>
        <v>61</v>
      </c>
      <c r="I306" s="88">
        <f>VLOOKUP(Table91213[[#This Row],[Date]],'DB Details'!$A:$L,9)</f>
        <v>83.7</v>
      </c>
      <c r="J306" s="88">
        <f>VLOOKUP(Table91213[[#This Row],[Date]],'DB Details'!$A:$L,10)</f>
        <v>67.8</v>
      </c>
      <c r="K306" s="94"/>
      <c r="L306" s="88">
        <f>VLOOKUP(Table91213[[#This Row],[Date]],'DB Details'!$A:$L,12)</f>
        <v>72.099999999999994</v>
      </c>
    </row>
    <row r="307" spans="1:12" x14ac:dyDescent="0.35">
      <c r="A307" s="39">
        <v>26696</v>
      </c>
      <c r="B307" s="57">
        <f>VLOOKUP(Table91213[[#This Row],[Date]],'DB Details'!$A:$L,2)</f>
        <v>69</v>
      </c>
      <c r="C307" s="41"/>
      <c r="D307" s="55"/>
      <c r="E307" s="88">
        <f>VLOOKUP(Table91213[[#This Row],[Date]],'DB Details'!$A:$L,5)</f>
        <v>87.8</v>
      </c>
      <c r="F307" s="88">
        <f>VLOOKUP(Table91213[[#This Row],[Date]],'DB Details'!$A:$L,6)</f>
        <v>68.5</v>
      </c>
      <c r="G307" s="94"/>
      <c r="H307" s="88">
        <f>VLOOKUP(Table91213[[#This Row],[Date]],'DB Details'!$A:$L,8)</f>
        <v>63.6</v>
      </c>
      <c r="I307" s="88">
        <f>VLOOKUP(Table91213[[#This Row],[Date]],'DB Details'!$A:$L,9)</f>
        <v>85.2</v>
      </c>
      <c r="J307" s="88">
        <f>VLOOKUP(Table91213[[#This Row],[Date]],'DB Details'!$A:$L,10)</f>
        <v>63.2</v>
      </c>
      <c r="K307" s="94"/>
      <c r="L307" s="88">
        <f>VLOOKUP(Table91213[[#This Row],[Date]],'DB Details'!$A:$L,12)</f>
        <v>69.599999999999994</v>
      </c>
    </row>
    <row r="308" spans="1:12" x14ac:dyDescent="0.35">
      <c r="A308" s="39">
        <v>26724</v>
      </c>
      <c r="B308" s="57">
        <f>VLOOKUP(Table91213[[#This Row],[Date]],'DB Details'!$A:$L,2)</f>
        <v>68.8</v>
      </c>
      <c r="C308" s="41"/>
      <c r="D308" s="55"/>
      <c r="E308" s="88">
        <f>VLOOKUP(Table91213[[#This Row],[Date]],'DB Details'!$A:$L,5)</f>
        <v>90</v>
      </c>
      <c r="F308" s="88">
        <f>VLOOKUP(Table91213[[#This Row],[Date]],'DB Details'!$A:$L,6)</f>
        <v>67.7</v>
      </c>
      <c r="G308" s="94"/>
      <c r="H308" s="88">
        <f>VLOOKUP(Table91213[[#This Row],[Date]],'DB Details'!$A:$L,8)</f>
        <v>61.9</v>
      </c>
      <c r="I308" s="88">
        <f>VLOOKUP(Table91213[[#This Row],[Date]],'DB Details'!$A:$L,9)</f>
        <v>87.5</v>
      </c>
      <c r="J308" s="88">
        <f>VLOOKUP(Table91213[[#This Row],[Date]],'DB Details'!$A:$L,10)</f>
        <v>63.6</v>
      </c>
      <c r="K308" s="94"/>
      <c r="L308" s="88">
        <f>VLOOKUP(Table91213[[#This Row],[Date]],'DB Details'!$A:$L,12)</f>
        <v>69.599999999999994</v>
      </c>
    </row>
    <row r="309" spans="1:12" x14ac:dyDescent="0.35">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4"/>
      <c r="H309" s="88">
        <f>VLOOKUP(Table91213[[#This Row],[Date]],'DB Details'!$A:$L,8)</f>
        <v>59.2</v>
      </c>
      <c r="I309" s="88">
        <f>VLOOKUP(Table91213[[#This Row],[Date]],'DB Details'!$A:$L,9)</f>
        <v>86.7</v>
      </c>
      <c r="J309" s="88">
        <f>VLOOKUP(Table91213[[#This Row],[Date]],'DB Details'!$A:$L,10)</f>
        <v>62.6</v>
      </c>
      <c r="K309" s="94"/>
      <c r="L309" s="88">
        <f>VLOOKUP(Table91213[[#This Row],[Date]],'DB Details'!$A:$L,12)</f>
        <v>67.7</v>
      </c>
    </row>
    <row r="310" spans="1:12" x14ac:dyDescent="0.35">
      <c r="A310" s="39">
        <v>26785</v>
      </c>
      <c r="B310" s="57">
        <f>VLOOKUP(Table91213[[#This Row],[Date]],'DB Details'!$A:$L,2)</f>
        <v>63.5</v>
      </c>
      <c r="C310" s="41"/>
      <c r="D310" s="55"/>
      <c r="E310" s="88">
        <f>VLOOKUP(Table91213[[#This Row],[Date]],'DB Details'!$A:$L,5)</f>
        <v>89.3</v>
      </c>
      <c r="F310" s="88">
        <f>VLOOKUP(Table91213[[#This Row],[Date]],'DB Details'!$A:$L,6)</f>
        <v>59.2</v>
      </c>
      <c r="G310" s="94"/>
      <c r="H310" s="88">
        <f>VLOOKUP(Table91213[[#This Row],[Date]],'DB Details'!$A:$L,8)</f>
        <v>59.2</v>
      </c>
      <c r="I310" s="88">
        <f>VLOOKUP(Table91213[[#This Row],[Date]],'DB Details'!$A:$L,9)</f>
        <v>86.6</v>
      </c>
      <c r="J310" s="88">
        <f>VLOOKUP(Table91213[[#This Row],[Date]],'DB Details'!$A:$L,10)</f>
        <v>60.2</v>
      </c>
      <c r="K310" s="94"/>
      <c r="L310" s="88">
        <f>VLOOKUP(Table91213[[#This Row],[Date]],'DB Details'!$A:$L,12)</f>
        <v>64.8</v>
      </c>
    </row>
    <row r="311" spans="1:12" x14ac:dyDescent="0.35">
      <c r="A311" s="39">
        <v>26816</v>
      </c>
      <c r="B311" s="57">
        <f>VLOOKUP(Table91213[[#This Row],[Date]],'DB Details'!$A:$L,2)</f>
        <v>61</v>
      </c>
      <c r="C311" s="41"/>
      <c r="D311" s="55"/>
      <c r="E311" s="88">
        <f>VLOOKUP(Table91213[[#This Row],[Date]],'DB Details'!$A:$L,5)</f>
        <v>87.6</v>
      </c>
      <c r="F311" s="88">
        <f>VLOOKUP(Table91213[[#This Row],[Date]],'DB Details'!$A:$L,6)</f>
        <v>62.7</v>
      </c>
      <c r="G311" s="94"/>
      <c r="H311" s="88">
        <f>VLOOKUP(Table91213[[#This Row],[Date]],'DB Details'!$A:$L,8)</f>
        <v>62.5</v>
      </c>
      <c r="I311" s="88">
        <f>VLOOKUP(Table91213[[#This Row],[Date]],'DB Details'!$A:$L,9)</f>
        <v>85.6</v>
      </c>
      <c r="J311" s="88">
        <f>VLOOKUP(Table91213[[#This Row],[Date]],'DB Details'!$A:$L,10)</f>
        <v>59.7</v>
      </c>
      <c r="K311" s="94"/>
      <c r="L311" s="88">
        <f>VLOOKUP(Table91213[[#This Row],[Date]],'DB Details'!$A:$L,12)</f>
        <v>65</v>
      </c>
    </row>
    <row r="312" spans="1:12" x14ac:dyDescent="0.35">
      <c r="A312" s="39">
        <v>26846</v>
      </c>
      <c r="B312" s="57">
        <f>VLOOKUP(Table91213[[#This Row],[Date]],'DB Details'!$A:$L,2)</f>
        <v>49.2</v>
      </c>
      <c r="C312" s="41"/>
      <c r="D312" s="55"/>
      <c r="E312" s="88">
        <f>VLOOKUP(Table91213[[#This Row],[Date]],'DB Details'!$A:$L,5)</f>
        <v>69.599999999999994</v>
      </c>
      <c r="F312" s="88">
        <f>VLOOKUP(Table91213[[#This Row],[Date]],'DB Details'!$A:$L,6)</f>
        <v>50.4</v>
      </c>
      <c r="G312" s="94"/>
      <c r="H312" s="88">
        <f>VLOOKUP(Table91213[[#This Row],[Date]],'DB Details'!$A:$L,8)</f>
        <v>64</v>
      </c>
      <c r="I312" s="88">
        <f>VLOOKUP(Table91213[[#This Row],[Date]],'DB Details'!$A:$L,9)</f>
        <v>85.2</v>
      </c>
      <c r="J312" s="88">
        <f>VLOOKUP(Table91213[[#This Row],[Date]],'DB Details'!$A:$L,10)</f>
        <v>56.4</v>
      </c>
      <c r="K312" s="94"/>
      <c r="L312" s="88">
        <f>VLOOKUP(Table91213[[#This Row],[Date]],'DB Details'!$A:$L,12)</f>
        <v>57.8</v>
      </c>
    </row>
    <row r="313" spans="1:12" x14ac:dyDescent="0.35">
      <c r="A313" s="39">
        <v>26877</v>
      </c>
      <c r="B313" s="57">
        <f>VLOOKUP(Table91213[[#This Row],[Date]],'DB Details'!$A:$L,2)</f>
        <v>59.1</v>
      </c>
      <c r="C313" s="41"/>
      <c r="D313" s="55"/>
      <c r="E313" s="88">
        <f>VLOOKUP(Table91213[[#This Row],[Date]],'DB Details'!$A:$L,5)</f>
        <v>86.1</v>
      </c>
      <c r="F313" s="88">
        <f>VLOOKUP(Table91213[[#This Row],[Date]],'DB Details'!$A:$L,6)</f>
        <v>59</v>
      </c>
      <c r="G313" s="94"/>
      <c r="H313" s="88">
        <f>VLOOKUP(Table91213[[#This Row],[Date]],'DB Details'!$A:$L,8)</f>
        <v>62.1</v>
      </c>
      <c r="I313" s="88">
        <f>VLOOKUP(Table91213[[#This Row],[Date]],'DB Details'!$A:$L,9)</f>
        <v>86.7</v>
      </c>
      <c r="J313" s="88">
        <f>VLOOKUP(Table91213[[#This Row],[Date]],'DB Details'!$A:$L,10)</f>
        <v>54.9</v>
      </c>
      <c r="K313" s="94"/>
      <c r="L313" s="88">
        <f>VLOOKUP(Table91213[[#This Row],[Date]],'DB Details'!$A:$L,12)</f>
        <v>62.7</v>
      </c>
    </row>
    <row r="314" spans="1:12" x14ac:dyDescent="0.35">
      <c r="A314" s="39">
        <v>26908</v>
      </c>
      <c r="B314" s="57">
        <f>VLOOKUP(Table91213[[#This Row],[Date]],'DB Details'!$A:$L,2)</f>
        <v>60</v>
      </c>
      <c r="C314" s="41"/>
      <c r="D314" s="55"/>
      <c r="E314" s="88">
        <f>VLOOKUP(Table91213[[#This Row],[Date]],'DB Details'!$A:$L,5)</f>
        <v>92.1</v>
      </c>
      <c r="F314" s="88">
        <f>VLOOKUP(Table91213[[#This Row],[Date]],'DB Details'!$A:$L,6)</f>
        <v>58.2</v>
      </c>
      <c r="G314" s="94"/>
      <c r="H314" s="88">
        <f>VLOOKUP(Table91213[[#This Row],[Date]],'DB Details'!$A:$L,8)</f>
        <v>62.3</v>
      </c>
      <c r="I314" s="88">
        <f>VLOOKUP(Table91213[[#This Row],[Date]],'DB Details'!$A:$L,9)</f>
        <v>90.1</v>
      </c>
      <c r="J314" s="88">
        <f>VLOOKUP(Table91213[[#This Row],[Date]],'DB Details'!$A:$L,10)</f>
        <v>56.1</v>
      </c>
      <c r="K314" s="94"/>
      <c r="L314" s="88">
        <f>VLOOKUP(Table91213[[#This Row],[Date]],'DB Details'!$A:$L,12)</f>
        <v>63.5</v>
      </c>
    </row>
    <row r="315" spans="1:12" x14ac:dyDescent="0.35">
      <c r="A315" s="39">
        <v>26938</v>
      </c>
      <c r="B315" s="57">
        <f>VLOOKUP(Table91213[[#This Row],[Date]],'DB Details'!$A:$L,2)</f>
        <v>65.400000000000006</v>
      </c>
      <c r="C315" s="41"/>
      <c r="D315" s="55"/>
      <c r="E315" s="88">
        <f>VLOOKUP(Table91213[[#This Row],[Date]],'DB Details'!$A:$L,5)</f>
        <v>92.9</v>
      </c>
      <c r="F315" s="88">
        <f>VLOOKUP(Table91213[[#This Row],[Date]],'DB Details'!$A:$L,6)</f>
        <v>58.4</v>
      </c>
      <c r="G315" s="94"/>
      <c r="H315" s="88">
        <f>VLOOKUP(Table91213[[#This Row],[Date]],'DB Details'!$A:$L,8)</f>
        <v>66.5</v>
      </c>
      <c r="I315" s="88">
        <f>VLOOKUP(Table91213[[#This Row],[Date]],'DB Details'!$A:$L,9)</f>
        <v>88.7</v>
      </c>
      <c r="J315" s="88">
        <f>VLOOKUP(Table91213[[#This Row],[Date]],'DB Details'!$A:$L,10)</f>
        <v>60.4</v>
      </c>
      <c r="K315" s="94"/>
      <c r="L315" s="88">
        <f>VLOOKUP(Table91213[[#This Row],[Date]],'DB Details'!$A:$L,12)</f>
        <v>66.2</v>
      </c>
    </row>
    <row r="316" spans="1:12" x14ac:dyDescent="0.35">
      <c r="A316" s="39">
        <v>26969</v>
      </c>
      <c r="B316" s="57">
        <f>VLOOKUP(Table91213[[#This Row],[Date]],'DB Details'!$A:$L,2)</f>
        <v>65.2</v>
      </c>
      <c r="C316" s="41"/>
      <c r="D316" s="55"/>
      <c r="E316" s="88">
        <f>VLOOKUP(Table91213[[#This Row],[Date]],'DB Details'!$A:$L,5)</f>
        <v>97.6</v>
      </c>
      <c r="F316" s="88">
        <f>VLOOKUP(Table91213[[#This Row],[Date]],'DB Details'!$A:$L,6)</f>
        <v>62</v>
      </c>
      <c r="G316" s="94"/>
      <c r="H316" s="88">
        <f>VLOOKUP(Table91213[[#This Row],[Date]],'DB Details'!$A:$L,8)</f>
        <v>63.8</v>
      </c>
      <c r="I316" s="88">
        <f>VLOOKUP(Table91213[[#This Row],[Date]],'DB Details'!$A:$L,9)</f>
        <v>96.8</v>
      </c>
      <c r="J316" s="88">
        <f>VLOOKUP(Table91213[[#This Row],[Date]],'DB Details'!$A:$L,10)</f>
        <v>60.8</v>
      </c>
      <c r="K316" s="94"/>
      <c r="L316" s="88">
        <f>VLOOKUP(Table91213[[#This Row],[Date]],'DB Details'!$A:$L,12)</f>
        <v>68.099999999999994</v>
      </c>
    </row>
    <row r="317" spans="1:12" x14ac:dyDescent="0.35">
      <c r="A317" s="39">
        <v>26999</v>
      </c>
      <c r="B317" s="57">
        <f>VLOOKUP(Table91213[[#This Row],[Date]],'DB Details'!$A:$L,2)</f>
        <v>59</v>
      </c>
      <c r="C317" s="41"/>
      <c r="D317" s="55"/>
      <c r="E317" s="88">
        <f>VLOOKUP(Table91213[[#This Row],[Date]],'DB Details'!$A:$L,5)</f>
        <v>94.2</v>
      </c>
      <c r="F317" s="88">
        <f>VLOOKUP(Table91213[[#This Row],[Date]],'DB Details'!$A:$L,6)</f>
        <v>56</v>
      </c>
      <c r="G317" s="94"/>
      <c r="H317" s="88">
        <f>VLOOKUP(Table91213[[#This Row],[Date]],'DB Details'!$A:$L,8)</f>
        <v>63.8</v>
      </c>
      <c r="I317" s="88">
        <f>VLOOKUP(Table91213[[#This Row],[Date]],'DB Details'!$A:$L,9)</f>
        <v>92.8</v>
      </c>
      <c r="J317" s="88">
        <f>VLOOKUP(Table91213[[#This Row],[Date]],'DB Details'!$A:$L,10)</f>
        <v>58</v>
      </c>
      <c r="K317" s="94"/>
      <c r="L317" s="88">
        <f>VLOOKUP(Table91213[[#This Row],[Date]],'DB Details'!$A:$L,12)</f>
        <v>63.6</v>
      </c>
    </row>
    <row r="318" spans="1:12" x14ac:dyDescent="0.35">
      <c r="A318" s="39">
        <v>27030</v>
      </c>
      <c r="B318" s="57">
        <f>VLOOKUP(Table91213[[#This Row],[Date]],'DB Details'!$A:$L,2)</f>
        <v>55.7</v>
      </c>
      <c r="C318" s="41"/>
      <c r="D318" s="55"/>
      <c r="E318" s="88">
        <f>VLOOKUP(Table91213[[#This Row],[Date]],'DB Details'!$A:$L,5)</f>
        <v>95.3</v>
      </c>
      <c r="F318" s="88">
        <f>VLOOKUP(Table91213[[#This Row],[Date]],'DB Details'!$A:$L,6)</f>
        <v>55.9</v>
      </c>
      <c r="G318" s="94"/>
      <c r="H318" s="88">
        <f>VLOOKUP(Table91213[[#This Row],[Date]],'DB Details'!$A:$L,8)</f>
        <v>62</v>
      </c>
      <c r="I318" s="88">
        <f>VLOOKUP(Table91213[[#This Row],[Date]],'DB Details'!$A:$L,9)</f>
        <v>91.8</v>
      </c>
      <c r="J318" s="88">
        <f>VLOOKUP(Table91213[[#This Row],[Date]],'DB Details'!$A:$L,10)</f>
        <v>57.3</v>
      </c>
      <c r="K318" s="94"/>
      <c r="L318" s="88">
        <f>VLOOKUP(Table91213[[#This Row],[Date]],'DB Details'!$A:$L,12)</f>
        <v>62.1</v>
      </c>
    </row>
    <row r="319" spans="1:12" x14ac:dyDescent="0.35">
      <c r="A319" s="39">
        <v>27061</v>
      </c>
      <c r="B319" s="57">
        <f>VLOOKUP(Table91213[[#This Row],[Date]],'DB Details'!$A:$L,2)</f>
        <v>56</v>
      </c>
      <c r="C319" s="41"/>
      <c r="D319" s="55"/>
      <c r="E319" s="88">
        <f>VLOOKUP(Table91213[[#This Row],[Date]],'DB Details'!$A:$L,5)</f>
        <v>93.6</v>
      </c>
      <c r="F319" s="88">
        <f>VLOOKUP(Table91213[[#This Row],[Date]],'DB Details'!$A:$L,6)</f>
        <v>49.7</v>
      </c>
      <c r="G319" s="94"/>
      <c r="H319" s="88">
        <f>VLOOKUP(Table91213[[#This Row],[Date]],'DB Details'!$A:$L,8)</f>
        <v>58.8</v>
      </c>
      <c r="I319" s="88">
        <f>VLOOKUP(Table91213[[#This Row],[Date]],'DB Details'!$A:$L,9)</f>
        <v>88.8</v>
      </c>
      <c r="J319" s="88">
        <f>VLOOKUP(Table91213[[#This Row],[Date]],'DB Details'!$A:$L,10)</f>
        <v>51</v>
      </c>
      <c r="K319" s="94"/>
      <c r="L319" s="88">
        <f>VLOOKUP(Table91213[[#This Row],[Date]],'DB Details'!$A:$L,12)</f>
        <v>58.6</v>
      </c>
    </row>
    <row r="320" spans="1:12" x14ac:dyDescent="0.35">
      <c r="A320" s="39">
        <v>27089</v>
      </c>
      <c r="B320" s="57">
        <f>VLOOKUP(Table91213[[#This Row],[Date]],'DB Details'!$A:$L,2)</f>
        <v>58</v>
      </c>
      <c r="C320" s="41"/>
      <c r="D320" s="55"/>
      <c r="E320" s="88">
        <f>VLOOKUP(Table91213[[#This Row],[Date]],'DB Details'!$A:$L,5)</f>
        <v>94</v>
      </c>
      <c r="F320" s="88">
        <f>VLOOKUP(Table91213[[#This Row],[Date]],'DB Details'!$A:$L,6)</f>
        <v>55.8</v>
      </c>
      <c r="G320" s="94"/>
      <c r="H320" s="88">
        <f>VLOOKUP(Table91213[[#This Row],[Date]],'DB Details'!$A:$L,8)</f>
        <v>59.1</v>
      </c>
      <c r="I320" s="88">
        <f>VLOOKUP(Table91213[[#This Row],[Date]],'DB Details'!$A:$L,9)</f>
        <v>88.9</v>
      </c>
      <c r="J320" s="88">
        <f>VLOOKUP(Table91213[[#This Row],[Date]],'DB Details'!$A:$L,10)</f>
        <v>56.3</v>
      </c>
      <c r="K320" s="94"/>
      <c r="L320" s="88">
        <f>VLOOKUP(Table91213[[#This Row],[Date]],'DB Details'!$A:$L,12)</f>
        <v>61.8</v>
      </c>
    </row>
    <row r="321" spans="1:12" x14ac:dyDescent="0.35">
      <c r="A321" s="39">
        <v>27120</v>
      </c>
      <c r="B321" s="57">
        <f>VLOOKUP(Table91213[[#This Row],[Date]],'DB Details'!$A:$L,2)</f>
        <v>56.4</v>
      </c>
      <c r="C321" s="41"/>
      <c r="D321" s="55"/>
      <c r="E321" s="88">
        <f>VLOOKUP(Table91213[[#This Row],[Date]],'DB Details'!$A:$L,5)</f>
        <v>93.5</v>
      </c>
      <c r="F321" s="88">
        <f>VLOOKUP(Table91213[[#This Row],[Date]],'DB Details'!$A:$L,6)</f>
        <v>54.5</v>
      </c>
      <c r="G321" s="94"/>
      <c r="H321" s="88">
        <f>VLOOKUP(Table91213[[#This Row],[Date]],'DB Details'!$A:$L,8)</f>
        <v>62.5</v>
      </c>
      <c r="I321" s="88">
        <f>VLOOKUP(Table91213[[#This Row],[Date]],'DB Details'!$A:$L,9)</f>
        <v>82.1</v>
      </c>
      <c r="J321" s="88">
        <f>VLOOKUP(Table91213[[#This Row],[Date]],'DB Details'!$A:$L,10)</f>
        <v>53.9</v>
      </c>
      <c r="K321" s="94"/>
      <c r="L321" s="88">
        <f>VLOOKUP(Table91213[[#This Row],[Date]],'DB Details'!$A:$L,12)</f>
        <v>59.9</v>
      </c>
    </row>
    <row r="322" spans="1:12" x14ac:dyDescent="0.35">
      <c r="A322" s="39">
        <v>27150</v>
      </c>
      <c r="B322" s="57">
        <f>VLOOKUP(Table91213[[#This Row],[Date]],'DB Details'!$A:$L,2)</f>
        <v>51.6</v>
      </c>
      <c r="C322" s="41"/>
      <c r="D322" s="55"/>
      <c r="E322" s="88">
        <f>VLOOKUP(Table91213[[#This Row],[Date]],'DB Details'!$A:$L,5)</f>
        <v>92.3</v>
      </c>
      <c r="F322" s="88">
        <f>VLOOKUP(Table91213[[#This Row],[Date]],'DB Details'!$A:$L,6)</f>
        <v>51.6</v>
      </c>
      <c r="G322" s="94"/>
      <c r="H322" s="88">
        <f>VLOOKUP(Table91213[[#This Row],[Date]],'DB Details'!$A:$L,8)</f>
        <v>59.3</v>
      </c>
      <c r="I322" s="88">
        <f>VLOOKUP(Table91213[[#This Row],[Date]],'DB Details'!$A:$L,9)</f>
        <v>74.5</v>
      </c>
      <c r="J322" s="88">
        <f>VLOOKUP(Table91213[[#This Row],[Date]],'DB Details'!$A:$L,10)</f>
        <v>51.1</v>
      </c>
      <c r="K322" s="94"/>
      <c r="L322" s="88">
        <f>VLOOKUP(Table91213[[#This Row],[Date]],'DB Details'!$A:$L,12)</f>
        <v>55.7</v>
      </c>
    </row>
    <row r="323" spans="1:12" x14ac:dyDescent="0.35">
      <c r="A323" s="39">
        <v>27181</v>
      </c>
      <c r="B323" s="57">
        <f>VLOOKUP(Table91213[[#This Row],[Date]],'DB Details'!$A:$L,2)</f>
        <v>51.9</v>
      </c>
      <c r="C323" s="41"/>
      <c r="D323" s="55"/>
      <c r="E323" s="88">
        <f>VLOOKUP(Table91213[[#This Row],[Date]],'DB Details'!$A:$L,5)</f>
        <v>88.6</v>
      </c>
      <c r="F323" s="88">
        <f>VLOOKUP(Table91213[[#This Row],[Date]],'DB Details'!$A:$L,6)</f>
        <v>50.4</v>
      </c>
      <c r="G323" s="94"/>
      <c r="H323" s="88">
        <f>VLOOKUP(Table91213[[#This Row],[Date]],'DB Details'!$A:$L,8)</f>
        <v>55.9</v>
      </c>
      <c r="I323" s="88">
        <f>VLOOKUP(Table91213[[#This Row],[Date]],'DB Details'!$A:$L,9)</f>
        <v>73.099999999999994</v>
      </c>
      <c r="J323" s="88">
        <f>VLOOKUP(Table91213[[#This Row],[Date]],'DB Details'!$A:$L,10)</f>
        <v>49.9</v>
      </c>
      <c r="K323" s="94"/>
      <c r="L323" s="88">
        <f>VLOOKUP(Table91213[[#This Row],[Date]],'DB Details'!$A:$L,12)</f>
        <v>54.7</v>
      </c>
    </row>
    <row r="324" spans="1:12" x14ac:dyDescent="0.35">
      <c r="A324" s="39">
        <v>27211</v>
      </c>
      <c r="B324" s="57">
        <f>VLOOKUP(Table91213[[#This Row],[Date]],'DB Details'!$A:$L,2)</f>
        <v>52.6</v>
      </c>
      <c r="C324" s="41"/>
      <c r="D324" s="55"/>
      <c r="E324" s="88">
        <f>VLOOKUP(Table91213[[#This Row],[Date]],'DB Details'!$A:$L,5)</f>
        <v>90.4</v>
      </c>
      <c r="F324" s="88">
        <f>VLOOKUP(Table91213[[#This Row],[Date]],'DB Details'!$A:$L,6)</f>
        <v>52</v>
      </c>
      <c r="G324" s="94"/>
      <c r="H324" s="88">
        <f>VLOOKUP(Table91213[[#This Row],[Date]],'DB Details'!$A:$L,8)</f>
        <v>54.8</v>
      </c>
      <c r="I324" s="88">
        <f>VLOOKUP(Table91213[[#This Row],[Date]],'DB Details'!$A:$L,9)</f>
        <v>69.2</v>
      </c>
      <c r="J324" s="88">
        <f>VLOOKUP(Table91213[[#This Row],[Date]],'DB Details'!$A:$L,10)</f>
        <v>50.3</v>
      </c>
      <c r="K324" s="94"/>
      <c r="L324" s="88">
        <f>VLOOKUP(Table91213[[#This Row],[Date]],'DB Details'!$A:$L,12)</f>
        <v>54.8</v>
      </c>
    </row>
    <row r="325" spans="1:12" x14ac:dyDescent="0.35">
      <c r="A325" s="39">
        <v>27242</v>
      </c>
      <c r="B325" s="57">
        <f>VLOOKUP(Table91213[[#This Row],[Date]],'DB Details'!$A:$L,2)</f>
        <v>50.2</v>
      </c>
      <c r="C325" s="41"/>
      <c r="D325" s="55"/>
      <c r="E325" s="88">
        <f>VLOOKUP(Table91213[[#This Row],[Date]],'DB Details'!$A:$L,5)</f>
        <v>86.1</v>
      </c>
      <c r="F325" s="88">
        <f>VLOOKUP(Table91213[[#This Row],[Date]],'DB Details'!$A:$L,6)</f>
        <v>49.6</v>
      </c>
      <c r="G325" s="94"/>
      <c r="H325" s="88">
        <f>VLOOKUP(Table91213[[#This Row],[Date]],'DB Details'!$A:$L,8)</f>
        <v>57</v>
      </c>
      <c r="I325" s="88">
        <f>VLOOKUP(Table91213[[#This Row],[Date]],'DB Details'!$A:$L,9)</f>
        <v>66.3</v>
      </c>
      <c r="J325" s="88">
        <f>VLOOKUP(Table91213[[#This Row],[Date]],'DB Details'!$A:$L,10)</f>
        <v>49.2</v>
      </c>
      <c r="K325" s="94"/>
      <c r="L325" s="88">
        <f>VLOOKUP(Table91213[[#This Row],[Date]],'DB Details'!$A:$L,12)</f>
        <v>52.9</v>
      </c>
    </row>
    <row r="326" spans="1:12" x14ac:dyDescent="0.35">
      <c r="A326" s="39">
        <v>27273</v>
      </c>
      <c r="B326" s="57">
        <f>VLOOKUP(Table91213[[#This Row],[Date]],'DB Details'!$A:$L,2)</f>
        <v>41.2</v>
      </c>
      <c r="C326" s="41"/>
      <c r="D326" s="55"/>
      <c r="E326" s="88">
        <f>VLOOKUP(Table91213[[#This Row],[Date]],'DB Details'!$A:$L,5)</f>
        <v>81</v>
      </c>
      <c r="F326" s="88">
        <f>VLOOKUP(Table91213[[#This Row],[Date]],'DB Details'!$A:$L,6)</f>
        <v>46.3</v>
      </c>
      <c r="G326" s="94"/>
      <c r="H326" s="88">
        <f>VLOOKUP(Table91213[[#This Row],[Date]],'DB Details'!$A:$L,8)</f>
        <v>54.8</v>
      </c>
      <c r="I326" s="88">
        <f>VLOOKUP(Table91213[[#This Row],[Date]],'DB Details'!$A:$L,9)</f>
        <v>51.8</v>
      </c>
      <c r="J326" s="88">
        <f>VLOOKUP(Table91213[[#This Row],[Date]],'DB Details'!$A:$L,10)</f>
        <v>44.9</v>
      </c>
      <c r="K326" s="94"/>
      <c r="L326" s="88">
        <f>VLOOKUP(Table91213[[#This Row],[Date]],'DB Details'!$A:$L,12)</f>
        <v>46.2</v>
      </c>
    </row>
    <row r="327" spans="1:12" x14ac:dyDescent="0.35">
      <c r="A327" s="39">
        <v>27303</v>
      </c>
      <c r="B327" s="57">
        <f>VLOOKUP(Table91213[[#This Row],[Date]],'DB Details'!$A:$L,2)</f>
        <v>36.5</v>
      </c>
      <c r="C327" s="41"/>
      <c r="D327" s="55"/>
      <c r="E327" s="88">
        <f>VLOOKUP(Table91213[[#This Row],[Date]],'DB Details'!$A:$L,5)</f>
        <v>75.7</v>
      </c>
      <c r="F327" s="88">
        <f>VLOOKUP(Table91213[[#This Row],[Date]],'DB Details'!$A:$L,6)</f>
        <v>44.3</v>
      </c>
      <c r="G327" s="94"/>
      <c r="H327" s="88">
        <f>VLOOKUP(Table91213[[#This Row],[Date]],'DB Details'!$A:$L,8)</f>
        <v>47.9</v>
      </c>
      <c r="I327" s="88">
        <f>VLOOKUP(Table91213[[#This Row],[Date]],'DB Details'!$A:$L,9)</f>
        <v>45.3</v>
      </c>
      <c r="J327" s="88">
        <f>VLOOKUP(Table91213[[#This Row],[Date]],'DB Details'!$A:$L,10)</f>
        <v>45.4</v>
      </c>
      <c r="K327" s="94"/>
      <c r="L327" s="88">
        <f>VLOOKUP(Table91213[[#This Row],[Date]],'DB Details'!$A:$L,12)</f>
        <v>42.7</v>
      </c>
    </row>
    <row r="328" spans="1:12" x14ac:dyDescent="0.35">
      <c r="A328" s="39">
        <v>27334</v>
      </c>
      <c r="B328" s="57">
        <f>VLOOKUP(Table91213[[#This Row],[Date]],'DB Details'!$A:$L,2)</f>
        <v>33.1</v>
      </c>
      <c r="C328" s="41"/>
      <c r="D328" s="55"/>
      <c r="E328" s="88">
        <f>VLOOKUP(Table91213[[#This Row],[Date]],'DB Details'!$A:$L,5)</f>
        <v>71</v>
      </c>
      <c r="F328" s="88">
        <f>VLOOKUP(Table91213[[#This Row],[Date]],'DB Details'!$A:$L,6)</f>
        <v>40.9</v>
      </c>
      <c r="G328" s="94"/>
      <c r="H328" s="88">
        <f>VLOOKUP(Table91213[[#This Row],[Date]],'DB Details'!$A:$L,8)</f>
        <v>47.2</v>
      </c>
      <c r="I328" s="88">
        <f>VLOOKUP(Table91213[[#This Row],[Date]],'DB Details'!$A:$L,9)</f>
        <v>34</v>
      </c>
      <c r="J328" s="88">
        <f>VLOOKUP(Table91213[[#This Row],[Date]],'DB Details'!$A:$L,10)</f>
        <v>39.6</v>
      </c>
      <c r="K328" s="94"/>
      <c r="L328" s="88">
        <f>VLOOKUP(Table91213[[#This Row],[Date]],'DB Details'!$A:$L,12)</f>
        <v>37.9</v>
      </c>
    </row>
    <row r="329" spans="1:12" x14ac:dyDescent="0.35">
      <c r="A329" s="39">
        <v>27364</v>
      </c>
      <c r="B329" s="57">
        <f>VLOOKUP(Table91213[[#This Row],[Date]],'DB Details'!$A:$L,2)</f>
        <v>27.9</v>
      </c>
      <c r="C329" s="41"/>
      <c r="D329" s="55"/>
      <c r="E329" s="88">
        <f>VLOOKUP(Table91213[[#This Row],[Date]],'DB Details'!$A:$L,5)</f>
        <v>64.7</v>
      </c>
      <c r="F329" s="88">
        <f>VLOOKUP(Table91213[[#This Row],[Date]],'DB Details'!$A:$L,6)</f>
        <v>33.4</v>
      </c>
      <c r="G329" s="94"/>
      <c r="H329" s="88">
        <f>VLOOKUP(Table91213[[#This Row],[Date]],'DB Details'!$A:$L,8)</f>
        <v>40.6</v>
      </c>
      <c r="I329" s="88">
        <f>VLOOKUP(Table91213[[#This Row],[Date]],'DB Details'!$A:$L,9)</f>
        <v>23.2</v>
      </c>
      <c r="J329" s="88">
        <f>VLOOKUP(Table91213[[#This Row],[Date]],'DB Details'!$A:$L,10)</f>
        <v>33.299999999999997</v>
      </c>
      <c r="K329" s="94"/>
      <c r="L329" s="88">
        <f>VLOOKUP(Table91213[[#This Row],[Date]],'DB Details'!$A:$L,12)</f>
        <v>30.9</v>
      </c>
    </row>
    <row r="330" spans="1:12" x14ac:dyDescent="0.35">
      <c r="A330" s="39">
        <v>27395</v>
      </c>
      <c r="B330" s="57">
        <f>VLOOKUP(Table91213[[#This Row],[Date]],'DB Details'!$A:$L,2)</f>
        <v>32.799999999999997</v>
      </c>
      <c r="C330" s="41"/>
      <c r="D330" s="55"/>
      <c r="E330" s="88">
        <f>VLOOKUP(Table91213[[#This Row],[Date]],'DB Details'!$A:$L,5)</f>
        <v>54.1</v>
      </c>
      <c r="F330" s="88">
        <f>VLOOKUP(Table91213[[#This Row],[Date]],'DB Details'!$A:$L,6)</f>
        <v>33.4</v>
      </c>
      <c r="G330" s="94"/>
      <c r="H330" s="88">
        <f>VLOOKUP(Table91213[[#This Row],[Date]],'DB Details'!$A:$L,8)</f>
        <v>36.6</v>
      </c>
      <c r="I330" s="88">
        <f>VLOOKUP(Table91213[[#This Row],[Date]],'DB Details'!$A:$L,9)</f>
        <v>19.5</v>
      </c>
      <c r="J330" s="88">
        <f>VLOOKUP(Table91213[[#This Row],[Date]],'DB Details'!$A:$L,10)</f>
        <v>29.7</v>
      </c>
      <c r="K330" s="94"/>
      <c r="L330" s="88">
        <f>VLOOKUP(Table91213[[#This Row],[Date]],'DB Details'!$A:$L,12)</f>
        <v>30.7</v>
      </c>
    </row>
    <row r="331" spans="1:12" x14ac:dyDescent="0.35">
      <c r="A331" s="39">
        <v>27426</v>
      </c>
      <c r="B331" s="57">
        <f>VLOOKUP(Table91213[[#This Row],[Date]],'DB Details'!$A:$L,2)</f>
        <v>40</v>
      </c>
      <c r="C331" s="41"/>
      <c r="D331" s="55"/>
      <c r="E331" s="88">
        <f>VLOOKUP(Table91213[[#This Row],[Date]],'DB Details'!$A:$L,5)</f>
        <v>48.8</v>
      </c>
      <c r="F331" s="88">
        <f>VLOOKUP(Table91213[[#This Row],[Date]],'DB Details'!$A:$L,6)</f>
        <v>41.5</v>
      </c>
      <c r="G331" s="94"/>
      <c r="H331" s="88">
        <f>VLOOKUP(Table91213[[#This Row],[Date]],'DB Details'!$A:$L,8)</f>
        <v>30.6</v>
      </c>
      <c r="I331" s="88">
        <f>VLOOKUP(Table91213[[#This Row],[Date]],'DB Details'!$A:$L,9)</f>
        <v>15.9</v>
      </c>
      <c r="J331" s="88">
        <f>VLOOKUP(Table91213[[#This Row],[Date]],'DB Details'!$A:$L,10)</f>
        <v>33.1</v>
      </c>
      <c r="K331" s="94"/>
      <c r="L331" s="88">
        <f>VLOOKUP(Table91213[[#This Row],[Date]],'DB Details'!$A:$L,12)</f>
        <v>34.4</v>
      </c>
    </row>
    <row r="332" spans="1:12" x14ac:dyDescent="0.35">
      <c r="A332" s="39">
        <v>27454</v>
      </c>
      <c r="B332" s="57">
        <f>VLOOKUP(Table91213[[#This Row],[Date]],'DB Details'!$A:$L,2)</f>
        <v>37</v>
      </c>
      <c r="C332" s="41"/>
      <c r="D332" s="55"/>
      <c r="E332" s="88">
        <f>VLOOKUP(Table91213[[#This Row],[Date]],'DB Details'!$A:$L,5)</f>
        <v>42.7</v>
      </c>
      <c r="F332" s="88">
        <f>VLOOKUP(Table91213[[#This Row],[Date]],'DB Details'!$A:$L,6)</f>
        <v>33.1</v>
      </c>
      <c r="G332" s="94"/>
      <c r="H332" s="88">
        <f>VLOOKUP(Table91213[[#This Row],[Date]],'DB Details'!$A:$L,8)</f>
        <v>30.9</v>
      </c>
      <c r="I332" s="88">
        <f>VLOOKUP(Table91213[[#This Row],[Date]],'DB Details'!$A:$L,9)</f>
        <v>17.3</v>
      </c>
      <c r="J332" s="88">
        <f>VLOOKUP(Table91213[[#This Row],[Date]],'DB Details'!$A:$L,10)</f>
        <v>32.799999999999997</v>
      </c>
      <c r="K332" s="94"/>
      <c r="L332" s="88">
        <f>VLOOKUP(Table91213[[#This Row],[Date]],'DB Details'!$A:$L,12)</f>
        <v>31.6</v>
      </c>
    </row>
    <row r="333" spans="1:12" x14ac:dyDescent="0.35">
      <c r="A333" s="39">
        <v>27485</v>
      </c>
      <c r="B333" s="57">
        <f>VLOOKUP(Table91213[[#This Row],[Date]],'DB Details'!$A:$L,2)</f>
        <v>42.6</v>
      </c>
      <c r="C333" s="41"/>
      <c r="D333" s="55"/>
      <c r="E333" s="88">
        <f>VLOOKUP(Table91213[[#This Row],[Date]],'DB Details'!$A:$L,5)</f>
        <v>42.6</v>
      </c>
      <c r="F333" s="88">
        <f>VLOOKUP(Table91213[[#This Row],[Date]],'DB Details'!$A:$L,6)</f>
        <v>45.5</v>
      </c>
      <c r="G333" s="94"/>
      <c r="H333" s="88">
        <f>VLOOKUP(Table91213[[#This Row],[Date]],'DB Details'!$A:$L,8)</f>
        <v>26.9</v>
      </c>
      <c r="I333" s="88">
        <f>VLOOKUP(Table91213[[#This Row],[Date]],'DB Details'!$A:$L,9)</f>
        <v>21.7</v>
      </c>
      <c r="J333" s="88">
        <f>VLOOKUP(Table91213[[#This Row],[Date]],'DB Details'!$A:$L,10)</f>
        <v>36.9</v>
      </c>
      <c r="K333" s="94"/>
      <c r="L333" s="88">
        <f>VLOOKUP(Table91213[[#This Row],[Date]],'DB Details'!$A:$L,12)</f>
        <v>37.5</v>
      </c>
    </row>
    <row r="334" spans="1:12" x14ac:dyDescent="0.35">
      <c r="A334" s="39">
        <v>27515</v>
      </c>
      <c r="B334" s="57">
        <f>VLOOKUP(Table91213[[#This Row],[Date]],'DB Details'!$A:$L,2)</f>
        <v>47.2</v>
      </c>
      <c r="C334" s="41"/>
      <c r="D334" s="55"/>
      <c r="E334" s="88">
        <f>VLOOKUP(Table91213[[#This Row],[Date]],'DB Details'!$A:$L,5)</f>
        <v>45.4</v>
      </c>
      <c r="F334" s="88">
        <f>VLOOKUP(Table91213[[#This Row],[Date]],'DB Details'!$A:$L,6)</f>
        <v>50.5</v>
      </c>
      <c r="G334" s="94"/>
      <c r="H334" s="88">
        <f>VLOOKUP(Table91213[[#This Row],[Date]],'DB Details'!$A:$L,8)</f>
        <v>31</v>
      </c>
      <c r="I334" s="88">
        <f>VLOOKUP(Table91213[[#This Row],[Date]],'DB Details'!$A:$L,9)</f>
        <v>22.7</v>
      </c>
      <c r="J334" s="88">
        <f>VLOOKUP(Table91213[[#This Row],[Date]],'DB Details'!$A:$L,10)</f>
        <v>39.6</v>
      </c>
      <c r="K334" s="94"/>
      <c r="L334" s="88">
        <f>VLOOKUP(Table91213[[#This Row],[Date]],'DB Details'!$A:$L,12)</f>
        <v>41.2</v>
      </c>
    </row>
    <row r="335" spans="1:12" x14ac:dyDescent="0.35">
      <c r="A335" s="39">
        <v>27546</v>
      </c>
      <c r="B335" s="57">
        <f>VLOOKUP(Table91213[[#This Row],[Date]],'DB Details'!$A:$L,2)</f>
        <v>54.9</v>
      </c>
      <c r="C335" s="41"/>
      <c r="D335" s="55"/>
      <c r="E335" s="88">
        <f>VLOOKUP(Table91213[[#This Row],[Date]],'DB Details'!$A:$L,5)</f>
        <v>44</v>
      </c>
      <c r="F335" s="88">
        <f>VLOOKUP(Table91213[[#This Row],[Date]],'DB Details'!$A:$L,6)</f>
        <v>53.1</v>
      </c>
      <c r="G335" s="94"/>
      <c r="H335" s="88">
        <f>VLOOKUP(Table91213[[#This Row],[Date]],'DB Details'!$A:$L,8)</f>
        <v>28.7</v>
      </c>
      <c r="I335" s="88">
        <f>VLOOKUP(Table91213[[#This Row],[Date]],'DB Details'!$A:$L,9)</f>
        <v>24.9</v>
      </c>
      <c r="J335" s="88">
        <f>VLOOKUP(Table91213[[#This Row],[Date]],'DB Details'!$A:$L,10)</f>
        <v>43.9</v>
      </c>
      <c r="K335" s="94"/>
      <c r="L335" s="88">
        <f>VLOOKUP(Table91213[[#This Row],[Date]],'DB Details'!$A:$L,12)</f>
        <v>45.1</v>
      </c>
    </row>
    <row r="336" spans="1:12" x14ac:dyDescent="0.35">
      <c r="A336" s="39">
        <v>27576</v>
      </c>
      <c r="B336" s="57">
        <f>VLOOKUP(Table91213[[#This Row],[Date]],'DB Details'!$A:$L,2)</f>
        <v>58.4</v>
      </c>
      <c r="C336" s="41"/>
      <c r="D336" s="55"/>
      <c r="E336" s="88">
        <f>VLOOKUP(Table91213[[#This Row],[Date]],'DB Details'!$A:$L,5)</f>
        <v>53</v>
      </c>
      <c r="F336" s="88">
        <f>VLOOKUP(Table91213[[#This Row],[Date]],'DB Details'!$A:$L,6)</f>
        <v>55.8</v>
      </c>
      <c r="G336" s="94"/>
      <c r="H336" s="88">
        <f>VLOOKUP(Table91213[[#This Row],[Date]],'DB Details'!$A:$L,8)</f>
        <v>24.6</v>
      </c>
      <c r="I336" s="88">
        <f>VLOOKUP(Table91213[[#This Row],[Date]],'DB Details'!$A:$L,9)</f>
        <v>28.7</v>
      </c>
      <c r="J336" s="88">
        <f>VLOOKUP(Table91213[[#This Row],[Date]],'DB Details'!$A:$L,10)</f>
        <v>44.3</v>
      </c>
      <c r="K336" s="94"/>
      <c r="L336" s="88">
        <f>VLOOKUP(Table91213[[#This Row],[Date]],'DB Details'!$A:$L,12)</f>
        <v>47.2</v>
      </c>
    </row>
    <row r="337" spans="1:12" x14ac:dyDescent="0.35">
      <c r="A337" s="39">
        <v>27607</v>
      </c>
      <c r="B337" s="57">
        <f>VLOOKUP(Table91213[[#This Row],[Date]],'DB Details'!$A:$L,2)</f>
        <v>60.3</v>
      </c>
      <c r="C337" s="41"/>
      <c r="D337" s="55"/>
      <c r="E337" s="88">
        <f>VLOOKUP(Table91213[[#This Row],[Date]],'DB Details'!$A:$L,5)</f>
        <v>68.8</v>
      </c>
      <c r="F337" s="88">
        <f>VLOOKUP(Table91213[[#This Row],[Date]],'DB Details'!$A:$L,6)</f>
        <v>61.1</v>
      </c>
      <c r="G337" s="94"/>
      <c r="H337" s="88">
        <f>VLOOKUP(Table91213[[#This Row],[Date]],'DB Details'!$A:$L,8)</f>
        <v>28.1</v>
      </c>
      <c r="I337" s="88">
        <f>VLOOKUP(Table91213[[#This Row],[Date]],'DB Details'!$A:$L,9)</f>
        <v>35.1</v>
      </c>
      <c r="J337" s="88">
        <f>VLOOKUP(Table91213[[#This Row],[Date]],'DB Details'!$A:$L,10)</f>
        <v>49.7</v>
      </c>
      <c r="K337" s="94"/>
      <c r="L337" s="88">
        <f>VLOOKUP(Table91213[[#This Row],[Date]],'DB Details'!$A:$L,12)</f>
        <v>51.4</v>
      </c>
    </row>
    <row r="338" spans="1:12" x14ac:dyDescent="0.35">
      <c r="A338" s="39">
        <v>27638</v>
      </c>
      <c r="B338" s="57">
        <f>VLOOKUP(Table91213[[#This Row],[Date]],'DB Details'!$A:$L,2)</f>
        <v>60.4</v>
      </c>
      <c r="C338" s="41"/>
      <c r="D338" s="55"/>
      <c r="E338" s="88">
        <f>VLOOKUP(Table91213[[#This Row],[Date]],'DB Details'!$A:$L,5)</f>
        <v>73.599999999999994</v>
      </c>
      <c r="F338" s="88">
        <f>VLOOKUP(Table91213[[#This Row],[Date]],'DB Details'!$A:$L,6)</f>
        <v>62.3</v>
      </c>
      <c r="G338" s="94"/>
      <c r="H338" s="88">
        <f>VLOOKUP(Table91213[[#This Row],[Date]],'DB Details'!$A:$L,8)</f>
        <v>34.200000000000003</v>
      </c>
      <c r="I338" s="88">
        <f>VLOOKUP(Table91213[[#This Row],[Date]],'DB Details'!$A:$L,9)</f>
        <v>43.8</v>
      </c>
      <c r="J338" s="88">
        <f>VLOOKUP(Table91213[[#This Row],[Date]],'DB Details'!$A:$L,10)</f>
        <v>53.5</v>
      </c>
      <c r="K338" s="94"/>
      <c r="L338" s="88">
        <f>VLOOKUP(Table91213[[#This Row],[Date]],'DB Details'!$A:$L,12)</f>
        <v>54.4</v>
      </c>
    </row>
    <row r="339" spans="1:12" x14ac:dyDescent="0.35">
      <c r="A339" s="39">
        <v>27668</v>
      </c>
      <c r="B339" s="57">
        <f>VLOOKUP(Table91213[[#This Row],[Date]],'DB Details'!$A:$L,2)</f>
        <v>64.2</v>
      </c>
      <c r="C339" s="41"/>
      <c r="D339" s="55"/>
      <c r="E339" s="88">
        <f>VLOOKUP(Table91213[[#This Row],[Date]],'DB Details'!$A:$L,5)</f>
        <v>75.3</v>
      </c>
      <c r="F339" s="88">
        <f>VLOOKUP(Table91213[[#This Row],[Date]],'DB Details'!$A:$L,6)</f>
        <v>62.3</v>
      </c>
      <c r="G339" s="94"/>
      <c r="H339" s="88">
        <f>VLOOKUP(Table91213[[#This Row],[Date]],'DB Details'!$A:$L,8)</f>
        <v>41.9</v>
      </c>
      <c r="I339" s="88">
        <f>VLOOKUP(Table91213[[#This Row],[Date]],'DB Details'!$A:$L,9)</f>
        <v>44.8</v>
      </c>
      <c r="J339" s="88">
        <f>VLOOKUP(Table91213[[#This Row],[Date]],'DB Details'!$A:$L,10)</f>
        <v>48.9</v>
      </c>
      <c r="K339" s="94"/>
      <c r="L339" s="88">
        <f>VLOOKUP(Table91213[[#This Row],[Date]],'DB Details'!$A:$L,12)</f>
        <v>55.5</v>
      </c>
    </row>
    <row r="340" spans="1:12" x14ac:dyDescent="0.35">
      <c r="A340" s="39">
        <v>27699</v>
      </c>
      <c r="B340" s="57">
        <f>VLOOKUP(Table91213[[#This Row],[Date]],'DB Details'!$A:$L,2)</f>
        <v>62.2</v>
      </c>
      <c r="C340" s="41"/>
      <c r="D340" s="55"/>
      <c r="E340" s="88">
        <f>VLOOKUP(Table91213[[#This Row],[Date]],'DB Details'!$A:$L,5)</f>
        <v>70.8</v>
      </c>
      <c r="F340" s="88">
        <f>VLOOKUP(Table91213[[#This Row],[Date]],'DB Details'!$A:$L,6)</f>
        <v>60</v>
      </c>
      <c r="G340" s="94"/>
      <c r="H340" s="88">
        <f>VLOOKUP(Table91213[[#This Row],[Date]],'DB Details'!$A:$L,8)</f>
        <v>38.799999999999997</v>
      </c>
      <c r="I340" s="88">
        <f>VLOOKUP(Table91213[[#This Row],[Date]],'DB Details'!$A:$L,9)</f>
        <v>46.8</v>
      </c>
      <c r="J340" s="88">
        <f>VLOOKUP(Table91213[[#This Row],[Date]],'DB Details'!$A:$L,10)</f>
        <v>49.8</v>
      </c>
      <c r="K340" s="94"/>
      <c r="L340" s="88">
        <f>VLOOKUP(Table91213[[#This Row],[Date]],'DB Details'!$A:$L,12)</f>
        <v>54.5</v>
      </c>
    </row>
    <row r="341" spans="1:12" x14ac:dyDescent="0.35">
      <c r="A341" s="39">
        <v>27729</v>
      </c>
      <c r="B341" s="57">
        <f>VLOOKUP(Table91213[[#This Row],[Date]],'DB Details'!$A:$L,2)</f>
        <v>63.1</v>
      </c>
      <c r="C341" s="41"/>
      <c r="D341" s="55"/>
      <c r="E341" s="88">
        <f>VLOOKUP(Table91213[[#This Row],[Date]],'DB Details'!$A:$L,5)</f>
        <v>64.400000000000006</v>
      </c>
      <c r="F341" s="88">
        <f>VLOOKUP(Table91213[[#This Row],[Date]],'DB Details'!$A:$L,6)</f>
        <v>62.4</v>
      </c>
      <c r="G341" s="94"/>
      <c r="H341" s="88">
        <f>VLOOKUP(Table91213[[#This Row],[Date]],'DB Details'!$A:$L,8)</f>
        <v>40.200000000000003</v>
      </c>
      <c r="I341" s="88">
        <f>VLOOKUP(Table91213[[#This Row],[Date]],'DB Details'!$A:$L,9)</f>
        <v>41.2</v>
      </c>
      <c r="J341" s="88">
        <f>VLOOKUP(Table91213[[#This Row],[Date]],'DB Details'!$A:$L,10)</f>
        <v>50.8</v>
      </c>
      <c r="K341" s="94"/>
      <c r="L341" s="88">
        <f>VLOOKUP(Table91213[[#This Row],[Date]],'DB Details'!$A:$L,12)</f>
        <v>54.9</v>
      </c>
    </row>
    <row r="342" spans="1:12" x14ac:dyDescent="0.35">
      <c r="A342" s="39">
        <v>27760</v>
      </c>
      <c r="B342" s="57">
        <f>VLOOKUP(Table91213[[#This Row],[Date]],'DB Details'!$A:$L,2)</f>
        <v>63.8</v>
      </c>
      <c r="C342" s="41"/>
      <c r="D342" s="55"/>
      <c r="E342" s="88">
        <f>VLOOKUP(Table91213[[#This Row],[Date]],'DB Details'!$A:$L,5)</f>
        <v>70.2</v>
      </c>
      <c r="F342" s="88">
        <f>VLOOKUP(Table91213[[#This Row],[Date]],'DB Details'!$A:$L,6)</f>
        <v>65.599999999999994</v>
      </c>
      <c r="G342" s="94"/>
      <c r="H342" s="88">
        <f>VLOOKUP(Table91213[[#This Row],[Date]],'DB Details'!$A:$L,8)</f>
        <v>45.3</v>
      </c>
      <c r="I342" s="88">
        <f>VLOOKUP(Table91213[[#This Row],[Date]],'DB Details'!$A:$L,9)</f>
        <v>54</v>
      </c>
      <c r="J342" s="88">
        <f>VLOOKUP(Table91213[[#This Row],[Date]],'DB Details'!$A:$L,10)</f>
        <v>53.1</v>
      </c>
      <c r="K342" s="94"/>
      <c r="L342" s="88">
        <f>VLOOKUP(Table91213[[#This Row],[Date]],'DB Details'!$A:$L,12)</f>
        <v>58.8</v>
      </c>
    </row>
    <row r="343" spans="1:12" x14ac:dyDescent="0.35">
      <c r="A343" s="39">
        <v>27791</v>
      </c>
      <c r="B343" s="57">
        <f>VLOOKUP(Table91213[[#This Row],[Date]],'DB Details'!$A:$L,2)</f>
        <v>68.7</v>
      </c>
      <c r="C343" s="41"/>
      <c r="D343" s="55"/>
      <c r="E343" s="88">
        <f>VLOOKUP(Table91213[[#This Row],[Date]],'DB Details'!$A:$L,5)</f>
        <v>73.2</v>
      </c>
      <c r="F343" s="88">
        <f>VLOOKUP(Table91213[[#This Row],[Date]],'DB Details'!$A:$L,6)</f>
        <v>64.8</v>
      </c>
      <c r="G343" s="94"/>
      <c r="H343" s="88">
        <f>VLOOKUP(Table91213[[#This Row],[Date]],'DB Details'!$A:$L,8)</f>
        <v>48.2</v>
      </c>
      <c r="I343" s="88">
        <f>VLOOKUP(Table91213[[#This Row],[Date]],'DB Details'!$A:$L,9)</f>
        <v>56.1</v>
      </c>
      <c r="J343" s="88">
        <f>VLOOKUP(Table91213[[#This Row],[Date]],'DB Details'!$A:$L,10)</f>
        <v>57.3</v>
      </c>
      <c r="K343" s="94"/>
      <c r="L343" s="88">
        <f>VLOOKUP(Table91213[[#This Row],[Date]],'DB Details'!$A:$L,12)</f>
        <v>61.5</v>
      </c>
    </row>
    <row r="344" spans="1:12" x14ac:dyDescent="0.35">
      <c r="A344" s="39">
        <v>27820</v>
      </c>
      <c r="B344" s="57">
        <f>VLOOKUP(Table91213[[#This Row],[Date]],'DB Details'!$A:$L,2)</f>
        <v>61.6</v>
      </c>
      <c r="C344" s="41"/>
      <c r="D344" s="55"/>
      <c r="E344" s="88">
        <f>VLOOKUP(Table91213[[#This Row],[Date]],'DB Details'!$A:$L,5)</f>
        <v>74.3</v>
      </c>
      <c r="F344" s="88">
        <f>VLOOKUP(Table91213[[#This Row],[Date]],'DB Details'!$A:$L,6)</f>
        <v>63.3</v>
      </c>
      <c r="G344" s="94"/>
      <c r="H344" s="88">
        <f>VLOOKUP(Table91213[[#This Row],[Date]],'DB Details'!$A:$L,8)</f>
        <v>46.7</v>
      </c>
      <c r="I344" s="88">
        <f>VLOOKUP(Table91213[[#This Row],[Date]],'DB Details'!$A:$L,9)</f>
        <v>56.7</v>
      </c>
      <c r="J344" s="88">
        <f>VLOOKUP(Table91213[[#This Row],[Date]],'DB Details'!$A:$L,10)</f>
        <v>54.9</v>
      </c>
      <c r="K344" s="94"/>
      <c r="L344" s="88">
        <f>VLOOKUP(Table91213[[#This Row],[Date]],'DB Details'!$A:$L,12)</f>
        <v>58.4</v>
      </c>
    </row>
    <row r="345" spans="1:12" x14ac:dyDescent="0.35">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4"/>
      <c r="H345" s="88">
        <f>VLOOKUP(Table91213[[#This Row],[Date]],'DB Details'!$A:$L,8)</f>
        <v>51.4</v>
      </c>
      <c r="I345" s="88">
        <f>VLOOKUP(Table91213[[#This Row],[Date]],'DB Details'!$A:$L,9)</f>
        <v>57.3</v>
      </c>
      <c r="J345" s="88">
        <f>VLOOKUP(Table91213[[#This Row],[Date]],'DB Details'!$A:$L,10)</f>
        <v>56.4</v>
      </c>
      <c r="K345" s="94"/>
      <c r="L345" s="88">
        <f>VLOOKUP(Table91213[[#This Row],[Date]],'DB Details'!$A:$L,12)</f>
        <v>60.6</v>
      </c>
    </row>
    <row r="346" spans="1:12" x14ac:dyDescent="0.35">
      <c r="A346" s="39">
        <v>27881</v>
      </c>
      <c r="B346" s="57">
        <f>VLOOKUP(Table91213[[#This Row],[Date]],'DB Details'!$A:$L,2)</f>
        <v>62.3</v>
      </c>
      <c r="C346" s="41"/>
      <c r="D346" s="55"/>
      <c r="E346" s="88">
        <f>VLOOKUP(Table91213[[#This Row],[Date]],'DB Details'!$A:$L,5)</f>
        <v>78</v>
      </c>
      <c r="F346" s="88">
        <f>VLOOKUP(Table91213[[#This Row],[Date]],'DB Details'!$A:$L,6)</f>
        <v>60.5</v>
      </c>
      <c r="G346" s="94"/>
      <c r="H346" s="88">
        <f>VLOOKUP(Table91213[[#This Row],[Date]],'DB Details'!$A:$L,8)</f>
        <v>51.6</v>
      </c>
      <c r="I346" s="88">
        <f>VLOOKUP(Table91213[[#This Row],[Date]],'DB Details'!$A:$L,9)</f>
        <v>58.3</v>
      </c>
      <c r="J346" s="88">
        <f>VLOOKUP(Table91213[[#This Row],[Date]],'DB Details'!$A:$L,10)</f>
        <v>55.4</v>
      </c>
      <c r="K346" s="94"/>
      <c r="L346" s="88">
        <f>VLOOKUP(Table91213[[#This Row],[Date]],'DB Details'!$A:$L,12)</f>
        <v>58.8</v>
      </c>
    </row>
    <row r="347" spans="1:12" x14ac:dyDescent="0.35">
      <c r="A347" s="39">
        <v>27912</v>
      </c>
      <c r="B347" s="57">
        <f>VLOOKUP(Table91213[[#This Row],[Date]],'DB Details'!$A:$L,2)</f>
        <v>60.6</v>
      </c>
      <c r="C347" s="41"/>
      <c r="D347" s="55"/>
      <c r="E347" s="88">
        <f>VLOOKUP(Table91213[[#This Row],[Date]],'DB Details'!$A:$L,5)</f>
        <v>80.099999999999994</v>
      </c>
      <c r="F347" s="88">
        <f>VLOOKUP(Table91213[[#This Row],[Date]],'DB Details'!$A:$L,6)</f>
        <v>60.5</v>
      </c>
      <c r="G347" s="94"/>
      <c r="H347" s="88">
        <f>VLOOKUP(Table91213[[#This Row],[Date]],'DB Details'!$A:$L,8)</f>
        <v>52.6</v>
      </c>
      <c r="I347" s="88">
        <f>VLOOKUP(Table91213[[#This Row],[Date]],'DB Details'!$A:$L,9)</f>
        <v>58.6</v>
      </c>
      <c r="J347" s="88">
        <f>VLOOKUP(Table91213[[#This Row],[Date]],'DB Details'!$A:$L,10)</f>
        <v>54.3</v>
      </c>
      <c r="K347" s="94"/>
      <c r="L347" s="88">
        <f>VLOOKUP(Table91213[[#This Row],[Date]],'DB Details'!$A:$L,12)</f>
        <v>58.2</v>
      </c>
    </row>
    <row r="348" spans="1:12" x14ac:dyDescent="0.35">
      <c r="A348" s="39">
        <v>27942</v>
      </c>
      <c r="B348" s="57">
        <f>VLOOKUP(Table91213[[#This Row],[Date]],'DB Details'!$A:$L,2)</f>
        <v>58</v>
      </c>
      <c r="C348" s="41"/>
      <c r="D348" s="55"/>
      <c r="E348" s="88">
        <f>VLOOKUP(Table91213[[#This Row],[Date]],'DB Details'!$A:$L,5)</f>
        <v>84.2</v>
      </c>
      <c r="F348" s="88">
        <f>VLOOKUP(Table91213[[#This Row],[Date]],'DB Details'!$A:$L,6)</f>
        <v>56.7</v>
      </c>
      <c r="G348" s="94"/>
      <c r="H348" s="88">
        <f>VLOOKUP(Table91213[[#This Row],[Date]],'DB Details'!$A:$L,8)</f>
        <v>50.5</v>
      </c>
      <c r="I348" s="88">
        <f>VLOOKUP(Table91213[[#This Row],[Date]],'DB Details'!$A:$L,9)</f>
        <v>54</v>
      </c>
      <c r="J348" s="88">
        <f>VLOOKUP(Table91213[[#This Row],[Date]],'DB Details'!$A:$L,10)</f>
        <v>55.1</v>
      </c>
      <c r="K348" s="94"/>
      <c r="L348" s="88">
        <f>VLOOKUP(Table91213[[#This Row],[Date]],'DB Details'!$A:$L,12)</f>
        <v>55.9</v>
      </c>
    </row>
    <row r="349" spans="1:12" x14ac:dyDescent="0.35">
      <c r="A349" s="39">
        <v>27973</v>
      </c>
      <c r="B349" s="57">
        <f>VLOOKUP(Table91213[[#This Row],[Date]],'DB Details'!$A:$L,2)</f>
        <v>57.7</v>
      </c>
      <c r="C349" s="41"/>
      <c r="D349" s="55"/>
      <c r="E349" s="88">
        <f>VLOOKUP(Table91213[[#This Row],[Date]],'DB Details'!$A:$L,5)</f>
        <v>73.3</v>
      </c>
      <c r="F349" s="88">
        <f>VLOOKUP(Table91213[[#This Row],[Date]],'DB Details'!$A:$L,6)</f>
        <v>52.9</v>
      </c>
      <c r="G349" s="94"/>
      <c r="H349" s="88">
        <f>VLOOKUP(Table91213[[#This Row],[Date]],'DB Details'!$A:$L,8)</f>
        <v>52.4</v>
      </c>
      <c r="I349" s="88">
        <f>VLOOKUP(Table91213[[#This Row],[Date]],'DB Details'!$A:$L,9)</f>
        <v>55.2</v>
      </c>
      <c r="J349" s="88">
        <f>VLOOKUP(Table91213[[#This Row],[Date]],'DB Details'!$A:$L,10)</f>
        <v>52.1</v>
      </c>
      <c r="K349" s="94"/>
      <c r="L349" s="88">
        <f>VLOOKUP(Table91213[[#This Row],[Date]],'DB Details'!$A:$L,12)</f>
        <v>54.5</v>
      </c>
    </row>
    <row r="350" spans="1:12" x14ac:dyDescent="0.35">
      <c r="A350" s="39">
        <v>28004</v>
      </c>
      <c r="B350" s="57">
        <f>VLOOKUP(Table91213[[#This Row],[Date]],'DB Details'!$A:$L,2)</f>
        <v>55.3</v>
      </c>
      <c r="C350" s="41"/>
      <c r="D350" s="55"/>
      <c r="E350" s="88">
        <f>VLOOKUP(Table91213[[#This Row],[Date]],'DB Details'!$A:$L,5)</f>
        <v>70.599999999999994</v>
      </c>
      <c r="F350" s="88">
        <f>VLOOKUP(Table91213[[#This Row],[Date]],'DB Details'!$A:$L,6)</f>
        <v>53.2</v>
      </c>
      <c r="G350" s="94"/>
      <c r="H350" s="88">
        <f>VLOOKUP(Table91213[[#This Row],[Date]],'DB Details'!$A:$L,8)</f>
        <v>49.5</v>
      </c>
      <c r="I350" s="88">
        <f>VLOOKUP(Table91213[[#This Row],[Date]],'DB Details'!$A:$L,9)</f>
        <v>52.6</v>
      </c>
      <c r="J350" s="88">
        <f>VLOOKUP(Table91213[[#This Row],[Date]],'DB Details'!$A:$L,10)</f>
        <v>54.2</v>
      </c>
      <c r="K350" s="94"/>
      <c r="L350" s="88">
        <f>VLOOKUP(Table91213[[#This Row],[Date]],'DB Details'!$A:$L,12)</f>
        <v>53.6</v>
      </c>
    </row>
    <row r="351" spans="1:12" x14ac:dyDescent="0.35">
      <c r="A351" s="39">
        <v>28034</v>
      </c>
      <c r="B351" s="57">
        <f>VLOOKUP(Table91213[[#This Row],[Date]],'DB Details'!$A:$L,2)</f>
        <v>57</v>
      </c>
      <c r="C351" s="41"/>
      <c r="D351" s="55"/>
      <c r="E351" s="88">
        <f>VLOOKUP(Table91213[[#This Row],[Date]],'DB Details'!$A:$L,5)</f>
        <v>67.099999999999994</v>
      </c>
      <c r="F351" s="88">
        <f>VLOOKUP(Table91213[[#This Row],[Date]],'DB Details'!$A:$L,6)</f>
        <v>56.1</v>
      </c>
      <c r="G351" s="94"/>
      <c r="H351" s="88">
        <f>VLOOKUP(Table91213[[#This Row],[Date]],'DB Details'!$A:$L,8)</f>
        <v>50</v>
      </c>
      <c r="I351" s="88">
        <f>VLOOKUP(Table91213[[#This Row],[Date]],'DB Details'!$A:$L,9)</f>
        <v>49</v>
      </c>
      <c r="J351" s="88">
        <f>VLOOKUP(Table91213[[#This Row],[Date]],'DB Details'!$A:$L,10)</f>
        <v>50.2</v>
      </c>
      <c r="K351" s="94"/>
      <c r="L351" s="88">
        <f>VLOOKUP(Table91213[[#This Row],[Date]],'DB Details'!$A:$L,12)</f>
        <v>53.5</v>
      </c>
    </row>
    <row r="352" spans="1:12" x14ac:dyDescent="0.35">
      <c r="A352" s="39">
        <v>28065</v>
      </c>
      <c r="B352" s="57">
        <f>VLOOKUP(Table91213[[#This Row],[Date]],'DB Details'!$A:$L,2)</f>
        <v>55.7</v>
      </c>
      <c r="C352" s="41"/>
      <c r="D352" s="55"/>
      <c r="E352" s="88">
        <f>VLOOKUP(Table91213[[#This Row],[Date]],'DB Details'!$A:$L,5)</f>
        <v>69.7</v>
      </c>
      <c r="F352" s="88">
        <f>VLOOKUP(Table91213[[#This Row],[Date]],'DB Details'!$A:$L,6)</f>
        <v>54.4</v>
      </c>
      <c r="G352" s="94"/>
      <c r="H352" s="88">
        <f>VLOOKUP(Table91213[[#This Row],[Date]],'DB Details'!$A:$L,8)</f>
        <v>42.4</v>
      </c>
      <c r="I352" s="88">
        <f>VLOOKUP(Table91213[[#This Row],[Date]],'DB Details'!$A:$L,9)</f>
        <v>47.2</v>
      </c>
      <c r="J352" s="88">
        <f>VLOOKUP(Table91213[[#This Row],[Date]],'DB Details'!$A:$L,10)</f>
        <v>50.5</v>
      </c>
      <c r="K352" s="94"/>
      <c r="L352" s="88">
        <f>VLOOKUP(Table91213[[#This Row],[Date]],'DB Details'!$A:$L,12)</f>
        <v>51.7</v>
      </c>
    </row>
    <row r="353" spans="1:12" x14ac:dyDescent="0.35">
      <c r="A353" s="39">
        <v>28095</v>
      </c>
      <c r="B353" s="57">
        <f>VLOOKUP(Table91213[[#This Row],[Date]],'DB Details'!$A:$L,2)</f>
        <v>58.9</v>
      </c>
      <c r="C353" s="41"/>
      <c r="D353" s="55"/>
      <c r="E353" s="88">
        <f>VLOOKUP(Table91213[[#This Row],[Date]],'DB Details'!$A:$L,5)</f>
        <v>75.8</v>
      </c>
      <c r="F353" s="88">
        <f>VLOOKUP(Table91213[[#This Row],[Date]],'DB Details'!$A:$L,6)</f>
        <v>59.6</v>
      </c>
      <c r="G353" s="94"/>
      <c r="H353" s="88">
        <f>VLOOKUP(Table91213[[#This Row],[Date]],'DB Details'!$A:$L,8)</f>
        <v>52.8</v>
      </c>
      <c r="I353" s="88">
        <f>VLOOKUP(Table91213[[#This Row],[Date]],'DB Details'!$A:$L,9)</f>
        <v>53.3</v>
      </c>
      <c r="J353" s="88">
        <f>VLOOKUP(Table91213[[#This Row],[Date]],'DB Details'!$A:$L,10)</f>
        <v>53.8</v>
      </c>
      <c r="K353" s="94"/>
      <c r="L353" s="88">
        <f>VLOOKUP(Table91213[[#This Row],[Date]],'DB Details'!$A:$L,12)</f>
        <v>56.6</v>
      </c>
    </row>
    <row r="354" spans="1:12" x14ac:dyDescent="0.35">
      <c r="A354" s="39">
        <v>28126</v>
      </c>
      <c r="B354" s="57">
        <f>VLOOKUP(Table91213[[#This Row],[Date]],'DB Details'!$A:$L,2)</f>
        <v>57.2</v>
      </c>
      <c r="C354" s="41"/>
      <c r="D354" s="55"/>
      <c r="E354" s="88">
        <f>VLOOKUP(Table91213[[#This Row],[Date]],'DB Details'!$A:$L,5)</f>
        <v>78.400000000000006</v>
      </c>
      <c r="F354" s="88">
        <f>VLOOKUP(Table91213[[#This Row],[Date]],'DB Details'!$A:$L,6)</f>
        <v>56.9</v>
      </c>
      <c r="G354" s="94"/>
      <c r="H354" s="88">
        <f>VLOOKUP(Table91213[[#This Row],[Date]],'DB Details'!$A:$L,8)</f>
        <v>51.4</v>
      </c>
      <c r="I354" s="88">
        <f>VLOOKUP(Table91213[[#This Row],[Date]],'DB Details'!$A:$L,9)</f>
        <v>55.3</v>
      </c>
      <c r="J354" s="88">
        <f>VLOOKUP(Table91213[[#This Row],[Date]],'DB Details'!$A:$L,10)</f>
        <v>49.9</v>
      </c>
      <c r="K354" s="94"/>
      <c r="L354" s="88">
        <f>VLOOKUP(Table91213[[#This Row],[Date]],'DB Details'!$A:$L,12)</f>
        <v>54.8</v>
      </c>
    </row>
    <row r="355" spans="1:12" x14ac:dyDescent="0.35">
      <c r="A355" s="39">
        <v>28157</v>
      </c>
      <c r="B355" s="57">
        <f>VLOOKUP(Table91213[[#This Row],[Date]],'DB Details'!$A:$L,2)</f>
        <v>56.8</v>
      </c>
      <c r="C355" s="41"/>
      <c r="D355" s="55"/>
      <c r="E355" s="88">
        <f>VLOOKUP(Table91213[[#This Row],[Date]],'DB Details'!$A:$L,5)</f>
        <v>76.8</v>
      </c>
      <c r="F355" s="88">
        <f>VLOOKUP(Table91213[[#This Row],[Date]],'DB Details'!$A:$L,6)</f>
        <v>50.8</v>
      </c>
      <c r="G355" s="94"/>
      <c r="H355" s="88">
        <f>VLOOKUP(Table91213[[#This Row],[Date]],'DB Details'!$A:$L,8)</f>
        <v>51.9</v>
      </c>
      <c r="I355" s="88">
        <f>VLOOKUP(Table91213[[#This Row],[Date]],'DB Details'!$A:$L,9)</f>
        <v>65.099999999999994</v>
      </c>
      <c r="J355" s="88">
        <f>VLOOKUP(Table91213[[#This Row],[Date]],'DB Details'!$A:$L,10)</f>
        <v>51.5</v>
      </c>
      <c r="K355" s="94"/>
      <c r="L355" s="88">
        <f>VLOOKUP(Table91213[[#This Row],[Date]],'DB Details'!$A:$L,12)</f>
        <v>55</v>
      </c>
    </row>
    <row r="356" spans="1:12" x14ac:dyDescent="0.35">
      <c r="A356" s="39">
        <v>28185</v>
      </c>
      <c r="B356" s="57">
        <f>VLOOKUP(Table91213[[#This Row],[Date]],'DB Details'!$A:$L,2)</f>
        <v>63.5</v>
      </c>
      <c r="C356" s="41"/>
      <c r="D356" s="55"/>
      <c r="E356" s="88">
        <f>VLOOKUP(Table91213[[#This Row],[Date]],'DB Details'!$A:$L,5)</f>
        <v>80.900000000000006</v>
      </c>
      <c r="F356" s="88">
        <f>VLOOKUP(Table91213[[#This Row],[Date]],'DB Details'!$A:$L,6)</f>
        <v>62.5</v>
      </c>
      <c r="G356" s="94"/>
      <c r="H356" s="88">
        <f>VLOOKUP(Table91213[[#This Row],[Date]],'DB Details'!$A:$L,8)</f>
        <v>54.7</v>
      </c>
      <c r="I356" s="88">
        <f>VLOOKUP(Table91213[[#This Row],[Date]],'DB Details'!$A:$L,9)</f>
        <v>49.6</v>
      </c>
      <c r="J356" s="88">
        <f>VLOOKUP(Table91213[[#This Row],[Date]],'DB Details'!$A:$L,10)</f>
        <v>54.3</v>
      </c>
      <c r="K356" s="94"/>
      <c r="L356" s="88">
        <f>VLOOKUP(Table91213[[#This Row],[Date]],'DB Details'!$A:$L,12)</f>
        <v>58.4</v>
      </c>
    </row>
    <row r="357" spans="1:12" x14ac:dyDescent="0.35">
      <c r="A357" s="39">
        <v>28216</v>
      </c>
      <c r="B357" s="57">
        <f>VLOOKUP(Table91213[[#This Row],[Date]],'DB Details'!$A:$L,2)</f>
        <v>60.3</v>
      </c>
      <c r="C357" s="41"/>
      <c r="D357" s="55"/>
      <c r="E357" s="88">
        <f>VLOOKUP(Table91213[[#This Row],[Date]],'DB Details'!$A:$L,5)</f>
        <v>78.8</v>
      </c>
      <c r="F357" s="88">
        <f>VLOOKUP(Table91213[[#This Row],[Date]],'DB Details'!$A:$L,6)</f>
        <v>59.2</v>
      </c>
      <c r="G357" s="94"/>
      <c r="H357" s="88">
        <f>VLOOKUP(Table91213[[#This Row],[Date]],'DB Details'!$A:$L,8)</f>
        <v>54.4</v>
      </c>
      <c r="I357" s="88">
        <f>VLOOKUP(Table91213[[#This Row],[Date]],'DB Details'!$A:$L,9)</f>
        <v>54.6</v>
      </c>
      <c r="J357" s="88">
        <f>VLOOKUP(Table91213[[#This Row],[Date]],'DB Details'!$A:$L,10)</f>
        <v>51.9</v>
      </c>
      <c r="K357" s="94"/>
      <c r="L357" s="88">
        <f>VLOOKUP(Table91213[[#This Row],[Date]],'DB Details'!$A:$L,12)</f>
        <v>56.9</v>
      </c>
    </row>
    <row r="358" spans="1:12" x14ac:dyDescent="0.35">
      <c r="A358" s="39">
        <v>28246</v>
      </c>
      <c r="B358" s="57">
        <f>VLOOKUP(Table91213[[#This Row],[Date]],'DB Details'!$A:$L,2)</f>
        <v>64.5</v>
      </c>
      <c r="C358" s="41"/>
      <c r="D358" s="55"/>
      <c r="E358" s="88">
        <f>VLOOKUP(Table91213[[#This Row],[Date]],'DB Details'!$A:$L,5)</f>
        <v>75.7</v>
      </c>
      <c r="F358" s="88">
        <f>VLOOKUP(Table91213[[#This Row],[Date]],'DB Details'!$A:$L,6)</f>
        <v>63</v>
      </c>
      <c r="G358" s="94"/>
      <c r="H358" s="88">
        <f>VLOOKUP(Table91213[[#This Row],[Date]],'DB Details'!$A:$L,8)</f>
        <v>53.2</v>
      </c>
      <c r="I358" s="88">
        <f>VLOOKUP(Table91213[[#This Row],[Date]],'DB Details'!$A:$L,9)</f>
        <v>55.4</v>
      </c>
      <c r="J358" s="88">
        <f>VLOOKUP(Table91213[[#This Row],[Date]],'DB Details'!$A:$L,10)</f>
        <v>54.8</v>
      </c>
      <c r="K358" s="94"/>
      <c r="L358" s="88">
        <f>VLOOKUP(Table91213[[#This Row],[Date]],'DB Details'!$A:$L,12)</f>
        <v>59.7</v>
      </c>
    </row>
    <row r="359" spans="1:12" x14ac:dyDescent="0.35">
      <c r="A359" s="39">
        <v>28277</v>
      </c>
      <c r="B359" s="57">
        <f>VLOOKUP(Table91213[[#This Row],[Date]],'DB Details'!$A:$L,2)</f>
        <v>58.1</v>
      </c>
      <c r="C359" s="41"/>
      <c r="D359" s="55"/>
      <c r="E359" s="88">
        <f>VLOOKUP(Table91213[[#This Row],[Date]],'DB Details'!$A:$L,5)</f>
        <v>71.900000000000006</v>
      </c>
      <c r="F359" s="88">
        <f>VLOOKUP(Table91213[[#This Row],[Date]],'DB Details'!$A:$L,6)</f>
        <v>62.5</v>
      </c>
      <c r="G359" s="94"/>
      <c r="H359" s="88">
        <f>VLOOKUP(Table91213[[#This Row],[Date]],'DB Details'!$A:$L,8)</f>
        <v>52.6</v>
      </c>
      <c r="I359" s="88">
        <f>VLOOKUP(Table91213[[#This Row],[Date]],'DB Details'!$A:$L,9)</f>
        <v>53.3</v>
      </c>
      <c r="J359" s="88">
        <f>VLOOKUP(Table91213[[#This Row],[Date]],'DB Details'!$A:$L,10)</f>
        <v>52.5</v>
      </c>
      <c r="K359" s="94"/>
      <c r="L359" s="88">
        <f>VLOOKUP(Table91213[[#This Row],[Date]],'DB Details'!$A:$L,12)</f>
        <v>56.8</v>
      </c>
    </row>
    <row r="360" spans="1:12" x14ac:dyDescent="0.35">
      <c r="A360" s="39">
        <v>28307</v>
      </c>
      <c r="B360" s="57">
        <f>VLOOKUP(Table91213[[#This Row],[Date]],'DB Details'!$A:$L,2)</f>
        <v>58.9</v>
      </c>
      <c r="C360" s="41"/>
      <c r="D360" s="55"/>
      <c r="E360" s="88">
        <f>VLOOKUP(Table91213[[#This Row],[Date]],'DB Details'!$A:$L,5)</f>
        <v>69</v>
      </c>
      <c r="F360" s="88">
        <f>VLOOKUP(Table91213[[#This Row],[Date]],'DB Details'!$A:$L,6)</f>
        <v>60.6</v>
      </c>
      <c r="G360" s="94"/>
      <c r="H360" s="88">
        <f>VLOOKUP(Table91213[[#This Row],[Date]],'DB Details'!$A:$L,8)</f>
        <v>52</v>
      </c>
      <c r="I360" s="88">
        <f>VLOOKUP(Table91213[[#This Row],[Date]],'DB Details'!$A:$L,9)</f>
        <v>58.3</v>
      </c>
      <c r="J360" s="88">
        <f>VLOOKUP(Table91213[[#This Row],[Date]],'DB Details'!$A:$L,10)</f>
        <v>54.5</v>
      </c>
      <c r="K360" s="94"/>
      <c r="L360" s="88">
        <f>VLOOKUP(Table91213[[#This Row],[Date]],'DB Details'!$A:$L,12)</f>
        <v>57.7</v>
      </c>
    </row>
    <row r="361" spans="1:12" x14ac:dyDescent="0.35">
      <c r="A361" s="39">
        <v>28338</v>
      </c>
      <c r="B361" s="57">
        <f>VLOOKUP(Table91213[[#This Row],[Date]],'DB Details'!$A:$L,2)</f>
        <v>58.8</v>
      </c>
      <c r="C361" s="41"/>
      <c r="D361" s="55"/>
      <c r="E361" s="88">
        <f>VLOOKUP(Table91213[[#This Row],[Date]],'DB Details'!$A:$L,5)</f>
        <v>70.400000000000006</v>
      </c>
      <c r="F361" s="88">
        <f>VLOOKUP(Table91213[[#This Row],[Date]],'DB Details'!$A:$L,6)</f>
        <v>53.9</v>
      </c>
      <c r="G361" s="94"/>
      <c r="H361" s="88">
        <f>VLOOKUP(Table91213[[#This Row],[Date]],'DB Details'!$A:$L,8)</f>
        <v>50</v>
      </c>
      <c r="I361" s="88">
        <f>VLOOKUP(Table91213[[#This Row],[Date]],'DB Details'!$A:$L,9)</f>
        <v>53.5</v>
      </c>
      <c r="J361" s="88">
        <f>VLOOKUP(Table91213[[#This Row],[Date]],'DB Details'!$A:$L,10)</f>
        <v>53.6</v>
      </c>
      <c r="K361" s="94"/>
      <c r="L361" s="88">
        <f>VLOOKUP(Table91213[[#This Row],[Date]],'DB Details'!$A:$L,12)</f>
        <v>54.9</v>
      </c>
    </row>
    <row r="362" spans="1:12" x14ac:dyDescent="0.35">
      <c r="A362" s="39">
        <v>28369</v>
      </c>
      <c r="B362" s="57">
        <f>VLOOKUP(Table91213[[#This Row],[Date]],'DB Details'!$A:$L,2)</f>
        <v>57</v>
      </c>
      <c r="C362" s="41"/>
      <c r="D362" s="55"/>
      <c r="E362" s="88">
        <f>VLOOKUP(Table91213[[#This Row],[Date]],'DB Details'!$A:$L,5)</f>
        <v>65.400000000000006</v>
      </c>
      <c r="F362" s="88">
        <f>VLOOKUP(Table91213[[#This Row],[Date]],'DB Details'!$A:$L,6)</f>
        <v>54.9</v>
      </c>
      <c r="G362" s="94"/>
      <c r="H362" s="88">
        <f>VLOOKUP(Table91213[[#This Row],[Date]],'DB Details'!$A:$L,8)</f>
        <v>44.8</v>
      </c>
      <c r="I362" s="88">
        <f>VLOOKUP(Table91213[[#This Row],[Date]],'DB Details'!$A:$L,9)</f>
        <v>56.7</v>
      </c>
      <c r="J362" s="88">
        <f>VLOOKUP(Table91213[[#This Row],[Date]],'DB Details'!$A:$L,10)</f>
        <v>50.4</v>
      </c>
      <c r="K362" s="94"/>
      <c r="L362" s="88">
        <f>VLOOKUP(Table91213[[#This Row],[Date]],'DB Details'!$A:$L,12)</f>
        <v>53.9</v>
      </c>
    </row>
    <row r="363" spans="1:12" x14ac:dyDescent="0.35">
      <c r="A363" s="39">
        <v>28399</v>
      </c>
      <c r="B363" s="57">
        <f>VLOOKUP(Table91213[[#This Row],[Date]],'DB Details'!$A:$L,2)</f>
        <v>57.1</v>
      </c>
      <c r="C363" s="41"/>
      <c r="D363" s="55"/>
      <c r="E363" s="88">
        <f>VLOOKUP(Table91213[[#This Row],[Date]],'DB Details'!$A:$L,5)</f>
        <v>64.5</v>
      </c>
      <c r="F363" s="88">
        <f>VLOOKUP(Table91213[[#This Row],[Date]],'DB Details'!$A:$L,6)</f>
        <v>57</v>
      </c>
      <c r="G363" s="94"/>
      <c r="H363" s="88">
        <f>VLOOKUP(Table91213[[#This Row],[Date]],'DB Details'!$A:$L,8)</f>
        <v>47.9</v>
      </c>
      <c r="I363" s="88">
        <f>VLOOKUP(Table91213[[#This Row],[Date]],'DB Details'!$A:$L,9)</f>
        <v>53.6</v>
      </c>
      <c r="J363" s="88">
        <f>VLOOKUP(Table91213[[#This Row],[Date]],'DB Details'!$A:$L,10)</f>
        <v>56</v>
      </c>
      <c r="K363" s="94"/>
      <c r="L363" s="88">
        <f>VLOOKUP(Table91213[[#This Row],[Date]],'DB Details'!$A:$L,12)</f>
        <v>55.4</v>
      </c>
    </row>
    <row r="364" spans="1:12" x14ac:dyDescent="0.35">
      <c r="A364" s="39">
        <v>28430</v>
      </c>
      <c r="B364" s="57">
        <f>VLOOKUP(Table91213[[#This Row],[Date]],'DB Details'!$A:$L,2)</f>
        <v>59.2</v>
      </c>
      <c r="C364" s="41"/>
      <c r="D364" s="55"/>
      <c r="E364" s="88">
        <f>VLOOKUP(Table91213[[#This Row],[Date]],'DB Details'!$A:$L,5)</f>
        <v>62</v>
      </c>
      <c r="F364" s="88">
        <f>VLOOKUP(Table91213[[#This Row],[Date]],'DB Details'!$A:$L,6)</f>
        <v>58.7</v>
      </c>
      <c r="G364" s="94"/>
      <c r="H364" s="88">
        <f>VLOOKUP(Table91213[[#This Row],[Date]],'DB Details'!$A:$L,8)</f>
        <v>48</v>
      </c>
      <c r="I364" s="88">
        <f>VLOOKUP(Table91213[[#This Row],[Date]],'DB Details'!$A:$L,9)</f>
        <v>56.3</v>
      </c>
      <c r="J364" s="88">
        <f>VLOOKUP(Table91213[[#This Row],[Date]],'DB Details'!$A:$L,10)</f>
        <v>51.8</v>
      </c>
      <c r="K364" s="94"/>
      <c r="L364" s="88">
        <f>VLOOKUP(Table91213[[#This Row],[Date]],'DB Details'!$A:$L,12)</f>
        <v>56.1</v>
      </c>
    </row>
    <row r="365" spans="1:12" x14ac:dyDescent="0.35">
      <c r="A365" s="39">
        <v>28460</v>
      </c>
      <c r="B365" s="57">
        <f>VLOOKUP(Table91213[[#This Row],[Date]],'DB Details'!$A:$L,2)</f>
        <v>60.7</v>
      </c>
      <c r="C365" s="41"/>
      <c r="D365" s="55"/>
      <c r="E365" s="88">
        <f>VLOOKUP(Table91213[[#This Row],[Date]],'DB Details'!$A:$L,5)</f>
        <v>67.2</v>
      </c>
      <c r="F365" s="88">
        <f>VLOOKUP(Table91213[[#This Row],[Date]],'DB Details'!$A:$L,6)</f>
        <v>64.7</v>
      </c>
      <c r="G365" s="94"/>
      <c r="H365" s="88">
        <f>VLOOKUP(Table91213[[#This Row],[Date]],'DB Details'!$A:$L,8)</f>
        <v>48.9</v>
      </c>
      <c r="I365" s="88">
        <f>VLOOKUP(Table91213[[#This Row],[Date]],'DB Details'!$A:$L,9)</f>
        <v>57.1</v>
      </c>
      <c r="J365" s="88">
        <f>VLOOKUP(Table91213[[#This Row],[Date]],'DB Details'!$A:$L,10)</f>
        <v>59.8</v>
      </c>
      <c r="K365" s="94"/>
      <c r="L365" s="88">
        <f>VLOOKUP(Table91213[[#This Row],[Date]],'DB Details'!$A:$L,12)</f>
        <v>59.8</v>
      </c>
    </row>
    <row r="366" spans="1:12" x14ac:dyDescent="0.35">
      <c r="A366" s="39">
        <v>28491</v>
      </c>
      <c r="B366" s="57">
        <f>VLOOKUP(Table91213[[#This Row],[Date]],'DB Details'!$A:$L,2)</f>
        <v>60.6</v>
      </c>
      <c r="C366" s="41"/>
      <c r="D366" s="55"/>
      <c r="E366" s="88">
        <f>VLOOKUP(Table91213[[#This Row],[Date]],'DB Details'!$A:$L,5)</f>
        <v>71.099999999999994</v>
      </c>
      <c r="F366" s="88">
        <f>VLOOKUP(Table91213[[#This Row],[Date]],'DB Details'!$A:$L,6)</f>
        <v>57.7</v>
      </c>
      <c r="G366" s="94"/>
      <c r="H366" s="88">
        <f>VLOOKUP(Table91213[[#This Row],[Date]],'DB Details'!$A:$L,8)</f>
        <v>54</v>
      </c>
      <c r="I366" s="88">
        <f>VLOOKUP(Table91213[[#This Row],[Date]],'DB Details'!$A:$L,9)</f>
        <v>55.6</v>
      </c>
      <c r="J366" s="88">
        <f>VLOOKUP(Table91213[[#This Row],[Date]],'DB Details'!$A:$L,10)</f>
        <v>55.1</v>
      </c>
      <c r="K366" s="94"/>
      <c r="L366" s="88">
        <f>VLOOKUP(Table91213[[#This Row],[Date]],'DB Details'!$A:$L,12)</f>
        <v>57.4</v>
      </c>
    </row>
    <row r="367" spans="1:12" x14ac:dyDescent="0.35">
      <c r="A367" s="39">
        <v>28522</v>
      </c>
      <c r="B367" s="57">
        <f>VLOOKUP(Table91213[[#This Row],[Date]],'DB Details'!$A:$L,2)</f>
        <v>56.2</v>
      </c>
      <c r="C367" s="41"/>
      <c r="D367" s="55"/>
      <c r="E367" s="88">
        <f>VLOOKUP(Table91213[[#This Row],[Date]],'DB Details'!$A:$L,5)</f>
        <v>74.400000000000006</v>
      </c>
      <c r="F367" s="88">
        <f>VLOOKUP(Table91213[[#This Row],[Date]],'DB Details'!$A:$L,6)</f>
        <v>54.6</v>
      </c>
      <c r="G367" s="94"/>
      <c r="H367" s="88">
        <f>VLOOKUP(Table91213[[#This Row],[Date]],'DB Details'!$A:$L,8)</f>
        <v>54</v>
      </c>
      <c r="I367" s="88">
        <f>VLOOKUP(Table91213[[#This Row],[Date]],'DB Details'!$A:$L,9)</f>
        <v>63.4</v>
      </c>
      <c r="J367" s="88">
        <f>VLOOKUP(Table91213[[#This Row],[Date]],'DB Details'!$A:$L,10)</f>
        <v>52.8</v>
      </c>
      <c r="K367" s="94"/>
      <c r="L367" s="88">
        <f>VLOOKUP(Table91213[[#This Row],[Date]],'DB Details'!$A:$L,12)</f>
        <v>55.9</v>
      </c>
    </row>
    <row r="368" spans="1:12" x14ac:dyDescent="0.35">
      <c r="A368" s="39">
        <v>28550</v>
      </c>
      <c r="B368" s="57">
        <f>VLOOKUP(Table91213[[#This Row],[Date]],'DB Details'!$A:$L,2)</f>
        <v>56.6</v>
      </c>
      <c r="C368" s="41"/>
      <c r="D368" s="55"/>
      <c r="E368" s="88">
        <f>VLOOKUP(Table91213[[#This Row],[Date]],'DB Details'!$A:$L,5)</f>
        <v>72.3</v>
      </c>
      <c r="F368" s="88">
        <f>VLOOKUP(Table91213[[#This Row],[Date]],'DB Details'!$A:$L,6)</f>
        <v>57</v>
      </c>
      <c r="G368" s="94"/>
      <c r="H368" s="88">
        <f>VLOOKUP(Table91213[[#This Row],[Date]],'DB Details'!$A:$L,8)</f>
        <v>44</v>
      </c>
      <c r="I368" s="88">
        <f>VLOOKUP(Table91213[[#This Row],[Date]],'DB Details'!$A:$L,9)</f>
        <v>58.9</v>
      </c>
      <c r="J368" s="88">
        <f>VLOOKUP(Table91213[[#This Row],[Date]],'DB Details'!$A:$L,10)</f>
        <v>52.9</v>
      </c>
      <c r="K368" s="94"/>
      <c r="L368" s="88">
        <f>VLOOKUP(Table91213[[#This Row],[Date]],'DB Details'!$A:$L,12)</f>
        <v>55</v>
      </c>
    </row>
    <row r="369" spans="1:12" x14ac:dyDescent="0.35">
      <c r="A369" s="39">
        <v>28581</v>
      </c>
      <c r="B369" s="57">
        <f>VLOOKUP(Table91213[[#This Row],[Date]],'DB Details'!$A:$L,2)</f>
        <v>60.2</v>
      </c>
      <c r="C369" s="41"/>
      <c r="D369" s="55"/>
      <c r="E369" s="88">
        <f>VLOOKUP(Table91213[[#This Row],[Date]],'DB Details'!$A:$L,5)</f>
        <v>78.7</v>
      </c>
      <c r="F369" s="88">
        <f>VLOOKUP(Table91213[[#This Row],[Date]],'DB Details'!$A:$L,6)</f>
        <v>60.3</v>
      </c>
      <c r="G369" s="94"/>
      <c r="H369" s="88">
        <f>VLOOKUP(Table91213[[#This Row],[Date]],'DB Details'!$A:$L,8)</f>
        <v>52.4</v>
      </c>
      <c r="I369" s="88">
        <f>VLOOKUP(Table91213[[#This Row],[Date]],'DB Details'!$A:$L,9)</f>
        <v>57.1</v>
      </c>
      <c r="J369" s="88">
        <f>VLOOKUP(Table91213[[#This Row],[Date]],'DB Details'!$A:$L,10)</f>
        <v>53.8</v>
      </c>
      <c r="K369" s="94"/>
      <c r="L369" s="88">
        <f>VLOOKUP(Table91213[[#This Row],[Date]],'DB Details'!$A:$L,12)</f>
        <v>57.7</v>
      </c>
    </row>
    <row r="370" spans="1:12" x14ac:dyDescent="0.35">
      <c r="A370" s="39">
        <v>28611</v>
      </c>
      <c r="B370" s="57">
        <f>VLOOKUP(Table91213[[#This Row],[Date]],'DB Details'!$A:$L,2)</f>
        <v>63.9</v>
      </c>
      <c r="C370" s="41"/>
      <c r="D370" s="55"/>
      <c r="E370" s="88">
        <f>VLOOKUP(Table91213[[#This Row],[Date]],'DB Details'!$A:$L,5)</f>
        <v>81.8</v>
      </c>
      <c r="F370" s="88">
        <f>VLOOKUP(Table91213[[#This Row],[Date]],'DB Details'!$A:$L,6)</f>
        <v>62.3</v>
      </c>
      <c r="G370" s="94"/>
      <c r="H370" s="88">
        <f>VLOOKUP(Table91213[[#This Row],[Date]],'DB Details'!$A:$L,8)</f>
        <v>54.5</v>
      </c>
      <c r="I370" s="88">
        <f>VLOOKUP(Table91213[[#This Row],[Date]],'DB Details'!$A:$L,9)</f>
        <v>57.4</v>
      </c>
      <c r="J370" s="88">
        <f>VLOOKUP(Table91213[[#This Row],[Date]],'DB Details'!$A:$L,10)</f>
        <v>57</v>
      </c>
      <c r="K370" s="94"/>
      <c r="L370" s="88">
        <f>VLOOKUP(Table91213[[#This Row],[Date]],'DB Details'!$A:$L,12)</f>
        <v>60.2</v>
      </c>
    </row>
    <row r="371" spans="1:12" x14ac:dyDescent="0.35">
      <c r="A371" s="39">
        <v>28642</v>
      </c>
      <c r="B371" s="57">
        <f>VLOOKUP(Table91213[[#This Row],[Date]],'DB Details'!$A:$L,2)</f>
        <v>63.6</v>
      </c>
      <c r="C371" s="41"/>
      <c r="D371" s="55"/>
      <c r="E371" s="88">
        <f>VLOOKUP(Table91213[[#This Row],[Date]],'DB Details'!$A:$L,5)</f>
        <v>82.3</v>
      </c>
      <c r="F371" s="88">
        <f>VLOOKUP(Table91213[[#This Row],[Date]],'DB Details'!$A:$L,6)</f>
        <v>61.7</v>
      </c>
      <c r="G371" s="94"/>
      <c r="H371" s="88">
        <f>VLOOKUP(Table91213[[#This Row],[Date]],'DB Details'!$A:$L,8)</f>
        <v>54.2</v>
      </c>
      <c r="I371" s="88">
        <f>VLOOKUP(Table91213[[#This Row],[Date]],'DB Details'!$A:$L,9)</f>
        <v>61.1</v>
      </c>
      <c r="J371" s="88">
        <f>VLOOKUP(Table91213[[#This Row],[Date]],'DB Details'!$A:$L,10)</f>
        <v>57.2</v>
      </c>
      <c r="K371" s="94"/>
      <c r="L371" s="88">
        <f>VLOOKUP(Table91213[[#This Row],[Date]],'DB Details'!$A:$L,12)</f>
        <v>60.5</v>
      </c>
    </row>
    <row r="372" spans="1:12" x14ac:dyDescent="0.35">
      <c r="A372" s="39">
        <v>28672</v>
      </c>
      <c r="B372" s="57">
        <f>VLOOKUP(Table91213[[#This Row],[Date]],'DB Details'!$A:$L,2)</f>
        <v>64.7</v>
      </c>
      <c r="C372" s="41"/>
      <c r="D372" s="55"/>
      <c r="E372" s="88">
        <f>VLOOKUP(Table91213[[#This Row],[Date]],'DB Details'!$A:$L,5)</f>
        <v>83</v>
      </c>
      <c r="F372" s="88">
        <f>VLOOKUP(Table91213[[#This Row],[Date]],'DB Details'!$A:$L,6)</f>
        <v>65.099999999999994</v>
      </c>
      <c r="G372" s="94"/>
      <c r="H372" s="88">
        <f>VLOOKUP(Table91213[[#This Row],[Date]],'DB Details'!$A:$L,8)</f>
        <v>57.7</v>
      </c>
      <c r="I372" s="88">
        <f>VLOOKUP(Table91213[[#This Row],[Date]],'DB Details'!$A:$L,9)</f>
        <v>59.4</v>
      </c>
      <c r="J372" s="88">
        <f>VLOOKUP(Table91213[[#This Row],[Date]],'DB Details'!$A:$L,10)</f>
        <v>58.8</v>
      </c>
      <c r="K372" s="94"/>
      <c r="L372" s="88">
        <f>VLOOKUP(Table91213[[#This Row],[Date]],'DB Details'!$A:$L,12)</f>
        <v>62.2</v>
      </c>
    </row>
    <row r="373" spans="1:12" x14ac:dyDescent="0.35">
      <c r="A373" s="39">
        <v>28703</v>
      </c>
      <c r="B373" s="57">
        <f>VLOOKUP(Table91213[[#This Row],[Date]],'DB Details'!$A:$L,2)</f>
        <v>61.3</v>
      </c>
      <c r="C373" s="41"/>
      <c r="D373" s="55"/>
      <c r="E373" s="88">
        <f>VLOOKUP(Table91213[[#This Row],[Date]],'DB Details'!$A:$L,5)</f>
        <v>85.4</v>
      </c>
      <c r="F373" s="88">
        <f>VLOOKUP(Table91213[[#This Row],[Date]],'DB Details'!$A:$L,6)</f>
        <v>64.900000000000006</v>
      </c>
      <c r="G373" s="94"/>
      <c r="H373" s="88">
        <f>VLOOKUP(Table91213[[#This Row],[Date]],'DB Details'!$A:$L,8)</f>
        <v>55.4</v>
      </c>
      <c r="I373" s="88">
        <f>VLOOKUP(Table91213[[#This Row],[Date]],'DB Details'!$A:$L,9)</f>
        <v>60.6</v>
      </c>
      <c r="J373" s="88">
        <f>VLOOKUP(Table91213[[#This Row],[Date]],'DB Details'!$A:$L,10)</f>
        <v>55.3</v>
      </c>
      <c r="K373" s="94"/>
      <c r="L373" s="88">
        <f>VLOOKUP(Table91213[[#This Row],[Date]],'DB Details'!$A:$L,12)</f>
        <v>60.3</v>
      </c>
    </row>
    <row r="374" spans="1:12" x14ac:dyDescent="0.35">
      <c r="A374" s="39">
        <v>28734</v>
      </c>
      <c r="B374" s="57">
        <f>VLOOKUP(Table91213[[#This Row],[Date]],'DB Details'!$A:$L,2)</f>
        <v>61.3</v>
      </c>
      <c r="C374" s="41"/>
      <c r="D374" s="55"/>
      <c r="E374" s="88">
        <f>VLOOKUP(Table91213[[#This Row],[Date]],'DB Details'!$A:$L,5)</f>
        <v>86.8</v>
      </c>
      <c r="F374" s="88">
        <f>VLOOKUP(Table91213[[#This Row],[Date]],'DB Details'!$A:$L,6)</f>
        <v>65</v>
      </c>
      <c r="G374" s="94"/>
      <c r="H374" s="88">
        <f>VLOOKUP(Table91213[[#This Row],[Date]],'DB Details'!$A:$L,8)</f>
        <v>54.5</v>
      </c>
      <c r="I374" s="88">
        <f>VLOOKUP(Table91213[[#This Row],[Date]],'DB Details'!$A:$L,9)</f>
        <v>60</v>
      </c>
      <c r="J374" s="88">
        <f>VLOOKUP(Table91213[[#This Row],[Date]],'DB Details'!$A:$L,10)</f>
        <v>57.2</v>
      </c>
      <c r="K374" s="94"/>
      <c r="L374" s="88">
        <f>VLOOKUP(Table91213[[#This Row],[Date]],'DB Details'!$A:$L,12)</f>
        <v>60.5</v>
      </c>
    </row>
    <row r="375" spans="1:12" x14ac:dyDescent="0.35">
      <c r="A375" s="39">
        <v>28764</v>
      </c>
      <c r="B375" s="57">
        <f>VLOOKUP(Table91213[[#This Row],[Date]],'DB Details'!$A:$L,2)</f>
        <v>58.8</v>
      </c>
      <c r="C375" s="41"/>
      <c r="D375" s="55"/>
      <c r="E375" s="88">
        <f>VLOOKUP(Table91213[[#This Row],[Date]],'DB Details'!$A:$L,5)</f>
        <v>86.8</v>
      </c>
      <c r="F375" s="88">
        <f>VLOOKUP(Table91213[[#This Row],[Date]],'DB Details'!$A:$L,6)</f>
        <v>62</v>
      </c>
      <c r="G375" s="94"/>
      <c r="H375" s="88">
        <f>VLOOKUP(Table91213[[#This Row],[Date]],'DB Details'!$A:$L,8)</f>
        <v>56.1</v>
      </c>
      <c r="I375" s="88">
        <f>VLOOKUP(Table91213[[#This Row],[Date]],'DB Details'!$A:$L,9)</f>
        <v>64.7</v>
      </c>
      <c r="J375" s="88">
        <f>VLOOKUP(Table91213[[#This Row],[Date]],'DB Details'!$A:$L,10)</f>
        <v>57.9</v>
      </c>
      <c r="K375" s="94"/>
      <c r="L375" s="88">
        <f>VLOOKUP(Table91213[[#This Row],[Date]],'DB Details'!$A:$L,12)</f>
        <v>60.1</v>
      </c>
    </row>
    <row r="376" spans="1:12" x14ac:dyDescent="0.35">
      <c r="A376" s="39">
        <v>28795</v>
      </c>
      <c r="B376" s="57">
        <f>VLOOKUP(Table91213[[#This Row],[Date]],'DB Details'!$A:$L,2)</f>
        <v>61.9</v>
      </c>
      <c r="C376" s="41"/>
      <c r="D376" s="55"/>
      <c r="E376" s="88">
        <f>VLOOKUP(Table91213[[#This Row],[Date]],'DB Details'!$A:$L,5)</f>
        <v>84.1</v>
      </c>
      <c r="F376" s="88">
        <f>VLOOKUP(Table91213[[#This Row],[Date]],'DB Details'!$A:$L,6)</f>
        <v>61.3</v>
      </c>
      <c r="G376" s="94"/>
      <c r="H376" s="88">
        <f>VLOOKUP(Table91213[[#This Row],[Date]],'DB Details'!$A:$L,8)</f>
        <v>56.7</v>
      </c>
      <c r="I376" s="88">
        <f>VLOOKUP(Table91213[[#This Row],[Date]],'DB Details'!$A:$L,9)</f>
        <v>64.5</v>
      </c>
      <c r="J376" s="88">
        <f>VLOOKUP(Table91213[[#This Row],[Date]],'DB Details'!$A:$L,10)</f>
        <v>60.4</v>
      </c>
      <c r="K376" s="94"/>
      <c r="L376" s="88">
        <f>VLOOKUP(Table91213[[#This Row],[Date]],'DB Details'!$A:$L,12)</f>
        <v>61.3</v>
      </c>
    </row>
    <row r="377" spans="1:12" x14ac:dyDescent="0.35">
      <c r="A377" s="39">
        <v>28825</v>
      </c>
      <c r="B377" s="57">
        <f>VLOOKUP(Table91213[[#This Row],[Date]],'DB Details'!$A:$L,2)</f>
        <v>59.9</v>
      </c>
      <c r="C377" s="41"/>
      <c r="D377" s="55"/>
      <c r="E377" s="88">
        <f>VLOOKUP(Table91213[[#This Row],[Date]],'DB Details'!$A:$L,5)</f>
        <v>84.5</v>
      </c>
      <c r="F377" s="88">
        <f>VLOOKUP(Table91213[[#This Row],[Date]],'DB Details'!$A:$L,6)</f>
        <v>60.4</v>
      </c>
      <c r="G377" s="94"/>
      <c r="H377" s="88">
        <f>VLOOKUP(Table91213[[#This Row],[Date]],'DB Details'!$A:$L,8)</f>
        <v>53.9</v>
      </c>
      <c r="I377" s="88">
        <f>VLOOKUP(Table91213[[#This Row],[Date]],'DB Details'!$A:$L,9)</f>
        <v>63.5</v>
      </c>
      <c r="J377" s="88">
        <f>VLOOKUP(Table91213[[#This Row],[Date]],'DB Details'!$A:$L,10)</f>
        <v>56.9</v>
      </c>
      <c r="K377" s="94"/>
      <c r="L377" s="88">
        <f>VLOOKUP(Table91213[[#This Row],[Date]],'DB Details'!$A:$L,12)</f>
        <v>59.4</v>
      </c>
    </row>
    <row r="378" spans="1:12" x14ac:dyDescent="0.35">
      <c r="A378" s="39">
        <v>28856</v>
      </c>
      <c r="B378" s="57">
        <f>VLOOKUP(Table91213[[#This Row],[Date]],'DB Details'!$A:$L,2)</f>
        <v>57.3</v>
      </c>
      <c r="C378" s="41"/>
      <c r="D378" s="55"/>
      <c r="E378" s="88">
        <f>VLOOKUP(Table91213[[#This Row],[Date]],'DB Details'!$A:$L,5)</f>
        <v>85.8</v>
      </c>
      <c r="F378" s="88">
        <f>VLOOKUP(Table91213[[#This Row],[Date]],'DB Details'!$A:$L,6)</f>
        <v>58.8</v>
      </c>
      <c r="G378" s="94"/>
      <c r="H378" s="88">
        <f>VLOOKUP(Table91213[[#This Row],[Date]],'DB Details'!$A:$L,8)</f>
        <v>52.3</v>
      </c>
      <c r="I378" s="88">
        <f>VLOOKUP(Table91213[[#This Row],[Date]],'DB Details'!$A:$L,9)</f>
        <v>66.400000000000006</v>
      </c>
      <c r="J378" s="88">
        <f>VLOOKUP(Table91213[[#This Row],[Date]],'DB Details'!$A:$L,10)</f>
        <v>57.3</v>
      </c>
      <c r="K378" s="94"/>
      <c r="L378" s="88">
        <f>VLOOKUP(Table91213[[#This Row],[Date]],'DB Details'!$A:$L,12)</f>
        <v>58.5</v>
      </c>
    </row>
    <row r="379" spans="1:12" x14ac:dyDescent="0.35">
      <c r="A379" s="39">
        <v>28887</v>
      </c>
      <c r="B379" s="57">
        <f>VLOOKUP(Table91213[[#This Row],[Date]],'DB Details'!$A:$L,2)</f>
        <v>58.6</v>
      </c>
      <c r="C379" s="41"/>
      <c r="D379" s="55"/>
      <c r="E379" s="88">
        <f>VLOOKUP(Table91213[[#This Row],[Date]],'DB Details'!$A:$L,5)</f>
        <v>86.5</v>
      </c>
      <c r="F379" s="88">
        <f>VLOOKUP(Table91213[[#This Row],[Date]],'DB Details'!$A:$L,6)</f>
        <v>59</v>
      </c>
      <c r="G379" s="94"/>
      <c r="H379" s="88">
        <f>VLOOKUP(Table91213[[#This Row],[Date]],'DB Details'!$A:$L,8)</f>
        <v>51.4</v>
      </c>
      <c r="I379" s="88">
        <f>VLOOKUP(Table91213[[#This Row],[Date]],'DB Details'!$A:$L,9)</f>
        <v>64</v>
      </c>
      <c r="J379" s="88">
        <f>VLOOKUP(Table91213[[#This Row],[Date]],'DB Details'!$A:$L,10)</f>
        <v>55.6</v>
      </c>
      <c r="K379" s="94"/>
      <c r="L379" s="88">
        <f>VLOOKUP(Table91213[[#This Row],[Date]],'DB Details'!$A:$L,12)</f>
        <v>58.2</v>
      </c>
    </row>
    <row r="380" spans="1:12" x14ac:dyDescent="0.35">
      <c r="A380" s="39">
        <v>28915</v>
      </c>
      <c r="B380" s="57">
        <f>VLOOKUP(Table91213[[#This Row],[Date]],'DB Details'!$A:$L,2)</f>
        <v>56.7</v>
      </c>
      <c r="C380" s="41"/>
      <c r="D380" s="55"/>
      <c r="E380" s="88">
        <f>VLOOKUP(Table91213[[#This Row],[Date]],'DB Details'!$A:$L,5)</f>
        <v>87.7</v>
      </c>
      <c r="F380" s="88">
        <f>VLOOKUP(Table91213[[#This Row],[Date]],'DB Details'!$A:$L,6)</f>
        <v>57.4</v>
      </c>
      <c r="G380" s="94"/>
      <c r="H380" s="88">
        <f>VLOOKUP(Table91213[[#This Row],[Date]],'DB Details'!$A:$L,8)</f>
        <v>54.1</v>
      </c>
      <c r="I380" s="88">
        <f>VLOOKUP(Table91213[[#This Row],[Date]],'DB Details'!$A:$L,9)</f>
        <v>66.7</v>
      </c>
      <c r="J380" s="88">
        <f>VLOOKUP(Table91213[[#This Row],[Date]],'DB Details'!$A:$L,10)</f>
        <v>54.8</v>
      </c>
      <c r="K380" s="94"/>
      <c r="L380" s="88">
        <f>VLOOKUP(Table91213[[#This Row],[Date]],'DB Details'!$A:$L,12)</f>
        <v>57.7</v>
      </c>
    </row>
    <row r="381" spans="1:12" x14ac:dyDescent="0.35">
      <c r="A381" s="39">
        <v>28946</v>
      </c>
      <c r="B381" s="57">
        <f>VLOOKUP(Table91213[[#This Row],[Date]],'DB Details'!$A:$L,2)</f>
        <v>55.1</v>
      </c>
      <c r="C381" s="41"/>
      <c r="D381" s="55"/>
      <c r="E381" s="88">
        <f>VLOOKUP(Table91213[[#This Row],[Date]],'DB Details'!$A:$L,5)</f>
        <v>86.3</v>
      </c>
      <c r="F381" s="88">
        <f>VLOOKUP(Table91213[[#This Row],[Date]],'DB Details'!$A:$L,6)</f>
        <v>55.5</v>
      </c>
      <c r="G381" s="94"/>
      <c r="H381" s="88">
        <f>VLOOKUP(Table91213[[#This Row],[Date]],'DB Details'!$A:$L,8)</f>
        <v>50.9</v>
      </c>
      <c r="I381" s="88">
        <f>VLOOKUP(Table91213[[#This Row],[Date]],'DB Details'!$A:$L,9)</f>
        <v>75.599999999999994</v>
      </c>
      <c r="J381" s="88">
        <f>VLOOKUP(Table91213[[#This Row],[Date]],'DB Details'!$A:$L,10)</f>
        <v>46.9</v>
      </c>
      <c r="K381" s="94"/>
      <c r="L381" s="88">
        <f>VLOOKUP(Table91213[[#This Row],[Date]],'DB Details'!$A:$L,12)</f>
        <v>56.2</v>
      </c>
    </row>
    <row r="382" spans="1:12" x14ac:dyDescent="0.35">
      <c r="A382" s="39">
        <v>28976</v>
      </c>
      <c r="B382" s="57">
        <f>VLOOKUP(Table91213[[#This Row],[Date]],'DB Details'!$A:$L,2)</f>
        <v>52.1</v>
      </c>
      <c r="C382" s="41"/>
      <c r="D382" s="55"/>
      <c r="E382" s="88">
        <f>VLOOKUP(Table91213[[#This Row],[Date]],'DB Details'!$A:$L,5)</f>
        <v>86.9</v>
      </c>
      <c r="F382" s="88">
        <f>VLOOKUP(Table91213[[#This Row],[Date]],'DB Details'!$A:$L,6)</f>
        <v>52.1</v>
      </c>
      <c r="G382" s="94"/>
      <c r="H382" s="88">
        <f>VLOOKUP(Table91213[[#This Row],[Date]],'DB Details'!$A:$L,8)</f>
        <v>53.3</v>
      </c>
      <c r="I382" s="88">
        <f>VLOOKUP(Table91213[[#This Row],[Date]],'DB Details'!$A:$L,9)</f>
        <v>63.7</v>
      </c>
      <c r="J382" s="88">
        <f>VLOOKUP(Table91213[[#This Row],[Date]],'DB Details'!$A:$L,10)</f>
        <v>54.5</v>
      </c>
      <c r="K382" s="94"/>
      <c r="L382" s="88">
        <f>VLOOKUP(Table91213[[#This Row],[Date]],'DB Details'!$A:$L,12)</f>
        <v>54.4</v>
      </c>
    </row>
    <row r="383" spans="1:12" x14ac:dyDescent="0.35">
      <c r="A383" s="39">
        <v>29007</v>
      </c>
      <c r="B383" s="57">
        <f>VLOOKUP(Table91213[[#This Row],[Date]],'DB Details'!$A:$L,2)</f>
        <v>49.4</v>
      </c>
      <c r="C383" s="41"/>
      <c r="D383" s="55"/>
      <c r="E383" s="88">
        <f>VLOOKUP(Table91213[[#This Row],[Date]],'DB Details'!$A:$L,5)</f>
        <v>88.7</v>
      </c>
      <c r="F383" s="88">
        <f>VLOOKUP(Table91213[[#This Row],[Date]],'DB Details'!$A:$L,6)</f>
        <v>50.2</v>
      </c>
      <c r="G383" s="94"/>
      <c r="H383" s="88">
        <f>VLOOKUP(Table91213[[#This Row],[Date]],'DB Details'!$A:$L,8)</f>
        <v>53.8</v>
      </c>
      <c r="I383" s="88">
        <f>VLOOKUP(Table91213[[#This Row],[Date]],'DB Details'!$A:$L,9)</f>
        <v>61.4</v>
      </c>
      <c r="J383" s="88">
        <f>VLOOKUP(Table91213[[#This Row],[Date]],'DB Details'!$A:$L,10)</f>
        <v>53.8</v>
      </c>
      <c r="K383" s="94"/>
      <c r="L383" s="88">
        <f>VLOOKUP(Table91213[[#This Row],[Date]],'DB Details'!$A:$L,12)</f>
        <v>52.7</v>
      </c>
    </row>
    <row r="384" spans="1:12" x14ac:dyDescent="0.35">
      <c r="A384" s="39">
        <v>29037</v>
      </c>
      <c r="B384" s="57">
        <f>VLOOKUP(Table91213[[#This Row],[Date]],'DB Details'!$A:$L,2)</f>
        <v>49.8</v>
      </c>
      <c r="C384" s="41"/>
      <c r="D384" s="55"/>
      <c r="E384" s="88">
        <f>VLOOKUP(Table91213[[#This Row],[Date]],'DB Details'!$A:$L,5)</f>
        <v>93.1</v>
      </c>
      <c r="F384" s="88">
        <f>VLOOKUP(Table91213[[#This Row],[Date]],'DB Details'!$A:$L,6)</f>
        <v>49.4</v>
      </c>
      <c r="G384" s="94"/>
      <c r="H384" s="88">
        <f>VLOOKUP(Table91213[[#This Row],[Date]],'DB Details'!$A:$L,8)</f>
        <v>53.6</v>
      </c>
      <c r="I384" s="88">
        <f>VLOOKUP(Table91213[[#This Row],[Date]],'DB Details'!$A:$L,9)</f>
        <v>57.4</v>
      </c>
      <c r="J384" s="88">
        <f>VLOOKUP(Table91213[[#This Row],[Date]],'DB Details'!$A:$L,10)</f>
        <v>50.2</v>
      </c>
      <c r="K384" s="94"/>
      <c r="L384" s="88">
        <f>VLOOKUP(Table91213[[#This Row],[Date]],'DB Details'!$A:$L,12)</f>
        <v>51.3</v>
      </c>
    </row>
    <row r="385" spans="1:12" x14ac:dyDescent="0.35">
      <c r="A385" s="39">
        <v>29068</v>
      </c>
      <c r="B385" s="57">
        <f>VLOOKUP(Table91213[[#This Row],[Date]],'DB Details'!$A:$L,2)</f>
        <v>46.9</v>
      </c>
      <c r="C385" s="41"/>
      <c r="D385" s="55"/>
      <c r="E385" s="88">
        <f>VLOOKUP(Table91213[[#This Row],[Date]],'DB Details'!$A:$L,5)</f>
        <v>85.6</v>
      </c>
      <c r="F385" s="88">
        <f>VLOOKUP(Table91213[[#This Row],[Date]],'DB Details'!$A:$L,6)</f>
        <v>49</v>
      </c>
      <c r="G385" s="94"/>
      <c r="H385" s="88">
        <f>VLOOKUP(Table91213[[#This Row],[Date]],'DB Details'!$A:$L,8)</f>
        <v>51.6</v>
      </c>
      <c r="I385" s="88">
        <f>VLOOKUP(Table91213[[#This Row],[Date]],'DB Details'!$A:$L,9)</f>
        <v>52.9</v>
      </c>
      <c r="J385" s="88">
        <f>VLOOKUP(Table91213[[#This Row],[Date]],'DB Details'!$A:$L,10)</f>
        <v>50.5</v>
      </c>
      <c r="K385" s="94"/>
      <c r="L385" s="88">
        <f>VLOOKUP(Table91213[[#This Row],[Date]],'DB Details'!$A:$L,12)</f>
        <v>49.5</v>
      </c>
    </row>
    <row r="386" spans="1:12" x14ac:dyDescent="0.35">
      <c r="A386" s="39">
        <v>29099</v>
      </c>
      <c r="B386" s="57">
        <f>VLOOKUP(Table91213[[#This Row],[Date]],'DB Details'!$A:$L,2)</f>
        <v>48.7</v>
      </c>
      <c r="C386" s="41"/>
      <c r="D386" s="55"/>
      <c r="E386" s="88">
        <f>VLOOKUP(Table91213[[#This Row],[Date]],'DB Details'!$A:$L,5)</f>
        <v>85</v>
      </c>
      <c r="F386" s="88">
        <f>VLOOKUP(Table91213[[#This Row],[Date]],'DB Details'!$A:$L,6)</f>
        <v>48.3</v>
      </c>
      <c r="G386" s="94"/>
      <c r="H386" s="88">
        <f>VLOOKUP(Table91213[[#This Row],[Date]],'DB Details'!$A:$L,8)</f>
        <v>52.3</v>
      </c>
      <c r="I386" s="88">
        <f>VLOOKUP(Table91213[[#This Row],[Date]],'DB Details'!$A:$L,9)</f>
        <v>50.7</v>
      </c>
      <c r="J386" s="88">
        <f>VLOOKUP(Table91213[[#This Row],[Date]],'DB Details'!$A:$L,10)</f>
        <v>50.3</v>
      </c>
      <c r="K386" s="94"/>
      <c r="L386" s="88">
        <f>VLOOKUP(Table91213[[#This Row],[Date]],'DB Details'!$A:$L,12)</f>
        <v>49.6</v>
      </c>
    </row>
    <row r="387" spans="1:12" x14ac:dyDescent="0.35">
      <c r="A387" s="39">
        <v>29129</v>
      </c>
      <c r="B387" s="57">
        <f>VLOOKUP(Table91213[[#This Row],[Date]],'DB Details'!$A:$L,2)</f>
        <v>47.3</v>
      </c>
      <c r="C387" s="41"/>
      <c r="D387" s="55"/>
      <c r="E387" s="88">
        <f>VLOOKUP(Table91213[[#This Row],[Date]],'DB Details'!$A:$L,5)</f>
        <v>85.6</v>
      </c>
      <c r="F387" s="88">
        <f>VLOOKUP(Table91213[[#This Row],[Date]],'DB Details'!$A:$L,6)</f>
        <v>49</v>
      </c>
      <c r="G387" s="94"/>
      <c r="H387" s="88">
        <f>VLOOKUP(Table91213[[#This Row],[Date]],'DB Details'!$A:$L,8)</f>
        <v>46</v>
      </c>
      <c r="I387" s="88">
        <f>VLOOKUP(Table91213[[#This Row],[Date]],'DB Details'!$A:$L,9)</f>
        <v>46.9</v>
      </c>
      <c r="J387" s="88">
        <f>VLOOKUP(Table91213[[#This Row],[Date]],'DB Details'!$A:$L,10)</f>
        <v>54.6</v>
      </c>
      <c r="K387" s="94"/>
      <c r="L387" s="88">
        <f>VLOOKUP(Table91213[[#This Row],[Date]],'DB Details'!$A:$L,12)</f>
        <v>49</v>
      </c>
    </row>
    <row r="388" spans="1:12" x14ac:dyDescent="0.35">
      <c r="A388" s="39">
        <v>29160</v>
      </c>
      <c r="B388" s="57">
        <f>VLOOKUP(Table91213[[#This Row],[Date]],'DB Details'!$A:$L,2)</f>
        <v>46.5</v>
      </c>
      <c r="C388" s="41"/>
      <c r="D388" s="55"/>
      <c r="E388" s="88">
        <f>VLOOKUP(Table91213[[#This Row],[Date]],'DB Details'!$A:$L,5)</f>
        <v>89.2</v>
      </c>
      <c r="F388" s="88">
        <f>VLOOKUP(Table91213[[#This Row],[Date]],'DB Details'!$A:$L,6)</f>
        <v>52.6</v>
      </c>
      <c r="G388" s="94"/>
      <c r="H388" s="88">
        <f>VLOOKUP(Table91213[[#This Row],[Date]],'DB Details'!$A:$L,8)</f>
        <v>44.3</v>
      </c>
      <c r="I388" s="88">
        <f>VLOOKUP(Table91213[[#This Row],[Date]],'DB Details'!$A:$L,9)</f>
        <v>46.8</v>
      </c>
      <c r="J388" s="88">
        <f>VLOOKUP(Table91213[[#This Row],[Date]],'DB Details'!$A:$L,10)</f>
        <v>47.3</v>
      </c>
      <c r="K388" s="94"/>
      <c r="L388" s="88">
        <f>VLOOKUP(Table91213[[#This Row],[Date]],'DB Details'!$A:$L,12)</f>
        <v>48</v>
      </c>
    </row>
    <row r="389" spans="1:12" x14ac:dyDescent="0.35">
      <c r="A389" s="39">
        <v>29190</v>
      </c>
      <c r="B389" s="57">
        <f>VLOOKUP(Table91213[[#This Row],[Date]],'DB Details'!$A:$L,2)</f>
        <v>44.3</v>
      </c>
      <c r="C389" s="41"/>
      <c r="D389" s="55"/>
      <c r="E389" s="88">
        <f>VLOOKUP(Table91213[[#This Row],[Date]],'DB Details'!$A:$L,5)</f>
        <v>84.4</v>
      </c>
      <c r="F389" s="88">
        <f>VLOOKUP(Table91213[[#This Row],[Date]],'DB Details'!$A:$L,6)</f>
        <v>48.2</v>
      </c>
      <c r="G389" s="94"/>
      <c r="H389" s="88">
        <f>VLOOKUP(Table91213[[#This Row],[Date]],'DB Details'!$A:$L,8)</f>
        <v>43.5</v>
      </c>
      <c r="I389" s="88">
        <f>VLOOKUP(Table91213[[#This Row],[Date]],'DB Details'!$A:$L,9)</f>
        <v>42.2</v>
      </c>
      <c r="J389" s="88">
        <f>VLOOKUP(Table91213[[#This Row],[Date]],'DB Details'!$A:$L,10)</f>
        <v>44.1</v>
      </c>
      <c r="K389" s="94"/>
      <c r="L389" s="88">
        <f>VLOOKUP(Table91213[[#This Row],[Date]],'DB Details'!$A:$L,12)</f>
        <v>44.8</v>
      </c>
    </row>
    <row r="390" spans="1:12" x14ac:dyDescent="0.35">
      <c r="A390" s="39">
        <v>29221</v>
      </c>
      <c r="B390" s="57">
        <f>VLOOKUP(Table91213[[#This Row],[Date]],'DB Details'!$A:$L,2)</f>
        <v>47.1</v>
      </c>
      <c r="C390" s="41"/>
      <c r="D390" s="55"/>
      <c r="E390" s="88">
        <f>VLOOKUP(Table91213[[#This Row],[Date]],'DB Details'!$A:$L,5)</f>
        <v>83</v>
      </c>
      <c r="F390" s="88">
        <f>VLOOKUP(Table91213[[#This Row],[Date]],'DB Details'!$A:$L,6)</f>
        <v>48.4</v>
      </c>
      <c r="G390" s="94"/>
      <c r="H390" s="88">
        <f>VLOOKUP(Table91213[[#This Row],[Date]],'DB Details'!$A:$L,8)</f>
        <v>44.5</v>
      </c>
      <c r="I390" s="88">
        <f>VLOOKUP(Table91213[[#This Row],[Date]],'DB Details'!$A:$L,9)</f>
        <v>42.1</v>
      </c>
      <c r="J390" s="88">
        <f>VLOOKUP(Table91213[[#This Row],[Date]],'DB Details'!$A:$L,10)</f>
        <v>46.2</v>
      </c>
      <c r="K390" s="94"/>
      <c r="L390" s="88">
        <f>VLOOKUP(Table91213[[#This Row],[Date]],'DB Details'!$A:$L,12)</f>
        <v>46.2</v>
      </c>
    </row>
    <row r="391" spans="1:12" x14ac:dyDescent="0.35">
      <c r="A391" s="39">
        <v>29252</v>
      </c>
      <c r="B391" s="57">
        <f>VLOOKUP(Table91213[[#This Row],[Date]],'DB Details'!$A:$L,2)</f>
        <v>51.6</v>
      </c>
      <c r="C391" s="41"/>
      <c r="D391" s="55"/>
      <c r="E391" s="88">
        <f>VLOOKUP(Table91213[[#This Row],[Date]],'DB Details'!$A:$L,5)</f>
        <v>84.5</v>
      </c>
      <c r="F391" s="88">
        <f>VLOOKUP(Table91213[[#This Row],[Date]],'DB Details'!$A:$L,6)</f>
        <v>53.1</v>
      </c>
      <c r="G391" s="94"/>
      <c r="H391" s="88">
        <f>VLOOKUP(Table91213[[#This Row],[Date]],'DB Details'!$A:$L,8)</f>
        <v>46.5</v>
      </c>
      <c r="I391" s="88">
        <f>VLOOKUP(Table91213[[#This Row],[Date]],'DB Details'!$A:$L,9)</f>
        <v>46</v>
      </c>
      <c r="J391" s="88">
        <f>VLOOKUP(Table91213[[#This Row],[Date]],'DB Details'!$A:$L,10)</f>
        <v>49.7</v>
      </c>
      <c r="K391" s="94"/>
      <c r="L391" s="88">
        <f>VLOOKUP(Table91213[[#This Row],[Date]],'DB Details'!$A:$L,12)</f>
        <v>50.2</v>
      </c>
    </row>
    <row r="392" spans="1:12" x14ac:dyDescent="0.35">
      <c r="A392" s="39">
        <v>29281</v>
      </c>
      <c r="B392" s="57">
        <f>VLOOKUP(Table91213[[#This Row],[Date]],'DB Details'!$A:$L,2)</f>
        <v>43.8</v>
      </c>
      <c r="C392" s="41"/>
      <c r="D392" s="55"/>
      <c r="E392" s="88">
        <f>VLOOKUP(Table91213[[#This Row],[Date]],'DB Details'!$A:$L,5)</f>
        <v>84</v>
      </c>
      <c r="F392" s="88">
        <f>VLOOKUP(Table91213[[#This Row],[Date]],'DB Details'!$A:$L,6)</f>
        <v>46.7</v>
      </c>
      <c r="G392" s="94"/>
      <c r="H392" s="88">
        <f>VLOOKUP(Table91213[[#This Row],[Date]],'DB Details'!$A:$L,8)</f>
        <v>43</v>
      </c>
      <c r="I392" s="88">
        <f>VLOOKUP(Table91213[[#This Row],[Date]],'DB Details'!$A:$L,9)</f>
        <v>39.1</v>
      </c>
      <c r="J392" s="88">
        <f>VLOOKUP(Table91213[[#This Row],[Date]],'DB Details'!$A:$L,10)</f>
        <v>43.2</v>
      </c>
      <c r="K392" s="94"/>
      <c r="L392" s="88">
        <f>VLOOKUP(Table91213[[#This Row],[Date]],'DB Details'!$A:$L,12)</f>
        <v>43.6</v>
      </c>
    </row>
    <row r="393" spans="1:12" x14ac:dyDescent="0.35">
      <c r="A393" s="39">
        <v>29312</v>
      </c>
      <c r="B393" s="57">
        <f>VLOOKUP(Table91213[[#This Row],[Date]],'DB Details'!$A:$L,2)</f>
        <v>32</v>
      </c>
      <c r="C393" s="41"/>
      <c r="D393" s="55"/>
      <c r="E393" s="88">
        <f>VLOOKUP(Table91213[[#This Row],[Date]],'DB Details'!$A:$L,5)</f>
        <v>77.5</v>
      </c>
      <c r="F393" s="88">
        <f>VLOOKUP(Table91213[[#This Row],[Date]],'DB Details'!$A:$L,6)</f>
        <v>37.9</v>
      </c>
      <c r="G393" s="94"/>
      <c r="H393" s="88">
        <f>VLOOKUP(Table91213[[#This Row],[Date]],'DB Details'!$A:$L,8)</f>
        <v>45.3</v>
      </c>
      <c r="I393" s="88">
        <f>VLOOKUP(Table91213[[#This Row],[Date]],'DB Details'!$A:$L,9)</f>
        <v>36.9</v>
      </c>
      <c r="J393" s="88">
        <f>VLOOKUP(Table91213[[#This Row],[Date]],'DB Details'!$A:$L,10)</f>
        <v>41.2</v>
      </c>
      <c r="K393" s="94"/>
      <c r="L393" s="88">
        <f>VLOOKUP(Table91213[[#This Row],[Date]],'DB Details'!$A:$L,12)</f>
        <v>37.4</v>
      </c>
    </row>
    <row r="394" spans="1:12" x14ac:dyDescent="0.35">
      <c r="A394" s="39">
        <v>29342</v>
      </c>
      <c r="B394" s="57">
        <f>VLOOKUP(Table91213[[#This Row],[Date]],'DB Details'!$A:$L,2)</f>
        <v>25.6</v>
      </c>
      <c r="C394" s="41"/>
      <c r="D394" s="55"/>
      <c r="E394" s="88">
        <f>VLOOKUP(Table91213[[#This Row],[Date]],'DB Details'!$A:$L,5)</f>
        <v>70.8</v>
      </c>
      <c r="F394" s="88">
        <f>VLOOKUP(Table91213[[#This Row],[Date]],'DB Details'!$A:$L,6)</f>
        <v>28.1</v>
      </c>
      <c r="G394" s="94"/>
      <c r="H394" s="88">
        <f>VLOOKUP(Table91213[[#This Row],[Date]],'DB Details'!$A:$L,8)</f>
        <v>33.299999999999997</v>
      </c>
      <c r="I394" s="88">
        <f>VLOOKUP(Table91213[[#This Row],[Date]],'DB Details'!$A:$L,9)</f>
        <v>29.8</v>
      </c>
      <c r="J394" s="88">
        <f>VLOOKUP(Table91213[[#This Row],[Date]],'DB Details'!$A:$L,10)</f>
        <v>34.299999999999997</v>
      </c>
      <c r="K394" s="94"/>
      <c r="L394" s="88">
        <f>VLOOKUP(Table91213[[#This Row],[Date]],'DB Details'!$A:$L,12)</f>
        <v>29.4</v>
      </c>
    </row>
    <row r="395" spans="1:12" x14ac:dyDescent="0.35">
      <c r="A395" s="39">
        <v>29373</v>
      </c>
      <c r="B395" s="57">
        <f>VLOOKUP(Table91213[[#This Row],[Date]],'DB Details'!$A:$L,2)</f>
        <v>24.2</v>
      </c>
      <c r="C395" s="41"/>
      <c r="D395" s="55"/>
      <c r="E395" s="88">
        <f>VLOOKUP(Table91213[[#This Row],[Date]],'DB Details'!$A:$L,5)</f>
        <v>63.4</v>
      </c>
      <c r="F395" s="88">
        <f>VLOOKUP(Table91213[[#This Row],[Date]],'DB Details'!$A:$L,6)</f>
        <v>31.5</v>
      </c>
      <c r="G395" s="94"/>
      <c r="H395" s="88">
        <f>VLOOKUP(Table91213[[#This Row],[Date]],'DB Details'!$A:$L,8)</f>
        <v>37.299999999999997</v>
      </c>
      <c r="I395" s="88">
        <f>VLOOKUP(Table91213[[#This Row],[Date]],'DB Details'!$A:$L,9)</f>
        <v>32.4</v>
      </c>
      <c r="J395" s="88">
        <f>VLOOKUP(Table91213[[#This Row],[Date]],'DB Details'!$A:$L,10)</f>
        <v>32.799999999999997</v>
      </c>
      <c r="K395" s="94"/>
      <c r="L395" s="88">
        <f>VLOOKUP(Table91213[[#This Row],[Date]],'DB Details'!$A:$L,12)</f>
        <v>30.3</v>
      </c>
    </row>
    <row r="396" spans="1:12" x14ac:dyDescent="0.35">
      <c r="A396" s="39">
        <v>29403</v>
      </c>
      <c r="B396" s="57">
        <f>VLOOKUP(Table91213[[#This Row],[Date]],'DB Details'!$A:$L,2)</f>
        <v>36.1</v>
      </c>
      <c r="C396" s="41"/>
      <c r="D396" s="55"/>
      <c r="E396" s="88">
        <f>VLOOKUP(Table91213[[#This Row],[Date]],'DB Details'!$A:$L,5)</f>
        <v>59.3</v>
      </c>
      <c r="F396" s="88">
        <f>VLOOKUP(Table91213[[#This Row],[Date]],'DB Details'!$A:$L,6)</f>
        <v>35.1</v>
      </c>
      <c r="G396" s="94"/>
      <c r="H396" s="88">
        <f>VLOOKUP(Table91213[[#This Row],[Date]],'DB Details'!$A:$L,8)</f>
        <v>29.5</v>
      </c>
      <c r="I396" s="88">
        <f>VLOOKUP(Table91213[[#This Row],[Date]],'DB Details'!$A:$L,9)</f>
        <v>36.299999999999997</v>
      </c>
      <c r="J396" s="88">
        <f>VLOOKUP(Table91213[[#This Row],[Date]],'DB Details'!$A:$L,10)</f>
        <v>35</v>
      </c>
      <c r="K396" s="94"/>
      <c r="L396" s="88">
        <f>VLOOKUP(Table91213[[#This Row],[Date]],'DB Details'!$A:$L,12)</f>
        <v>35</v>
      </c>
    </row>
    <row r="397" spans="1:12" x14ac:dyDescent="0.35">
      <c r="A397" s="39">
        <v>29434</v>
      </c>
      <c r="B397" s="57">
        <f>VLOOKUP(Table91213[[#This Row],[Date]],'DB Details'!$A:$L,2)</f>
        <v>54.1</v>
      </c>
      <c r="C397" s="41"/>
      <c r="D397" s="55"/>
      <c r="E397" s="88">
        <f>VLOOKUP(Table91213[[#This Row],[Date]],'DB Details'!$A:$L,5)</f>
        <v>67</v>
      </c>
      <c r="F397" s="88">
        <f>VLOOKUP(Table91213[[#This Row],[Date]],'DB Details'!$A:$L,6)</f>
        <v>46.9</v>
      </c>
      <c r="G397" s="94"/>
      <c r="H397" s="88">
        <f>VLOOKUP(Table91213[[#This Row],[Date]],'DB Details'!$A:$L,8)</f>
        <v>37.6</v>
      </c>
      <c r="I397" s="88">
        <f>VLOOKUP(Table91213[[#This Row],[Date]],'DB Details'!$A:$L,9)</f>
        <v>40.1</v>
      </c>
      <c r="J397" s="88">
        <f>VLOOKUP(Table91213[[#This Row],[Date]],'DB Details'!$A:$L,10)</f>
        <v>38.700000000000003</v>
      </c>
      <c r="K397" s="94"/>
      <c r="L397" s="88">
        <f>VLOOKUP(Table91213[[#This Row],[Date]],'DB Details'!$A:$L,12)</f>
        <v>45.5</v>
      </c>
    </row>
    <row r="398" spans="1:12" x14ac:dyDescent="0.35">
      <c r="A398" s="39">
        <v>29465</v>
      </c>
      <c r="B398" s="57">
        <f>VLOOKUP(Table91213[[#This Row],[Date]],'DB Details'!$A:$L,2)</f>
        <v>53.9</v>
      </c>
      <c r="C398" s="41"/>
      <c r="D398" s="55"/>
      <c r="E398" s="88">
        <f>VLOOKUP(Table91213[[#This Row],[Date]],'DB Details'!$A:$L,5)</f>
        <v>68</v>
      </c>
      <c r="F398" s="88">
        <f>VLOOKUP(Table91213[[#This Row],[Date]],'DB Details'!$A:$L,6)</f>
        <v>55.1</v>
      </c>
      <c r="G398" s="94"/>
      <c r="H398" s="88">
        <f>VLOOKUP(Table91213[[#This Row],[Date]],'DB Details'!$A:$L,8)</f>
        <v>45.3</v>
      </c>
      <c r="I398" s="88">
        <f>VLOOKUP(Table91213[[#This Row],[Date]],'DB Details'!$A:$L,9)</f>
        <v>41.2</v>
      </c>
      <c r="J398" s="88">
        <f>VLOOKUP(Table91213[[#This Row],[Date]],'DB Details'!$A:$L,10)</f>
        <v>47</v>
      </c>
      <c r="K398" s="94"/>
      <c r="L398" s="88">
        <f>VLOOKUP(Table91213[[#This Row],[Date]],'DB Details'!$A:$L,12)</f>
        <v>50.1</v>
      </c>
    </row>
    <row r="399" spans="1:12" x14ac:dyDescent="0.35">
      <c r="A399" s="39">
        <v>29495</v>
      </c>
      <c r="B399" s="57">
        <f>VLOOKUP(Table91213[[#This Row],[Date]],'DB Details'!$A:$L,2)</f>
        <v>63.7</v>
      </c>
      <c r="C399" s="41"/>
      <c r="D399" s="55"/>
      <c r="E399" s="88">
        <f>VLOOKUP(Table91213[[#This Row],[Date]],'DB Details'!$A:$L,5)</f>
        <v>75.2</v>
      </c>
      <c r="F399" s="88">
        <f>VLOOKUP(Table91213[[#This Row],[Date]],'DB Details'!$A:$L,6)</f>
        <v>60.7</v>
      </c>
      <c r="G399" s="94"/>
      <c r="H399" s="88">
        <f>VLOOKUP(Table91213[[#This Row],[Date]],'DB Details'!$A:$L,8)</f>
        <v>43.9</v>
      </c>
      <c r="I399" s="88">
        <f>VLOOKUP(Table91213[[#This Row],[Date]],'DB Details'!$A:$L,9)</f>
        <v>46.5</v>
      </c>
      <c r="J399" s="88">
        <f>VLOOKUP(Table91213[[#This Row],[Date]],'DB Details'!$A:$L,10)</f>
        <v>49.4</v>
      </c>
      <c r="K399" s="94"/>
      <c r="L399" s="88">
        <f>VLOOKUP(Table91213[[#This Row],[Date]],'DB Details'!$A:$L,12)</f>
        <v>55.5</v>
      </c>
    </row>
    <row r="400" spans="1:12" x14ac:dyDescent="0.35">
      <c r="A400" s="39">
        <v>29526</v>
      </c>
      <c r="B400" s="57">
        <f>VLOOKUP(Table91213[[#This Row],[Date]],'DB Details'!$A:$L,2)</f>
        <v>65.3</v>
      </c>
      <c r="C400" s="41"/>
      <c r="D400" s="55"/>
      <c r="E400" s="88">
        <f>VLOOKUP(Table91213[[#This Row],[Date]],'DB Details'!$A:$L,5)</f>
        <v>76.7</v>
      </c>
      <c r="F400" s="88">
        <f>VLOOKUP(Table91213[[#This Row],[Date]],'DB Details'!$A:$L,6)</f>
        <v>66.8</v>
      </c>
      <c r="G400" s="94"/>
      <c r="H400" s="88">
        <f>VLOOKUP(Table91213[[#This Row],[Date]],'DB Details'!$A:$L,8)</f>
        <v>42.2</v>
      </c>
      <c r="I400" s="88">
        <f>VLOOKUP(Table91213[[#This Row],[Date]],'DB Details'!$A:$L,9)</f>
        <v>46.8</v>
      </c>
      <c r="J400" s="88">
        <f>VLOOKUP(Table91213[[#This Row],[Date]],'DB Details'!$A:$L,10)</f>
        <v>53.3</v>
      </c>
      <c r="K400" s="94"/>
      <c r="L400" s="88">
        <f>VLOOKUP(Table91213[[#This Row],[Date]],'DB Details'!$A:$L,12)</f>
        <v>58.2</v>
      </c>
    </row>
    <row r="401" spans="1:12" x14ac:dyDescent="0.35">
      <c r="A401" s="39">
        <v>29556</v>
      </c>
      <c r="B401" s="57">
        <f>VLOOKUP(Table91213[[#This Row],[Date]],'DB Details'!$A:$L,2)</f>
        <v>51.2</v>
      </c>
      <c r="C401" s="41"/>
      <c r="D401" s="55"/>
      <c r="E401" s="88">
        <f>VLOOKUP(Table91213[[#This Row],[Date]],'DB Details'!$A:$L,5)</f>
        <v>74.599999999999994</v>
      </c>
      <c r="F401" s="88">
        <f>VLOOKUP(Table91213[[#This Row],[Date]],'DB Details'!$A:$L,6)</f>
        <v>57.2</v>
      </c>
      <c r="G401" s="94"/>
      <c r="H401" s="88">
        <f>VLOOKUP(Table91213[[#This Row],[Date]],'DB Details'!$A:$L,8)</f>
        <v>51.4</v>
      </c>
      <c r="I401" s="88">
        <f>VLOOKUP(Table91213[[#This Row],[Date]],'DB Details'!$A:$L,9)</f>
        <v>50.1</v>
      </c>
      <c r="J401" s="88">
        <f>VLOOKUP(Table91213[[#This Row],[Date]],'DB Details'!$A:$L,10)</f>
        <v>53.2</v>
      </c>
      <c r="K401" s="94"/>
      <c r="L401" s="88">
        <f>VLOOKUP(Table91213[[#This Row],[Date]],'DB Details'!$A:$L,12)</f>
        <v>53</v>
      </c>
    </row>
    <row r="402" spans="1:12" x14ac:dyDescent="0.35">
      <c r="A402" s="39">
        <v>29587</v>
      </c>
      <c r="B402" s="57">
        <f>VLOOKUP(Table91213[[#This Row],[Date]],'DB Details'!$A:$L,2)</f>
        <v>48.7</v>
      </c>
      <c r="C402" s="41"/>
      <c r="D402" s="55"/>
      <c r="E402" s="88">
        <f>VLOOKUP(Table91213[[#This Row],[Date]],'DB Details'!$A:$L,5)</f>
        <v>76.3</v>
      </c>
      <c r="F402" s="88">
        <f>VLOOKUP(Table91213[[#This Row],[Date]],'DB Details'!$A:$L,6)</f>
        <v>51.8</v>
      </c>
      <c r="G402" s="94"/>
      <c r="H402" s="88">
        <f>VLOOKUP(Table91213[[#This Row],[Date]],'DB Details'!$A:$L,8)</f>
        <v>44.6</v>
      </c>
      <c r="I402" s="88">
        <f>VLOOKUP(Table91213[[#This Row],[Date]],'DB Details'!$A:$L,9)</f>
        <v>49.7</v>
      </c>
      <c r="J402" s="88">
        <f>VLOOKUP(Table91213[[#This Row],[Date]],'DB Details'!$A:$L,10)</f>
        <v>48.7</v>
      </c>
      <c r="K402" s="94"/>
      <c r="L402" s="88">
        <f>VLOOKUP(Table91213[[#This Row],[Date]],'DB Details'!$A:$L,12)</f>
        <v>49.2</v>
      </c>
    </row>
    <row r="403" spans="1:12" x14ac:dyDescent="0.35">
      <c r="A403" s="39">
        <v>29618</v>
      </c>
      <c r="B403" s="57">
        <f>VLOOKUP(Table91213[[#This Row],[Date]],'DB Details'!$A:$L,2)</f>
        <v>51.1</v>
      </c>
      <c r="C403" s="41"/>
      <c r="D403" s="55"/>
      <c r="E403" s="88">
        <f>VLOOKUP(Table91213[[#This Row],[Date]],'DB Details'!$A:$L,5)</f>
        <v>70.900000000000006</v>
      </c>
      <c r="F403" s="88">
        <f>VLOOKUP(Table91213[[#This Row],[Date]],'DB Details'!$A:$L,6)</f>
        <v>50.9</v>
      </c>
      <c r="G403" s="94"/>
      <c r="H403" s="88">
        <f>VLOOKUP(Table91213[[#This Row],[Date]],'DB Details'!$A:$L,8)</f>
        <v>42.1</v>
      </c>
      <c r="I403" s="88">
        <f>VLOOKUP(Table91213[[#This Row],[Date]],'DB Details'!$A:$L,9)</f>
        <v>48.5</v>
      </c>
      <c r="J403" s="88">
        <f>VLOOKUP(Table91213[[#This Row],[Date]],'DB Details'!$A:$L,10)</f>
        <v>46.3</v>
      </c>
      <c r="K403" s="94"/>
      <c r="L403" s="88">
        <f>VLOOKUP(Table91213[[#This Row],[Date]],'DB Details'!$A:$L,12)</f>
        <v>48.8</v>
      </c>
    </row>
    <row r="404" spans="1:12" x14ac:dyDescent="0.35">
      <c r="A404" s="39">
        <v>29646</v>
      </c>
      <c r="B404" s="57">
        <f>VLOOKUP(Table91213[[#This Row],[Date]],'DB Details'!$A:$L,2)</f>
        <v>50.2</v>
      </c>
      <c r="C404" s="41"/>
      <c r="D404" s="55"/>
      <c r="E404" s="88">
        <f>VLOOKUP(Table91213[[#This Row],[Date]],'DB Details'!$A:$L,5)</f>
        <v>72.599999999999994</v>
      </c>
      <c r="F404" s="88">
        <f>VLOOKUP(Table91213[[#This Row],[Date]],'DB Details'!$A:$L,6)</f>
        <v>52.8</v>
      </c>
      <c r="G404" s="94"/>
      <c r="H404" s="88">
        <f>VLOOKUP(Table91213[[#This Row],[Date]],'DB Details'!$A:$L,8)</f>
        <v>44.7</v>
      </c>
      <c r="I404" s="88">
        <f>VLOOKUP(Table91213[[#This Row],[Date]],'DB Details'!$A:$L,9)</f>
        <v>48.7</v>
      </c>
      <c r="J404" s="88">
        <f>VLOOKUP(Table91213[[#This Row],[Date]],'DB Details'!$A:$L,10)</f>
        <v>48.1</v>
      </c>
      <c r="K404" s="94"/>
      <c r="L404" s="88">
        <f>VLOOKUP(Table91213[[#This Row],[Date]],'DB Details'!$A:$L,12)</f>
        <v>49.6</v>
      </c>
    </row>
    <row r="405" spans="1:12" x14ac:dyDescent="0.35">
      <c r="A405" s="39">
        <v>29677</v>
      </c>
      <c r="B405" s="57">
        <f>VLOOKUP(Table91213[[#This Row],[Date]],'DB Details'!$A:$L,2)</f>
        <v>53.1</v>
      </c>
      <c r="C405" s="41"/>
      <c r="D405" s="55"/>
      <c r="E405" s="88">
        <f>VLOOKUP(Table91213[[#This Row],[Date]],'DB Details'!$A:$L,5)</f>
        <v>70.2</v>
      </c>
      <c r="F405" s="88">
        <f>VLOOKUP(Table91213[[#This Row],[Date]],'DB Details'!$A:$L,6)</f>
        <v>55</v>
      </c>
      <c r="G405" s="94"/>
      <c r="H405" s="88">
        <f>VLOOKUP(Table91213[[#This Row],[Date]],'DB Details'!$A:$L,8)</f>
        <v>44.4</v>
      </c>
      <c r="I405" s="88">
        <f>VLOOKUP(Table91213[[#This Row],[Date]],'DB Details'!$A:$L,9)</f>
        <v>51.2</v>
      </c>
      <c r="J405" s="88">
        <f>VLOOKUP(Table91213[[#This Row],[Date]],'DB Details'!$A:$L,10)</f>
        <v>49.2</v>
      </c>
      <c r="K405" s="94"/>
      <c r="L405" s="88">
        <f>VLOOKUP(Table91213[[#This Row],[Date]],'DB Details'!$A:$L,12)</f>
        <v>51.6</v>
      </c>
    </row>
    <row r="406" spans="1:12" x14ac:dyDescent="0.35">
      <c r="A406" s="39">
        <v>29707</v>
      </c>
      <c r="B406" s="57">
        <f>VLOOKUP(Table91213[[#This Row],[Date]],'DB Details'!$A:$L,2)</f>
        <v>55.7</v>
      </c>
      <c r="C406" s="41"/>
      <c r="D406" s="55"/>
      <c r="E406" s="88">
        <f>VLOOKUP(Table91213[[#This Row],[Date]],'DB Details'!$A:$L,5)</f>
        <v>66.2</v>
      </c>
      <c r="F406" s="88">
        <f>VLOOKUP(Table91213[[#This Row],[Date]],'DB Details'!$A:$L,6)</f>
        <v>59</v>
      </c>
      <c r="G406" s="94"/>
      <c r="H406" s="88">
        <f>VLOOKUP(Table91213[[#This Row],[Date]],'DB Details'!$A:$L,8)</f>
        <v>48.7</v>
      </c>
      <c r="I406" s="88">
        <f>VLOOKUP(Table91213[[#This Row],[Date]],'DB Details'!$A:$L,9)</f>
        <v>50.2</v>
      </c>
      <c r="J406" s="88">
        <f>VLOOKUP(Table91213[[#This Row],[Date]],'DB Details'!$A:$L,10)</f>
        <v>48.3</v>
      </c>
      <c r="K406" s="94"/>
      <c r="L406" s="88">
        <f>VLOOKUP(Table91213[[#This Row],[Date]],'DB Details'!$A:$L,12)</f>
        <v>53.5</v>
      </c>
    </row>
    <row r="407" spans="1:12" x14ac:dyDescent="0.35">
      <c r="A407" s="39">
        <v>29738</v>
      </c>
      <c r="B407" s="57">
        <f>VLOOKUP(Table91213[[#This Row],[Date]],'DB Details'!$A:$L,2)</f>
        <v>51</v>
      </c>
      <c r="C407" s="41"/>
      <c r="D407" s="55"/>
      <c r="E407" s="88">
        <f>VLOOKUP(Table91213[[#This Row],[Date]],'DB Details'!$A:$L,5)</f>
        <v>70.8</v>
      </c>
      <c r="F407" s="88">
        <f>VLOOKUP(Table91213[[#This Row],[Date]],'DB Details'!$A:$L,6)</f>
        <v>53.9</v>
      </c>
      <c r="G407" s="94"/>
      <c r="H407" s="88">
        <f>VLOOKUP(Table91213[[#This Row],[Date]],'DB Details'!$A:$L,8)</f>
        <v>49.4</v>
      </c>
      <c r="I407" s="88">
        <f>VLOOKUP(Table91213[[#This Row],[Date]],'DB Details'!$A:$L,9)</f>
        <v>47.9</v>
      </c>
      <c r="J407" s="88">
        <f>VLOOKUP(Table91213[[#This Row],[Date]],'DB Details'!$A:$L,10)</f>
        <v>48.8</v>
      </c>
      <c r="K407" s="94"/>
      <c r="L407" s="88">
        <f>VLOOKUP(Table91213[[#This Row],[Date]],'DB Details'!$A:$L,12)</f>
        <v>50.7</v>
      </c>
    </row>
    <row r="408" spans="1:12" x14ac:dyDescent="0.35">
      <c r="A408" s="39">
        <v>29768</v>
      </c>
      <c r="B408" s="57">
        <f>VLOOKUP(Table91213[[#This Row],[Date]],'DB Details'!$A:$L,2)</f>
        <v>47.6</v>
      </c>
      <c r="C408" s="41"/>
      <c r="D408" s="55"/>
      <c r="E408" s="88">
        <f>VLOOKUP(Table91213[[#This Row],[Date]],'DB Details'!$A:$L,5)</f>
        <v>66.900000000000006</v>
      </c>
      <c r="F408" s="88">
        <f>VLOOKUP(Table91213[[#This Row],[Date]],'DB Details'!$A:$L,6)</f>
        <v>47.6</v>
      </c>
      <c r="G408" s="94"/>
      <c r="H408" s="88">
        <f>VLOOKUP(Table91213[[#This Row],[Date]],'DB Details'!$A:$L,8)</f>
        <v>44.4</v>
      </c>
      <c r="I408" s="88">
        <f>VLOOKUP(Table91213[[#This Row],[Date]],'DB Details'!$A:$L,9)</f>
        <v>44.9</v>
      </c>
      <c r="J408" s="88">
        <f>VLOOKUP(Table91213[[#This Row],[Date]],'DB Details'!$A:$L,10)</f>
        <v>46.6</v>
      </c>
      <c r="K408" s="94"/>
      <c r="L408" s="88">
        <f>VLOOKUP(Table91213[[#This Row],[Date]],'DB Details'!$A:$L,12)</f>
        <v>46.7</v>
      </c>
    </row>
    <row r="409" spans="1:12" x14ac:dyDescent="0.35">
      <c r="A409" s="39">
        <v>29799</v>
      </c>
      <c r="B409" s="57">
        <f>VLOOKUP(Table91213[[#This Row],[Date]],'DB Details'!$A:$L,2)</f>
        <v>47.2</v>
      </c>
      <c r="C409" s="41"/>
      <c r="D409" s="55"/>
      <c r="E409" s="88">
        <f>VLOOKUP(Table91213[[#This Row],[Date]],'DB Details'!$A:$L,5)</f>
        <v>65.599999999999994</v>
      </c>
      <c r="F409" s="88">
        <f>VLOOKUP(Table91213[[#This Row],[Date]],'DB Details'!$A:$L,6)</f>
        <v>49.5</v>
      </c>
      <c r="G409" s="94"/>
      <c r="H409" s="88">
        <f>VLOOKUP(Table91213[[#This Row],[Date]],'DB Details'!$A:$L,8)</f>
        <v>47.3</v>
      </c>
      <c r="I409" s="88">
        <f>VLOOKUP(Table91213[[#This Row],[Date]],'DB Details'!$A:$L,9)</f>
        <v>49.6</v>
      </c>
      <c r="J409" s="88">
        <f>VLOOKUP(Table91213[[#This Row],[Date]],'DB Details'!$A:$L,10)</f>
        <v>47.8</v>
      </c>
      <c r="K409" s="94"/>
      <c r="L409" s="88">
        <f>VLOOKUP(Table91213[[#This Row],[Date]],'DB Details'!$A:$L,12)</f>
        <v>48.3</v>
      </c>
    </row>
    <row r="410" spans="1:12" x14ac:dyDescent="0.35">
      <c r="A410" s="39">
        <v>29830</v>
      </c>
      <c r="B410" s="57">
        <f>VLOOKUP(Table91213[[#This Row],[Date]],'DB Details'!$A:$L,2)</f>
        <v>42.2</v>
      </c>
      <c r="C410" s="41"/>
      <c r="D410" s="55"/>
      <c r="E410" s="88">
        <f>VLOOKUP(Table91213[[#This Row],[Date]],'DB Details'!$A:$L,5)</f>
        <v>65.8</v>
      </c>
      <c r="F410" s="88">
        <f>VLOOKUP(Table91213[[#This Row],[Date]],'DB Details'!$A:$L,6)</f>
        <v>43.8</v>
      </c>
      <c r="G410" s="94"/>
      <c r="H410" s="88">
        <f>VLOOKUP(Table91213[[#This Row],[Date]],'DB Details'!$A:$L,8)</f>
        <v>41.9</v>
      </c>
      <c r="I410" s="88">
        <f>VLOOKUP(Table91213[[#This Row],[Date]],'DB Details'!$A:$L,9)</f>
        <v>45.9</v>
      </c>
      <c r="J410" s="88">
        <f>VLOOKUP(Table91213[[#This Row],[Date]],'DB Details'!$A:$L,10)</f>
        <v>39.200000000000003</v>
      </c>
      <c r="K410" s="94"/>
      <c r="L410" s="88">
        <f>VLOOKUP(Table91213[[#This Row],[Date]],'DB Details'!$A:$L,12)</f>
        <v>42.5</v>
      </c>
    </row>
    <row r="411" spans="1:12" x14ac:dyDescent="0.35">
      <c r="A411" s="39">
        <v>29860</v>
      </c>
      <c r="B411" s="57">
        <f>VLOOKUP(Table91213[[#This Row],[Date]],'DB Details'!$A:$L,2)</f>
        <v>40.200000000000003</v>
      </c>
      <c r="C411" s="41"/>
      <c r="D411" s="55"/>
      <c r="E411" s="88">
        <f>VLOOKUP(Table91213[[#This Row],[Date]],'DB Details'!$A:$L,5)</f>
        <v>57.5</v>
      </c>
      <c r="F411" s="88">
        <f>VLOOKUP(Table91213[[#This Row],[Date]],'DB Details'!$A:$L,6)</f>
        <v>39.4</v>
      </c>
      <c r="G411" s="94"/>
      <c r="H411" s="88">
        <f>VLOOKUP(Table91213[[#This Row],[Date]],'DB Details'!$A:$L,8)</f>
        <v>48.9</v>
      </c>
      <c r="I411" s="88">
        <f>VLOOKUP(Table91213[[#This Row],[Date]],'DB Details'!$A:$L,9)</f>
        <v>37.700000000000003</v>
      </c>
      <c r="J411" s="88">
        <f>VLOOKUP(Table91213[[#This Row],[Date]],'DB Details'!$A:$L,10)</f>
        <v>37.9</v>
      </c>
      <c r="K411" s="94"/>
      <c r="L411" s="88">
        <f>VLOOKUP(Table91213[[#This Row],[Date]],'DB Details'!$A:$L,12)</f>
        <v>40</v>
      </c>
    </row>
    <row r="412" spans="1:12" x14ac:dyDescent="0.35">
      <c r="A412" s="39">
        <v>29891</v>
      </c>
      <c r="B412" s="57">
        <f>VLOOKUP(Table91213[[#This Row],[Date]],'DB Details'!$A:$L,2)</f>
        <v>32.799999999999997</v>
      </c>
      <c r="C412" s="41"/>
      <c r="D412" s="55"/>
      <c r="E412" s="88">
        <f>VLOOKUP(Table91213[[#This Row],[Date]],'DB Details'!$A:$L,5)</f>
        <v>58.4</v>
      </c>
      <c r="F412" s="88">
        <f>VLOOKUP(Table91213[[#This Row],[Date]],'DB Details'!$A:$L,6)</f>
        <v>36.1</v>
      </c>
      <c r="G412" s="94"/>
      <c r="H412" s="88">
        <f>VLOOKUP(Table91213[[#This Row],[Date]],'DB Details'!$A:$L,8)</f>
        <v>42.3</v>
      </c>
      <c r="I412" s="88">
        <f>VLOOKUP(Table91213[[#This Row],[Date]],'DB Details'!$A:$L,9)</f>
        <v>40.5</v>
      </c>
      <c r="J412" s="88">
        <f>VLOOKUP(Table91213[[#This Row],[Date]],'DB Details'!$A:$L,10)</f>
        <v>34.799999999999997</v>
      </c>
      <c r="K412" s="94"/>
      <c r="L412" s="88">
        <f>VLOOKUP(Table91213[[#This Row],[Date]],'DB Details'!$A:$L,12)</f>
        <v>36.1</v>
      </c>
    </row>
    <row r="413" spans="1:12" x14ac:dyDescent="0.35">
      <c r="A413" s="39">
        <v>29921</v>
      </c>
      <c r="B413" s="57">
        <f>VLOOKUP(Table91213[[#This Row],[Date]],'DB Details'!$A:$L,2)</f>
        <v>39.1</v>
      </c>
      <c r="C413" s="41"/>
      <c r="D413" s="55"/>
      <c r="E413" s="88">
        <f>VLOOKUP(Table91213[[#This Row],[Date]],'DB Details'!$A:$L,5)</f>
        <v>54.7</v>
      </c>
      <c r="F413" s="88">
        <f>VLOOKUP(Table91213[[#This Row],[Date]],'DB Details'!$A:$L,6)</f>
        <v>37.299999999999997</v>
      </c>
      <c r="G413" s="94"/>
      <c r="H413" s="88">
        <f>VLOOKUP(Table91213[[#This Row],[Date]],'DB Details'!$A:$L,8)</f>
        <v>37.200000000000003</v>
      </c>
      <c r="I413" s="88">
        <f>VLOOKUP(Table91213[[#This Row],[Date]],'DB Details'!$A:$L,9)</f>
        <v>41.2</v>
      </c>
      <c r="J413" s="88">
        <f>VLOOKUP(Table91213[[#This Row],[Date]],'DB Details'!$A:$L,10)</f>
        <v>34</v>
      </c>
      <c r="K413" s="94"/>
      <c r="L413" s="88">
        <f>VLOOKUP(Table91213[[#This Row],[Date]],'DB Details'!$A:$L,12)</f>
        <v>37.799999999999997</v>
      </c>
    </row>
    <row r="414" spans="1:12" x14ac:dyDescent="0.35">
      <c r="A414" s="39">
        <v>29952</v>
      </c>
      <c r="B414" s="57">
        <f>VLOOKUP(Table91213[[#This Row],[Date]],'DB Details'!$A:$L,2)</f>
        <v>39.9</v>
      </c>
      <c r="C414" s="41"/>
      <c r="D414" s="55"/>
      <c r="E414" s="88">
        <f>VLOOKUP(Table91213[[#This Row],[Date]],'DB Details'!$A:$L,5)</f>
        <v>48.8</v>
      </c>
      <c r="F414" s="88">
        <f>VLOOKUP(Table91213[[#This Row],[Date]],'DB Details'!$A:$L,6)</f>
        <v>39</v>
      </c>
      <c r="G414" s="94"/>
      <c r="H414" s="88">
        <f>VLOOKUP(Table91213[[#This Row],[Date]],'DB Details'!$A:$L,8)</f>
        <v>35.799999999999997</v>
      </c>
      <c r="I414" s="88">
        <f>VLOOKUP(Table91213[[#This Row],[Date]],'DB Details'!$A:$L,9)</f>
        <v>40.1</v>
      </c>
      <c r="J414" s="88">
        <f>VLOOKUP(Table91213[[#This Row],[Date]],'DB Details'!$A:$L,10)</f>
        <v>34.5</v>
      </c>
      <c r="K414" s="94"/>
      <c r="L414" s="88">
        <f>VLOOKUP(Table91213[[#This Row],[Date]],'DB Details'!$A:$L,12)</f>
        <v>38.200000000000003</v>
      </c>
    </row>
    <row r="415" spans="1:12" x14ac:dyDescent="0.35">
      <c r="A415" s="39">
        <v>29983</v>
      </c>
      <c r="B415" s="57">
        <f>VLOOKUP(Table91213[[#This Row],[Date]],'DB Details'!$A:$L,2)</f>
        <v>38.6</v>
      </c>
      <c r="C415" s="41"/>
      <c r="D415" s="55"/>
      <c r="E415" s="88">
        <f>VLOOKUP(Table91213[[#This Row],[Date]],'DB Details'!$A:$L,5)</f>
        <v>45.3</v>
      </c>
      <c r="F415" s="88">
        <f>VLOOKUP(Table91213[[#This Row],[Date]],'DB Details'!$A:$L,6)</f>
        <v>40.1</v>
      </c>
      <c r="G415" s="94"/>
      <c r="H415" s="88">
        <f>VLOOKUP(Table91213[[#This Row],[Date]],'DB Details'!$A:$L,8)</f>
        <v>34.700000000000003</v>
      </c>
      <c r="I415" s="88">
        <f>VLOOKUP(Table91213[[#This Row],[Date]],'DB Details'!$A:$L,9)</f>
        <v>40.799999999999997</v>
      </c>
      <c r="J415" s="88">
        <f>VLOOKUP(Table91213[[#This Row],[Date]],'DB Details'!$A:$L,10)</f>
        <v>35.5</v>
      </c>
      <c r="K415" s="94"/>
      <c r="L415" s="88">
        <f>VLOOKUP(Table91213[[#This Row],[Date]],'DB Details'!$A:$L,12)</f>
        <v>38.299999999999997</v>
      </c>
    </row>
    <row r="416" spans="1:12" x14ac:dyDescent="0.35">
      <c r="A416" s="39">
        <v>30011</v>
      </c>
      <c r="B416" s="57">
        <f>VLOOKUP(Table91213[[#This Row],[Date]],'DB Details'!$A:$L,2)</f>
        <v>40.4</v>
      </c>
      <c r="C416" s="41"/>
      <c r="D416" s="55"/>
      <c r="E416" s="88">
        <f>VLOOKUP(Table91213[[#This Row],[Date]],'DB Details'!$A:$L,5)</f>
        <v>35.4</v>
      </c>
      <c r="F416" s="88">
        <f>VLOOKUP(Table91213[[#This Row],[Date]],'DB Details'!$A:$L,6)</f>
        <v>38</v>
      </c>
      <c r="G416" s="94"/>
      <c r="H416" s="88">
        <f>VLOOKUP(Table91213[[#This Row],[Date]],'DB Details'!$A:$L,8)</f>
        <v>31.2</v>
      </c>
      <c r="I416" s="88">
        <f>VLOOKUP(Table91213[[#This Row],[Date]],'DB Details'!$A:$L,9)</f>
        <v>36.4</v>
      </c>
      <c r="J416" s="88">
        <f>VLOOKUP(Table91213[[#This Row],[Date]],'DB Details'!$A:$L,10)</f>
        <v>33.1</v>
      </c>
      <c r="K416" s="94"/>
      <c r="L416" s="88">
        <f>VLOOKUP(Table91213[[#This Row],[Date]],'DB Details'!$A:$L,12)</f>
        <v>36.799999999999997</v>
      </c>
    </row>
    <row r="417" spans="1:12" x14ac:dyDescent="0.35">
      <c r="A417" s="39">
        <v>30042</v>
      </c>
      <c r="B417" s="57">
        <f>VLOOKUP(Table91213[[#This Row],[Date]],'DB Details'!$A:$L,2)</f>
        <v>40.9</v>
      </c>
      <c r="C417" s="41"/>
      <c r="D417" s="55"/>
      <c r="E417" s="88">
        <f>VLOOKUP(Table91213[[#This Row],[Date]],'DB Details'!$A:$L,5)</f>
        <v>35.700000000000003</v>
      </c>
      <c r="F417" s="88">
        <f>VLOOKUP(Table91213[[#This Row],[Date]],'DB Details'!$A:$L,6)</f>
        <v>41.3</v>
      </c>
      <c r="G417" s="94"/>
      <c r="H417" s="88">
        <f>VLOOKUP(Table91213[[#This Row],[Date]],'DB Details'!$A:$L,8)</f>
        <v>31.5</v>
      </c>
      <c r="I417" s="88">
        <f>VLOOKUP(Table91213[[#This Row],[Date]],'DB Details'!$A:$L,9)</f>
        <v>38.200000000000003</v>
      </c>
      <c r="J417" s="88">
        <f>VLOOKUP(Table91213[[#This Row],[Date]],'DB Details'!$A:$L,10)</f>
        <v>31.7</v>
      </c>
      <c r="K417" s="94"/>
      <c r="L417" s="88">
        <f>VLOOKUP(Table91213[[#This Row],[Date]],'DB Details'!$A:$L,12)</f>
        <v>37.799999999999997</v>
      </c>
    </row>
    <row r="418" spans="1:12" x14ac:dyDescent="0.35">
      <c r="A418" s="39">
        <v>30072</v>
      </c>
      <c r="B418" s="57">
        <f>VLOOKUP(Table91213[[#This Row],[Date]],'DB Details'!$A:$L,2)</f>
        <v>38.1</v>
      </c>
      <c r="C418" s="41"/>
      <c r="D418" s="55"/>
      <c r="E418" s="88">
        <f>VLOOKUP(Table91213[[#This Row],[Date]],'DB Details'!$A:$L,5)</f>
        <v>41.4</v>
      </c>
      <c r="F418" s="88">
        <f>VLOOKUP(Table91213[[#This Row],[Date]],'DB Details'!$A:$L,6)</f>
        <v>37.200000000000003</v>
      </c>
      <c r="G418" s="94"/>
      <c r="H418" s="88">
        <f>VLOOKUP(Table91213[[#This Row],[Date]],'DB Details'!$A:$L,8)</f>
        <v>28.8</v>
      </c>
      <c r="I418" s="88">
        <f>VLOOKUP(Table91213[[#This Row],[Date]],'DB Details'!$A:$L,9)</f>
        <v>42.1</v>
      </c>
      <c r="J418" s="88">
        <f>VLOOKUP(Table91213[[#This Row],[Date]],'DB Details'!$A:$L,10)</f>
        <v>27.8</v>
      </c>
      <c r="K418" s="94"/>
      <c r="L418" s="88">
        <f>VLOOKUP(Table91213[[#This Row],[Date]],'DB Details'!$A:$L,12)</f>
        <v>35.5</v>
      </c>
    </row>
    <row r="419" spans="1:12" x14ac:dyDescent="0.35">
      <c r="A419" s="39">
        <v>30103</v>
      </c>
      <c r="B419" s="57">
        <f>VLOOKUP(Table91213[[#This Row],[Date]],'DB Details'!$A:$L,2)</f>
        <v>42</v>
      </c>
      <c r="C419" s="41"/>
      <c r="D419" s="55"/>
      <c r="E419" s="88">
        <f>VLOOKUP(Table91213[[#This Row],[Date]],'DB Details'!$A:$L,5)</f>
        <v>39.6</v>
      </c>
      <c r="F419" s="88">
        <f>VLOOKUP(Table91213[[#This Row],[Date]],'DB Details'!$A:$L,6)</f>
        <v>39.4</v>
      </c>
      <c r="G419" s="94"/>
      <c r="H419" s="88">
        <f>VLOOKUP(Table91213[[#This Row],[Date]],'DB Details'!$A:$L,8)</f>
        <v>29.4</v>
      </c>
      <c r="I419" s="88">
        <f>VLOOKUP(Table91213[[#This Row],[Date]],'DB Details'!$A:$L,9)</f>
        <v>45.2</v>
      </c>
      <c r="J419" s="88">
        <f>VLOOKUP(Table91213[[#This Row],[Date]],'DB Details'!$A:$L,10)</f>
        <v>30.8</v>
      </c>
      <c r="K419" s="94"/>
      <c r="L419" s="88">
        <f>VLOOKUP(Table91213[[#This Row],[Date]],'DB Details'!$A:$L,12)</f>
        <v>38.299999999999997</v>
      </c>
    </row>
    <row r="420" spans="1:12" x14ac:dyDescent="0.35">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4"/>
      <c r="H420" s="88">
        <f>VLOOKUP(Table91213[[#This Row],[Date]],'DB Details'!$A:$L,8)</f>
        <v>29.5</v>
      </c>
      <c r="I420" s="88">
        <f>VLOOKUP(Table91213[[#This Row],[Date]],'DB Details'!$A:$L,9)</f>
        <v>45.8</v>
      </c>
      <c r="J420" s="88">
        <f>VLOOKUP(Table91213[[#This Row],[Date]],'DB Details'!$A:$L,10)</f>
        <v>30.5</v>
      </c>
      <c r="K420" s="94"/>
      <c r="L420" s="88">
        <f>VLOOKUP(Table91213[[#This Row],[Date]],'DB Details'!$A:$L,12)</f>
        <v>38.4</v>
      </c>
    </row>
    <row r="421" spans="1:12" x14ac:dyDescent="0.35">
      <c r="A421" s="39">
        <v>30164</v>
      </c>
      <c r="B421" s="57">
        <f>VLOOKUP(Table91213[[#This Row],[Date]],'DB Details'!$A:$L,2)</f>
        <v>40.1</v>
      </c>
      <c r="C421" s="41"/>
      <c r="D421" s="55"/>
      <c r="E421" s="88">
        <f>VLOOKUP(Table91213[[#This Row],[Date]],'DB Details'!$A:$L,5)</f>
        <v>39.200000000000003</v>
      </c>
      <c r="F421" s="88">
        <f>VLOOKUP(Table91213[[#This Row],[Date]],'DB Details'!$A:$L,6)</f>
        <v>39.9</v>
      </c>
      <c r="G421" s="94"/>
      <c r="H421" s="88">
        <f>VLOOKUP(Table91213[[#This Row],[Date]],'DB Details'!$A:$L,8)</f>
        <v>31.6</v>
      </c>
      <c r="I421" s="88">
        <f>VLOOKUP(Table91213[[#This Row],[Date]],'DB Details'!$A:$L,9)</f>
        <v>45.3</v>
      </c>
      <c r="J421" s="88">
        <f>VLOOKUP(Table91213[[#This Row],[Date]],'DB Details'!$A:$L,10)</f>
        <v>31.8</v>
      </c>
      <c r="K421" s="94"/>
      <c r="L421" s="88">
        <f>VLOOKUP(Table91213[[#This Row],[Date]],'DB Details'!$A:$L,12)</f>
        <v>38.299999999999997</v>
      </c>
    </row>
    <row r="422" spans="1:12" x14ac:dyDescent="0.35">
      <c r="A422" s="39">
        <v>30195</v>
      </c>
      <c r="B422" s="57">
        <f>VLOOKUP(Table91213[[#This Row],[Date]],'DB Details'!$A:$L,2)</f>
        <v>40.4</v>
      </c>
      <c r="C422" s="41"/>
      <c r="D422" s="55"/>
      <c r="E422" s="88">
        <f>VLOOKUP(Table91213[[#This Row],[Date]],'DB Details'!$A:$L,5)</f>
        <v>41.2</v>
      </c>
      <c r="F422" s="88">
        <f>VLOOKUP(Table91213[[#This Row],[Date]],'DB Details'!$A:$L,6)</f>
        <v>41.3</v>
      </c>
      <c r="G422" s="94"/>
      <c r="H422" s="88">
        <f>VLOOKUP(Table91213[[#This Row],[Date]],'DB Details'!$A:$L,8)</f>
        <v>33.6</v>
      </c>
      <c r="I422" s="88">
        <f>VLOOKUP(Table91213[[#This Row],[Date]],'DB Details'!$A:$L,9)</f>
        <v>45.9</v>
      </c>
      <c r="J422" s="88">
        <f>VLOOKUP(Table91213[[#This Row],[Date]],'DB Details'!$A:$L,10)</f>
        <v>30.6</v>
      </c>
      <c r="K422" s="94"/>
      <c r="L422" s="88">
        <f>VLOOKUP(Table91213[[#This Row],[Date]],'DB Details'!$A:$L,12)</f>
        <v>38.799999999999997</v>
      </c>
    </row>
    <row r="423" spans="1:12" x14ac:dyDescent="0.35">
      <c r="A423" s="39">
        <v>30225</v>
      </c>
      <c r="B423" s="57">
        <f>VLOOKUP(Table91213[[#This Row],[Date]],'DB Details'!$A:$L,2)</f>
        <v>41.9</v>
      </c>
      <c r="C423" s="41"/>
      <c r="D423" s="55"/>
      <c r="E423" s="88">
        <f>VLOOKUP(Table91213[[#This Row],[Date]],'DB Details'!$A:$L,5)</f>
        <v>41</v>
      </c>
      <c r="F423" s="88">
        <f>VLOOKUP(Table91213[[#This Row],[Date]],'DB Details'!$A:$L,6)</f>
        <v>42</v>
      </c>
      <c r="G423" s="94"/>
      <c r="H423" s="88">
        <f>VLOOKUP(Table91213[[#This Row],[Date]],'DB Details'!$A:$L,8)</f>
        <v>32.5</v>
      </c>
      <c r="I423" s="88">
        <f>VLOOKUP(Table91213[[#This Row],[Date]],'DB Details'!$A:$L,9)</f>
        <v>46.5</v>
      </c>
      <c r="J423" s="88">
        <f>VLOOKUP(Table91213[[#This Row],[Date]],'DB Details'!$A:$L,10)</f>
        <v>30.6</v>
      </c>
      <c r="K423" s="94"/>
      <c r="L423" s="88">
        <f>VLOOKUP(Table91213[[#This Row],[Date]],'DB Details'!$A:$L,12)</f>
        <v>39.4</v>
      </c>
    </row>
    <row r="424" spans="1:12" x14ac:dyDescent="0.35">
      <c r="A424" s="39">
        <v>30256</v>
      </c>
      <c r="B424" s="57">
        <f>VLOOKUP(Table91213[[#This Row],[Date]],'DB Details'!$A:$L,2)</f>
        <v>41.5</v>
      </c>
      <c r="C424" s="41"/>
      <c r="D424" s="55"/>
      <c r="E424" s="88">
        <f>VLOOKUP(Table91213[[#This Row],[Date]],'DB Details'!$A:$L,5)</f>
        <v>37.299999999999997</v>
      </c>
      <c r="F424" s="88">
        <f>VLOOKUP(Table91213[[#This Row],[Date]],'DB Details'!$A:$L,6)</f>
        <v>42.6</v>
      </c>
      <c r="G424" s="94"/>
      <c r="H424" s="88">
        <f>VLOOKUP(Table91213[[#This Row],[Date]],'DB Details'!$A:$L,8)</f>
        <v>33.6</v>
      </c>
      <c r="I424" s="88">
        <f>VLOOKUP(Table91213[[#This Row],[Date]],'DB Details'!$A:$L,9)</f>
        <v>46.9</v>
      </c>
      <c r="J424" s="88">
        <f>VLOOKUP(Table91213[[#This Row],[Date]],'DB Details'!$A:$L,10)</f>
        <v>28.2</v>
      </c>
      <c r="K424" s="94"/>
      <c r="L424" s="88">
        <f>VLOOKUP(Table91213[[#This Row],[Date]],'DB Details'!$A:$L,12)</f>
        <v>39.200000000000003</v>
      </c>
    </row>
    <row r="425" spans="1:12" x14ac:dyDescent="0.35">
      <c r="A425" s="39">
        <v>30286</v>
      </c>
      <c r="B425" s="57">
        <f>VLOOKUP(Table91213[[#This Row],[Date]],'DB Details'!$A:$L,2)</f>
        <v>46</v>
      </c>
      <c r="C425" s="41"/>
      <c r="D425" s="55"/>
      <c r="E425" s="88">
        <f>VLOOKUP(Table91213[[#This Row],[Date]],'DB Details'!$A:$L,5)</f>
        <v>39.1</v>
      </c>
      <c r="F425" s="88">
        <f>VLOOKUP(Table91213[[#This Row],[Date]],'DB Details'!$A:$L,6)</f>
        <v>44</v>
      </c>
      <c r="G425" s="94"/>
      <c r="H425" s="88">
        <f>VLOOKUP(Table91213[[#This Row],[Date]],'DB Details'!$A:$L,8)</f>
        <v>34.700000000000003</v>
      </c>
      <c r="I425" s="88">
        <f>VLOOKUP(Table91213[[#This Row],[Date]],'DB Details'!$A:$L,9)</f>
        <v>48.6</v>
      </c>
      <c r="J425" s="88">
        <f>VLOOKUP(Table91213[[#This Row],[Date]],'DB Details'!$A:$L,10)</f>
        <v>36.299999999999997</v>
      </c>
      <c r="K425" s="94"/>
      <c r="L425" s="88">
        <f>VLOOKUP(Table91213[[#This Row],[Date]],'DB Details'!$A:$L,12)</f>
        <v>42.8</v>
      </c>
    </row>
    <row r="426" spans="1:12" x14ac:dyDescent="0.35">
      <c r="A426" s="39">
        <v>30317</v>
      </c>
      <c r="B426" s="57">
        <f>VLOOKUP(Table91213[[#This Row],[Date]],'DB Details'!$A:$L,2)</f>
        <v>50.3</v>
      </c>
      <c r="C426" s="41"/>
      <c r="D426" s="55"/>
      <c r="E426" s="88">
        <f>VLOOKUP(Table91213[[#This Row],[Date]],'DB Details'!$A:$L,5)</f>
        <v>43.7</v>
      </c>
      <c r="F426" s="88">
        <f>VLOOKUP(Table91213[[#This Row],[Date]],'DB Details'!$A:$L,6)</f>
        <v>50.8</v>
      </c>
      <c r="G426" s="94"/>
      <c r="H426" s="88">
        <f>VLOOKUP(Table91213[[#This Row],[Date]],'DB Details'!$A:$L,8)</f>
        <v>36.299999999999997</v>
      </c>
      <c r="I426" s="88">
        <f>VLOOKUP(Table91213[[#This Row],[Date]],'DB Details'!$A:$L,9)</f>
        <v>46.7</v>
      </c>
      <c r="J426" s="88">
        <f>VLOOKUP(Table91213[[#This Row],[Date]],'DB Details'!$A:$L,10)</f>
        <v>37.700000000000003</v>
      </c>
      <c r="K426" s="94"/>
      <c r="L426" s="88">
        <f>VLOOKUP(Table91213[[#This Row],[Date]],'DB Details'!$A:$L,12)</f>
        <v>46</v>
      </c>
    </row>
    <row r="427" spans="1:12" x14ac:dyDescent="0.35">
      <c r="A427" s="39">
        <v>30348</v>
      </c>
      <c r="B427" s="57">
        <f>VLOOKUP(Table91213[[#This Row],[Date]],'DB Details'!$A:$L,2)</f>
        <v>60.6</v>
      </c>
      <c r="C427" s="41"/>
      <c r="D427" s="55"/>
      <c r="E427" s="88">
        <f>VLOOKUP(Table91213[[#This Row],[Date]],'DB Details'!$A:$L,5)</f>
        <v>48.7</v>
      </c>
      <c r="F427" s="88">
        <f>VLOOKUP(Table91213[[#This Row],[Date]],'DB Details'!$A:$L,6)</f>
        <v>61.1</v>
      </c>
      <c r="G427" s="94"/>
      <c r="H427" s="88">
        <f>VLOOKUP(Table91213[[#This Row],[Date]],'DB Details'!$A:$L,8)</f>
        <v>40.1</v>
      </c>
      <c r="I427" s="88">
        <f>VLOOKUP(Table91213[[#This Row],[Date]],'DB Details'!$A:$L,9)</f>
        <v>49.9</v>
      </c>
      <c r="J427" s="88">
        <f>VLOOKUP(Table91213[[#This Row],[Date]],'DB Details'!$A:$L,10)</f>
        <v>47.4</v>
      </c>
      <c r="K427" s="94"/>
      <c r="L427" s="88">
        <f>VLOOKUP(Table91213[[#This Row],[Date]],'DB Details'!$A:$L,12)</f>
        <v>54.4</v>
      </c>
    </row>
    <row r="428" spans="1:12" x14ac:dyDescent="0.35">
      <c r="A428" s="39">
        <v>30376</v>
      </c>
      <c r="B428" s="57">
        <f>VLOOKUP(Table91213[[#This Row],[Date]],'DB Details'!$A:$L,2)</f>
        <v>60.8</v>
      </c>
      <c r="C428" s="41"/>
      <c r="D428" s="55"/>
      <c r="E428" s="88">
        <f>VLOOKUP(Table91213[[#This Row],[Date]],'DB Details'!$A:$L,5)</f>
        <v>47.9</v>
      </c>
      <c r="F428" s="88">
        <f>VLOOKUP(Table91213[[#This Row],[Date]],'DB Details'!$A:$L,6)</f>
        <v>58.4</v>
      </c>
      <c r="G428" s="94"/>
      <c r="H428" s="88">
        <f>VLOOKUP(Table91213[[#This Row],[Date]],'DB Details'!$A:$L,8)</f>
        <v>44.2</v>
      </c>
      <c r="I428" s="88">
        <f>VLOOKUP(Table91213[[#This Row],[Date]],'DB Details'!$A:$L,9)</f>
        <v>50.8</v>
      </c>
      <c r="J428" s="88">
        <f>VLOOKUP(Table91213[[#This Row],[Date]],'DB Details'!$A:$L,10)</f>
        <v>45.1</v>
      </c>
      <c r="K428" s="94"/>
      <c r="L428" s="88">
        <f>VLOOKUP(Table91213[[#This Row],[Date]],'DB Details'!$A:$L,12)</f>
        <v>53.9</v>
      </c>
    </row>
    <row r="429" spans="1:12" x14ac:dyDescent="0.35">
      <c r="A429" s="39">
        <v>30407</v>
      </c>
      <c r="B429" s="57">
        <f>VLOOKUP(Table91213[[#This Row],[Date]],'DB Details'!$A:$L,2)</f>
        <v>59.4</v>
      </c>
      <c r="C429" s="41"/>
      <c r="D429" s="55"/>
      <c r="E429" s="88">
        <f>VLOOKUP(Table91213[[#This Row],[Date]],'DB Details'!$A:$L,5)</f>
        <v>55.6</v>
      </c>
      <c r="F429" s="88">
        <f>VLOOKUP(Table91213[[#This Row],[Date]],'DB Details'!$A:$L,6)</f>
        <v>58.2</v>
      </c>
      <c r="G429" s="94"/>
      <c r="H429" s="88">
        <f>VLOOKUP(Table91213[[#This Row],[Date]],'DB Details'!$A:$L,8)</f>
        <v>46</v>
      </c>
      <c r="I429" s="88">
        <f>VLOOKUP(Table91213[[#This Row],[Date]],'DB Details'!$A:$L,9)</f>
        <v>52.7</v>
      </c>
      <c r="J429" s="88">
        <f>VLOOKUP(Table91213[[#This Row],[Date]],'DB Details'!$A:$L,10)</f>
        <v>46.4</v>
      </c>
      <c r="K429" s="94"/>
      <c r="L429" s="88">
        <f>VLOOKUP(Table91213[[#This Row],[Date]],'DB Details'!$A:$L,12)</f>
        <v>54.2</v>
      </c>
    </row>
    <row r="430" spans="1:12" x14ac:dyDescent="0.35">
      <c r="A430" s="39">
        <v>30437</v>
      </c>
      <c r="B430" s="57">
        <f>VLOOKUP(Table91213[[#This Row],[Date]],'DB Details'!$A:$L,2)</f>
        <v>61.8</v>
      </c>
      <c r="C430" s="41"/>
      <c r="D430" s="55"/>
      <c r="E430" s="88">
        <f>VLOOKUP(Table91213[[#This Row],[Date]],'DB Details'!$A:$L,5)</f>
        <v>60.3</v>
      </c>
      <c r="F430" s="88">
        <f>VLOOKUP(Table91213[[#This Row],[Date]],'DB Details'!$A:$L,6)</f>
        <v>61.5</v>
      </c>
      <c r="G430" s="94"/>
      <c r="H430" s="88">
        <f>VLOOKUP(Table91213[[#This Row],[Date]],'DB Details'!$A:$L,8)</f>
        <v>45.7</v>
      </c>
      <c r="I430" s="88">
        <f>VLOOKUP(Table91213[[#This Row],[Date]],'DB Details'!$A:$L,9)</f>
        <v>51.9</v>
      </c>
      <c r="J430" s="88">
        <f>VLOOKUP(Table91213[[#This Row],[Date]],'DB Details'!$A:$L,10)</f>
        <v>49.2</v>
      </c>
      <c r="K430" s="94"/>
      <c r="L430" s="88">
        <f>VLOOKUP(Table91213[[#This Row],[Date]],'DB Details'!$A:$L,12)</f>
        <v>56.1</v>
      </c>
    </row>
    <row r="431" spans="1:12" x14ac:dyDescent="0.35">
      <c r="A431" s="39">
        <v>30468</v>
      </c>
      <c r="B431" s="57">
        <f>VLOOKUP(Table91213[[#This Row],[Date]],'DB Details'!$A:$L,2)</f>
        <v>62.3</v>
      </c>
      <c r="C431" s="41"/>
      <c r="D431" s="55"/>
      <c r="E431" s="88">
        <f>VLOOKUP(Table91213[[#This Row],[Date]],'DB Details'!$A:$L,5)</f>
        <v>61.5</v>
      </c>
      <c r="F431" s="88">
        <f>VLOOKUP(Table91213[[#This Row],[Date]],'DB Details'!$A:$L,6)</f>
        <v>63.2</v>
      </c>
      <c r="G431" s="94"/>
      <c r="H431" s="88">
        <f>VLOOKUP(Table91213[[#This Row],[Date]],'DB Details'!$A:$L,8)</f>
        <v>45.7</v>
      </c>
      <c r="I431" s="88">
        <f>VLOOKUP(Table91213[[#This Row],[Date]],'DB Details'!$A:$L,9)</f>
        <v>56.8</v>
      </c>
      <c r="J431" s="88">
        <f>VLOOKUP(Table91213[[#This Row],[Date]],'DB Details'!$A:$L,10)</f>
        <v>49.7</v>
      </c>
      <c r="K431" s="94"/>
      <c r="L431" s="88">
        <f>VLOOKUP(Table91213[[#This Row],[Date]],'DB Details'!$A:$L,12)</f>
        <v>57.5</v>
      </c>
    </row>
    <row r="432" spans="1:12" x14ac:dyDescent="0.35">
      <c r="A432" s="39">
        <v>30498</v>
      </c>
      <c r="B432" s="57">
        <f>VLOOKUP(Table91213[[#This Row],[Date]],'DB Details'!$A:$L,2)</f>
        <v>70.3</v>
      </c>
      <c r="C432" s="41"/>
      <c r="D432" s="55"/>
      <c r="E432" s="88">
        <f>VLOOKUP(Table91213[[#This Row],[Date]],'DB Details'!$A:$L,5)</f>
        <v>63.2</v>
      </c>
      <c r="F432" s="88">
        <f>VLOOKUP(Table91213[[#This Row],[Date]],'DB Details'!$A:$L,6)</f>
        <v>71.5</v>
      </c>
      <c r="G432" s="94"/>
      <c r="H432" s="88">
        <f>VLOOKUP(Table91213[[#This Row],[Date]],'DB Details'!$A:$L,8)</f>
        <v>50.8</v>
      </c>
      <c r="I432" s="88">
        <f>VLOOKUP(Table91213[[#This Row],[Date]],'DB Details'!$A:$L,9)</f>
        <v>58.9</v>
      </c>
      <c r="J432" s="88">
        <f>VLOOKUP(Table91213[[#This Row],[Date]],'DB Details'!$A:$L,10)</f>
        <v>53.7</v>
      </c>
      <c r="K432" s="94"/>
      <c r="L432" s="88">
        <f>VLOOKUP(Table91213[[#This Row],[Date]],'DB Details'!$A:$L,12)</f>
        <v>63.6</v>
      </c>
    </row>
    <row r="433" spans="1:12" x14ac:dyDescent="0.35">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4"/>
      <c r="H433" s="88">
        <f>VLOOKUP(Table91213[[#This Row],[Date]],'DB Details'!$A:$L,8)</f>
        <v>49.3</v>
      </c>
      <c r="I433" s="88">
        <f>VLOOKUP(Table91213[[#This Row],[Date]],'DB Details'!$A:$L,9)</f>
        <v>60.2</v>
      </c>
      <c r="J433" s="88">
        <f>VLOOKUP(Table91213[[#This Row],[Date]],'DB Details'!$A:$L,10)</f>
        <v>56</v>
      </c>
      <c r="K433" s="94"/>
      <c r="L433" s="88">
        <f>VLOOKUP(Table91213[[#This Row],[Date]],'DB Details'!$A:$L,12)</f>
        <v>63.1</v>
      </c>
    </row>
    <row r="434" spans="1:12" x14ac:dyDescent="0.35">
      <c r="A434" s="39">
        <v>30560</v>
      </c>
      <c r="B434" s="57">
        <f>VLOOKUP(Table91213[[#This Row],[Date]],'DB Details'!$A:$L,2)</f>
        <v>66.900000000000006</v>
      </c>
      <c r="C434" s="41"/>
      <c r="D434" s="55"/>
      <c r="E434" s="88">
        <f>VLOOKUP(Table91213[[#This Row],[Date]],'DB Details'!$A:$L,5)</f>
        <v>68</v>
      </c>
      <c r="F434" s="88">
        <f>VLOOKUP(Table91213[[#This Row],[Date]],'DB Details'!$A:$L,6)</f>
        <v>67.8</v>
      </c>
      <c r="G434" s="94"/>
      <c r="H434" s="88">
        <f>VLOOKUP(Table91213[[#This Row],[Date]],'DB Details'!$A:$L,8)</f>
        <v>48.6</v>
      </c>
      <c r="I434" s="88">
        <f>VLOOKUP(Table91213[[#This Row],[Date]],'DB Details'!$A:$L,9)</f>
        <v>60.7</v>
      </c>
      <c r="J434" s="88">
        <f>VLOOKUP(Table91213[[#This Row],[Date]],'DB Details'!$A:$L,10)</f>
        <v>57.8</v>
      </c>
      <c r="K434" s="94"/>
      <c r="L434" s="88">
        <f>VLOOKUP(Table91213[[#This Row],[Date]],'DB Details'!$A:$L,12)</f>
        <v>62.5</v>
      </c>
    </row>
    <row r="435" spans="1:12" x14ac:dyDescent="0.35">
      <c r="A435" s="39">
        <v>30590</v>
      </c>
      <c r="B435" s="57">
        <f>VLOOKUP(Table91213[[#This Row],[Date]],'DB Details'!$A:$L,2)</f>
        <v>69.5</v>
      </c>
      <c r="C435" s="41"/>
      <c r="D435" s="55"/>
      <c r="E435" s="88">
        <f>VLOOKUP(Table91213[[#This Row],[Date]],'DB Details'!$A:$L,5)</f>
        <v>69.3</v>
      </c>
      <c r="F435" s="88">
        <f>VLOOKUP(Table91213[[#This Row],[Date]],'DB Details'!$A:$L,6)</f>
        <v>69.599999999999994</v>
      </c>
      <c r="G435" s="94"/>
      <c r="H435" s="88">
        <f>VLOOKUP(Table91213[[#This Row],[Date]],'DB Details'!$A:$L,8)</f>
        <v>52.1</v>
      </c>
      <c r="I435" s="88">
        <f>VLOOKUP(Table91213[[#This Row],[Date]],'DB Details'!$A:$L,9)</f>
        <v>62.8</v>
      </c>
      <c r="J435" s="88">
        <f>VLOOKUP(Table91213[[#This Row],[Date]],'DB Details'!$A:$L,10)</f>
        <v>57.6</v>
      </c>
      <c r="K435" s="94"/>
      <c r="L435" s="88">
        <f>VLOOKUP(Table91213[[#This Row],[Date]],'DB Details'!$A:$L,12)</f>
        <v>64.400000000000006</v>
      </c>
    </row>
    <row r="436" spans="1:12" x14ac:dyDescent="0.35">
      <c r="A436" s="39">
        <v>30621</v>
      </c>
      <c r="B436" s="57">
        <f>VLOOKUP(Table91213[[#This Row],[Date]],'DB Details'!$A:$L,2)</f>
        <v>69.2</v>
      </c>
      <c r="C436" s="41"/>
      <c r="D436" s="55"/>
      <c r="E436" s="88">
        <f>VLOOKUP(Table91213[[#This Row],[Date]],'DB Details'!$A:$L,5)</f>
        <v>68.099999999999994</v>
      </c>
      <c r="F436" s="88">
        <f>VLOOKUP(Table91213[[#This Row],[Date]],'DB Details'!$A:$L,6)</f>
        <v>70.7</v>
      </c>
      <c r="G436" s="94"/>
      <c r="H436" s="88">
        <f>VLOOKUP(Table91213[[#This Row],[Date]],'DB Details'!$A:$L,8)</f>
        <v>55</v>
      </c>
      <c r="I436" s="88">
        <f>VLOOKUP(Table91213[[#This Row],[Date]],'DB Details'!$A:$L,9)</f>
        <v>67.5</v>
      </c>
      <c r="J436" s="88">
        <f>VLOOKUP(Table91213[[#This Row],[Date]],'DB Details'!$A:$L,10)</f>
        <v>59.7</v>
      </c>
      <c r="K436" s="94"/>
      <c r="L436" s="88">
        <f>VLOOKUP(Table91213[[#This Row],[Date]],'DB Details'!$A:$L,12)</f>
        <v>66</v>
      </c>
    </row>
    <row r="437" spans="1:12" x14ac:dyDescent="0.35">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4"/>
      <c r="H437" s="88">
        <f>VLOOKUP(Table91213[[#This Row],[Date]],'DB Details'!$A:$L,8)</f>
        <v>59.6</v>
      </c>
      <c r="I437" s="88">
        <f>VLOOKUP(Table91213[[#This Row],[Date]],'DB Details'!$A:$L,9)</f>
        <v>62.1</v>
      </c>
      <c r="J437" s="88">
        <f>VLOOKUP(Table91213[[#This Row],[Date]],'DB Details'!$A:$L,10)</f>
        <v>60.4</v>
      </c>
      <c r="K437" s="94"/>
      <c r="L437" s="88">
        <f>VLOOKUP(Table91213[[#This Row],[Date]],'DB Details'!$A:$L,12)</f>
        <v>69.900000000000006</v>
      </c>
    </row>
    <row r="438" spans="1:12" x14ac:dyDescent="0.35">
      <c r="A438" s="39">
        <v>30682</v>
      </c>
      <c r="B438" s="57">
        <f>VLOOKUP(Table91213[[#This Row],[Date]],'DB Details'!$A:$L,2)</f>
        <v>63.7</v>
      </c>
      <c r="C438" s="41"/>
      <c r="D438" s="55"/>
      <c r="E438" s="88">
        <f>VLOOKUP(Table91213[[#This Row],[Date]],'DB Details'!$A:$L,5)</f>
        <v>64.400000000000006</v>
      </c>
      <c r="F438" s="88">
        <f>VLOOKUP(Table91213[[#This Row],[Date]],'DB Details'!$A:$L,6)</f>
        <v>59.9</v>
      </c>
      <c r="G438" s="94"/>
      <c r="H438" s="88">
        <f>VLOOKUP(Table91213[[#This Row],[Date]],'DB Details'!$A:$L,8)</f>
        <v>52.7</v>
      </c>
      <c r="I438" s="88">
        <f>VLOOKUP(Table91213[[#This Row],[Date]],'DB Details'!$A:$L,9)</f>
        <v>64.400000000000006</v>
      </c>
      <c r="J438" s="88">
        <f>VLOOKUP(Table91213[[#This Row],[Date]],'DB Details'!$A:$L,10)</f>
        <v>57.6</v>
      </c>
      <c r="K438" s="94"/>
      <c r="L438" s="88">
        <f>VLOOKUP(Table91213[[#This Row],[Date]],'DB Details'!$A:$L,12)</f>
        <v>60.5</v>
      </c>
    </row>
    <row r="439" spans="1:12" x14ac:dyDescent="0.35">
      <c r="A439" s="39">
        <v>30713</v>
      </c>
      <c r="B439" s="57">
        <f>VLOOKUP(Table91213[[#This Row],[Date]],'DB Details'!$A:$L,2)</f>
        <v>64.900000000000006</v>
      </c>
      <c r="C439" s="41"/>
      <c r="D439" s="55"/>
      <c r="E439" s="88">
        <f>VLOOKUP(Table91213[[#This Row],[Date]],'DB Details'!$A:$L,5)</f>
        <v>71.099999999999994</v>
      </c>
      <c r="F439" s="88">
        <f>VLOOKUP(Table91213[[#This Row],[Date]],'DB Details'!$A:$L,6)</f>
        <v>64</v>
      </c>
      <c r="G439" s="94"/>
      <c r="H439" s="88">
        <f>VLOOKUP(Table91213[[#This Row],[Date]],'DB Details'!$A:$L,8)</f>
        <v>52.7</v>
      </c>
      <c r="I439" s="88">
        <f>VLOOKUP(Table91213[[#This Row],[Date]],'DB Details'!$A:$L,9)</f>
        <v>61.5</v>
      </c>
      <c r="J439" s="88">
        <f>VLOOKUP(Table91213[[#This Row],[Date]],'DB Details'!$A:$L,10)</f>
        <v>56.4</v>
      </c>
      <c r="K439" s="94"/>
      <c r="L439" s="88">
        <f>VLOOKUP(Table91213[[#This Row],[Date]],'DB Details'!$A:$L,12)</f>
        <v>61.3</v>
      </c>
    </row>
    <row r="440" spans="1:12" x14ac:dyDescent="0.35">
      <c r="A440" s="39">
        <v>30742</v>
      </c>
      <c r="B440" s="57">
        <f>VLOOKUP(Table91213[[#This Row],[Date]],'DB Details'!$A:$L,2)</f>
        <v>60.9</v>
      </c>
      <c r="C440" s="41"/>
      <c r="D440" s="55"/>
      <c r="E440" s="88">
        <f>VLOOKUP(Table91213[[#This Row],[Date]],'DB Details'!$A:$L,5)</f>
        <v>73.599999999999994</v>
      </c>
      <c r="F440" s="88">
        <f>VLOOKUP(Table91213[[#This Row],[Date]],'DB Details'!$A:$L,6)</f>
        <v>61.5</v>
      </c>
      <c r="G440" s="94"/>
      <c r="H440" s="88">
        <f>VLOOKUP(Table91213[[#This Row],[Date]],'DB Details'!$A:$L,8)</f>
        <v>52.7</v>
      </c>
      <c r="I440" s="88">
        <f>VLOOKUP(Table91213[[#This Row],[Date]],'DB Details'!$A:$L,9)</f>
        <v>65.5</v>
      </c>
      <c r="J440" s="88">
        <f>VLOOKUP(Table91213[[#This Row],[Date]],'DB Details'!$A:$L,10)</f>
        <v>51.1</v>
      </c>
      <c r="K440" s="94"/>
      <c r="L440" s="88">
        <f>VLOOKUP(Table91213[[#This Row],[Date]],'DB Details'!$A:$L,12)</f>
        <v>58.9</v>
      </c>
    </row>
    <row r="441" spans="1:12" x14ac:dyDescent="0.35">
      <c r="A441" s="39">
        <v>30773</v>
      </c>
      <c r="B441" s="57">
        <f>VLOOKUP(Table91213[[#This Row],[Date]],'DB Details'!$A:$L,2)</f>
        <v>63.2</v>
      </c>
      <c r="C441" s="41"/>
      <c r="D441" s="55"/>
      <c r="E441" s="88">
        <f>VLOOKUP(Table91213[[#This Row],[Date]],'DB Details'!$A:$L,5)</f>
        <v>71.900000000000006</v>
      </c>
      <c r="F441" s="88">
        <f>VLOOKUP(Table91213[[#This Row],[Date]],'DB Details'!$A:$L,6)</f>
        <v>62.3</v>
      </c>
      <c r="G441" s="94"/>
      <c r="H441" s="88">
        <f>VLOOKUP(Table91213[[#This Row],[Date]],'DB Details'!$A:$L,8)</f>
        <v>54</v>
      </c>
      <c r="I441" s="88">
        <f>VLOOKUP(Table91213[[#This Row],[Date]],'DB Details'!$A:$L,9)</f>
        <v>64.599999999999994</v>
      </c>
      <c r="J441" s="88">
        <f>VLOOKUP(Table91213[[#This Row],[Date]],'DB Details'!$A:$L,10)</f>
        <v>56.8</v>
      </c>
      <c r="K441" s="94"/>
      <c r="L441" s="88">
        <f>VLOOKUP(Table91213[[#This Row],[Date]],'DB Details'!$A:$L,12)</f>
        <v>61</v>
      </c>
    </row>
    <row r="442" spans="1:12" x14ac:dyDescent="0.35">
      <c r="A442" s="39">
        <v>30803</v>
      </c>
      <c r="B442" s="57">
        <f>VLOOKUP(Table91213[[#This Row],[Date]],'DB Details'!$A:$L,2)</f>
        <v>59.2</v>
      </c>
      <c r="C442" s="41"/>
      <c r="D442" s="55"/>
      <c r="E442" s="88">
        <f>VLOOKUP(Table91213[[#This Row],[Date]],'DB Details'!$A:$L,5)</f>
        <v>62.5</v>
      </c>
      <c r="F442" s="88">
        <f>VLOOKUP(Table91213[[#This Row],[Date]],'DB Details'!$A:$L,6)</f>
        <v>59.3</v>
      </c>
      <c r="G442" s="94"/>
      <c r="H442" s="88">
        <f>VLOOKUP(Table91213[[#This Row],[Date]],'DB Details'!$A:$L,8)</f>
        <v>54.1</v>
      </c>
      <c r="I442" s="88">
        <f>VLOOKUP(Table91213[[#This Row],[Date]],'DB Details'!$A:$L,9)</f>
        <v>62.5</v>
      </c>
      <c r="J442" s="88">
        <f>VLOOKUP(Table91213[[#This Row],[Date]],'DB Details'!$A:$L,10)</f>
        <v>56.2</v>
      </c>
      <c r="K442" s="94"/>
      <c r="L442" s="88">
        <f>VLOOKUP(Table91213[[#This Row],[Date]],'DB Details'!$A:$L,12)</f>
        <v>58.6</v>
      </c>
    </row>
    <row r="443" spans="1:12" x14ac:dyDescent="0.35">
      <c r="A443" s="39">
        <v>30834</v>
      </c>
      <c r="B443" s="57">
        <f>VLOOKUP(Table91213[[#This Row],[Date]],'DB Details'!$A:$L,2)</f>
        <v>60.5</v>
      </c>
      <c r="C443" s="41"/>
      <c r="D443" s="55"/>
      <c r="E443" s="88">
        <f>VLOOKUP(Table91213[[#This Row],[Date]],'DB Details'!$A:$L,5)</f>
        <v>64</v>
      </c>
      <c r="F443" s="88">
        <f>VLOOKUP(Table91213[[#This Row],[Date]],'DB Details'!$A:$L,6)</f>
        <v>62.3</v>
      </c>
      <c r="G443" s="94"/>
      <c r="H443" s="88">
        <f>VLOOKUP(Table91213[[#This Row],[Date]],'DB Details'!$A:$L,8)</f>
        <v>56.3</v>
      </c>
      <c r="I443" s="88">
        <f>VLOOKUP(Table91213[[#This Row],[Date]],'DB Details'!$A:$L,9)</f>
        <v>56.2</v>
      </c>
      <c r="J443" s="88">
        <f>VLOOKUP(Table91213[[#This Row],[Date]],'DB Details'!$A:$L,10)</f>
        <v>51.7</v>
      </c>
      <c r="K443" s="94"/>
      <c r="L443" s="88">
        <f>VLOOKUP(Table91213[[#This Row],[Date]],'DB Details'!$A:$L,12)</f>
        <v>58.1</v>
      </c>
    </row>
    <row r="444" spans="1:12" x14ac:dyDescent="0.35">
      <c r="A444" s="39">
        <v>30864</v>
      </c>
      <c r="B444" s="57">
        <f>VLOOKUP(Table91213[[#This Row],[Date]],'DB Details'!$A:$L,2)</f>
        <v>54.1</v>
      </c>
      <c r="C444" s="41"/>
      <c r="D444" s="55"/>
      <c r="E444" s="88">
        <f>VLOOKUP(Table91213[[#This Row],[Date]],'DB Details'!$A:$L,5)</f>
        <v>61.3</v>
      </c>
      <c r="F444" s="88">
        <f>VLOOKUP(Table91213[[#This Row],[Date]],'DB Details'!$A:$L,6)</f>
        <v>58.2</v>
      </c>
      <c r="G444" s="94"/>
      <c r="H444" s="88">
        <f>VLOOKUP(Table91213[[#This Row],[Date]],'DB Details'!$A:$L,8)</f>
        <v>57.8</v>
      </c>
      <c r="I444" s="88">
        <f>VLOOKUP(Table91213[[#This Row],[Date]],'DB Details'!$A:$L,9)</f>
        <v>59.1</v>
      </c>
      <c r="J444" s="88">
        <f>VLOOKUP(Table91213[[#This Row],[Date]],'DB Details'!$A:$L,10)</f>
        <v>53.5</v>
      </c>
      <c r="K444" s="94"/>
      <c r="L444" s="88">
        <f>VLOOKUP(Table91213[[#This Row],[Date]],'DB Details'!$A:$L,12)</f>
        <v>56.1</v>
      </c>
    </row>
    <row r="445" spans="1:12" x14ac:dyDescent="0.35">
      <c r="A445" s="39">
        <v>30895</v>
      </c>
      <c r="B445" s="57">
        <f>VLOOKUP(Table91213[[#This Row],[Date]],'DB Details'!$A:$L,2)</f>
        <v>54</v>
      </c>
      <c r="C445" s="41"/>
      <c r="D445" s="55"/>
      <c r="E445" s="88">
        <f>VLOOKUP(Table91213[[#This Row],[Date]],'DB Details'!$A:$L,5)</f>
        <v>58.7</v>
      </c>
      <c r="F445" s="88">
        <f>VLOOKUP(Table91213[[#This Row],[Date]],'DB Details'!$A:$L,6)</f>
        <v>54.3</v>
      </c>
      <c r="G445" s="94"/>
      <c r="H445" s="88">
        <f>VLOOKUP(Table91213[[#This Row],[Date]],'DB Details'!$A:$L,8)</f>
        <v>49.1</v>
      </c>
      <c r="I445" s="88">
        <f>VLOOKUP(Table91213[[#This Row],[Date]],'DB Details'!$A:$L,9)</f>
        <v>55.2</v>
      </c>
      <c r="J445" s="88">
        <f>VLOOKUP(Table91213[[#This Row],[Date]],'DB Details'!$A:$L,10)</f>
        <v>50.4</v>
      </c>
      <c r="K445" s="94"/>
      <c r="L445" s="88">
        <f>VLOOKUP(Table91213[[#This Row],[Date]],'DB Details'!$A:$L,12)</f>
        <v>53</v>
      </c>
    </row>
    <row r="446" spans="1:12" x14ac:dyDescent="0.35">
      <c r="A446" s="39">
        <v>30926</v>
      </c>
      <c r="B446" s="57">
        <f>VLOOKUP(Table91213[[#This Row],[Date]],'DB Details'!$A:$L,2)</f>
        <v>47.2</v>
      </c>
      <c r="C446" s="41"/>
      <c r="D446" s="55"/>
      <c r="E446" s="88">
        <f>VLOOKUP(Table91213[[#This Row],[Date]],'DB Details'!$A:$L,5)</f>
        <v>53.4</v>
      </c>
      <c r="F446" s="88">
        <f>VLOOKUP(Table91213[[#This Row],[Date]],'DB Details'!$A:$L,6)</f>
        <v>52.2</v>
      </c>
      <c r="G446" s="94"/>
      <c r="H446" s="88">
        <f>VLOOKUP(Table91213[[#This Row],[Date]],'DB Details'!$A:$L,8)</f>
        <v>46.8</v>
      </c>
      <c r="I446" s="88">
        <f>VLOOKUP(Table91213[[#This Row],[Date]],'DB Details'!$A:$L,9)</f>
        <v>52.8</v>
      </c>
      <c r="J446" s="88">
        <f>VLOOKUP(Table91213[[#This Row],[Date]],'DB Details'!$A:$L,10)</f>
        <v>51.1</v>
      </c>
      <c r="K446" s="94"/>
      <c r="L446" s="88">
        <f>VLOOKUP(Table91213[[#This Row],[Date]],'DB Details'!$A:$L,12)</f>
        <v>50</v>
      </c>
    </row>
    <row r="447" spans="1:12" x14ac:dyDescent="0.35">
      <c r="A447" s="39">
        <v>30956</v>
      </c>
      <c r="B447" s="57">
        <f>VLOOKUP(Table91213[[#This Row],[Date]],'DB Details'!$A:$L,2)</f>
        <v>52.9</v>
      </c>
      <c r="C447" s="41"/>
      <c r="D447" s="55"/>
      <c r="E447" s="88">
        <f>VLOOKUP(Table91213[[#This Row],[Date]],'DB Details'!$A:$L,5)</f>
        <v>51.7</v>
      </c>
      <c r="F447" s="88">
        <f>VLOOKUP(Table91213[[#This Row],[Date]],'DB Details'!$A:$L,6)</f>
        <v>53.4</v>
      </c>
      <c r="G447" s="94"/>
      <c r="H447" s="88">
        <f>VLOOKUP(Table91213[[#This Row],[Date]],'DB Details'!$A:$L,8)</f>
        <v>45.6</v>
      </c>
      <c r="I447" s="88">
        <f>VLOOKUP(Table91213[[#This Row],[Date]],'DB Details'!$A:$L,9)</f>
        <v>49.3</v>
      </c>
      <c r="J447" s="88">
        <f>VLOOKUP(Table91213[[#This Row],[Date]],'DB Details'!$A:$L,10)</f>
        <v>48.1</v>
      </c>
      <c r="K447" s="94"/>
      <c r="L447" s="88">
        <f>VLOOKUP(Table91213[[#This Row],[Date]],'DB Details'!$A:$L,12)</f>
        <v>50.8</v>
      </c>
    </row>
    <row r="448" spans="1:12" x14ac:dyDescent="0.35">
      <c r="A448" s="39">
        <v>30987</v>
      </c>
      <c r="B448" s="57">
        <f>VLOOKUP(Table91213[[#This Row],[Date]],'DB Details'!$A:$L,2)</f>
        <v>52</v>
      </c>
      <c r="C448" s="41"/>
      <c r="D448" s="55"/>
      <c r="E448" s="88">
        <f>VLOOKUP(Table91213[[#This Row],[Date]],'DB Details'!$A:$L,5)</f>
        <v>55</v>
      </c>
      <c r="F448" s="88">
        <f>VLOOKUP(Table91213[[#This Row],[Date]],'DB Details'!$A:$L,6)</f>
        <v>53.8</v>
      </c>
      <c r="G448" s="94"/>
      <c r="H448" s="88">
        <f>VLOOKUP(Table91213[[#This Row],[Date]],'DB Details'!$A:$L,8)</f>
        <v>45.7</v>
      </c>
      <c r="I448" s="88">
        <f>VLOOKUP(Table91213[[#This Row],[Date]],'DB Details'!$A:$L,9)</f>
        <v>48.1</v>
      </c>
      <c r="J448" s="88">
        <f>VLOOKUP(Table91213[[#This Row],[Date]],'DB Details'!$A:$L,10)</f>
        <v>47.4</v>
      </c>
      <c r="K448" s="94"/>
      <c r="L448" s="88">
        <f>VLOOKUP(Table91213[[#This Row],[Date]],'DB Details'!$A:$L,12)</f>
        <v>50.3</v>
      </c>
    </row>
    <row r="449" spans="1:12" x14ac:dyDescent="0.35">
      <c r="A449" s="39">
        <v>31017</v>
      </c>
      <c r="B449" s="57">
        <f>VLOOKUP(Table91213[[#This Row],[Date]],'DB Details'!$A:$L,2)</f>
        <v>52.8</v>
      </c>
      <c r="C449" s="41"/>
      <c r="D449" s="55"/>
      <c r="E449" s="88">
        <f>VLOOKUP(Table91213[[#This Row],[Date]],'DB Details'!$A:$L,5)</f>
        <v>50.7</v>
      </c>
      <c r="F449" s="88">
        <f>VLOOKUP(Table91213[[#This Row],[Date]],'DB Details'!$A:$L,6)</f>
        <v>54.9</v>
      </c>
      <c r="G449" s="94"/>
      <c r="H449" s="88">
        <f>VLOOKUP(Table91213[[#This Row],[Date]],'DB Details'!$A:$L,8)</f>
        <v>47.3</v>
      </c>
      <c r="I449" s="88">
        <f>VLOOKUP(Table91213[[#This Row],[Date]],'DB Details'!$A:$L,9)</f>
        <v>48.8</v>
      </c>
      <c r="J449" s="88">
        <f>VLOOKUP(Table91213[[#This Row],[Date]],'DB Details'!$A:$L,10)</f>
        <v>45.2</v>
      </c>
      <c r="K449" s="94"/>
      <c r="L449" s="88">
        <f>VLOOKUP(Table91213[[#This Row],[Date]],'DB Details'!$A:$L,12)</f>
        <v>50.6</v>
      </c>
    </row>
    <row r="450" spans="1:12" x14ac:dyDescent="0.35">
      <c r="A450" s="39">
        <v>31048</v>
      </c>
      <c r="B450" s="57">
        <f>VLOOKUP(Table91213[[#This Row],[Date]],'DB Details'!$A:$L,2)</f>
        <v>51.8</v>
      </c>
      <c r="C450" s="41"/>
      <c r="D450" s="55"/>
      <c r="E450" s="88">
        <f>VLOOKUP(Table91213[[#This Row],[Date]],'DB Details'!$A:$L,5)</f>
        <v>47.6</v>
      </c>
      <c r="F450" s="88">
        <f>VLOOKUP(Table91213[[#This Row],[Date]],'DB Details'!$A:$L,6)</f>
        <v>54.9</v>
      </c>
      <c r="G450" s="94"/>
      <c r="H450" s="88">
        <f>VLOOKUP(Table91213[[#This Row],[Date]],'DB Details'!$A:$L,8)</f>
        <v>45.9</v>
      </c>
      <c r="I450" s="88">
        <f>VLOOKUP(Table91213[[#This Row],[Date]],'DB Details'!$A:$L,9)</f>
        <v>50.4</v>
      </c>
      <c r="J450" s="88">
        <f>VLOOKUP(Table91213[[#This Row],[Date]],'DB Details'!$A:$L,10)</f>
        <v>44.4</v>
      </c>
      <c r="K450" s="94"/>
      <c r="L450" s="88">
        <f>VLOOKUP(Table91213[[#This Row],[Date]],'DB Details'!$A:$L,12)</f>
        <v>50.3</v>
      </c>
    </row>
    <row r="451" spans="1:12" x14ac:dyDescent="0.35">
      <c r="A451" s="39">
        <v>31079</v>
      </c>
      <c r="B451" s="57">
        <f>VLOOKUP(Table91213[[#This Row],[Date]],'DB Details'!$A:$L,2)</f>
        <v>51.8</v>
      </c>
      <c r="C451" s="41"/>
      <c r="D451" s="55"/>
      <c r="E451" s="88">
        <f>VLOOKUP(Table91213[[#This Row],[Date]],'DB Details'!$A:$L,5)</f>
        <v>44.8</v>
      </c>
      <c r="F451" s="88">
        <f>VLOOKUP(Table91213[[#This Row],[Date]],'DB Details'!$A:$L,6)</f>
        <v>54.2</v>
      </c>
      <c r="G451" s="94"/>
      <c r="H451" s="88">
        <f>VLOOKUP(Table91213[[#This Row],[Date]],'DB Details'!$A:$L,8)</f>
        <v>44.8</v>
      </c>
      <c r="I451" s="88">
        <f>VLOOKUP(Table91213[[#This Row],[Date]],'DB Details'!$A:$L,9)</f>
        <v>48.6</v>
      </c>
      <c r="J451" s="88">
        <f>VLOOKUP(Table91213[[#This Row],[Date]],'DB Details'!$A:$L,10)</f>
        <v>45.2</v>
      </c>
      <c r="K451" s="94"/>
      <c r="L451" s="88">
        <f>VLOOKUP(Table91213[[#This Row],[Date]],'DB Details'!$A:$L,12)</f>
        <v>49.9</v>
      </c>
    </row>
    <row r="452" spans="1:12" x14ac:dyDescent="0.35">
      <c r="A452" s="39">
        <v>31107</v>
      </c>
      <c r="B452" s="57">
        <f>VLOOKUP(Table91213[[#This Row],[Date]],'DB Details'!$A:$L,2)</f>
        <v>49.1</v>
      </c>
      <c r="C452" s="41"/>
      <c r="D452" s="55"/>
      <c r="E452" s="88">
        <f>VLOOKUP(Table91213[[#This Row],[Date]],'DB Details'!$A:$L,5)</f>
        <v>46.2</v>
      </c>
      <c r="F452" s="88">
        <f>VLOOKUP(Table91213[[#This Row],[Date]],'DB Details'!$A:$L,6)</f>
        <v>51.2</v>
      </c>
      <c r="G452" s="94"/>
      <c r="H452" s="88">
        <f>VLOOKUP(Table91213[[#This Row],[Date]],'DB Details'!$A:$L,8)</f>
        <v>44</v>
      </c>
      <c r="I452" s="88">
        <f>VLOOKUP(Table91213[[#This Row],[Date]],'DB Details'!$A:$L,9)</f>
        <v>46.7</v>
      </c>
      <c r="J452" s="88">
        <f>VLOOKUP(Table91213[[#This Row],[Date]],'DB Details'!$A:$L,10)</f>
        <v>44.2</v>
      </c>
      <c r="K452" s="94"/>
      <c r="L452" s="88">
        <f>VLOOKUP(Table91213[[#This Row],[Date]],'DB Details'!$A:$L,12)</f>
        <v>47.8</v>
      </c>
    </row>
    <row r="453" spans="1:12" x14ac:dyDescent="0.35">
      <c r="A453" s="39">
        <v>31138</v>
      </c>
      <c r="B453" s="57">
        <f>VLOOKUP(Table91213[[#This Row],[Date]],'DB Details'!$A:$L,2)</f>
        <v>51.3</v>
      </c>
      <c r="C453" s="41"/>
      <c r="D453" s="55"/>
      <c r="E453" s="88">
        <f>VLOOKUP(Table91213[[#This Row],[Date]],'DB Details'!$A:$L,5)</f>
        <v>44.1</v>
      </c>
      <c r="F453" s="88">
        <f>VLOOKUP(Table91213[[#This Row],[Date]],'DB Details'!$A:$L,6)</f>
        <v>51.6</v>
      </c>
      <c r="G453" s="94"/>
      <c r="H453" s="88">
        <f>VLOOKUP(Table91213[[#This Row],[Date]],'DB Details'!$A:$L,8)</f>
        <v>43.8</v>
      </c>
      <c r="I453" s="88">
        <f>VLOOKUP(Table91213[[#This Row],[Date]],'DB Details'!$A:$L,9)</f>
        <v>46.1</v>
      </c>
      <c r="J453" s="88">
        <f>VLOOKUP(Table91213[[#This Row],[Date]],'DB Details'!$A:$L,10)</f>
        <v>43.2</v>
      </c>
      <c r="K453" s="94"/>
      <c r="L453" s="88">
        <f>VLOOKUP(Table91213[[#This Row],[Date]],'DB Details'!$A:$L,12)</f>
        <v>48.2</v>
      </c>
    </row>
    <row r="454" spans="1:12" x14ac:dyDescent="0.35">
      <c r="A454" s="39">
        <v>31168</v>
      </c>
      <c r="B454" s="57">
        <f>VLOOKUP(Table91213[[#This Row],[Date]],'DB Details'!$A:$L,2)</f>
        <v>49.5</v>
      </c>
      <c r="C454" s="41"/>
      <c r="D454" s="55"/>
      <c r="E454" s="88">
        <f>VLOOKUP(Table91213[[#This Row],[Date]],'DB Details'!$A:$L,5)</f>
        <v>48.7</v>
      </c>
      <c r="F454" s="88">
        <f>VLOOKUP(Table91213[[#This Row],[Date]],'DB Details'!$A:$L,6)</f>
        <v>51.9</v>
      </c>
      <c r="G454" s="94"/>
      <c r="H454" s="88">
        <f>VLOOKUP(Table91213[[#This Row],[Date]],'DB Details'!$A:$L,8)</f>
        <v>40.4</v>
      </c>
      <c r="I454" s="88">
        <f>VLOOKUP(Table91213[[#This Row],[Date]],'DB Details'!$A:$L,9)</f>
        <v>48</v>
      </c>
      <c r="J454" s="88">
        <f>VLOOKUP(Table91213[[#This Row],[Date]],'DB Details'!$A:$L,10)</f>
        <v>40.4</v>
      </c>
      <c r="K454" s="94"/>
      <c r="L454" s="88">
        <f>VLOOKUP(Table91213[[#This Row],[Date]],'DB Details'!$A:$L,12)</f>
        <v>47.1</v>
      </c>
    </row>
    <row r="455" spans="1:12" x14ac:dyDescent="0.35">
      <c r="A455" s="39">
        <v>31199</v>
      </c>
      <c r="B455" s="57">
        <f>VLOOKUP(Table91213[[#This Row],[Date]],'DB Details'!$A:$L,2)</f>
        <v>50.7</v>
      </c>
      <c r="C455" s="41"/>
      <c r="D455" s="55"/>
      <c r="E455" s="88">
        <f>VLOOKUP(Table91213[[#This Row],[Date]],'DB Details'!$A:$L,5)</f>
        <v>42.4</v>
      </c>
      <c r="F455" s="88">
        <f>VLOOKUP(Table91213[[#This Row],[Date]],'DB Details'!$A:$L,6)</f>
        <v>50.5</v>
      </c>
      <c r="G455" s="94"/>
      <c r="H455" s="88">
        <f>VLOOKUP(Table91213[[#This Row],[Date]],'DB Details'!$A:$L,8)</f>
        <v>40.200000000000003</v>
      </c>
      <c r="I455" s="88">
        <f>VLOOKUP(Table91213[[#This Row],[Date]],'DB Details'!$A:$L,9)</f>
        <v>47.1</v>
      </c>
      <c r="J455" s="88">
        <f>VLOOKUP(Table91213[[#This Row],[Date]],'DB Details'!$A:$L,10)</f>
        <v>44.5</v>
      </c>
      <c r="K455" s="94"/>
      <c r="L455" s="88">
        <f>VLOOKUP(Table91213[[#This Row],[Date]],'DB Details'!$A:$L,12)</f>
        <v>47.8</v>
      </c>
    </row>
    <row r="456" spans="1:12" x14ac:dyDescent="0.35">
      <c r="A456" s="39">
        <v>31229</v>
      </c>
      <c r="B456" s="57">
        <f>VLOOKUP(Table91213[[#This Row],[Date]],'DB Details'!$A:$L,2)</f>
        <v>52.5</v>
      </c>
      <c r="C456" s="41"/>
      <c r="D456" s="55"/>
      <c r="E456" s="88">
        <f>VLOOKUP(Table91213[[#This Row],[Date]],'DB Details'!$A:$L,5)</f>
        <v>45.6</v>
      </c>
      <c r="F456" s="88">
        <f>VLOOKUP(Table91213[[#This Row],[Date]],'DB Details'!$A:$L,6)</f>
        <v>48.2</v>
      </c>
      <c r="G456" s="94"/>
      <c r="H456" s="88">
        <f>VLOOKUP(Table91213[[#This Row],[Date]],'DB Details'!$A:$L,8)</f>
        <v>41.8</v>
      </c>
      <c r="I456" s="88">
        <f>VLOOKUP(Table91213[[#This Row],[Date]],'DB Details'!$A:$L,9)</f>
        <v>45.7</v>
      </c>
      <c r="J456" s="88">
        <f>VLOOKUP(Table91213[[#This Row],[Date]],'DB Details'!$A:$L,10)</f>
        <v>45.2</v>
      </c>
      <c r="K456" s="94"/>
      <c r="L456" s="88">
        <f>VLOOKUP(Table91213[[#This Row],[Date]],'DB Details'!$A:$L,12)</f>
        <v>47.9</v>
      </c>
    </row>
    <row r="457" spans="1:12" x14ac:dyDescent="0.35">
      <c r="A457" s="39">
        <v>31260</v>
      </c>
      <c r="B457" s="57">
        <f>VLOOKUP(Table91213[[#This Row],[Date]],'DB Details'!$A:$L,2)</f>
        <v>51.8</v>
      </c>
      <c r="C457" s="41"/>
      <c r="D457" s="55"/>
      <c r="E457" s="88">
        <f>VLOOKUP(Table91213[[#This Row],[Date]],'DB Details'!$A:$L,5)</f>
        <v>44</v>
      </c>
      <c r="F457" s="88">
        <f>VLOOKUP(Table91213[[#This Row],[Date]],'DB Details'!$A:$L,6)</f>
        <v>50.6</v>
      </c>
      <c r="G457" s="94"/>
      <c r="H457" s="88">
        <f>VLOOKUP(Table91213[[#This Row],[Date]],'DB Details'!$A:$L,8)</f>
        <v>43</v>
      </c>
      <c r="I457" s="88">
        <f>VLOOKUP(Table91213[[#This Row],[Date]],'DB Details'!$A:$L,9)</f>
        <v>46.6</v>
      </c>
      <c r="J457" s="88">
        <f>VLOOKUP(Table91213[[#This Row],[Date]],'DB Details'!$A:$L,10)</f>
        <v>41.1</v>
      </c>
      <c r="K457" s="94"/>
      <c r="L457" s="88">
        <f>VLOOKUP(Table91213[[#This Row],[Date]],'DB Details'!$A:$L,12)</f>
        <v>47.7</v>
      </c>
    </row>
    <row r="458" spans="1:12" x14ac:dyDescent="0.35">
      <c r="A458" s="39">
        <v>31291</v>
      </c>
      <c r="B458" s="57">
        <f>VLOOKUP(Table91213[[#This Row],[Date]],'DB Details'!$A:$L,2)</f>
        <v>54.6</v>
      </c>
      <c r="C458" s="41"/>
      <c r="D458" s="55"/>
      <c r="E458" s="88">
        <f>VLOOKUP(Table91213[[#This Row],[Date]],'DB Details'!$A:$L,5)</f>
        <v>44.3</v>
      </c>
      <c r="F458" s="88">
        <f>VLOOKUP(Table91213[[#This Row],[Date]],'DB Details'!$A:$L,6)</f>
        <v>52.8</v>
      </c>
      <c r="G458" s="94"/>
      <c r="H458" s="88">
        <f>VLOOKUP(Table91213[[#This Row],[Date]],'DB Details'!$A:$L,8)</f>
        <v>45.5</v>
      </c>
      <c r="I458" s="88">
        <f>VLOOKUP(Table91213[[#This Row],[Date]],'DB Details'!$A:$L,9)</f>
        <v>49.5</v>
      </c>
      <c r="J458" s="88">
        <f>VLOOKUP(Table91213[[#This Row],[Date]],'DB Details'!$A:$L,10)</f>
        <v>41.8</v>
      </c>
      <c r="K458" s="94"/>
      <c r="L458" s="88">
        <f>VLOOKUP(Table91213[[#This Row],[Date]],'DB Details'!$A:$L,12)</f>
        <v>49.9</v>
      </c>
    </row>
    <row r="459" spans="1:12" x14ac:dyDescent="0.35">
      <c r="A459" s="39">
        <v>31321</v>
      </c>
      <c r="B459" s="57">
        <f>VLOOKUP(Table91213[[#This Row],[Date]],'DB Details'!$A:$L,2)</f>
        <v>53.4</v>
      </c>
      <c r="C459" s="41"/>
      <c r="D459" s="55"/>
      <c r="E459" s="88">
        <f>VLOOKUP(Table91213[[#This Row],[Date]],'DB Details'!$A:$L,5)</f>
        <v>46.4</v>
      </c>
      <c r="F459" s="88">
        <f>VLOOKUP(Table91213[[#This Row],[Date]],'DB Details'!$A:$L,6)</f>
        <v>54.9</v>
      </c>
      <c r="G459" s="94"/>
      <c r="H459" s="88">
        <f>VLOOKUP(Table91213[[#This Row],[Date]],'DB Details'!$A:$L,8)</f>
        <v>45.9</v>
      </c>
      <c r="I459" s="88">
        <f>VLOOKUP(Table91213[[#This Row],[Date]],'DB Details'!$A:$L,9)</f>
        <v>50</v>
      </c>
      <c r="J459" s="88">
        <f>VLOOKUP(Table91213[[#This Row],[Date]],'DB Details'!$A:$L,10)</f>
        <v>45.2</v>
      </c>
      <c r="K459" s="94"/>
      <c r="L459" s="88">
        <f>VLOOKUP(Table91213[[#This Row],[Date]],'DB Details'!$A:$L,12)</f>
        <v>50.9</v>
      </c>
    </row>
    <row r="460" spans="1:12" x14ac:dyDescent="0.35">
      <c r="A460" s="39">
        <v>31352</v>
      </c>
      <c r="B460" s="57">
        <f>VLOOKUP(Table91213[[#This Row],[Date]],'DB Details'!$A:$L,2)</f>
        <v>57.2</v>
      </c>
      <c r="C460" s="41"/>
      <c r="D460" s="55"/>
      <c r="E460" s="88">
        <f>VLOOKUP(Table91213[[#This Row],[Date]],'DB Details'!$A:$L,5)</f>
        <v>45.7</v>
      </c>
      <c r="F460" s="88">
        <f>VLOOKUP(Table91213[[#This Row],[Date]],'DB Details'!$A:$L,6)</f>
        <v>56.5</v>
      </c>
      <c r="G460" s="94"/>
      <c r="H460" s="88">
        <f>VLOOKUP(Table91213[[#This Row],[Date]],'DB Details'!$A:$L,8)</f>
        <v>45.2</v>
      </c>
      <c r="I460" s="88">
        <f>VLOOKUP(Table91213[[#This Row],[Date]],'DB Details'!$A:$L,9)</f>
        <v>48.5</v>
      </c>
      <c r="J460" s="88">
        <f>VLOOKUP(Table91213[[#This Row],[Date]],'DB Details'!$A:$L,10)</f>
        <v>44.5</v>
      </c>
      <c r="K460" s="94"/>
      <c r="L460" s="88">
        <f>VLOOKUP(Table91213[[#This Row],[Date]],'DB Details'!$A:$L,12)</f>
        <v>52</v>
      </c>
    </row>
    <row r="461" spans="1:12" x14ac:dyDescent="0.35">
      <c r="A461" s="39">
        <v>31382</v>
      </c>
      <c r="B461" s="57">
        <f>VLOOKUP(Table91213[[#This Row],[Date]],'DB Details'!$A:$L,2)</f>
        <v>54.8</v>
      </c>
      <c r="C461" s="41"/>
      <c r="D461" s="55"/>
      <c r="E461" s="88">
        <f>VLOOKUP(Table91213[[#This Row],[Date]],'DB Details'!$A:$L,5)</f>
        <v>48.7</v>
      </c>
      <c r="F461" s="88">
        <f>VLOOKUP(Table91213[[#This Row],[Date]],'DB Details'!$A:$L,6)</f>
        <v>55.3</v>
      </c>
      <c r="G461" s="94"/>
      <c r="H461" s="88">
        <f>VLOOKUP(Table91213[[#This Row],[Date]],'DB Details'!$A:$L,8)</f>
        <v>45.2</v>
      </c>
      <c r="I461" s="88">
        <f>VLOOKUP(Table91213[[#This Row],[Date]],'DB Details'!$A:$L,9)</f>
        <v>49.3</v>
      </c>
      <c r="J461" s="88">
        <f>VLOOKUP(Table91213[[#This Row],[Date]],'DB Details'!$A:$L,10)</f>
        <v>42.6</v>
      </c>
      <c r="K461" s="94"/>
      <c r="L461" s="88">
        <f>VLOOKUP(Table91213[[#This Row],[Date]],'DB Details'!$A:$L,12)</f>
        <v>50.7</v>
      </c>
    </row>
    <row r="462" spans="1:12" x14ac:dyDescent="0.35">
      <c r="A462" s="39">
        <v>31413</v>
      </c>
      <c r="B462" s="57">
        <f>VLOOKUP(Table91213[[#This Row],[Date]],'DB Details'!$A:$L,2)</f>
        <v>56.7</v>
      </c>
      <c r="C462" s="41"/>
      <c r="D462" s="55"/>
      <c r="E462" s="88">
        <f>VLOOKUP(Table91213[[#This Row],[Date]],'DB Details'!$A:$L,5)</f>
        <v>48.4</v>
      </c>
      <c r="F462" s="88">
        <f>VLOOKUP(Table91213[[#This Row],[Date]],'DB Details'!$A:$L,6)</f>
        <v>52.9</v>
      </c>
      <c r="G462" s="94"/>
      <c r="H462" s="88">
        <f>VLOOKUP(Table91213[[#This Row],[Date]],'DB Details'!$A:$L,8)</f>
        <v>44.9</v>
      </c>
      <c r="I462" s="88">
        <f>VLOOKUP(Table91213[[#This Row],[Date]],'DB Details'!$A:$L,9)</f>
        <v>50.1</v>
      </c>
      <c r="J462" s="88">
        <f>VLOOKUP(Table91213[[#This Row],[Date]],'DB Details'!$A:$L,10)</f>
        <v>45.1</v>
      </c>
      <c r="K462" s="94"/>
      <c r="L462" s="88">
        <f>VLOOKUP(Table91213[[#This Row],[Date]],'DB Details'!$A:$L,12)</f>
        <v>51.2</v>
      </c>
    </row>
    <row r="463" spans="1:12" x14ac:dyDescent="0.35">
      <c r="A463" s="39">
        <v>31444</v>
      </c>
      <c r="B463" s="57">
        <f>VLOOKUP(Table91213[[#This Row],[Date]],'DB Details'!$A:$L,2)</f>
        <v>57.1</v>
      </c>
      <c r="C463" s="41"/>
      <c r="D463" s="55"/>
      <c r="E463" s="88">
        <f>VLOOKUP(Table91213[[#This Row],[Date]],'DB Details'!$A:$L,5)</f>
        <v>49.7</v>
      </c>
      <c r="F463" s="88">
        <f>VLOOKUP(Table91213[[#This Row],[Date]],'DB Details'!$A:$L,6)</f>
        <v>53.6</v>
      </c>
      <c r="G463" s="94"/>
      <c r="H463" s="88">
        <f>VLOOKUP(Table91213[[#This Row],[Date]],'DB Details'!$A:$L,8)</f>
        <v>44.7</v>
      </c>
      <c r="I463" s="88">
        <f>VLOOKUP(Table91213[[#This Row],[Date]],'DB Details'!$A:$L,9)</f>
        <v>49.8</v>
      </c>
      <c r="J463" s="88">
        <f>VLOOKUP(Table91213[[#This Row],[Date]],'DB Details'!$A:$L,10)</f>
        <v>43</v>
      </c>
      <c r="K463" s="94"/>
      <c r="L463" s="88">
        <f>VLOOKUP(Table91213[[#This Row],[Date]],'DB Details'!$A:$L,12)</f>
        <v>51</v>
      </c>
    </row>
    <row r="464" spans="1:12" x14ac:dyDescent="0.35">
      <c r="A464" s="39">
        <v>31472</v>
      </c>
      <c r="B464" s="57">
        <f>VLOOKUP(Table91213[[#This Row],[Date]],'DB Details'!$A:$L,2)</f>
        <v>54.5</v>
      </c>
      <c r="C464" s="41"/>
      <c r="D464" s="55"/>
      <c r="E464" s="88">
        <f>VLOOKUP(Table91213[[#This Row],[Date]],'DB Details'!$A:$L,5)</f>
        <v>49</v>
      </c>
      <c r="F464" s="88">
        <f>VLOOKUP(Table91213[[#This Row],[Date]],'DB Details'!$A:$L,6)</f>
        <v>56</v>
      </c>
      <c r="G464" s="94"/>
      <c r="H464" s="88">
        <f>VLOOKUP(Table91213[[#This Row],[Date]],'DB Details'!$A:$L,8)</f>
        <v>43.7</v>
      </c>
      <c r="I464" s="88">
        <f>VLOOKUP(Table91213[[#This Row],[Date]],'DB Details'!$A:$L,9)</f>
        <v>50.5</v>
      </c>
      <c r="J464" s="88">
        <f>VLOOKUP(Table91213[[#This Row],[Date]],'DB Details'!$A:$L,10)</f>
        <v>43.4</v>
      </c>
      <c r="K464" s="94"/>
      <c r="L464" s="88">
        <f>VLOOKUP(Table91213[[#This Row],[Date]],'DB Details'!$A:$L,12)</f>
        <v>51</v>
      </c>
    </row>
    <row r="465" spans="1:12" x14ac:dyDescent="0.35">
      <c r="A465" s="39">
        <v>31503</v>
      </c>
      <c r="B465" s="57">
        <f>VLOOKUP(Table91213[[#This Row],[Date]],'DB Details'!$A:$L,2)</f>
        <v>54.4</v>
      </c>
      <c r="C465" s="41"/>
      <c r="D465" s="55"/>
      <c r="E465" s="88">
        <f>VLOOKUP(Table91213[[#This Row],[Date]],'DB Details'!$A:$L,5)</f>
        <v>42.8</v>
      </c>
      <c r="F465" s="88">
        <f>VLOOKUP(Table91213[[#This Row],[Date]],'DB Details'!$A:$L,6)</f>
        <v>52.5</v>
      </c>
      <c r="G465" s="94"/>
      <c r="H465" s="88">
        <f>VLOOKUP(Table91213[[#This Row],[Date]],'DB Details'!$A:$L,8)</f>
        <v>42.5</v>
      </c>
      <c r="I465" s="88">
        <f>VLOOKUP(Table91213[[#This Row],[Date]],'DB Details'!$A:$L,9)</f>
        <v>50.7</v>
      </c>
      <c r="J465" s="88">
        <f>VLOOKUP(Table91213[[#This Row],[Date]],'DB Details'!$A:$L,10)</f>
        <v>42.2</v>
      </c>
      <c r="K465" s="94"/>
      <c r="L465" s="88">
        <f>VLOOKUP(Table91213[[#This Row],[Date]],'DB Details'!$A:$L,12)</f>
        <v>49.7</v>
      </c>
    </row>
    <row r="466" spans="1:12" x14ac:dyDescent="0.35">
      <c r="A466" s="39">
        <v>31533</v>
      </c>
      <c r="B466" s="57">
        <f>VLOOKUP(Table91213[[#This Row],[Date]],'DB Details'!$A:$L,2)</f>
        <v>61.1</v>
      </c>
      <c r="C466" s="41"/>
      <c r="D466" s="55"/>
      <c r="E466" s="88">
        <f>VLOOKUP(Table91213[[#This Row],[Date]],'DB Details'!$A:$L,5)</f>
        <v>49.5</v>
      </c>
      <c r="F466" s="88">
        <f>VLOOKUP(Table91213[[#This Row],[Date]],'DB Details'!$A:$L,6)</f>
        <v>55.1</v>
      </c>
      <c r="G466" s="94"/>
      <c r="H466" s="88">
        <f>VLOOKUP(Table91213[[#This Row],[Date]],'DB Details'!$A:$L,8)</f>
        <v>46.9</v>
      </c>
      <c r="I466" s="88">
        <f>VLOOKUP(Table91213[[#This Row],[Date]],'DB Details'!$A:$L,9)</f>
        <v>50.2</v>
      </c>
      <c r="J466" s="88">
        <f>VLOOKUP(Table91213[[#This Row],[Date]],'DB Details'!$A:$L,10)</f>
        <v>45.4</v>
      </c>
      <c r="K466" s="94"/>
      <c r="L466" s="88">
        <f>VLOOKUP(Table91213[[#This Row],[Date]],'DB Details'!$A:$L,12)</f>
        <v>53.4</v>
      </c>
    </row>
    <row r="467" spans="1:12" x14ac:dyDescent="0.35">
      <c r="A467" s="39">
        <v>31564</v>
      </c>
      <c r="B467" s="57">
        <f>VLOOKUP(Table91213[[#This Row],[Date]],'DB Details'!$A:$L,2)</f>
        <v>55.3</v>
      </c>
      <c r="C467" s="41"/>
      <c r="D467" s="55"/>
      <c r="E467" s="88">
        <f>VLOOKUP(Table91213[[#This Row],[Date]],'DB Details'!$A:$L,5)</f>
        <v>51.3</v>
      </c>
      <c r="F467" s="88">
        <f>VLOOKUP(Table91213[[#This Row],[Date]],'DB Details'!$A:$L,6)</f>
        <v>53.5</v>
      </c>
      <c r="G467" s="94"/>
      <c r="H467" s="88">
        <f>VLOOKUP(Table91213[[#This Row],[Date]],'DB Details'!$A:$L,8)</f>
        <v>44.4</v>
      </c>
      <c r="I467" s="88">
        <f>VLOOKUP(Table91213[[#This Row],[Date]],'DB Details'!$A:$L,9)</f>
        <v>49.9</v>
      </c>
      <c r="J467" s="88">
        <f>VLOOKUP(Table91213[[#This Row],[Date]],'DB Details'!$A:$L,10)</f>
        <v>43.3</v>
      </c>
      <c r="K467" s="94"/>
      <c r="L467" s="88">
        <f>VLOOKUP(Table91213[[#This Row],[Date]],'DB Details'!$A:$L,12)</f>
        <v>50.5</v>
      </c>
    </row>
    <row r="468" spans="1:12" x14ac:dyDescent="0.35">
      <c r="A468" s="39">
        <v>31594</v>
      </c>
      <c r="B468" s="57">
        <f>VLOOKUP(Table91213[[#This Row],[Date]],'DB Details'!$A:$L,2)</f>
        <v>51.2</v>
      </c>
      <c r="C468" s="41"/>
      <c r="D468" s="55"/>
      <c r="E468" s="88">
        <f>VLOOKUP(Table91213[[#This Row],[Date]],'DB Details'!$A:$L,5)</f>
        <v>49.3</v>
      </c>
      <c r="F468" s="88">
        <f>VLOOKUP(Table91213[[#This Row],[Date]],'DB Details'!$A:$L,6)</f>
        <v>49.3</v>
      </c>
      <c r="G468" s="94"/>
      <c r="H468" s="88">
        <f>VLOOKUP(Table91213[[#This Row],[Date]],'DB Details'!$A:$L,8)</f>
        <v>43.9</v>
      </c>
      <c r="I468" s="88">
        <f>VLOOKUP(Table91213[[#This Row],[Date]],'DB Details'!$A:$L,9)</f>
        <v>49.9</v>
      </c>
      <c r="J468" s="88">
        <f>VLOOKUP(Table91213[[#This Row],[Date]],'DB Details'!$A:$L,10)</f>
        <v>41.9</v>
      </c>
      <c r="K468" s="94"/>
      <c r="L468" s="88">
        <f>VLOOKUP(Table91213[[#This Row],[Date]],'DB Details'!$A:$L,12)</f>
        <v>48</v>
      </c>
    </row>
    <row r="469" spans="1:12" x14ac:dyDescent="0.35">
      <c r="A469" s="39">
        <v>31625</v>
      </c>
      <c r="B469" s="57">
        <f>VLOOKUP(Table91213[[#This Row],[Date]],'DB Details'!$A:$L,2)</f>
        <v>58.4</v>
      </c>
      <c r="C469" s="41"/>
      <c r="D469" s="55"/>
      <c r="E469" s="88">
        <f>VLOOKUP(Table91213[[#This Row],[Date]],'DB Details'!$A:$L,5)</f>
        <v>51.5</v>
      </c>
      <c r="F469" s="88">
        <f>VLOOKUP(Table91213[[#This Row],[Date]],'DB Details'!$A:$L,6)</f>
        <v>56</v>
      </c>
      <c r="G469" s="94"/>
      <c r="H469" s="88">
        <f>VLOOKUP(Table91213[[#This Row],[Date]],'DB Details'!$A:$L,8)</f>
        <v>45.9</v>
      </c>
      <c r="I469" s="88">
        <f>VLOOKUP(Table91213[[#This Row],[Date]],'DB Details'!$A:$L,9)</f>
        <v>50.8</v>
      </c>
      <c r="J469" s="88">
        <f>VLOOKUP(Table91213[[#This Row],[Date]],'DB Details'!$A:$L,10)</f>
        <v>44.5</v>
      </c>
      <c r="K469" s="94"/>
      <c r="L469" s="88">
        <f>VLOOKUP(Table91213[[#This Row],[Date]],'DB Details'!$A:$L,12)</f>
        <v>52.6</v>
      </c>
    </row>
    <row r="470" spans="1:12" x14ac:dyDescent="0.35">
      <c r="A470" s="39">
        <v>31656</v>
      </c>
      <c r="B470" s="57">
        <f>VLOOKUP(Table91213[[#This Row],[Date]],'DB Details'!$A:$L,2)</f>
        <v>57.3</v>
      </c>
      <c r="C470" s="41"/>
      <c r="D470" s="55"/>
      <c r="E470" s="88">
        <f>VLOOKUP(Table91213[[#This Row],[Date]],'DB Details'!$A:$L,5)</f>
        <v>57.1</v>
      </c>
      <c r="F470" s="88">
        <f>VLOOKUP(Table91213[[#This Row],[Date]],'DB Details'!$A:$L,6)</f>
        <v>56.5</v>
      </c>
      <c r="G470" s="94"/>
      <c r="H470" s="88">
        <f>VLOOKUP(Table91213[[#This Row],[Date]],'DB Details'!$A:$L,8)</f>
        <v>48.2</v>
      </c>
      <c r="I470" s="88">
        <f>VLOOKUP(Table91213[[#This Row],[Date]],'DB Details'!$A:$L,9)</f>
        <v>49.6</v>
      </c>
      <c r="J470" s="88">
        <f>VLOOKUP(Table91213[[#This Row],[Date]],'DB Details'!$A:$L,10)</f>
        <v>43.9</v>
      </c>
      <c r="K470" s="94"/>
      <c r="L470" s="88">
        <f>VLOOKUP(Table91213[[#This Row],[Date]],'DB Details'!$A:$L,12)</f>
        <v>52.4</v>
      </c>
    </row>
    <row r="471" spans="1:12" x14ac:dyDescent="0.35">
      <c r="A471" s="39">
        <v>31686</v>
      </c>
      <c r="B471" s="57">
        <f>VLOOKUP(Table91213[[#This Row],[Date]],'DB Details'!$A:$L,2)</f>
        <v>54.5</v>
      </c>
      <c r="C471" s="41"/>
      <c r="D471" s="55"/>
      <c r="E471" s="88">
        <f>VLOOKUP(Table91213[[#This Row],[Date]],'DB Details'!$A:$L,5)</f>
        <v>56.9</v>
      </c>
      <c r="F471" s="88">
        <f>VLOOKUP(Table91213[[#This Row],[Date]],'DB Details'!$A:$L,6)</f>
        <v>54.2</v>
      </c>
      <c r="G471" s="94"/>
      <c r="H471" s="88">
        <f>VLOOKUP(Table91213[[#This Row],[Date]],'DB Details'!$A:$L,8)</f>
        <v>48.2</v>
      </c>
      <c r="I471" s="88">
        <f>VLOOKUP(Table91213[[#This Row],[Date]],'DB Details'!$A:$L,9)</f>
        <v>51.3</v>
      </c>
      <c r="J471" s="88">
        <f>VLOOKUP(Table91213[[#This Row],[Date]],'DB Details'!$A:$L,10)</f>
        <v>43.7</v>
      </c>
      <c r="K471" s="94"/>
      <c r="L471" s="88">
        <f>VLOOKUP(Table91213[[#This Row],[Date]],'DB Details'!$A:$L,12)</f>
        <v>51.2</v>
      </c>
    </row>
    <row r="472" spans="1:12" x14ac:dyDescent="0.35">
      <c r="A472" s="39">
        <v>31717</v>
      </c>
      <c r="B472" s="57">
        <f>VLOOKUP(Table91213[[#This Row],[Date]],'DB Details'!$A:$L,2)</f>
        <v>57</v>
      </c>
      <c r="C472" s="41"/>
      <c r="D472" s="55"/>
      <c r="E472" s="88">
        <f>VLOOKUP(Table91213[[#This Row],[Date]],'DB Details'!$A:$L,5)</f>
        <v>57.1</v>
      </c>
      <c r="F472" s="88">
        <f>VLOOKUP(Table91213[[#This Row],[Date]],'DB Details'!$A:$L,6)</f>
        <v>54.7</v>
      </c>
      <c r="G472" s="94"/>
      <c r="H472" s="88">
        <f>VLOOKUP(Table91213[[#This Row],[Date]],'DB Details'!$A:$L,8)</f>
        <v>42.2</v>
      </c>
      <c r="I472" s="88">
        <f>VLOOKUP(Table91213[[#This Row],[Date]],'DB Details'!$A:$L,9)</f>
        <v>52</v>
      </c>
      <c r="J472" s="88">
        <f>VLOOKUP(Table91213[[#This Row],[Date]],'DB Details'!$A:$L,10)</f>
        <v>42.2</v>
      </c>
      <c r="K472" s="94"/>
      <c r="L472" s="88">
        <f>VLOOKUP(Table91213[[#This Row],[Date]],'DB Details'!$A:$L,12)</f>
        <v>51.2</v>
      </c>
    </row>
    <row r="473" spans="1:12" x14ac:dyDescent="0.35">
      <c r="A473" s="39">
        <v>31747</v>
      </c>
      <c r="B473" s="57">
        <f>VLOOKUP(Table91213[[#This Row],[Date]],'DB Details'!$A:$L,2)</f>
        <v>55.4</v>
      </c>
      <c r="C473" s="41"/>
      <c r="D473" s="55"/>
      <c r="E473" s="88">
        <f>VLOOKUP(Table91213[[#This Row],[Date]],'DB Details'!$A:$L,5)</f>
        <v>57</v>
      </c>
      <c r="F473" s="88">
        <f>VLOOKUP(Table91213[[#This Row],[Date]],'DB Details'!$A:$L,6)</f>
        <v>53</v>
      </c>
      <c r="G473" s="94"/>
      <c r="H473" s="88">
        <f>VLOOKUP(Table91213[[#This Row],[Date]],'DB Details'!$A:$L,8)</f>
        <v>38.4</v>
      </c>
      <c r="I473" s="88">
        <f>VLOOKUP(Table91213[[#This Row],[Date]],'DB Details'!$A:$L,9)</f>
        <v>52.8</v>
      </c>
      <c r="J473" s="88">
        <f>VLOOKUP(Table91213[[#This Row],[Date]],'DB Details'!$A:$L,10)</f>
        <v>44.5</v>
      </c>
      <c r="K473" s="94"/>
      <c r="L473" s="88">
        <f>VLOOKUP(Table91213[[#This Row],[Date]],'DB Details'!$A:$L,12)</f>
        <v>50.5</v>
      </c>
    </row>
    <row r="474" spans="1:12" x14ac:dyDescent="0.35">
      <c r="A474" s="39">
        <v>31778</v>
      </c>
      <c r="B474" s="57">
        <f>VLOOKUP(Table91213[[#This Row],[Date]],'DB Details'!$A:$L,2)</f>
        <v>59.8</v>
      </c>
      <c r="C474" s="41"/>
      <c r="D474" s="55"/>
      <c r="E474" s="88">
        <f>VLOOKUP(Table91213[[#This Row],[Date]],'DB Details'!$A:$L,5)</f>
        <v>61.1</v>
      </c>
      <c r="F474" s="88">
        <f>VLOOKUP(Table91213[[#This Row],[Date]],'DB Details'!$A:$L,6)</f>
        <v>60.7</v>
      </c>
      <c r="G474" s="94"/>
      <c r="H474" s="88">
        <f>VLOOKUP(Table91213[[#This Row],[Date]],'DB Details'!$A:$L,8)</f>
        <v>46.3</v>
      </c>
      <c r="I474" s="88">
        <f>VLOOKUP(Table91213[[#This Row],[Date]],'DB Details'!$A:$L,9)</f>
        <v>51.5</v>
      </c>
      <c r="J474" s="88">
        <f>VLOOKUP(Table91213[[#This Row],[Date]],'DB Details'!$A:$L,10)</f>
        <v>47.3</v>
      </c>
      <c r="K474" s="94"/>
      <c r="L474" s="88">
        <f>VLOOKUP(Table91213[[#This Row],[Date]],'DB Details'!$A:$L,12)</f>
        <v>54.9</v>
      </c>
    </row>
    <row r="475" spans="1:12" x14ac:dyDescent="0.35">
      <c r="A475" s="39">
        <v>31809</v>
      </c>
      <c r="B475" s="57">
        <f>VLOOKUP(Table91213[[#This Row],[Date]],'DB Details'!$A:$L,2)</f>
        <v>55.4</v>
      </c>
      <c r="C475" s="41"/>
      <c r="D475" s="55"/>
      <c r="E475" s="88">
        <f>VLOOKUP(Table91213[[#This Row],[Date]],'DB Details'!$A:$L,5)</f>
        <v>62.5</v>
      </c>
      <c r="F475" s="88">
        <f>VLOOKUP(Table91213[[#This Row],[Date]],'DB Details'!$A:$L,6)</f>
        <v>57.3</v>
      </c>
      <c r="G475" s="94"/>
      <c r="H475" s="88">
        <f>VLOOKUP(Table91213[[#This Row],[Date]],'DB Details'!$A:$L,8)</f>
        <v>46.7</v>
      </c>
      <c r="I475" s="88">
        <f>VLOOKUP(Table91213[[#This Row],[Date]],'DB Details'!$A:$L,9)</f>
        <v>51.2</v>
      </c>
      <c r="J475" s="88">
        <f>VLOOKUP(Table91213[[#This Row],[Date]],'DB Details'!$A:$L,10)</f>
        <v>46.6</v>
      </c>
      <c r="K475" s="94"/>
      <c r="L475" s="88">
        <f>VLOOKUP(Table91213[[#This Row],[Date]],'DB Details'!$A:$L,12)</f>
        <v>52.6</v>
      </c>
    </row>
    <row r="476" spans="1:12" x14ac:dyDescent="0.35">
      <c r="A476" s="39">
        <v>31837</v>
      </c>
      <c r="B476" s="57">
        <f>VLOOKUP(Table91213[[#This Row],[Date]],'DB Details'!$A:$L,2)</f>
        <v>61.6</v>
      </c>
      <c r="C476" s="41"/>
      <c r="D476" s="55"/>
      <c r="E476" s="88">
        <f>VLOOKUP(Table91213[[#This Row],[Date]],'DB Details'!$A:$L,5)</f>
        <v>62.7</v>
      </c>
      <c r="F476" s="88">
        <f>VLOOKUP(Table91213[[#This Row],[Date]],'DB Details'!$A:$L,6)</f>
        <v>57.6</v>
      </c>
      <c r="G476" s="94"/>
      <c r="H476" s="88">
        <f>VLOOKUP(Table91213[[#This Row],[Date]],'DB Details'!$A:$L,8)</f>
        <v>46.5</v>
      </c>
      <c r="I476" s="88">
        <f>VLOOKUP(Table91213[[#This Row],[Date]],'DB Details'!$A:$L,9)</f>
        <v>51.9</v>
      </c>
      <c r="J476" s="88">
        <f>VLOOKUP(Table91213[[#This Row],[Date]],'DB Details'!$A:$L,10)</f>
        <v>48.3</v>
      </c>
      <c r="K476" s="94"/>
      <c r="L476" s="88">
        <f>VLOOKUP(Table91213[[#This Row],[Date]],'DB Details'!$A:$L,12)</f>
        <v>55</v>
      </c>
    </row>
    <row r="477" spans="1:12" x14ac:dyDescent="0.35">
      <c r="A477" s="39">
        <v>31868</v>
      </c>
      <c r="B477" s="57">
        <f>VLOOKUP(Table91213[[#This Row],[Date]],'DB Details'!$A:$L,2)</f>
        <v>59.8</v>
      </c>
      <c r="C477" s="41"/>
      <c r="D477" s="55"/>
      <c r="E477" s="88">
        <f>VLOOKUP(Table91213[[#This Row],[Date]],'DB Details'!$A:$L,5)</f>
        <v>65.599999999999994</v>
      </c>
      <c r="F477" s="88">
        <f>VLOOKUP(Table91213[[#This Row],[Date]],'DB Details'!$A:$L,6)</f>
        <v>59.3</v>
      </c>
      <c r="G477" s="94"/>
      <c r="H477" s="88">
        <f>VLOOKUP(Table91213[[#This Row],[Date]],'DB Details'!$A:$L,8)</f>
        <v>45.9</v>
      </c>
      <c r="I477" s="88">
        <f>VLOOKUP(Table91213[[#This Row],[Date]],'DB Details'!$A:$L,9)</f>
        <v>52.8</v>
      </c>
      <c r="J477" s="88">
        <f>VLOOKUP(Table91213[[#This Row],[Date]],'DB Details'!$A:$L,10)</f>
        <v>51.3</v>
      </c>
      <c r="K477" s="94"/>
      <c r="L477" s="88">
        <f>VLOOKUP(Table91213[[#This Row],[Date]],'DB Details'!$A:$L,12)</f>
        <v>55.5</v>
      </c>
    </row>
    <row r="478" spans="1:12" x14ac:dyDescent="0.35">
      <c r="A478" s="39">
        <v>31898</v>
      </c>
      <c r="B478" s="57">
        <f>VLOOKUP(Table91213[[#This Row],[Date]],'DB Details'!$A:$L,2)</f>
        <v>63.4</v>
      </c>
      <c r="C478" s="41"/>
      <c r="D478" s="55"/>
      <c r="E478" s="88">
        <f>VLOOKUP(Table91213[[#This Row],[Date]],'DB Details'!$A:$L,5)</f>
        <v>67.599999999999994</v>
      </c>
      <c r="F478" s="88">
        <f>VLOOKUP(Table91213[[#This Row],[Date]],'DB Details'!$A:$L,6)</f>
        <v>60.6</v>
      </c>
      <c r="G478" s="94"/>
      <c r="H478" s="88">
        <f>VLOOKUP(Table91213[[#This Row],[Date]],'DB Details'!$A:$L,8)</f>
        <v>47.5</v>
      </c>
      <c r="I478" s="88">
        <f>VLOOKUP(Table91213[[#This Row],[Date]],'DB Details'!$A:$L,9)</f>
        <v>54</v>
      </c>
      <c r="J478" s="88">
        <f>VLOOKUP(Table91213[[#This Row],[Date]],'DB Details'!$A:$L,10)</f>
        <v>50.9</v>
      </c>
      <c r="K478" s="94"/>
      <c r="L478" s="88">
        <f>VLOOKUP(Table91213[[#This Row],[Date]],'DB Details'!$A:$L,12)</f>
        <v>57.2</v>
      </c>
    </row>
    <row r="479" spans="1:12" x14ac:dyDescent="0.35">
      <c r="A479" s="39">
        <v>31929</v>
      </c>
      <c r="B479" s="57">
        <f>VLOOKUP(Table91213[[#This Row],[Date]],'DB Details'!$A:$L,2)</f>
        <v>61.2</v>
      </c>
      <c r="C479" s="41"/>
      <c r="D479" s="55"/>
      <c r="E479" s="88">
        <f>VLOOKUP(Table91213[[#This Row],[Date]],'DB Details'!$A:$L,5)</f>
        <v>72.599999999999994</v>
      </c>
      <c r="F479" s="88">
        <f>VLOOKUP(Table91213[[#This Row],[Date]],'DB Details'!$A:$L,6)</f>
        <v>60.1</v>
      </c>
      <c r="G479" s="94"/>
      <c r="H479" s="88">
        <f>VLOOKUP(Table91213[[#This Row],[Date]],'DB Details'!$A:$L,8)</f>
        <v>52.4</v>
      </c>
      <c r="I479" s="88">
        <f>VLOOKUP(Table91213[[#This Row],[Date]],'DB Details'!$A:$L,9)</f>
        <v>56.8</v>
      </c>
      <c r="J479" s="88">
        <f>VLOOKUP(Table91213[[#This Row],[Date]],'DB Details'!$A:$L,10)</f>
        <v>51.4</v>
      </c>
      <c r="K479" s="94"/>
      <c r="L479" s="88">
        <f>VLOOKUP(Table91213[[#This Row],[Date]],'DB Details'!$A:$L,12)</f>
        <v>57.4</v>
      </c>
    </row>
    <row r="480" spans="1:12" x14ac:dyDescent="0.35">
      <c r="A480" s="39">
        <v>31959</v>
      </c>
      <c r="B480" s="57">
        <f>VLOOKUP(Table91213[[#This Row],[Date]],'DB Details'!$A:$L,2)</f>
        <v>64</v>
      </c>
      <c r="C480" s="41"/>
      <c r="D480" s="55"/>
      <c r="E480" s="88">
        <f>VLOOKUP(Table91213[[#This Row],[Date]],'DB Details'!$A:$L,5)</f>
        <v>74.3</v>
      </c>
      <c r="F480" s="88">
        <f>VLOOKUP(Table91213[[#This Row],[Date]],'DB Details'!$A:$L,6)</f>
        <v>62.5</v>
      </c>
      <c r="G480" s="94"/>
      <c r="H480" s="88">
        <f>VLOOKUP(Table91213[[#This Row],[Date]],'DB Details'!$A:$L,8)</f>
        <v>44.7</v>
      </c>
      <c r="I480" s="88">
        <f>VLOOKUP(Table91213[[#This Row],[Date]],'DB Details'!$A:$L,9)</f>
        <v>58.9</v>
      </c>
      <c r="J480" s="88">
        <f>VLOOKUP(Table91213[[#This Row],[Date]],'DB Details'!$A:$L,10)</f>
        <v>46.6</v>
      </c>
      <c r="K480" s="94"/>
      <c r="L480" s="88">
        <f>VLOOKUP(Table91213[[#This Row],[Date]],'DB Details'!$A:$L,12)</f>
        <v>57.5</v>
      </c>
    </row>
    <row r="481" spans="1:12" x14ac:dyDescent="0.35">
      <c r="A481" s="39">
        <v>31990</v>
      </c>
      <c r="B481" s="57">
        <f>VLOOKUP(Table91213[[#This Row],[Date]],'DB Details'!$A:$L,2)</f>
        <v>62.7</v>
      </c>
      <c r="C481" s="41"/>
      <c r="D481" s="55"/>
      <c r="E481" s="88">
        <f>VLOOKUP(Table91213[[#This Row],[Date]],'DB Details'!$A:$L,5)</f>
        <v>77.400000000000006</v>
      </c>
      <c r="F481" s="88">
        <f>VLOOKUP(Table91213[[#This Row],[Date]],'DB Details'!$A:$L,6)</f>
        <v>64.2</v>
      </c>
      <c r="G481" s="94"/>
      <c r="H481" s="88">
        <f>VLOOKUP(Table91213[[#This Row],[Date]],'DB Details'!$A:$L,8)</f>
        <v>49.3</v>
      </c>
      <c r="I481" s="88">
        <f>VLOOKUP(Table91213[[#This Row],[Date]],'DB Details'!$A:$L,9)</f>
        <v>60.3</v>
      </c>
      <c r="J481" s="88">
        <f>VLOOKUP(Table91213[[#This Row],[Date]],'DB Details'!$A:$L,10)</f>
        <v>52.4</v>
      </c>
      <c r="K481" s="94"/>
      <c r="L481" s="88">
        <f>VLOOKUP(Table91213[[#This Row],[Date]],'DB Details'!$A:$L,12)</f>
        <v>59.3</v>
      </c>
    </row>
    <row r="482" spans="1:12" x14ac:dyDescent="0.35">
      <c r="A482" s="39">
        <v>32021</v>
      </c>
      <c r="B482" s="57">
        <f>VLOOKUP(Table91213[[#This Row],[Date]],'DB Details'!$A:$L,2)</f>
        <v>62.1</v>
      </c>
      <c r="C482" s="41"/>
      <c r="D482" s="55"/>
      <c r="E482" s="88">
        <f>VLOOKUP(Table91213[[#This Row],[Date]],'DB Details'!$A:$L,5)</f>
        <v>77.3</v>
      </c>
      <c r="F482" s="88">
        <f>VLOOKUP(Table91213[[#This Row],[Date]],'DB Details'!$A:$L,6)</f>
        <v>65.5</v>
      </c>
      <c r="G482" s="94"/>
      <c r="H482" s="88">
        <f>VLOOKUP(Table91213[[#This Row],[Date]],'DB Details'!$A:$L,8)</f>
        <v>49.2</v>
      </c>
      <c r="I482" s="88">
        <f>VLOOKUP(Table91213[[#This Row],[Date]],'DB Details'!$A:$L,9)</f>
        <v>61.5</v>
      </c>
      <c r="J482" s="88">
        <f>VLOOKUP(Table91213[[#This Row],[Date]],'DB Details'!$A:$L,10)</f>
        <v>54.5</v>
      </c>
      <c r="K482" s="94"/>
      <c r="L482" s="88">
        <f>VLOOKUP(Table91213[[#This Row],[Date]],'DB Details'!$A:$L,12)</f>
        <v>60</v>
      </c>
    </row>
    <row r="483" spans="1:12" x14ac:dyDescent="0.35">
      <c r="A483" s="39">
        <v>32051</v>
      </c>
      <c r="B483" s="57">
        <f>VLOOKUP(Table91213[[#This Row],[Date]],'DB Details'!$A:$L,2)</f>
        <v>65.3</v>
      </c>
      <c r="C483" s="41"/>
      <c r="D483" s="55"/>
      <c r="E483" s="88">
        <f>VLOOKUP(Table91213[[#This Row],[Date]],'DB Details'!$A:$L,5)</f>
        <v>78.099999999999994</v>
      </c>
      <c r="F483" s="88">
        <f>VLOOKUP(Table91213[[#This Row],[Date]],'DB Details'!$A:$L,6)</f>
        <v>63.2</v>
      </c>
      <c r="G483" s="94"/>
      <c r="H483" s="88">
        <f>VLOOKUP(Table91213[[#This Row],[Date]],'DB Details'!$A:$L,8)</f>
        <v>50.7</v>
      </c>
      <c r="I483" s="88">
        <f>VLOOKUP(Table91213[[#This Row],[Date]],'DB Details'!$A:$L,9)</f>
        <v>62.2</v>
      </c>
      <c r="J483" s="88">
        <f>VLOOKUP(Table91213[[#This Row],[Date]],'DB Details'!$A:$L,10)</f>
        <v>54.6</v>
      </c>
      <c r="K483" s="94"/>
      <c r="L483" s="88">
        <f>VLOOKUP(Table91213[[#This Row],[Date]],'DB Details'!$A:$L,12)</f>
        <v>60.7</v>
      </c>
    </row>
    <row r="484" spans="1:12" x14ac:dyDescent="0.35">
      <c r="A484" s="39">
        <v>32082</v>
      </c>
      <c r="B484" s="57">
        <f>VLOOKUP(Table91213[[#This Row],[Date]],'DB Details'!$A:$L,2)</f>
        <v>59.3</v>
      </c>
      <c r="C484" s="41"/>
      <c r="D484" s="55"/>
      <c r="E484" s="88">
        <f>VLOOKUP(Table91213[[#This Row],[Date]],'DB Details'!$A:$L,5)</f>
        <v>79.2</v>
      </c>
      <c r="F484" s="88">
        <f>VLOOKUP(Table91213[[#This Row],[Date]],'DB Details'!$A:$L,6)</f>
        <v>61.9</v>
      </c>
      <c r="G484" s="94"/>
      <c r="H484" s="88">
        <f>VLOOKUP(Table91213[[#This Row],[Date]],'DB Details'!$A:$L,8)</f>
        <v>51.2</v>
      </c>
      <c r="I484" s="88">
        <f>VLOOKUP(Table91213[[#This Row],[Date]],'DB Details'!$A:$L,9)</f>
        <v>64.900000000000006</v>
      </c>
      <c r="J484" s="88">
        <f>VLOOKUP(Table91213[[#This Row],[Date]],'DB Details'!$A:$L,10)</f>
        <v>53.7</v>
      </c>
      <c r="K484" s="94"/>
      <c r="L484" s="88">
        <f>VLOOKUP(Table91213[[#This Row],[Date]],'DB Details'!$A:$L,12)</f>
        <v>58.8</v>
      </c>
    </row>
    <row r="485" spans="1:12" x14ac:dyDescent="0.35">
      <c r="A485" s="39">
        <v>32112</v>
      </c>
      <c r="B485" s="57">
        <f>VLOOKUP(Table91213[[#This Row],[Date]],'DB Details'!$A:$L,2)</f>
        <v>61.5</v>
      </c>
      <c r="C485" s="41"/>
      <c r="D485" s="55"/>
      <c r="E485" s="88">
        <f>VLOOKUP(Table91213[[#This Row],[Date]],'DB Details'!$A:$L,5)</f>
        <v>80.2</v>
      </c>
      <c r="F485" s="88">
        <f>VLOOKUP(Table91213[[#This Row],[Date]],'DB Details'!$A:$L,6)</f>
        <v>65.099999999999994</v>
      </c>
      <c r="G485" s="94"/>
      <c r="H485" s="88">
        <f>VLOOKUP(Table91213[[#This Row],[Date]],'DB Details'!$A:$L,8)</f>
        <v>50.8</v>
      </c>
      <c r="I485" s="88">
        <f>VLOOKUP(Table91213[[#This Row],[Date]],'DB Details'!$A:$L,9)</f>
        <v>62.7</v>
      </c>
      <c r="J485" s="88">
        <f>VLOOKUP(Table91213[[#This Row],[Date]],'DB Details'!$A:$L,10)</f>
        <v>59.1</v>
      </c>
      <c r="K485" s="94"/>
      <c r="L485" s="88">
        <f>VLOOKUP(Table91213[[#This Row],[Date]],'DB Details'!$A:$L,12)</f>
        <v>61</v>
      </c>
    </row>
    <row r="486" spans="1:12" x14ac:dyDescent="0.35">
      <c r="A486" s="39">
        <v>32143</v>
      </c>
      <c r="B486" s="57">
        <f>VLOOKUP(Table91213[[#This Row],[Date]],'DB Details'!$A:$L,2)</f>
        <v>60.3</v>
      </c>
      <c r="C486" s="41"/>
      <c r="D486" s="55"/>
      <c r="E486" s="88">
        <f>VLOOKUP(Table91213[[#This Row],[Date]],'DB Details'!$A:$L,5)</f>
        <v>78.7</v>
      </c>
      <c r="F486" s="88">
        <f>VLOOKUP(Table91213[[#This Row],[Date]],'DB Details'!$A:$L,6)</f>
        <v>59.3</v>
      </c>
      <c r="G486" s="94"/>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35">
      <c r="A487" s="39">
        <v>32174</v>
      </c>
      <c r="B487" s="57">
        <f>VLOOKUP(Table91213[[#This Row],[Date]],'DB Details'!$A:$L,2)</f>
        <v>57</v>
      </c>
      <c r="C487" s="41"/>
      <c r="D487" s="55"/>
      <c r="E487" s="88">
        <f>VLOOKUP(Table91213[[#This Row],[Date]],'DB Details'!$A:$L,5)</f>
        <v>81.2</v>
      </c>
      <c r="F487" s="88">
        <f>VLOOKUP(Table91213[[#This Row],[Date]],'DB Details'!$A:$L,6)</f>
        <v>58.6</v>
      </c>
      <c r="G487" s="94"/>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35">
      <c r="A488" s="39">
        <v>32203</v>
      </c>
      <c r="B488" s="57">
        <f>VLOOKUP(Table91213[[#This Row],[Date]],'DB Details'!$A:$L,2)</f>
        <v>57.9</v>
      </c>
      <c r="C488" s="41"/>
      <c r="D488" s="55"/>
      <c r="E488" s="88">
        <f>VLOOKUP(Table91213[[#This Row],[Date]],'DB Details'!$A:$L,5)</f>
        <v>74.5</v>
      </c>
      <c r="F488" s="88">
        <f>VLOOKUP(Table91213[[#This Row],[Date]],'DB Details'!$A:$L,6)</f>
        <v>57.7</v>
      </c>
      <c r="G488" s="94"/>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35">
      <c r="A489" s="39">
        <v>32234</v>
      </c>
      <c r="B489" s="57">
        <f>VLOOKUP(Table91213[[#This Row],[Date]],'DB Details'!$A:$L,2)</f>
        <v>57.6</v>
      </c>
      <c r="C489" s="41"/>
      <c r="D489" s="55"/>
      <c r="E489" s="88">
        <f>VLOOKUP(Table91213[[#This Row],[Date]],'DB Details'!$A:$L,5)</f>
        <v>81</v>
      </c>
      <c r="F489" s="88">
        <f>VLOOKUP(Table91213[[#This Row],[Date]],'DB Details'!$A:$L,6)</f>
        <v>59.1</v>
      </c>
      <c r="G489" s="94"/>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35">
      <c r="A490" s="39">
        <v>32264</v>
      </c>
      <c r="B490" s="57">
        <f>VLOOKUP(Table91213[[#This Row],[Date]],'DB Details'!$A:$L,2)</f>
        <v>57.7</v>
      </c>
      <c r="C490" s="41"/>
      <c r="D490" s="55"/>
      <c r="E490" s="88">
        <f>VLOOKUP(Table91213[[#This Row],[Date]],'DB Details'!$A:$L,5)</f>
        <v>81.5</v>
      </c>
      <c r="F490" s="88">
        <f>VLOOKUP(Table91213[[#This Row],[Date]],'DB Details'!$A:$L,6)</f>
        <v>58</v>
      </c>
      <c r="G490" s="94"/>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35">
      <c r="A491" s="39">
        <v>32295</v>
      </c>
      <c r="B491" s="57">
        <f>VLOOKUP(Table91213[[#This Row],[Date]],'DB Details'!$A:$L,2)</f>
        <v>63.6</v>
      </c>
      <c r="C491" s="41"/>
      <c r="D491" s="55"/>
      <c r="E491" s="88">
        <f>VLOOKUP(Table91213[[#This Row],[Date]],'DB Details'!$A:$L,5)</f>
        <v>80.7</v>
      </c>
      <c r="F491" s="88">
        <f>VLOOKUP(Table91213[[#This Row],[Date]],'DB Details'!$A:$L,6)</f>
        <v>61.7</v>
      </c>
      <c r="G491" s="94"/>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35">
      <c r="A492" s="39">
        <v>32325</v>
      </c>
      <c r="B492" s="57">
        <f>VLOOKUP(Table91213[[#This Row],[Date]],'DB Details'!$A:$L,2)</f>
        <v>60.6</v>
      </c>
      <c r="C492" s="41"/>
      <c r="D492" s="55"/>
      <c r="E492" s="88">
        <f>VLOOKUP(Table91213[[#This Row],[Date]],'DB Details'!$A:$L,5)</f>
        <v>81</v>
      </c>
      <c r="F492" s="88">
        <f>VLOOKUP(Table91213[[#This Row],[Date]],'DB Details'!$A:$L,6)</f>
        <v>61.2</v>
      </c>
      <c r="G492" s="94"/>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35">
      <c r="A493" s="39">
        <v>32356</v>
      </c>
      <c r="B493" s="57">
        <f>VLOOKUP(Table91213[[#This Row],[Date]],'DB Details'!$A:$L,2)</f>
        <v>59.2</v>
      </c>
      <c r="C493" s="41"/>
      <c r="D493" s="55"/>
      <c r="E493" s="88">
        <f>VLOOKUP(Table91213[[#This Row],[Date]],'DB Details'!$A:$L,5)</f>
        <v>78.2</v>
      </c>
      <c r="F493" s="88">
        <f>VLOOKUP(Table91213[[#This Row],[Date]],'DB Details'!$A:$L,6)</f>
        <v>57.8</v>
      </c>
      <c r="G493" s="94"/>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35">
      <c r="A494" s="39">
        <v>32387</v>
      </c>
      <c r="B494" s="57">
        <f>VLOOKUP(Table91213[[#This Row],[Date]],'DB Details'!$A:$L,2)</f>
        <v>58.6</v>
      </c>
      <c r="C494" s="41"/>
      <c r="D494" s="55"/>
      <c r="E494" s="88">
        <f>VLOOKUP(Table91213[[#This Row],[Date]],'DB Details'!$A:$L,5)</f>
        <v>72.8</v>
      </c>
      <c r="F494" s="88">
        <f>VLOOKUP(Table91213[[#This Row],[Date]],'DB Details'!$A:$L,6)</f>
        <v>54.8</v>
      </c>
      <c r="G494" s="94"/>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35">
      <c r="A495" s="39">
        <v>32417</v>
      </c>
      <c r="B495" s="57">
        <f>VLOOKUP(Table91213[[#This Row],[Date]],'DB Details'!$A:$L,2)</f>
        <v>57.2</v>
      </c>
      <c r="C495" s="41"/>
      <c r="D495" s="55"/>
      <c r="E495" s="88">
        <f>VLOOKUP(Table91213[[#This Row],[Date]],'DB Details'!$A:$L,5)</f>
        <v>71.5</v>
      </c>
      <c r="F495" s="88">
        <f>VLOOKUP(Table91213[[#This Row],[Date]],'DB Details'!$A:$L,6)</f>
        <v>58.7</v>
      </c>
      <c r="G495" s="94"/>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35">
      <c r="A496" s="39">
        <v>32448</v>
      </c>
      <c r="B496" s="57">
        <f>VLOOKUP(Table91213[[#This Row],[Date]],'DB Details'!$A:$L,2)</f>
        <v>58.4</v>
      </c>
      <c r="C496" s="41"/>
      <c r="D496" s="55"/>
      <c r="E496" s="88">
        <f>VLOOKUP(Table91213[[#This Row],[Date]],'DB Details'!$A:$L,5)</f>
        <v>70.900000000000006</v>
      </c>
      <c r="F496" s="88">
        <f>VLOOKUP(Table91213[[#This Row],[Date]],'DB Details'!$A:$L,6)</f>
        <v>57.5</v>
      </c>
      <c r="G496" s="94"/>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35">
      <c r="A497" s="39">
        <v>32478</v>
      </c>
      <c r="B497" s="57">
        <f>VLOOKUP(Table91213[[#This Row],[Date]],'DB Details'!$A:$L,2)</f>
        <v>59</v>
      </c>
      <c r="C497" s="41"/>
      <c r="D497" s="55"/>
      <c r="E497" s="88">
        <f>VLOOKUP(Table91213[[#This Row],[Date]],'DB Details'!$A:$L,5)</f>
        <v>69.8</v>
      </c>
      <c r="F497" s="88">
        <f>VLOOKUP(Table91213[[#This Row],[Date]],'DB Details'!$A:$L,6)</f>
        <v>57.6</v>
      </c>
      <c r="G497" s="94"/>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35">
      <c r="A498" s="39">
        <v>32509</v>
      </c>
      <c r="B498" s="57">
        <f>VLOOKUP(Table91213[[#This Row],[Date]],'DB Details'!$A:$L,2)</f>
        <v>57.3</v>
      </c>
      <c r="C498" s="41"/>
      <c r="D498" s="55"/>
      <c r="E498" s="88">
        <f>VLOOKUP(Table91213[[#This Row],[Date]],'DB Details'!$A:$L,5)</f>
        <v>70.5</v>
      </c>
      <c r="F498" s="88">
        <f>VLOOKUP(Table91213[[#This Row],[Date]],'DB Details'!$A:$L,6)</f>
        <v>57.9</v>
      </c>
      <c r="G498" s="94"/>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35">
      <c r="A499" s="39">
        <v>32540</v>
      </c>
      <c r="B499" s="57">
        <f>VLOOKUP(Table91213[[#This Row],[Date]],'DB Details'!$A:$L,2)</f>
        <v>57.3</v>
      </c>
      <c r="C499" s="41"/>
      <c r="D499" s="55"/>
      <c r="E499" s="88">
        <f>VLOOKUP(Table91213[[#This Row],[Date]],'DB Details'!$A:$L,5)</f>
        <v>67.900000000000006</v>
      </c>
      <c r="F499" s="88">
        <f>VLOOKUP(Table91213[[#This Row],[Date]],'DB Details'!$A:$L,6)</f>
        <v>55.6</v>
      </c>
      <c r="G499" s="94"/>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35">
      <c r="A500" s="39">
        <v>32568</v>
      </c>
      <c r="B500" s="57">
        <f>VLOOKUP(Table91213[[#This Row],[Date]],'DB Details'!$A:$L,2)</f>
        <v>52</v>
      </c>
      <c r="C500" s="41"/>
      <c r="D500" s="55"/>
      <c r="E500" s="88">
        <f>VLOOKUP(Table91213[[#This Row],[Date]],'DB Details'!$A:$L,5)</f>
        <v>67.900000000000006</v>
      </c>
      <c r="F500" s="88">
        <f>VLOOKUP(Table91213[[#This Row],[Date]],'DB Details'!$A:$L,6)</f>
        <v>52.7</v>
      </c>
      <c r="G500" s="94"/>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35">
      <c r="A501" s="39">
        <v>32599</v>
      </c>
      <c r="B501" s="57">
        <f>VLOOKUP(Table91213[[#This Row],[Date]],'DB Details'!$A:$L,2)</f>
        <v>53.1</v>
      </c>
      <c r="C501" s="41"/>
      <c r="D501" s="55"/>
      <c r="E501" s="88">
        <f>VLOOKUP(Table91213[[#This Row],[Date]],'DB Details'!$A:$L,5)</f>
        <v>65.400000000000006</v>
      </c>
      <c r="F501" s="88">
        <f>VLOOKUP(Table91213[[#This Row],[Date]],'DB Details'!$A:$L,6)</f>
        <v>54.9</v>
      </c>
      <c r="G501" s="94"/>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35">
      <c r="A502" s="39">
        <v>32629</v>
      </c>
      <c r="B502" s="57">
        <f>VLOOKUP(Table91213[[#This Row],[Date]],'DB Details'!$A:$L,2)</f>
        <v>50.7</v>
      </c>
      <c r="C502" s="41"/>
      <c r="D502" s="55"/>
      <c r="E502" s="88">
        <f>VLOOKUP(Table91213[[#This Row],[Date]],'DB Details'!$A:$L,5)</f>
        <v>59.3</v>
      </c>
      <c r="F502" s="88">
        <f>VLOOKUP(Table91213[[#This Row],[Date]],'DB Details'!$A:$L,6)</f>
        <v>50.7</v>
      </c>
      <c r="G502" s="94"/>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35">
      <c r="A503" s="39">
        <v>32660</v>
      </c>
      <c r="B503" s="57">
        <f>VLOOKUP(Table91213[[#This Row],[Date]],'DB Details'!$A:$L,2)</f>
        <v>45.6</v>
      </c>
      <c r="C503" s="41"/>
      <c r="D503" s="55"/>
      <c r="E503" s="88">
        <f>VLOOKUP(Table91213[[#This Row],[Date]],'DB Details'!$A:$L,5)</f>
        <v>50</v>
      </c>
      <c r="F503" s="88">
        <f>VLOOKUP(Table91213[[#This Row],[Date]],'DB Details'!$A:$L,6)</f>
        <v>49.5</v>
      </c>
      <c r="G503" s="94"/>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35">
      <c r="A504" s="39">
        <v>32690</v>
      </c>
      <c r="B504" s="57">
        <f>VLOOKUP(Table91213[[#This Row],[Date]],'DB Details'!$A:$L,2)</f>
        <v>45.8</v>
      </c>
      <c r="C504" s="41"/>
      <c r="D504" s="55"/>
      <c r="E504" s="88">
        <f>VLOOKUP(Table91213[[#This Row],[Date]],'DB Details'!$A:$L,5)</f>
        <v>48.1</v>
      </c>
      <c r="F504" s="88">
        <f>VLOOKUP(Table91213[[#This Row],[Date]],'DB Details'!$A:$L,6)</f>
        <v>46.9</v>
      </c>
      <c r="G504" s="94"/>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35">
      <c r="A505" s="39">
        <v>32721</v>
      </c>
      <c r="B505" s="57">
        <f>VLOOKUP(Table91213[[#This Row],[Date]],'DB Details'!$A:$L,2)</f>
        <v>45.2</v>
      </c>
      <c r="C505" s="41"/>
      <c r="D505" s="55"/>
      <c r="E505" s="88">
        <f>VLOOKUP(Table91213[[#This Row],[Date]],'DB Details'!$A:$L,5)</f>
        <v>43.3</v>
      </c>
      <c r="F505" s="88">
        <f>VLOOKUP(Table91213[[#This Row],[Date]],'DB Details'!$A:$L,6)</f>
        <v>46.7</v>
      </c>
      <c r="G505" s="94"/>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35">
      <c r="A506" s="39">
        <v>32752</v>
      </c>
      <c r="B506" s="57">
        <f>VLOOKUP(Table91213[[#This Row],[Date]],'DB Details'!$A:$L,2)</f>
        <v>46</v>
      </c>
      <c r="C506" s="41"/>
      <c r="D506" s="55"/>
      <c r="E506" s="88">
        <f>VLOOKUP(Table91213[[#This Row],[Date]],'DB Details'!$A:$L,5)</f>
        <v>42.4</v>
      </c>
      <c r="F506" s="88">
        <f>VLOOKUP(Table91213[[#This Row],[Date]],'DB Details'!$A:$L,6)</f>
        <v>48</v>
      </c>
      <c r="G506" s="94"/>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35">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4"/>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35">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4"/>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35">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4"/>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35">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4"/>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35">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4"/>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35">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4"/>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35">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4"/>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35">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4"/>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35">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4"/>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35">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4"/>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35">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4"/>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35">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4"/>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35">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4"/>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35">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4"/>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35">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4"/>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35">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4"/>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35">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4"/>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35">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4"/>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35">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4"/>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35">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4"/>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35">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4"/>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35">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4"/>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35">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4"/>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35">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4"/>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35">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4"/>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35">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4"/>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35">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4"/>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35">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4"/>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35">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4"/>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35">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4"/>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35">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4"/>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35">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4"/>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35">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4"/>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35">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4"/>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35">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4"/>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35">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4"/>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35">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4"/>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35">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4"/>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35">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4"/>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35">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4"/>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35">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4"/>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35">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4"/>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35">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4"/>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35">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4"/>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35">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4"/>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35">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4"/>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35">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4"/>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35">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4"/>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35">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4"/>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35">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4"/>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35">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4"/>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35">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4"/>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35">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4"/>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35">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4"/>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35">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4"/>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35">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4"/>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35">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4"/>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35">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4"/>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35">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4"/>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35">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4"/>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35">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4"/>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35">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4"/>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35">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4"/>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35">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4"/>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35">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4"/>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35">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4"/>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35">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4"/>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35">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4"/>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35">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4"/>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35">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4"/>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35">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4"/>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35">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4"/>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35">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4"/>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35">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4"/>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35">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4"/>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35">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4"/>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35">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4"/>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35">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4"/>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35">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4"/>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35">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4"/>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35">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4"/>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35">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4"/>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35">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4"/>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35">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4"/>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35">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4"/>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35">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4"/>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35">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4"/>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35">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35">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35">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35">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35">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35">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35">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35">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35">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35">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35">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35">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35">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35">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35">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35">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35">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35">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35">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35">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35">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35">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35">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35">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35">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35">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35">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35">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35">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35">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35">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35">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35">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35">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35">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35">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35">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35">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35">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35">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35">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35">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35">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35">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35">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35">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35">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35">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35">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35">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35">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35">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35">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35">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35">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35">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35">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35">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35">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35">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35">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35">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35">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35">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35">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35">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35">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35">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35">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35">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35">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35">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35">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35">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35">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35">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35">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35">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35">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35">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35">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35">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35">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35">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35">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35">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35">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35">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35">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35">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35">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35">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35">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35">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35">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35">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35">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35">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35">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35">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35">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35">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35">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35">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35">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35">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35">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35">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35">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35">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35">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35">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35">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35">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35">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35">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35">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35">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35">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35">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35">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35">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35">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35">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35">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35">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35">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35">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35">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35">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35">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35">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35">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35">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35">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35">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35">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35">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35">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35">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35">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35">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35">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35">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35">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35">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35">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35">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35">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35">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35">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35">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35">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35">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35">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35">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35">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35">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35">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35">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35">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35">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35">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35">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35">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35">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35">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35">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35">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35">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35">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35">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35">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35">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35">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35">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35">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35">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35">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35">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35">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35">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35">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35">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35">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35">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35">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35">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35">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35">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35">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35">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35">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35">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35">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35">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35">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35">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35">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35">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35">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35">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35">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35">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35">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35">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35">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35">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35">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35">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35">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35">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35">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35">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35">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35">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35">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35">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35">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35">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35">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35">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35">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35">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35">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35">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35">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35">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35">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35">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35">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35">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35">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35">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35">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35">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35">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35">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35">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35">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35">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35">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35">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35">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35">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35">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35">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35">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35">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35">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35">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35">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35">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35">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35">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35">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35">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35">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35">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35">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35">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35">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35">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35">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35">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35">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35">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35">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35">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35">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35">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35">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35">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35">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35">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35">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35">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35">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35">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35">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35">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35">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35">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35">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35">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35">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35">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35">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35">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35">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35">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35">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35">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35">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35">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35">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35">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35">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35">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35">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35">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35">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35">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35">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35">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35">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row r="900" spans="1:12" x14ac:dyDescent="0.35">
      <c r="A900" s="39">
        <v>44743</v>
      </c>
      <c r="B900" s="57">
        <f>VLOOKUP(Table91213[[#This Row],[Date]],'DB Details'!$A:$L,2)</f>
        <v>48</v>
      </c>
      <c r="C900" s="41">
        <f>VLOOKUP(Table91213[[#This Row],[Date]],'DB Details'!$A:$L,3)</f>
        <v>54.4</v>
      </c>
      <c r="D900" s="55">
        <f>VLOOKUP(Table91213[[#This Row],[Date]],'DB Details'!$A:$L,4)</f>
        <v>51.3</v>
      </c>
      <c r="E900" s="88">
        <f>VLOOKUP(Table91213[[#This Row],[Date]],'DB Details'!$A:$L,5)</f>
        <v>60</v>
      </c>
      <c r="F900" s="88">
        <f>VLOOKUP(Table91213[[#This Row],[Date]],'DB Details'!$A:$L,6)</f>
        <v>53.5</v>
      </c>
      <c r="G900" s="41">
        <f>VLOOKUP(Table91213[[#This Row],[Date]],'DB Details'!$A:$L,7)</f>
        <v>39.5</v>
      </c>
      <c r="H900" s="88">
        <f>VLOOKUP(Table91213[[#This Row],[Date]],'DB Details'!$A:$L,8)</f>
        <v>57.3</v>
      </c>
      <c r="I900" s="88">
        <f>VLOOKUP(Table91213[[#This Row],[Date]],'DB Details'!$A:$L,9)</f>
        <v>55.2</v>
      </c>
      <c r="J900" s="88">
        <f>VLOOKUP(Table91213[[#This Row],[Date]],'DB Details'!$A:$L,10)</f>
        <v>49.9</v>
      </c>
      <c r="K900" s="41">
        <f>VLOOKUP(Table91213[[#This Row],[Date]],'DB Details'!$A:$L,11)</f>
        <v>52.6</v>
      </c>
      <c r="L900" s="88">
        <f>VLOOKUP(Table91213[[#This Row],[Date]],'DB Details'!$A:$L,12)</f>
        <v>52.8</v>
      </c>
    </row>
    <row r="901" spans="1:12" x14ac:dyDescent="0.35">
      <c r="A901" s="39">
        <v>44774</v>
      </c>
      <c r="B901" s="57">
        <f>VLOOKUP(Table91213[[#This Row],[Date]],'DB Details'!$A:$L,2)</f>
        <v>51.3</v>
      </c>
      <c r="C901" s="41">
        <f>VLOOKUP(Table91213[[#This Row],[Date]],'DB Details'!$A:$L,3)</f>
        <v>52.5</v>
      </c>
      <c r="D901" s="55">
        <f>VLOOKUP(Table91213[[#This Row],[Date]],'DB Details'!$A:$L,4)</f>
        <v>53</v>
      </c>
      <c r="E901" s="88">
        <f>VLOOKUP(Table91213[[#This Row],[Date]],'DB Details'!$A:$L,5)</f>
        <v>52.5</v>
      </c>
      <c r="F901" s="88">
        <f>VLOOKUP(Table91213[[#This Row],[Date]],'DB Details'!$A:$L,6)</f>
        <v>50.4</v>
      </c>
      <c r="G901" s="41">
        <f>VLOOKUP(Table91213[[#This Row],[Date]],'DB Details'!$A:$L,7)</f>
        <v>38.9</v>
      </c>
      <c r="H901" s="88">
        <f>VLOOKUP(Table91213[[#This Row],[Date]],'DB Details'!$A:$L,8)</f>
        <v>53.1</v>
      </c>
      <c r="I901" s="88">
        <f>VLOOKUP(Table91213[[#This Row],[Date]],'DB Details'!$A:$L,9)</f>
        <v>55.1</v>
      </c>
      <c r="J901" s="88">
        <f>VLOOKUP(Table91213[[#This Row],[Date]],'DB Details'!$A:$L,10)</f>
        <v>54.2</v>
      </c>
      <c r="K901" s="41">
        <f>VLOOKUP(Table91213[[#This Row],[Date]],'DB Details'!$A:$L,11)</f>
        <v>49.4</v>
      </c>
      <c r="L901" s="88">
        <f>VLOOKUP(Table91213[[#This Row],[Date]],'DB Details'!$A:$L,12)</f>
        <v>52.8</v>
      </c>
    </row>
    <row r="902" spans="1:12" x14ac:dyDescent="0.35">
      <c r="A902" s="39">
        <v>44805</v>
      </c>
      <c r="B902" s="57">
        <f>VLOOKUP(Table91213[[#This Row],[Date]],'DB Details'!$A:$L,2)</f>
        <v>47.1</v>
      </c>
      <c r="C902" s="41">
        <f>VLOOKUP(Table91213[[#This Row],[Date]],'DB Details'!$A:$L,3)</f>
        <v>52.6</v>
      </c>
      <c r="D902" s="55">
        <f>VLOOKUP(Table91213[[#This Row],[Date]],'DB Details'!$A:$L,4)</f>
        <v>50.9</v>
      </c>
      <c r="E902" s="88">
        <f>VLOOKUP(Table91213[[#This Row],[Date]],'DB Details'!$A:$L,5)</f>
        <v>51.7</v>
      </c>
      <c r="F902" s="88">
        <f>VLOOKUP(Table91213[[#This Row],[Date]],'DB Details'!$A:$L,6)</f>
        <v>50.6</v>
      </c>
      <c r="G902" s="41">
        <f>VLOOKUP(Table91213[[#This Row],[Date]],'DB Details'!$A:$L,7)</f>
        <v>41.6</v>
      </c>
      <c r="H902" s="88">
        <f>VLOOKUP(Table91213[[#This Row],[Date]],'DB Details'!$A:$L,8)</f>
        <v>55.5</v>
      </c>
      <c r="I902" s="88">
        <f>VLOOKUP(Table91213[[#This Row],[Date]],'DB Details'!$A:$L,9)</f>
        <v>52.4</v>
      </c>
      <c r="J902" s="88">
        <f>VLOOKUP(Table91213[[#This Row],[Date]],'DB Details'!$A:$L,10)</f>
        <v>48.7</v>
      </c>
      <c r="K902" s="41">
        <f>VLOOKUP(Table91213[[#This Row],[Date]],'DB Details'!$A:$L,11)</f>
        <v>47.8</v>
      </c>
      <c r="L902" s="88">
        <f>VLOOKUP(Table91213[[#This Row],[Date]],'DB Details'!$A:$L,12)</f>
        <v>50.9</v>
      </c>
    </row>
    <row r="903" spans="1:12" x14ac:dyDescent="0.35">
      <c r="A903" s="39">
        <v>44835</v>
      </c>
      <c r="B903" s="57">
        <f>VLOOKUP(Table91213[[#This Row],[Date]],'DB Details'!$A:$L,2)</f>
        <v>49.2</v>
      </c>
      <c r="C903" s="41">
        <f>VLOOKUP(Table91213[[#This Row],[Date]],'DB Details'!$A:$L,3)</f>
        <v>50.8</v>
      </c>
      <c r="D903" s="55">
        <f>VLOOKUP(Table91213[[#This Row],[Date]],'DB Details'!$A:$L,4)</f>
        <v>45.3</v>
      </c>
      <c r="E903" s="88">
        <f>VLOOKUP(Table91213[[#This Row],[Date]],'DB Details'!$A:$L,5)</f>
        <v>46.6</v>
      </c>
      <c r="F903" s="88">
        <f>VLOOKUP(Table91213[[#This Row],[Date]],'DB Details'!$A:$L,6)</f>
        <v>52.3</v>
      </c>
      <c r="G903" s="41">
        <f>VLOOKUP(Table91213[[#This Row],[Date]],'DB Details'!$A:$L,7)</f>
        <v>41.6</v>
      </c>
      <c r="H903" s="88">
        <f>VLOOKUP(Table91213[[#This Row],[Date]],'DB Details'!$A:$L,8)</f>
        <v>52.5</v>
      </c>
      <c r="I903" s="88">
        <f>VLOOKUP(Table91213[[#This Row],[Date]],'DB Details'!$A:$L,9)</f>
        <v>46.8</v>
      </c>
      <c r="J903" s="88">
        <f>VLOOKUP(Table91213[[#This Row],[Date]],'DB Details'!$A:$L,10)</f>
        <v>50</v>
      </c>
      <c r="K903" s="41">
        <f>VLOOKUP(Table91213[[#This Row],[Date]],'DB Details'!$A:$L,11)</f>
        <v>46.5</v>
      </c>
      <c r="L903" s="88">
        <f>VLOOKUP(Table91213[[#This Row],[Date]],'DB Details'!$A:$L,12)</f>
        <v>50.2</v>
      </c>
    </row>
    <row r="904" spans="1:12" x14ac:dyDescent="0.35">
      <c r="A904" s="39">
        <v>44866</v>
      </c>
      <c r="B904" s="57">
        <f>VLOOKUP(Table91213[[#This Row],[Date]],'DB Details'!$A:$L,2)</f>
        <v>47.2</v>
      </c>
      <c r="C904" s="41">
        <f>VLOOKUP(Table91213[[#This Row],[Date]],'DB Details'!$A:$L,3)</f>
        <v>46.6</v>
      </c>
      <c r="D904" s="55">
        <f>VLOOKUP(Table91213[[#This Row],[Date]],'DB Details'!$A:$L,4)</f>
        <v>40</v>
      </c>
      <c r="E904" s="88">
        <f>VLOOKUP(Table91213[[#This Row],[Date]],'DB Details'!$A:$L,5)</f>
        <v>43</v>
      </c>
      <c r="F904" s="88">
        <f>VLOOKUP(Table91213[[#This Row],[Date]],'DB Details'!$A:$L,6)</f>
        <v>51.5</v>
      </c>
      <c r="G904" s="41">
        <f>VLOOKUP(Table91213[[#This Row],[Date]],'DB Details'!$A:$L,7)</f>
        <v>48.7</v>
      </c>
      <c r="H904" s="88">
        <f>VLOOKUP(Table91213[[#This Row],[Date]],'DB Details'!$A:$L,8)</f>
        <v>50.9</v>
      </c>
      <c r="I904" s="88">
        <f>VLOOKUP(Table91213[[#This Row],[Date]],'DB Details'!$A:$L,9)</f>
        <v>47.2</v>
      </c>
      <c r="J904" s="88">
        <f>VLOOKUP(Table91213[[#This Row],[Date]],'DB Details'!$A:$L,10)</f>
        <v>48.4</v>
      </c>
      <c r="K904" s="41">
        <f>VLOOKUP(Table91213[[#This Row],[Date]],'DB Details'!$A:$L,11)</f>
        <v>48.4</v>
      </c>
      <c r="L904" s="88">
        <f>VLOOKUP(Table91213[[#This Row],[Date]],'DB Details'!$A:$L,12)</f>
        <v>49</v>
      </c>
    </row>
    <row r="905" spans="1:12" x14ac:dyDescent="0.35">
      <c r="A905" s="39">
        <v>44896</v>
      </c>
      <c r="B905" s="57">
        <f>VLOOKUP(Table91213[[#This Row],[Date]],'DB Details'!$A:$L,2)</f>
        <v>45.2</v>
      </c>
      <c r="C905" s="41">
        <f>VLOOKUP(Table91213[[#This Row],[Date]],'DB Details'!$A:$L,3)</f>
        <v>45.1</v>
      </c>
      <c r="D905" s="55">
        <f>VLOOKUP(Table91213[[#This Row],[Date]],'DB Details'!$A:$L,4)</f>
        <v>41.4</v>
      </c>
      <c r="E905" s="88">
        <f>VLOOKUP(Table91213[[#This Row],[Date]],'DB Details'!$A:$L,5)</f>
        <v>39.4</v>
      </c>
      <c r="F905" s="88">
        <f>VLOOKUP(Table91213[[#This Row],[Date]],'DB Details'!$A:$L,6)</f>
        <v>48.5</v>
      </c>
      <c r="G905" s="41">
        <f>VLOOKUP(Table91213[[#This Row],[Date]],'DB Details'!$A:$L,7)</f>
        <v>48.2</v>
      </c>
      <c r="H905" s="88">
        <f>VLOOKUP(Table91213[[#This Row],[Date]],'DB Details'!$A:$L,8)</f>
        <v>51.8</v>
      </c>
      <c r="I905" s="88">
        <f>VLOOKUP(Table91213[[#This Row],[Date]],'DB Details'!$A:$L,9)</f>
        <v>45.1</v>
      </c>
      <c r="J905" s="88">
        <f>VLOOKUP(Table91213[[#This Row],[Date]],'DB Details'!$A:$L,10)</f>
        <v>51.4</v>
      </c>
      <c r="K905" s="41">
        <f>VLOOKUP(Table91213[[#This Row],[Date]],'DB Details'!$A:$L,11)</f>
        <v>46.2</v>
      </c>
      <c r="L905" s="88">
        <f>VLOOKUP(Table91213[[#This Row],[Date]],'DB Details'!$A:$L,12)</f>
        <v>48.4</v>
      </c>
    </row>
    <row r="906" spans="1:12" x14ac:dyDescent="0.35">
      <c r="A906" s="39">
        <v>44927</v>
      </c>
      <c r="B906" s="57">
        <f>VLOOKUP(Table91213[[#This Row],[Date]],'DB Details'!$A:$L,2)</f>
        <v>42.5</v>
      </c>
      <c r="C906" s="41">
        <f>VLOOKUP(Table91213[[#This Row],[Date]],'DB Details'!$A:$L,3)</f>
        <v>47.8</v>
      </c>
      <c r="D906" s="55">
        <f>VLOOKUP(Table91213[[#This Row],[Date]],'DB Details'!$A:$L,4)</f>
        <v>43.4</v>
      </c>
      <c r="E906" s="88">
        <f>VLOOKUP(Table91213[[#This Row],[Date]],'DB Details'!$A:$L,5)</f>
        <v>44.5</v>
      </c>
      <c r="F906" s="88">
        <f>VLOOKUP(Table91213[[#This Row],[Date]],'DB Details'!$A:$L,6)</f>
        <v>48</v>
      </c>
      <c r="G906" s="41">
        <f>VLOOKUP(Table91213[[#This Row],[Date]],'DB Details'!$A:$L,7)</f>
        <v>47.4</v>
      </c>
      <c r="H906" s="88">
        <f>VLOOKUP(Table91213[[#This Row],[Date]],'DB Details'!$A:$L,8)</f>
        <v>50.2</v>
      </c>
      <c r="I906" s="88">
        <f>VLOOKUP(Table91213[[#This Row],[Date]],'DB Details'!$A:$L,9)</f>
        <v>45.6</v>
      </c>
      <c r="J906" s="88">
        <f>VLOOKUP(Table91213[[#This Row],[Date]],'DB Details'!$A:$L,10)</f>
        <v>50.6</v>
      </c>
      <c r="K906" s="41">
        <f>VLOOKUP(Table91213[[#This Row],[Date]],'DB Details'!$A:$L,11)</f>
        <v>49.4</v>
      </c>
      <c r="L906" s="88">
        <f>VLOOKUP(Table91213[[#This Row],[Date]],'DB Details'!$A:$L,12)</f>
        <v>47.4</v>
      </c>
    </row>
  </sheetData>
  <conditionalFormatting sqref="B750:B906">
    <cfRule type="colorScale" priority="11">
      <colorScale>
        <cfvo type="min"/>
        <cfvo type="percentile" val="50"/>
        <cfvo type="max"/>
        <color rgb="FFF8696B"/>
        <color rgb="FFFFEB84"/>
        <color rgb="FF63BE7B"/>
      </colorScale>
    </cfRule>
  </conditionalFormatting>
  <conditionalFormatting sqref="C750:C906">
    <cfRule type="colorScale" priority="10">
      <colorScale>
        <cfvo type="min"/>
        <cfvo type="percentile" val="50"/>
        <cfvo type="max"/>
        <color rgb="FFF8696B"/>
        <color rgb="FFFFEB84"/>
        <color rgb="FF63BE7B"/>
      </colorScale>
    </cfRule>
  </conditionalFormatting>
  <conditionalFormatting sqref="D750:D906">
    <cfRule type="colorScale" priority="9">
      <colorScale>
        <cfvo type="min"/>
        <cfvo type="percentile" val="50"/>
        <cfvo type="max"/>
        <color rgb="FFF8696B"/>
        <color rgb="FFFFEB84"/>
        <color rgb="FF63BE7B"/>
      </colorScale>
    </cfRule>
  </conditionalFormatting>
  <conditionalFormatting sqref="E750:E906">
    <cfRule type="colorScale" priority="8">
      <colorScale>
        <cfvo type="min"/>
        <cfvo type="percentile" val="50"/>
        <cfvo type="max"/>
        <color rgb="FFF8696B"/>
        <color rgb="FFFFEB84"/>
        <color rgb="FF63BE7B"/>
      </colorScale>
    </cfRule>
  </conditionalFormatting>
  <conditionalFormatting sqref="F750:F906">
    <cfRule type="colorScale" priority="7">
      <colorScale>
        <cfvo type="min"/>
        <cfvo type="percentile" val="50"/>
        <cfvo type="max"/>
        <color rgb="FFF8696B"/>
        <color rgb="FFFFEB84"/>
        <color rgb="FF63BE7B"/>
      </colorScale>
    </cfRule>
  </conditionalFormatting>
  <conditionalFormatting sqref="G750:G906">
    <cfRule type="colorScale" priority="6">
      <colorScale>
        <cfvo type="min"/>
        <cfvo type="percentile" val="50"/>
        <cfvo type="max"/>
        <color rgb="FFF8696B"/>
        <color rgb="FFFFEB84"/>
        <color rgb="FF63BE7B"/>
      </colorScale>
    </cfRule>
  </conditionalFormatting>
  <conditionalFormatting sqref="H750:H906">
    <cfRule type="colorScale" priority="5">
      <colorScale>
        <cfvo type="min"/>
        <cfvo type="percentile" val="50"/>
        <cfvo type="max"/>
        <color rgb="FFF8696B"/>
        <color rgb="FFFFEB84"/>
        <color rgb="FF63BE7B"/>
      </colorScale>
    </cfRule>
  </conditionalFormatting>
  <conditionalFormatting sqref="I750:I906">
    <cfRule type="colorScale" priority="4">
      <colorScale>
        <cfvo type="min"/>
        <cfvo type="percentile" val="50"/>
        <cfvo type="max"/>
        <color rgb="FFF8696B"/>
        <color rgb="FFFFEB84"/>
        <color rgb="FF63BE7B"/>
      </colorScale>
    </cfRule>
  </conditionalFormatting>
  <conditionalFormatting sqref="J750:J906">
    <cfRule type="colorScale" priority="3">
      <colorScale>
        <cfvo type="min"/>
        <cfvo type="percentile" val="50"/>
        <cfvo type="max"/>
        <color rgb="FFF8696B"/>
        <color rgb="FFFFEB84"/>
        <color rgb="FF63BE7B"/>
      </colorScale>
    </cfRule>
  </conditionalFormatting>
  <conditionalFormatting sqref="K750:K906">
    <cfRule type="colorScale" priority="2">
      <colorScale>
        <cfvo type="min"/>
        <cfvo type="percentile" val="50"/>
        <cfvo type="max"/>
        <color rgb="FFF8696B"/>
        <color rgb="FFFFEB84"/>
        <color rgb="FF63BE7B"/>
      </colorScale>
    </cfRule>
  </conditionalFormatting>
  <conditionalFormatting sqref="L750:L906">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90" zoomScaleNormal="90" workbookViewId="0">
      <selection activeCell="AH35" sqref="AH35"/>
    </sheetView>
  </sheetViews>
  <sheetFormatPr defaultColWidth="9.1796875" defaultRowHeight="14.5" x14ac:dyDescent="0.35"/>
  <cols>
    <col min="1" max="41" width="9.1796875" style="90" customWidth="1"/>
    <col min="42" max="16384" width="9.1796875" style="90"/>
  </cols>
  <sheetData>
    <row r="1" spans="13:17" x14ac:dyDescent="0.35">
      <c r="M1" s="89" t="s">
        <v>66</v>
      </c>
      <c r="N1" s="89" t="s">
        <v>67</v>
      </c>
      <c r="O1" s="89" t="s">
        <v>68</v>
      </c>
      <c r="P1" s="89" t="s">
        <v>69</v>
      </c>
      <c r="Q1" s="90" t="s">
        <v>70</v>
      </c>
    </row>
    <row r="5" spans="13:17" x14ac:dyDescent="0.35">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906"/>
  <sheetViews>
    <sheetView zoomScale="110" zoomScaleNormal="110" workbookViewId="0">
      <pane ySplit="5" topLeftCell="A868" activePane="bottomLeft" state="frozen"/>
      <selection pane="bottomLeft" activeCell="A898" sqref="A898:E906"/>
    </sheetView>
  </sheetViews>
  <sheetFormatPr defaultColWidth="9.1796875" defaultRowHeight="14.5" x14ac:dyDescent="0.35"/>
  <cols>
    <col min="1" max="1" width="12.36328125" style="90" customWidth="1"/>
    <col min="2" max="5" width="14.6328125" style="90" customWidth="1"/>
    <col min="6" max="46" width="9.1796875" style="90" customWidth="1"/>
    <col min="47" max="16384" width="9.1796875" style="90"/>
  </cols>
  <sheetData>
    <row r="1" spans="1:5" x14ac:dyDescent="0.35">
      <c r="A1" s="93" t="s">
        <v>83</v>
      </c>
    </row>
    <row r="2" spans="1:5" ht="3.75" customHeight="1" x14ac:dyDescent="0.35"/>
    <row r="3" spans="1:5" ht="3.75" customHeight="1" x14ac:dyDescent="0.35"/>
    <row r="4" spans="1:5" ht="16" customHeight="1" thickBot="1" x14ac:dyDescent="0.4"/>
    <row r="5" spans="1:5" ht="25" customHeight="1" thickBot="1" x14ac:dyDescent="0.4">
      <c r="A5" s="50" t="s">
        <v>82</v>
      </c>
      <c r="B5" s="51" t="s">
        <v>84</v>
      </c>
      <c r="C5" s="52" t="s">
        <v>85</v>
      </c>
      <c r="D5" s="53" t="s">
        <v>86</v>
      </c>
      <c r="E5" s="54" t="s">
        <v>87</v>
      </c>
    </row>
    <row r="6" spans="1:5" x14ac:dyDescent="0.35">
      <c r="A6" s="47">
        <v>17533</v>
      </c>
      <c r="B6" s="48">
        <f>VLOOKUP(Table311[[#This Row],[Date]],'DB Details'!$A:$L,12)</f>
        <v>51.7</v>
      </c>
      <c r="C6" s="49">
        <f>VLOOKUP(Table311[[#This Row],[Date]],'DB Details'!$A:$T,20)</f>
        <v>2.6047334660473331E-2</v>
      </c>
      <c r="D6" s="49">
        <f>VLOOKUP(Table311[[#This Row],[Date]],'DB Details'!$A:$T,18)</f>
        <v>1.5042003240444579E-2</v>
      </c>
      <c r="E6" s="49">
        <f>VLOOKUP(Table311[[#This Row],[Date]],'DB Details'!$A:$T,19)</f>
        <v>6.1539249051736133E-2</v>
      </c>
    </row>
    <row r="7" spans="1:5" x14ac:dyDescent="0.35">
      <c r="A7" s="38">
        <v>17564</v>
      </c>
      <c r="B7" s="48">
        <f>VLOOKUP(Table311[[#This Row],[Date]],'DB Details'!$A:$L,12)</f>
        <v>50.2</v>
      </c>
      <c r="C7" s="49">
        <f>VLOOKUP(Table311[[#This Row],[Date]],'DB Details'!$A:$T,20)</f>
        <v>0</v>
      </c>
      <c r="D7" s="49">
        <f>VLOOKUP(Table311[[#This Row],[Date]],'DB Details'!$A:$T,18)</f>
        <v>0</v>
      </c>
      <c r="E7" s="49">
        <f>VLOOKUP(Table311[[#This Row],[Date]],'DB Details'!$A:$T,19)</f>
        <v>0</v>
      </c>
    </row>
    <row r="8" spans="1:5" x14ac:dyDescent="0.35">
      <c r="A8" s="38">
        <v>17593</v>
      </c>
      <c r="B8" s="48">
        <f>VLOOKUP(Table311[[#This Row],[Date]],'DB Details'!$A:$L,12)</f>
        <v>43.3</v>
      </c>
      <c r="C8" s="49">
        <f>VLOOKUP(Table311[[#This Row],[Date]],'DB Details'!$A:$T,20)</f>
        <v>0</v>
      </c>
      <c r="D8" s="49">
        <f>VLOOKUP(Table311[[#This Row],[Date]],'DB Details'!$A:$T,18)</f>
        <v>0</v>
      </c>
      <c r="E8" s="49">
        <f>VLOOKUP(Table311[[#This Row],[Date]],'DB Details'!$A:$T,19)</f>
        <v>0</v>
      </c>
    </row>
    <row r="9" spans="1:5" x14ac:dyDescent="0.35">
      <c r="A9" s="38">
        <v>17624</v>
      </c>
      <c r="B9" s="48">
        <f>VLOOKUP(Table311[[#This Row],[Date]],'DB Details'!$A:$L,12)</f>
        <v>45.4</v>
      </c>
      <c r="C9" s="49">
        <f>VLOOKUP(Table311[[#This Row],[Date]],'DB Details'!$A:$T,20)</f>
        <v>4.5773238759127553E-2</v>
      </c>
      <c r="D9" s="49">
        <f>VLOOKUP(Table311[[#This Row],[Date]],'DB Details'!$A:$T,18)</f>
        <v>1.6506805937602041E-2</v>
      </c>
      <c r="E9" s="49">
        <f>VLOOKUP(Table311[[#This Row],[Date]],'DB Details'!$A:$T,19)</f>
        <v>6.768013659057992E-2</v>
      </c>
    </row>
    <row r="10" spans="1:5" x14ac:dyDescent="0.35">
      <c r="A10" s="38">
        <v>17654</v>
      </c>
      <c r="B10" s="48">
        <f>VLOOKUP(Table311[[#This Row],[Date]],'DB Details'!$A:$L,12)</f>
        <v>49.5</v>
      </c>
      <c r="C10" s="49">
        <f>VLOOKUP(Table311[[#This Row],[Date]],'DB Details'!$A:$T,20)</f>
        <v>0</v>
      </c>
      <c r="D10" s="49">
        <f>VLOOKUP(Table311[[#This Row],[Date]],'DB Details'!$A:$T,18)</f>
        <v>0</v>
      </c>
      <c r="E10" s="49">
        <f>VLOOKUP(Table311[[#This Row],[Date]],'DB Details'!$A:$T,19)</f>
        <v>0</v>
      </c>
    </row>
    <row r="11" spans="1:5" x14ac:dyDescent="0.35">
      <c r="A11" s="38">
        <v>17685</v>
      </c>
      <c r="B11" s="48">
        <f>VLOOKUP(Table311[[#This Row],[Date]],'DB Details'!$A:$L,12)</f>
        <v>53</v>
      </c>
      <c r="C11" s="49">
        <f>VLOOKUP(Table311[[#This Row],[Date]],'DB Details'!$A:$T,20)</f>
        <v>0</v>
      </c>
      <c r="D11" s="49">
        <f>VLOOKUP(Table311[[#This Row],[Date]],'DB Details'!$A:$T,18)</f>
        <v>0</v>
      </c>
      <c r="E11" s="49">
        <f>VLOOKUP(Table311[[#This Row],[Date]],'DB Details'!$A:$T,19)</f>
        <v>0</v>
      </c>
    </row>
    <row r="12" spans="1:5" x14ac:dyDescent="0.35">
      <c r="A12" s="38">
        <v>17715</v>
      </c>
      <c r="B12" s="48">
        <f>VLOOKUP(Table311[[#This Row],[Date]],'DB Details'!$A:$L,12)</f>
        <v>48.4</v>
      </c>
      <c r="C12" s="49">
        <f>VLOOKUP(Table311[[#This Row],[Date]],'DB Details'!$A:$T,20)</f>
        <v>5.3941211970956623E-2</v>
      </c>
      <c r="D12" s="49">
        <f>VLOOKUP(Table311[[#This Row],[Date]],'DB Details'!$A:$T,18)</f>
        <v>5.7293019130506004E-3</v>
      </c>
      <c r="E12" s="49">
        <f>VLOOKUP(Table311[[#This Row],[Date]],'DB Details'!$A:$T,19)</f>
        <v>2.3114910387200819E-2</v>
      </c>
    </row>
    <row r="13" spans="1:5" x14ac:dyDescent="0.35">
      <c r="A13" s="38">
        <v>17746</v>
      </c>
      <c r="B13" s="48">
        <f>VLOOKUP(Table311[[#This Row],[Date]],'DB Details'!$A:$L,12)</f>
        <v>45.1</v>
      </c>
      <c r="C13" s="49">
        <f>VLOOKUP(Table311[[#This Row],[Date]],'DB Details'!$A:$T,20)</f>
        <v>0</v>
      </c>
      <c r="D13" s="49">
        <f>VLOOKUP(Table311[[#This Row],[Date]],'DB Details'!$A:$T,18)</f>
        <v>0</v>
      </c>
      <c r="E13" s="49">
        <f>VLOOKUP(Table311[[#This Row],[Date]],'DB Details'!$A:$T,19)</f>
        <v>0</v>
      </c>
    </row>
    <row r="14" spans="1:5" x14ac:dyDescent="0.35">
      <c r="A14" s="38">
        <v>17777</v>
      </c>
      <c r="B14" s="48">
        <f>VLOOKUP(Table311[[#This Row],[Date]],'DB Details'!$A:$L,12)</f>
        <v>42.1</v>
      </c>
      <c r="C14" s="49">
        <f>VLOOKUP(Table311[[#This Row],[Date]],'DB Details'!$A:$T,20)</f>
        <v>0</v>
      </c>
      <c r="D14" s="49">
        <f>VLOOKUP(Table311[[#This Row],[Date]],'DB Details'!$A:$T,18)</f>
        <v>0</v>
      </c>
      <c r="E14" s="49">
        <f>VLOOKUP(Table311[[#This Row],[Date]],'DB Details'!$A:$T,19)</f>
        <v>0</v>
      </c>
    </row>
    <row r="15" spans="1:5" x14ac:dyDescent="0.35">
      <c r="A15" s="38">
        <v>17807</v>
      </c>
      <c r="B15" s="48">
        <f>VLOOKUP(Table311[[#This Row],[Date]],'DB Details'!$A:$L,12)</f>
        <v>47.2</v>
      </c>
      <c r="C15" s="49">
        <f>VLOOKUP(Table311[[#This Row],[Date]],'DB Details'!$A:$T,20)</f>
        <v>3.8867828377035368E-2</v>
      </c>
      <c r="D15" s="49">
        <f>VLOOKUP(Table311[[#This Row],[Date]],'DB Details'!$A:$T,18)</f>
        <v>1.117121575066453E-3</v>
      </c>
      <c r="E15" s="49">
        <f>VLOOKUP(Table311[[#This Row],[Date]],'DB Details'!$A:$T,19)</f>
        <v>4.4759796419990838E-3</v>
      </c>
    </row>
    <row r="16" spans="1:5" x14ac:dyDescent="0.35">
      <c r="A16" s="38">
        <v>17838</v>
      </c>
      <c r="B16" s="48">
        <f>VLOOKUP(Table311[[#This Row],[Date]],'DB Details'!$A:$L,12)</f>
        <v>42.4</v>
      </c>
      <c r="C16" s="49">
        <f>VLOOKUP(Table311[[#This Row],[Date]],'DB Details'!$A:$T,20)</f>
        <v>0</v>
      </c>
      <c r="D16" s="49">
        <f>VLOOKUP(Table311[[#This Row],[Date]],'DB Details'!$A:$T,18)</f>
        <v>0</v>
      </c>
      <c r="E16" s="49">
        <f>VLOOKUP(Table311[[#This Row],[Date]],'DB Details'!$A:$T,19)</f>
        <v>0</v>
      </c>
    </row>
    <row r="17" spans="1:5" x14ac:dyDescent="0.35">
      <c r="A17" s="38">
        <v>17868</v>
      </c>
      <c r="B17" s="48">
        <f>VLOOKUP(Table311[[#This Row],[Date]],'DB Details'!$A:$L,12)</f>
        <v>35</v>
      </c>
      <c r="C17" s="49">
        <f>VLOOKUP(Table311[[#This Row],[Date]],'DB Details'!$A:$T,20)</f>
        <v>0</v>
      </c>
      <c r="D17" s="49">
        <f>VLOOKUP(Table311[[#This Row],[Date]],'DB Details'!$A:$T,18)</f>
        <v>0</v>
      </c>
      <c r="E17" s="49">
        <f>VLOOKUP(Table311[[#This Row],[Date]],'DB Details'!$A:$T,19)</f>
        <v>0</v>
      </c>
    </row>
    <row r="18" spans="1:5" x14ac:dyDescent="0.35">
      <c r="A18" s="38">
        <v>17899</v>
      </c>
      <c r="B18" s="48">
        <f>VLOOKUP(Table311[[#This Row],[Date]],'DB Details'!$A:$L,12)</f>
        <v>32.9</v>
      </c>
      <c r="C18" s="49">
        <f>VLOOKUP(Table311[[#This Row],[Date]],'DB Details'!$A:$T,20)</f>
        <v>9.3698411740303182E-3</v>
      </c>
      <c r="D18" s="49">
        <f>VLOOKUP(Table311[[#This Row],[Date]],'DB Details'!$A:$T,18)</f>
        <v>-1.377946490423314E-2</v>
      </c>
      <c r="E18" s="49">
        <f>VLOOKUP(Table311[[#This Row],[Date]],'DB Details'!$A:$T,19)</f>
        <v>-5.3989047075999941E-2</v>
      </c>
    </row>
    <row r="19" spans="1:5" x14ac:dyDescent="0.35">
      <c r="A19" s="38">
        <v>17930</v>
      </c>
      <c r="B19" s="48">
        <f>VLOOKUP(Table311[[#This Row],[Date]],'DB Details'!$A:$L,12)</f>
        <v>31.3</v>
      </c>
      <c r="C19" s="49">
        <f>VLOOKUP(Table311[[#This Row],[Date]],'DB Details'!$A:$T,20)</f>
        <v>0</v>
      </c>
      <c r="D19" s="49">
        <f>VLOOKUP(Table311[[#This Row],[Date]],'DB Details'!$A:$T,18)</f>
        <v>0</v>
      </c>
      <c r="E19" s="49">
        <f>VLOOKUP(Table311[[#This Row],[Date]],'DB Details'!$A:$T,19)</f>
        <v>0</v>
      </c>
    </row>
    <row r="20" spans="1:5" x14ac:dyDescent="0.35">
      <c r="A20" s="38">
        <v>17958</v>
      </c>
      <c r="B20" s="48">
        <f>VLOOKUP(Table311[[#This Row],[Date]],'DB Details'!$A:$L,12)</f>
        <v>34.5</v>
      </c>
      <c r="C20" s="49">
        <f>VLOOKUP(Table311[[#This Row],[Date]],'DB Details'!$A:$T,20)</f>
        <v>0</v>
      </c>
      <c r="D20" s="49">
        <f>VLOOKUP(Table311[[#This Row],[Date]],'DB Details'!$A:$T,18)</f>
        <v>0</v>
      </c>
      <c r="E20" s="49">
        <f>VLOOKUP(Table311[[#This Row],[Date]],'DB Details'!$A:$T,19)</f>
        <v>0</v>
      </c>
    </row>
    <row r="21" spans="1:5" x14ac:dyDescent="0.35">
      <c r="A21" s="38">
        <v>17989</v>
      </c>
      <c r="B21" s="48">
        <f>VLOOKUP(Table311[[#This Row],[Date]],'DB Details'!$A:$L,12)</f>
        <v>35.5</v>
      </c>
      <c r="C21" s="49">
        <f>VLOOKUP(Table311[[#This Row],[Date]],'DB Details'!$A:$T,20)</f>
        <v>-1.0408129698915939E-2</v>
      </c>
      <c r="D21" s="49">
        <f>VLOOKUP(Table311[[#This Row],[Date]],'DB Details'!$A:$T,18)</f>
        <v>-3.4110092971006431E-3</v>
      </c>
      <c r="E21" s="49">
        <f>VLOOKUP(Table311[[#This Row],[Date]],'DB Details'!$A:$T,19)</f>
        <v>-1.357438589464066E-2</v>
      </c>
    </row>
    <row r="22" spans="1:5" x14ac:dyDescent="0.35">
      <c r="A22" s="38">
        <v>18019</v>
      </c>
      <c r="B22" s="48">
        <f>VLOOKUP(Table311[[#This Row],[Date]],'DB Details'!$A:$L,12)</f>
        <v>32.6</v>
      </c>
      <c r="C22" s="49">
        <f>VLOOKUP(Table311[[#This Row],[Date]],'DB Details'!$A:$T,20)</f>
        <v>0</v>
      </c>
      <c r="D22" s="49">
        <f>VLOOKUP(Table311[[#This Row],[Date]],'DB Details'!$A:$T,18)</f>
        <v>0</v>
      </c>
      <c r="E22" s="49">
        <f>VLOOKUP(Table311[[#This Row],[Date]],'DB Details'!$A:$T,19)</f>
        <v>0</v>
      </c>
    </row>
    <row r="23" spans="1:5" x14ac:dyDescent="0.35">
      <c r="A23" s="38">
        <v>18050</v>
      </c>
      <c r="B23" s="48">
        <f>VLOOKUP(Table311[[#This Row],[Date]],'DB Details'!$A:$L,12)</f>
        <v>31.6</v>
      </c>
      <c r="C23" s="49">
        <f>VLOOKUP(Table311[[#This Row],[Date]],'DB Details'!$A:$T,20)</f>
        <v>0</v>
      </c>
      <c r="D23" s="49">
        <f>VLOOKUP(Table311[[#This Row],[Date]],'DB Details'!$A:$T,18)</f>
        <v>0</v>
      </c>
      <c r="E23" s="49">
        <f>VLOOKUP(Table311[[#This Row],[Date]],'DB Details'!$A:$T,19)</f>
        <v>0</v>
      </c>
    </row>
    <row r="24" spans="1:5" x14ac:dyDescent="0.35">
      <c r="A24" s="38">
        <v>18080</v>
      </c>
      <c r="B24" s="48">
        <f>VLOOKUP(Table311[[#This Row],[Date]],'DB Details'!$A:$L,12)</f>
        <v>39</v>
      </c>
      <c r="C24" s="49">
        <f>VLOOKUP(Table311[[#This Row],[Date]],'DB Details'!$A:$T,20)</f>
        <v>-5.8869120585402172E-3</v>
      </c>
      <c r="D24" s="49">
        <f>VLOOKUP(Table311[[#This Row],[Date]],'DB Details'!$A:$T,18)</f>
        <v>1.0324247766707E-2</v>
      </c>
      <c r="E24" s="49">
        <f>VLOOKUP(Table311[[#This Row],[Date]],'DB Details'!$A:$T,19)</f>
        <v>4.1940944830040523E-2</v>
      </c>
    </row>
    <row r="25" spans="1:5" x14ac:dyDescent="0.35">
      <c r="A25" s="38">
        <v>18111</v>
      </c>
      <c r="B25" s="48">
        <f>VLOOKUP(Table311[[#This Row],[Date]],'DB Details'!$A:$L,12)</f>
        <v>47</v>
      </c>
      <c r="C25" s="49">
        <f>VLOOKUP(Table311[[#This Row],[Date]],'DB Details'!$A:$T,20)</f>
        <v>0</v>
      </c>
      <c r="D25" s="49">
        <f>VLOOKUP(Table311[[#This Row],[Date]],'DB Details'!$A:$T,18)</f>
        <v>0</v>
      </c>
      <c r="E25" s="49">
        <f>VLOOKUP(Table311[[#This Row],[Date]],'DB Details'!$A:$T,19)</f>
        <v>0</v>
      </c>
    </row>
    <row r="26" spans="1:5" x14ac:dyDescent="0.35">
      <c r="A26" s="38">
        <v>18142</v>
      </c>
      <c r="B26" s="48">
        <f>VLOOKUP(Table311[[#This Row],[Date]],'DB Details'!$A:$L,12)</f>
        <v>52.3</v>
      </c>
      <c r="C26" s="49">
        <f>VLOOKUP(Table311[[#This Row],[Date]],'DB Details'!$A:$T,20)</f>
        <v>0</v>
      </c>
      <c r="D26" s="49">
        <f>VLOOKUP(Table311[[#This Row],[Date]],'DB Details'!$A:$T,18)</f>
        <v>0</v>
      </c>
      <c r="E26" s="49">
        <f>VLOOKUP(Table311[[#This Row],[Date]],'DB Details'!$A:$T,19)</f>
        <v>0</v>
      </c>
    </row>
    <row r="27" spans="1:5" x14ac:dyDescent="0.35">
      <c r="A27" s="38">
        <v>18172</v>
      </c>
      <c r="B27" s="48">
        <f>VLOOKUP(Table311[[#This Row],[Date]],'DB Details'!$A:$L,12)</f>
        <v>51</v>
      </c>
      <c r="C27" s="49">
        <f>VLOOKUP(Table311[[#This Row],[Date]],'DB Details'!$A:$T,20)</f>
        <v>-1.5330175432027089E-2</v>
      </c>
      <c r="D27" s="49">
        <f>VLOOKUP(Table311[[#This Row],[Date]],'DB Details'!$A:$T,18)</f>
        <v>-8.3926744042991594E-3</v>
      </c>
      <c r="E27" s="49">
        <f>VLOOKUP(Table311[[#This Row],[Date]],'DB Details'!$A:$T,19)</f>
        <v>-3.3150435372567788E-2</v>
      </c>
    </row>
    <row r="28" spans="1:5" x14ac:dyDescent="0.35">
      <c r="A28" s="38">
        <v>18203</v>
      </c>
      <c r="B28" s="48">
        <f>VLOOKUP(Table311[[#This Row],[Date]],'DB Details'!$A:$L,12)</f>
        <v>51</v>
      </c>
      <c r="C28" s="49">
        <f>VLOOKUP(Table311[[#This Row],[Date]],'DB Details'!$A:$T,20)</f>
        <v>0</v>
      </c>
      <c r="D28" s="49">
        <f>VLOOKUP(Table311[[#This Row],[Date]],'DB Details'!$A:$T,18)</f>
        <v>0</v>
      </c>
      <c r="E28" s="49">
        <f>VLOOKUP(Table311[[#This Row],[Date]],'DB Details'!$A:$T,19)</f>
        <v>0</v>
      </c>
    </row>
    <row r="29" spans="1:5" x14ac:dyDescent="0.35">
      <c r="A29" s="38">
        <v>18233</v>
      </c>
      <c r="B29" s="48">
        <f>VLOOKUP(Table311[[#This Row],[Date]],'DB Details'!$A:$L,12)</f>
        <v>57.3</v>
      </c>
      <c r="C29" s="49">
        <f>VLOOKUP(Table311[[#This Row],[Date]],'DB Details'!$A:$T,20)</f>
        <v>0</v>
      </c>
      <c r="D29" s="49">
        <f>VLOOKUP(Table311[[#This Row],[Date]],'DB Details'!$A:$T,18)</f>
        <v>0</v>
      </c>
      <c r="E29" s="49">
        <f>VLOOKUP(Table311[[#This Row],[Date]],'DB Details'!$A:$T,19)</f>
        <v>0</v>
      </c>
    </row>
    <row r="30" spans="1:5" x14ac:dyDescent="0.35">
      <c r="A30" s="38">
        <v>18264</v>
      </c>
      <c r="B30" s="48">
        <f>VLOOKUP(Table311[[#This Row],[Date]],'DB Details'!$A:$L,12)</f>
        <v>59.1</v>
      </c>
      <c r="C30" s="49">
        <f>VLOOKUP(Table311[[#This Row],[Date]],'DB Details'!$A:$T,20)</f>
        <v>3.7666806992497658E-2</v>
      </c>
      <c r="D30" s="49">
        <f>VLOOKUP(Table311[[#This Row],[Date]],'DB Details'!$A:$T,18)</f>
        <v>3.9300979993230782E-2</v>
      </c>
      <c r="E30" s="49">
        <f>VLOOKUP(Table311[[#This Row],[Date]],'DB Details'!$A:$T,19)</f>
        <v>0.16671651982232771</v>
      </c>
    </row>
    <row r="31" spans="1:5" x14ac:dyDescent="0.35">
      <c r="A31" s="38">
        <v>18295</v>
      </c>
      <c r="B31" s="48">
        <f>VLOOKUP(Table311[[#This Row],[Date]],'DB Details'!$A:$L,12)</f>
        <v>60.5</v>
      </c>
      <c r="C31" s="49">
        <f>VLOOKUP(Table311[[#This Row],[Date]],'DB Details'!$A:$T,20)</f>
        <v>0</v>
      </c>
      <c r="D31" s="49">
        <f>VLOOKUP(Table311[[#This Row],[Date]],'DB Details'!$A:$T,18)</f>
        <v>0</v>
      </c>
      <c r="E31" s="49">
        <f>VLOOKUP(Table311[[#This Row],[Date]],'DB Details'!$A:$T,19)</f>
        <v>0</v>
      </c>
    </row>
    <row r="32" spans="1:5" x14ac:dyDescent="0.35">
      <c r="A32" s="38">
        <v>18323</v>
      </c>
      <c r="B32" s="48">
        <f>VLOOKUP(Table311[[#This Row],[Date]],'DB Details'!$A:$L,12)</f>
        <v>62.1</v>
      </c>
      <c r="C32" s="49">
        <f>VLOOKUP(Table311[[#This Row],[Date]],'DB Details'!$A:$T,20)</f>
        <v>0</v>
      </c>
      <c r="D32" s="49">
        <f>VLOOKUP(Table311[[#This Row],[Date]],'DB Details'!$A:$T,18)</f>
        <v>0</v>
      </c>
      <c r="E32" s="49">
        <f>VLOOKUP(Table311[[#This Row],[Date]],'DB Details'!$A:$T,19)</f>
        <v>0</v>
      </c>
    </row>
    <row r="33" spans="1:5" x14ac:dyDescent="0.35">
      <c r="A33" s="38">
        <v>18354</v>
      </c>
      <c r="B33" s="48">
        <f>VLOOKUP(Table311[[#This Row],[Date]],'DB Details'!$A:$L,12)</f>
        <v>68.099999999999994</v>
      </c>
      <c r="C33" s="49">
        <f>VLOOKUP(Table311[[#This Row],[Date]],'DB Details'!$A:$T,20)</f>
        <v>7.2973606233695101E-2</v>
      </c>
      <c r="D33" s="49">
        <f>VLOOKUP(Table311[[#This Row],[Date]],'DB Details'!$A:$T,18)</f>
        <v>3.0498109876438879E-2</v>
      </c>
      <c r="E33" s="49">
        <f>VLOOKUP(Table311[[#This Row],[Date]],'DB Details'!$A:$T,19)</f>
        <v>0.1276875822943975</v>
      </c>
    </row>
    <row r="34" spans="1:5" x14ac:dyDescent="0.35">
      <c r="A34" s="38">
        <v>18384</v>
      </c>
      <c r="B34" s="48">
        <f>VLOOKUP(Table311[[#This Row],[Date]],'DB Details'!$A:$L,12)</f>
        <v>74.7</v>
      </c>
      <c r="C34" s="49">
        <f>VLOOKUP(Table311[[#This Row],[Date]],'DB Details'!$A:$T,20)</f>
        <v>0</v>
      </c>
      <c r="D34" s="49">
        <f>VLOOKUP(Table311[[#This Row],[Date]],'DB Details'!$A:$T,18)</f>
        <v>0</v>
      </c>
      <c r="E34" s="49">
        <f>VLOOKUP(Table311[[#This Row],[Date]],'DB Details'!$A:$T,19)</f>
        <v>0</v>
      </c>
    </row>
    <row r="35" spans="1:5" x14ac:dyDescent="0.35">
      <c r="A35" s="38">
        <v>18415</v>
      </c>
      <c r="B35" s="48">
        <f>VLOOKUP(Table311[[#This Row],[Date]],'DB Details'!$A:$L,12)</f>
        <v>76.599999999999994</v>
      </c>
      <c r="C35" s="49">
        <f>VLOOKUP(Table311[[#This Row],[Date]],'DB Details'!$A:$T,20)</f>
        <v>0</v>
      </c>
      <c r="D35" s="49">
        <f>VLOOKUP(Table311[[#This Row],[Date]],'DB Details'!$A:$T,18)</f>
        <v>0</v>
      </c>
      <c r="E35" s="49">
        <f>VLOOKUP(Table311[[#This Row],[Date]],'DB Details'!$A:$T,19)</f>
        <v>0</v>
      </c>
    </row>
    <row r="36" spans="1:5" x14ac:dyDescent="0.35">
      <c r="A36" s="38">
        <v>18445</v>
      </c>
      <c r="B36" s="48">
        <f>VLOOKUP(Table311[[#This Row],[Date]],'DB Details'!$A:$L,12)</f>
        <v>77.5</v>
      </c>
      <c r="C36" s="49">
        <f>VLOOKUP(Table311[[#This Row],[Date]],'DB Details'!$A:$T,20)</f>
        <v>0.1030495976182812</v>
      </c>
      <c r="D36" s="49">
        <f>VLOOKUP(Table311[[#This Row],[Date]],'DB Details'!$A:$T,18)</f>
        <v>3.864414603347914E-2</v>
      </c>
      <c r="E36" s="49">
        <f>VLOOKUP(Table311[[#This Row],[Date]],'DB Details'!$A:$T,19)</f>
        <v>0.16376987446083291</v>
      </c>
    </row>
    <row r="37" spans="1:5" x14ac:dyDescent="0.35">
      <c r="A37" s="38">
        <v>18476</v>
      </c>
      <c r="B37" s="48">
        <f>VLOOKUP(Table311[[#This Row],[Date]],'DB Details'!$A:$L,12)</f>
        <v>75.8</v>
      </c>
      <c r="C37" s="49">
        <f>VLOOKUP(Table311[[#This Row],[Date]],'DB Details'!$A:$T,20)</f>
        <v>0</v>
      </c>
      <c r="D37" s="49">
        <f>VLOOKUP(Table311[[#This Row],[Date]],'DB Details'!$A:$T,18)</f>
        <v>0</v>
      </c>
      <c r="E37" s="49">
        <f>VLOOKUP(Table311[[#This Row],[Date]],'DB Details'!$A:$T,19)</f>
        <v>0</v>
      </c>
    </row>
    <row r="38" spans="1:5" x14ac:dyDescent="0.35">
      <c r="A38" s="38">
        <v>18507</v>
      </c>
      <c r="B38" s="48">
        <f>VLOOKUP(Table311[[#This Row],[Date]],'DB Details'!$A:$L,12)</f>
        <v>68.099999999999994</v>
      </c>
      <c r="C38" s="49">
        <f>VLOOKUP(Table311[[#This Row],[Date]],'DB Details'!$A:$T,20)</f>
        <v>0</v>
      </c>
      <c r="D38" s="49">
        <f>VLOOKUP(Table311[[#This Row],[Date]],'DB Details'!$A:$T,18)</f>
        <v>0</v>
      </c>
      <c r="E38" s="49">
        <f>VLOOKUP(Table311[[#This Row],[Date]],'DB Details'!$A:$T,19)</f>
        <v>0</v>
      </c>
    </row>
    <row r="39" spans="1:5" x14ac:dyDescent="0.35">
      <c r="A39" s="38">
        <v>18537</v>
      </c>
      <c r="B39" s="48">
        <f>VLOOKUP(Table311[[#This Row],[Date]],'DB Details'!$A:$L,12)</f>
        <v>59.2</v>
      </c>
      <c r="C39" s="49">
        <f>VLOOKUP(Table311[[#This Row],[Date]],'DB Details'!$A:$T,20)</f>
        <v>0.1336852232840611</v>
      </c>
      <c r="D39" s="49">
        <f>VLOOKUP(Table311[[#This Row],[Date]],'DB Details'!$A:$T,18)</f>
        <v>1.9147801472750019E-2</v>
      </c>
      <c r="E39" s="49">
        <f>VLOOKUP(Table311[[#This Row],[Date]],'DB Details'!$A:$T,19)</f>
        <v>7.8819251391700762E-2</v>
      </c>
    </row>
    <row r="40" spans="1:5" x14ac:dyDescent="0.35">
      <c r="A40" s="38">
        <v>18568</v>
      </c>
      <c r="B40" s="48">
        <f>VLOOKUP(Table311[[#This Row],[Date]],'DB Details'!$A:$L,12)</f>
        <v>63.1</v>
      </c>
      <c r="C40" s="49">
        <f>VLOOKUP(Table311[[#This Row],[Date]],'DB Details'!$A:$T,20)</f>
        <v>0</v>
      </c>
      <c r="D40" s="49">
        <f>VLOOKUP(Table311[[#This Row],[Date]],'DB Details'!$A:$T,18)</f>
        <v>0</v>
      </c>
      <c r="E40" s="49">
        <f>VLOOKUP(Table311[[#This Row],[Date]],'DB Details'!$A:$T,19)</f>
        <v>0</v>
      </c>
    </row>
    <row r="41" spans="1:5" x14ac:dyDescent="0.35">
      <c r="A41" s="38">
        <v>18598</v>
      </c>
      <c r="B41" s="48">
        <f>VLOOKUP(Table311[[#This Row],[Date]],'DB Details'!$A:$L,12)</f>
        <v>67.099999999999994</v>
      </c>
      <c r="C41" s="49">
        <f>VLOOKUP(Table311[[#This Row],[Date]],'DB Details'!$A:$T,20)</f>
        <v>0</v>
      </c>
      <c r="D41" s="49">
        <f>VLOOKUP(Table311[[#This Row],[Date]],'DB Details'!$A:$T,18)</f>
        <v>0</v>
      </c>
      <c r="E41" s="49">
        <f>VLOOKUP(Table311[[#This Row],[Date]],'DB Details'!$A:$T,19)</f>
        <v>0</v>
      </c>
    </row>
    <row r="42" spans="1:5" x14ac:dyDescent="0.35">
      <c r="A42" s="38">
        <v>18629</v>
      </c>
      <c r="B42" s="48">
        <f>VLOOKUP(Table311[[#This Row],[Date]],'DB Details'!$A:$L,12)</f>
        <v>67.8</v>
      </c>
      <c r="C42" s="49">
        <f>VLOOKUP(Table311[[#This Row],[Date]],'DB Details'!$A:$T,20)</f>
        <v>0.1056301212286148</v>
      </c>
      <c r="D42" s="49">
        <f>VLOOKUP(Table311[[#This Row],[Date]],'DB Details'!$A:$T,18)</f>
        <v>1.3581587642352811E-2</v>
      </c>
      <c r="E42" s="49">
        <f>VLOOKUP(Table311[[#This Row],[Date]],'DB Details'!$A:$T,19)</f>
        <v>5.5443162744754693E-2</v>
      </c>
    </row>
    <row r="43" spans="1:5" x14ac:dyDescent="0.35">
      <c r="A43" s="38">
        <v>18660</v>
      </c>
      <c r="B43" s="48">
        <f>VLOOKUP(Table311[[#This Row],[Date]],'DB Details'!$A:$L,12)</f>
        <v>69.3</v>
      </c>
      <c r="C43" s="49">
        <f>VLOOKUP(Table311[[#This Row],[Date]],'DB Details'!$A:$T,20)</f>
        <v>0</v>
      </c>
      <c r="D43" s="49">
        <f>VLOOKUP(Table311[[#This Row],[Date]],'DB Details'!$A:$T,18)</f>
        <v>0</v>
      </c>
      <c r="E43" s="49">
        <f>VLOOKUP(Table311[[#This Row],[Date]],'DB Details'!$A:$T,19)</f>
        <v>0</v>
      </c>
    </row>
    <row r="44" spans="1:5" x14ac:dyDescent="0.35">
      <c r="A44" s="38">
        <v>18688</v>
      </c>
      <c r="B44" s="48">
        <f>VLOOKUP(Table311[[#This Row],[Date]],'DB Details'!$A:$L,12)</f>
        <v>65.5</v>
      </c>
      <c r="C44" s="49">
        <f>VLOOKUP(Table311[[#This Row],[Date]],'DB Details'!$A:$T,20)</f>
        <v>0</v>
      </c>
      <c r="D44" s="49">
        <f>VLOOKUP(Table311[[#This Row],[Date]],'DB Details'!$A:$T,18)</f>
        <v>0</v>
      </c>
      <c r="E44" s="49">
        <f>VLOOKUP(Table311[[#This Row],[Date]],'DB Details'!$A:$T,19)</f>
        <v>0</v>
      </c>
    </row>
    <row r="45" spans="1:5" x14ac:dyDescent="0.35">
      <c r="A45" s="38">
        <v>18719</v>
      </c>
      <c r="B45" s="48">
        <f>VLOOKUP(Table311[[#This Row],[Date]],'DB Details'!$A:$L,12)</f>
        <v>53.5</v>
      </c>
      <c r="C45" s="49">
        <f>VLOOKUP(Table311[[#This Row],[Date]],'DB Details'!$A:$T,20)</f>
        <v>9.1498838238916594E-2</v>
      </c>
      <c r="D45" s="49">
        <f>VLOOKUP(Table311[[#This Row],[Date]],'DB Details'!$A:$T,18)</f>
        <v>1.7327104373413171E-2</v>
      </c>
      <c r="E45" s="49">
        <f>VLOOKUP(Table311[[#This Row],[Date]],'DB Details'!$A:$T,19)</f>
        <v>7.1130687272042525E-2</v>
      </c>
    </row>
    <row r="46" spans="1:5" x14ac:dyDescent="0.35">
      <c r="A46" s="38">
        <v>18749</v>
      </c>
      <c r="B46" s="48">
        <f>VLOOKUP(Table311[[#This Row],[Date]],'DB Details'!$A:$L,12)</f>
        <v>50.7</v>
      </c>
      <c r="C46" s="49">
        <f>VLOOKUP(Table311[[#This Row],[Date]],'DB Details'!$A:$T,20)</f>
        <v>0</v>
      </c>
      <c r="D46" s="49">
        <f>VLOOKUP(Table311[[#This Row],[Date]],'DB Details'!$A:$T,18)</f>
        <v>0</v>
      </c>
      <c r="E46" s="49">
        <f>VLOOKUP(Table311[[#This Row],[Date]],'DB Details'!$A:$T,19)</f>
        <v>0</v>
      </c>
    </row>
    <row r="47" spans="1:5" x14ac:dyDescent="0.35">
      <c r="A47" s="38">
        <v>18780</v>
      </c>
      <c r="B47" s="48">
        <f>VLOOKUP(Table311[[#This Row],[Date]],'DB Details'!$A:$L,12)</f>
        <v>45.5</v>
      </c>
      <c r="C47" s="49">
        <f>VLOOKUP(Table311[[#This Row],[Date]],'DB Details'!$A:$T,20)</f>
        <v>0</v>
      </c>
      <c r="D47" s="49">
        <f>VLOOKUP(Table311[[#This Row],[Date]],'DB Details'!$A:$T,18)</f>
        <v>0</v>
      </c>
      <c r="E47" s="49">
        <f>VLOOKUP(Table311[[#This Row],[Date]],'DB Details'!$A:$T,19)</f>
        <v>0</v>
      </c>
    </row>
    <row r="48" spans="1:5" x14ac:dyDescent="0.35">
      <c r="A48" s="38">
        <v>18810</v>
      </c>
      <c r="B48" s="48">
        <f>VLOOKUP(Table311[[#This Row],[Date]],'DB Details'!$A:$L,12)</f>
        <v>42.1</v>
      </c>
      <c r="C48" s="49">
        <f>VLOOKUP(Table311[[#This Row],[Date]],'DB Details'!$A:$T,20)</f>
        <v>7.2546955017537634E-2</v>
      </c>
      <c r="D48" s="49">
        <f>VLOOKUP(Table311[[#This Row],[Date]],'DB Details'!$A:$T,18)</f>
        <v>2.0609987979811371E-2</v>
      </c>
      <c r="E48" s="49">
        <f>VLOOKUP(Table311[[#This Row],[Date]],'DB Details'!$A:$T,19)</f>
        <v>8.5023780127983395E-2</v>
      </c>
    </row>
    <row r="49" spans="1:5" x14ac:dyDescent="0.35">
      <c r="A49" s="38">
        <v>18841</v>
      </c>
      <c r="B49" s="48">
        <f>VLOOKUP(Table311[[#This Row],[Date]],'DB Details'!$A:$L,12)</f>
        <v>43.6</v>
      </c>
      <c r="C49" s="49">
        <f>VLOOKUP(Table311[[#This Row],[Date]],'DB Details'!$A:$T,20)</f>
        <v>0</v>
      </c>
      <c r="D49" s="49">
        <f>VLOOKUP(Table311[[#This Row],[Date]],'DB Details'!$A:$T,18)</f>
        <v>0</v>
      </c>
      <c r="E49" s="49">
        <f>VLOOKUP(Table311[[#This Row],[Date]],'DB Details'!$A:$T,19)</f>
        <v>0</v>
      </c>
    </row>
    <row r="50" spans="1:5" x14ac:dyDescent="0.35">
      <c r="A50" s="38">
        <v>18872</v>
      </c>
      <c r="B50" s="48">
        <f>VLOOKUP(Table311[[#This Row],[Date]],'DB Details'!$A:$L,12)</f>
        <v>48.1</v>
      </c>
      <c r="C50" s="49">
        <f>VLOOKUP(Table311[[#This Row],[Date]],'DB Details'!$A:$T,20)</f>
        <v>0</v>
      </c>
      <c r="D50" s="49">
        <f>VLOOKUP(Table311[[#This Row],[Date]],'DB Details'!$A:$T,18)</f>
        <v>0</v>
      </c>
      <c r="E50" s="49">
        <f>VLOOKUP(Table311[[#This Row],[Date]],'DB Details'!$A:$T,19)</f>
        <v>0</v>
      </c>
    </row>
    <row r="51" spans="1:5" x14ac:dyDescent="0.35">
      <c r="A51" s="38">
        <v>18902</v>
      </c>
      <c r="B51" s="48">
        <f>VLOOKUP(Table311[[#This Row],[Date]],'DB Details'!$A:$L,12)</f>
        <v>49.6</v>
      </c>
      <c r="C51" s="49">
        <f>VLOOKUP(Table311[[#This Row],[Date]],'DB Details'!$A:$T,20)</f>
        <v>5.4713784948761307E-2</v>
      </c>
      <c r="D51" s="49">
        <f>VLOOKUP(Table311[[#This Row],[Date]],'DB Details'!$A:$T,18)</f>
        <v>2.202495736847894E-3</v>
      </c>
      <c r="E51" s="49">
        <f>VLOOKUP(Table311[[#This Row],[Date]],'DB Details'!$A:$T,19)</f>
        <v>8.8391316328653158E-3</v>
      </c>
    </row>
    <row r="52" spans="1:5" x14ac:dyDescent="0.35">
      <c r="A52" s="38">
        <v>18933</v>
      </c>
      <c r="B52" s="48">
        <f>VLOOKUP(Table311[[#This Row],[Date]],'DB Details'!$A:$L,12)</f>
        <v>47.2</v>
      </c>
      <c r="C52" s="49">
        <f>VLOOKUP(Table311[[#This Row],[Date]],'DB Details'!$A:$T,20)</f>
        <v>0</v>
      </c>
      <c r="D52" s="49">
        <f>VLOOKUP(Table311[[#This Row],[Date]],'DB Details'!$A:$T,18)</f>
        <v>0</v>
      </c>
      <c r="E52" s="49">
        <f>VLOOKUP(Table311[[#This Row],[Date]],'DB Details'!$A:$T,19)</f>
        <v>0</v>
      </c>
    </row>
    <row r="53" spans="1:5" x14ac:dyDescent="0.35">
      <c r="A53" s="38">
        <v>18963</v>
      </c>
      <c r="B53" s="48">
        <f>VLOOKUP(Table311[[#This Row],[Date]],'DB Details'!$A:$L,12)</f>
        <v>46.5</v>
      </c>
      <c r="C53" s="49">
        <f>VLOOKUP(Table311[[#This Row],[Date]],'DB Details'!$A:$T,20)</f>
        <v>0</v>
      </c>
      <c r="D53" s="49">
        <f>VLOOKUP(Table311[[#This Row],[Date]],'DB Details'!$A:$T,18)</f>
        <v>0</v>
      </c>
      <c r="E53" s="49">
        <f>VLOOKUP(Table311[[#This Row],[Date]],'DB Details'!$A:$T,19)</f>
        <v>0</v>
      </c>
    </row>
    <row r="54" spans="1:5" x14ac:dyDescent="0.35">
      <c r="A54" s="38">
        <v>18994</v>
      </c>
      <c r="B54" s="48">
        <f>VLOOKUP(Table311[[#This Row],[Date]],'DB Details'!$A:$L,12)</f>
        <v>44.7</v>
      </c>
      <c r="C54" s="49">
        <f>VLOOKUP(Table311[[#This Row],[Date]],'DB Details'!$A:$T,20)</f>
        <v>5.1700008811443751E-2</v>
      </c>
      <c r="D54" s="49">
        <f>VLOOKUP(Table311[[#This Row],[Date]],'DB Details'!$A:$T,18)</f>
        <v>1.0685344087321091E-2</v>
      </c>
      <c r="E54" s="49">
        <f>VLOOKUP(Table311[[#This Row],[Date]],'DB Details'!$A:$T,19)</f>
        <v>4.3431328919264052E-2</v>
      </c>
    </row>
    <row r="55" spans="1:5" x14ac:dyDescent="0.35">
      <c r="A55" s="38">
        <v>19025</v>
      </c>
      <c r="B55" s="48">
        <f>VLOOKUP(Table311[[#This Row],[Date]],'DB Details'!$A:$L,12)</f>
        <v>41.8</v>
      </c>
      <c r="C55" s="49">
        <f>VLOOKUP(Table311[[#This Row],[Date]],'DB Details'!$A:$T,20)</f>
        <v>0</v>
      </c>
      <c r="D55" s="49">
        <f>VLOOKUP(Table311[[#This Row],[Date]],'DB Details'!$A:$T,18)</f>
        <v>0</v>
      </c>
      <c r="E55" s="49">
        <f>VLOOKUP(Table311[[#This Row],[Date]],'DB Details'!$A:$T,19)</f>
        <v>0</v>
      </c>
    </row>
    <row r="56" spans="1:5" x14ac:dyDescent="0.35">
      <c r="A56" s="38">
        <v>19054</v>
      </c>
      <c r="B56" s="48">
        <f>VLOOKUP(Table311[[#This Row],[Date]],'DB Details'!$A:$L,12)</f>
        <v>40</v>
      </c>
      <c r="C56" s="49">
        <f>VLOOKUP(Table311[[#This Row],[Date]],'DB Details'!$A:$T,20)</f>
        <v>0</v>
      </c>
      <c r="D56" s="49">
        <f>VLOOKUP(Table311[[#This Row],[Date]],'DB Details'!$A:$T,18)</f>
        <v>0</v>
      </c>
      <c r="E56" s="49">
        <f>VLOOKUP(Table311[[#This Row],[Date]],'DB Details'!$A:$T,19)</f>
        <v>0</v>
      </c>
    </row>
    <row r="57" spans="1:5" x14ac:dyDescent="0.35">
      <c r="A57" s="38">
        <v>19085</v>
      </c>
      <c r="B57" s="48">
        <f>VLOOKUP(Table311[[#This Row],[Date]],'DB Details'!$A:$L,12)</f>
        <v>36.700000000000003</v>
      </c>
      <c r="C57" s="49">
        <f>VLOOKUP(Table311[[#This Row],[Date]],'DB Details'!$A:$T,20)</f>
        <v>3.601420952213661E-2</v>
      </c>
      <c r="D57" s="49">
        <f>VLOOKUP(Table311[[#This Row],[Date]],'DB Details'!$A:$T,18)</f>
        <v>2.153966941563661E-3</v>
      </c>
      <c r="E57" s="49">
        <f>VLOOKUP(Table311[[#This Row],[Date]],'DB Details'!$A:$T,19)</f>
        <v>8.6437452032444018E-3</v>
      </c>
    </row>
    <row r="58" spans="1:5" x14ac:dyDescent="0.35">
      <c r="A58" s="38">
        <v>19115</v>
      </c>
      <c r="B58" s="48">
        <f>VLOOKUP(Table311[[#This Row],[Date]],'DB Details'!$A:$L,12)</f>
        <v>39.5</v>
      </c>
      <c r="C58" s="49">
        <f>VLOOKUP(Table311[[#This Row],[Date]],'DB Details'!$A:$T,20)</f>
        <v>0</v>
      </c>
      <c r="D58" s="49">
        <f>VLOOKUP(Table311[[#This Row],[Date]],'DB Details'!$A:$T,18)</f>
        <v>0</v>
      </c>
      <c r="E58" s="49">
        <f>VLOOKUP(Table311[[#This Row],[Date]],'DB Details'!$A:$T,19)</f>
        <v>0</v>
      </c>
    </row>
    <row r="59" spans="1:5" x14ac:dyDescent="0.35">
      <c r="A59" s="38">
        <v>19146</v>
      </c>
      <c r="B59" s="48">
        <f>VLOOKUP(Table311[[#This Row],[Date]],'DB Details'!$A:$L,12)</f>
        <v>43.3</v>
      </c>
      <c r="C59" s="49">
        <f>VLOOKUP(Table311[[#This Row],[Date]],'DB Details'!$A:$T,20)</f>
        <v>0</v>
      </c>
      <c r="D59" s="49">
        <f>VLOOKUP(Table311[[#This Row],[Date]],'DB Details'!$A:$T,18)</f>
        <v>0</v>
      </c>
      <c r="E59" s="49">
        <f>VLOOKUP(Table311[[#This Row],[Date]],'DB Details'!$A:$T,19)</f>
        <v>0</v>
      </c>
    </row>
    <row r="60" spans="1:5" x14ac:dyDescent="0.35">
      <c r="A60" s="38">
        <v>19176</v>
      </c>
      <c r="B60" s="48">
        <f>VLOOKUP(Table311[[#This Row],[Date]],'DB Details'!$A:$L,12)</f>
        <v>48.3</v>
      </c>
      <c r="C60" s="49">
        <f>VLOOKUP(Table311[[#This Row],[Date]],'DB Details'!$A:$T,20)</f>
        <v>2.2420593813249911E-2</v>
      </c>
      <c r="D60" s="49">
        <f>VLOOKUP(Table311[[#This Row],[Date]],'DB Details'!$A:$T,18)</f>
        <v>7.2184921511505469E-3</v>
      </c>
      <c r="E60" s="49">
        <f>VLOOKUP(Table311[[#This Row],[Date]],'DB Details'!$A:$T,19)</f>
        <v>2.918811561848789E-2</v>
      </c>
    </row>
    <row r="61" spans="1:5" x14ac:dyDescent="0.35">
      <c r="A61" s="38">
        <v>19207</v>
      </c>
      <c r="B61" s="48">
        <f>VLOOKUP(Table311[[#This Row],[Date]],'DB Details'!$A:$L,12)</f>
        <v>60.4</v>
      </c>
      <c r="C61" s="49">
        <f>VLOOKUP(Table311[[#This Row],[Date]],'DB Details'!$A:$T,20)</f>
        <v>0</v>
      </c>
      <c r="D61" s="49">
        <f>VLOOKUP(Table311[[#This Row],[Date]],'DB Details'!$A:$T,18)</f>
        <v>0</v>
      </c>
      <c r="E61" s="49">
        <f>VLOOKUP(Table311[[#This Row],[Date]],'DB Details'!$A:$T,19)</f>
        <v>0</v>
      </c>
    </row>
    <row r="62" spans="1:5" x14ac:dyDescent="0.35">
      <c r="A62" s="38">
        <v>19238</v>
      </c>
      <c r="B62" s="48">
        <f>VLOOKUP(Table311[[#This Row],[Date]],'DB Details'!$A:$L,12)</f>
        <v>56.1</v>
      </c>
      <c r="C62" s="49">
        <f>VLOOKUP(Table311[[#This Row],[Date]],'DB Details'!$A:$T,20)</f>
        <v>0</v>
      </c>
      <c r="D62" s="49">
        <f>VLOOKUP(Table311[[#This Row],[Date]],'DB Details'!$A:$T,18)</f>
        <v>0</v>
      </c>
      <c r="E62" s="49">
        <f>VLOOKUP(Table311[[#This Row],[Date]],'DB Details'!$A:$T,19)</f>
        <v>0</v>
      </c>
    </row>
    <row r="63" spans="1:5" x14ac:dyDescent="0.35">
      <c r="A63" s="38">
        <v>19268</v>
      </c>
      <c r="B63" s="48">
        <f>VLOOKUP(Table311[[#This Row],[Date]],'DB Details'!$A:$L,12)</f>
        <v>56.2</v>
      </c>
      <c r="C63" s="49">
        <f>VLOOKUP(Table311[[#This Row],[Date]],'DB Details'!$A:$T,20)</f>
        <v>5.3678369473262447E-2</v>
      </c>
      <c r="D63" s="49">
        <f>VLOOKUP(Table311[[#This Row],[Date]],'DB Details'!$A:$T,18)</f>
        <v>3.2842157112222173E-2</v>
      </c>
      <c r="E63" s="49">
        <f>VLOOKUP(Table311[[#This Row],[Date]],'DB Details'!$A:$T,19)</f>
        <v>0.13798313070477031</v>
      </c>
    </row>
    <row r="64" spans="1:5" x14ac:dyDescent="0.35">
      <c r="A64" s="38">
        <v>19299</v>
      </c>
      <c r="B64" s="48">
        <f>VLOOKUP(Table311[[#This Row],[Date]],'DB Details'!$A:$L,12)</f>
        <v>56.8</v>
      </c>
      <c r="C64" s="49">
        <f>VLOOKUP(Table311[[#This Row],[Date]],'DB Details'!$A:$T,20)</f>
        <v>0</v>
      </c>
      <c r="D64" s="49">
        <f>VLOOKUP(Table311[[#This Row],[Date]],'DB Details'!$A:$T,18)</f>
        <v>0</v>
      </c>
      <c r="E64" s="49">
        <f>VLOOKUP(Table311[[#This Row],[Date]],'DB Details'!$A:$T,19)</f>
        <v>0</v>
      </c>
    </row>
    <row r="65" spans="1:5" x14ac:dyDescent="0.35">
      <c r="A65" s="38">
        <v>19329</v>
      </c>
      <c r="B65" s="48">
        <f>VLOOKUP(Table311[[#This Row],[Date]],'DB Details'!$A:$L,12)</f>
        <v>55.8</v>
      </c>
      <c r="C65" s="49">
        <f>VLOOKUP(Table311[[#This Row],[Date]],'DB Details'!$A:$T,20)</f>
        <v>0</v>
      </c>
      <c r="D65" s="49">
        <f>VLOOKUP(Table311[[#This Row],[Date]],'DB Details'!$A:$T,18)</f>
        <v>0</v>
      </c>
      <c r="E65" s="49">
        <f>VLOOKUP(Table311[[#This Row],[Date]],'DB Details'!$A:$T,19)</f>
        <v>0</v>
      </c>
    </row>
    <row r="66" spans="1:5" x14ac:dyDescent="0.35">
      <c r="A66" s="38">
        <v>19360</v>
      </c>
      <c r="B66" s="48">
        <f>VLOOKUP(Table311[[#This Row],[Date]],'DB Details'!$A:$L,12)</f>
        <v>59.4</v>
      </c>
      <c r="C66" s="49">
        <f>VLOOKUP(Table311[[#This Row],[Date]],'DB Details'!$A:$T,20)</f>
        <v>6.1917895940897291E-2</v>
      </c>
      <c r="D66" s="49">
        <f>VLOOKUP(Table311[[#This Row],[Date]],'DB Details'!$A:$T,18)</f>
        <v>1.8588674823075951E-2</v>
      </c>
      <c r="E66" s="49">
        <f>VLOOKUP(Table311[[#This Row],[Date]],'DB Details'!$A:$T,19)</f>
        <v>7.6453744115379418E-2</v>
      </c>
    </row>
    <row r="67" spans="1:5" x14ac:dyDescent="0.35">
      <c r="A67" s="38">
        <v>19391</v>
      </c>
      <c r="B67" s="48">
        <f>VLOOKUP(Table311[[#This Row],[Date]],'DB Details'!$A:$L,12)</f>
        <v>55.4</v>
      </c>
      <c r="C67" s="49">
        <f>VLOOKUP(Table311[[#This Row],[Date]],'DB Details'!$A:$T,20)</f>
        <v>0</v>
      </c>
      <c r="D67" s="49">
        <f>VLOOKUP(Table311[[#This Row],[Date]],'DB Details'!$A:$T,18)</f>
        <v>0</v>
      </c>
      <c r="E67" s="49">
        <f>VLOOKUP(Table311[[#This Row],[Date]],'DB Details'!$A:$T,19)</f>
        <v>0</v>
      </c>
    </row>
    <row r="68" spans="1:5" x14ac:dyDescent="0.35">
      <c r="A68" s="38">
        <v>19419</v>
      </c>
      <c r="B68" s="48">
        <f>VLOOKUP(Table311[[#This Row],[Date]],'DB Details'!$A:$L,12)</f>
        <v>50.5</v>
      </c>
      <c r="C68" s="49">
        <f>VLOOKUP(Table311[[#This Row],[Date]],'DB Details'!$A:$T,20)</f>
        <v>0</v>
      </c>
      <c r="D68" s="49">
        <f>VLOOKUP(Table311[[#This Row],[Date]],'DB Details'!$A:$T,18)</f>
        <v>0</v>
      </c>
      <c r="E68" s="49">
        <f>VLOOKUP(Table311[[#This Row],[Date]],'DB Details'!$A:$T,19)</f>
        <v>0</v>
      </c>
    </row>
    <row r="69" spans="1:5" x14ac:dyDescent="0.35">
      <c r="A69" s="38">
        <v>19450</v>
      </c>
      <c r="B69" s="48">
        <f>VLOOKUP(Table311[[#This Row],[Date]],'DB Details'!$A:$L,12)</f>
        <v>51.1</v>
      </c>
      <c r="C69" s="49">
        <f>VLOOKUP(Table311[[#This Row],[Date]],'DB Details'!$A:$T,20)</f>
        <v>6.7825801625112397E-2</v>
      </c>
      <c r="D69" s="49">
        <f>VLOOKUP(Table311[[#This Row],[Date]],'DB Details'!$A:$T,18)</f>
        <v>7.7293802012741919E-3</v>
      </c>
      <c r="E69" s="49">
        <f>VLOOKUP(Table311[[#This Row],[Date]],'DB Details'!$A:$T,19)</f>
        <v>3.1277831399421967E-2</v>
      </c>
    </row>
    <row r="70" spans="1:5" x14ac:dyDescent="0.35">
      <c r="A70" s="38">
        <v>19480</v>
      </c>
      <c r="B70" s="48">
        <f>VLOOKUP(Table311[[#This Row],[Date]],'DB Details'!$A:$L,12)</f>
        <v>48.9</v>
      </c>
      <c r="C70" s="49">
        <f>VLOOKUP(Table311[[#This Row],[Date]],'DB Details'!$A:$T,20)</f>
        <v>0</v>
      </c>
      <c r="D70" s="49">
        <f>VLOOKUP(Table311[[#This Row],[Date]],'DB Details'!$A:$T,18)</f>
        <v>0</v>
      </c>
      <c r="E70" s="49">
        <f>VLOOKUP(Table311[[#This Row],[Date]],'DB Details'!$A:$T,19)</f>
        <v>0</v>
      </c>
    </row>
    <row r="71" spans="1:5" x14ac:dyDescent="0.35">
      <c r="A71" s="38">
        <v>19511</v>
      </c>
      <c r="B71" s="48">
        <f>VLOOKUP(Table311[[#This Row],[Date]],'DB Details'!$A:$L,12)</f>
        <v>48.5</v>
      </c>
      <c r="C71" s="49">
        <f>VLOOKUP(Table311[[#This Row],[Date]],'DB Details'!$A:$T,20)</f>
        <v>0</v>
      </c>
      <c r="D71" s="49">
        <f>VLOOKUP(Table311[[#This Row],[Date]],'DB Details'!$A:$T,18)</f>
        <v>0</v>
      </c>
      <c r="E71" s="49">
        <f>VLOOKUP(Table311[[#This Row],[Date]],'DB Details'!$A:$T,19)</f>
        <v>0</v>
      </c>
    </row>
    <row r="72" spans="1:5" x14ac:dyDescent="0.35">
      <c r="A72" s="38">
        <v>19541</v>
      </c>
      <c r="B72" s="48">
        <f>VLOOKUP(Table311[[#This Row],[Date]],'DB Details'!$A:$L,12)</f>
        <v>46.3</v>
      </c>
      <c r="C72" s="49">
        <f>VLOOKUP(Table311[[#This Row],[Date]],'DB Details'!$A:$T,20)</f>
        <v>5.4207601807062959E-2</v>
      </c>
      <c r="D72" s="49">
        <f>VLOOKUP(Table311[[#This Row],[Date]],'DB Details'!$A:$T,18)</f>
        <v>-5.6267703117660051E-3</v>
      </c>
      <c r="E72" s="49">
        <f>VLOOKUP(Table311[[#This Row],[Date]],'DB Details'!$A:$T,19)</f>
        <v>-2.2317829566265272E-2</v>
      </c>
    </row>
    <row r="73" spans="1:5" x14ac:dyDescent="0.35">
      <c r="A73" s="38">
        <v>19572</v>
      </c>
      <c r="B73" s="48">
        <f>VLOOKUP(Table311[[#This Row],[Date]],'DB Details'!$A:$L,12)</f>
        <v>43.5</v>
      </c>
      <c r="C73" s="49">
        <f>VLOOKUP(Table311[[#This Row],[Date]],'DB Details'!$A:$T,20)</f>
        <v>0</v>
      </c>
      <c r="D73" s="49">
        <f>VLOOKUP(Table311[[#This Row],[Date]],'DB Details'!$A:$T,18)</f>
        <v>0</v>
      </c>
      <c r="E73" s="49">
        <f>VLOOKUP(Table311[[#This Row],[Date]],'DB Details'!$A:$T,19)</f>
        <v>0</v>
      </c>
    </row>
    <row r="74" spans="1:5" x14ac:dyDescent="0.35">
      <c r="A74" s="38">
        <v>19603</v>
      </c>
      <c r="B74" s="48">
        <f>VLOOKUP(Table311[[#This Row],[Date]],'DB Details'!$A:$L,12)</f>
        <v>40.200000000000003</v>
      </c>
      <c r="C74" s="49">
        <f>VLOOKUP(Table311[[#This Row],[Date]],'DB Details'!$A:$T,20)</f>
        <v>0</v>
      </c>
      <c r="D74" s="49">
        <f>VLOOKUP(Table311[[#This Row],[Date]],'DB Details'!$A:$T,18)</f>
        <v>0</v>
      </c>
      <c r="E74" s="49">
        <f>VLOOKUP(Table311[[#This Row],[Date]],'DB Details'!$A:$T,19)</f>
        <v>0</v>
      </c>
    </row>
    <row r="75" spans="1:5" x14ac:dyDescent="0.35">
      <c r="A75" s="38">
        <v>19633</v>
      </c>
      <c r="B75" s="48">
        <f>VLOOKUP(Table311[[#This Row],[Date]],'DB Details'!$A:$L,12)</f>
        <v>37.4</v>
      </c>
      <c r="C75" s="49">
        <f>VLOOKUP(Table311[[#This Row],[Date]],'DB Details'!$A:$T,20)</f>
        <v>5.2334884401820294E-3</v>
      </c>
      <c r="D75" s="49">
        <f>VLOOKUP(Table311[[#This Row],[Date]],'DB Details'!$A:$T,18)</f>
        <v>-1.5139406296922391E-2</v>
      </c>
      <c r="E75" s="49">
        <f>VLOOKUP(Table311[[#This Row],[Date]],'DB Details'!$A:$T,19)</f>
        <v>-5.9196242822145077E-2</v>
      </c>
    </row>
    <row r="76" spans="1:5" x14ac:dyDescent="0.35">
      <c r="A76" s="38">
        <v>19664</v>
      </c>
      <c r="B76" s="48">
        <f>VLOOKUP(Table311[[#This Row],[Date]],'DB Details'!$A:$L,12)</f>
        <v>36.9</v>
      </c>
      <c r="C76" s="49">
        <f>VLOOKUP(Table311[[#This Row],[Date]],'DB Details'!$A:$T,20)</f>
        <v>0</v>
      </c>
      <c r="D76" s="49">
        <f>VLOOKUP(Table311[[#This Row],[Date]],'DB Details'!$A:$T,18)</f>
        <v>0</v>
      </c>
      <c r="E76" s="49">
        <f>VLOOKUP(Table311[[#This Row],[Date]],'DB Details'!$A:$T,19)</f>
        <v>0</v>
      </c>
    </row>
    <row r="77" spans="1:5" x14ac:dyDescent="0.35">
      <c r="A77" s="38">
        <v>19694</v>
      </c>
      <c r="B77" s="48">
        <f>VLOOKUP(Table311[[#This Row],[Date]],'DB Details'!$A:$L,12)</f>
        <v>35.6</v>
      </c>
      <c r="C77" s="49">
        <f>VLOOKUP(Table311[[#This Row],[Date]],'DB Details'!$A:$T,20)</f>
        <v>0</v>
      </c>
      <c r="D77" s="49">
        <f>VLOOKUP(Table311[[#This Row],[Date]],'DB Details'!$A:$T,18)</f>
        <v>0</v>
      </c>
      <c r="E77" s="49">
        <f>VLOOKUP(Table311[[#This Row],[Date]],'DB Details'!$A:$T,19)</f>
        <v>0</v>
      </c>
    </row>
    <row r="78" spans="1:5" x14ac:dyDescent="0.35">
      <c r="A78" s="38">
        <v>19725</v>
      </c>
      <c r="B78" s="48">
        <f>VLOOKUP(Table311[[#This Row],[Date]],'DB Details'!$A:$L,12)</f>
        <v>37.4</v>
      </c>
      <c r="C78" s="49">
        <f>VLOOKUP(Table311[[#This Row],[Date]],'DB Details'!$A:$T,20)</f>
        <v>-1.7829024643117721E-2</v>
      </c>
      <c r="D78" s="49">
        <f>VLOOKUP(Table311[[#This Row],[Date]],'DB Details'!$A:$T,18)</f>
        <v>-4.780238876824148E-3</v>
      </c>
      <c r="E78" s="49">
        <f>VLOOKUP(Table311[[#This Row],[Date]],'DB Details'!$A:$T,19)</f>
        <v>-1.8984287809732381E-2</v>
      </c>
    </row>
    <row r="79" spans="1:5" x14ac:dyDescent="0.35">
      <c r="A79" s="38">
        <v>19756</v>
      </c>
      <c r="B79" s="48">
        <f>VLOOKUP(Table311[[#This Row],[Date]],'DB Details'!$A:$L,12)</f>
        <v>40.700000000000003</v>
      </c>
      <c r="C79" s="49">
        <f>VLOOKUP(Table311[[#This Row],[Date]],'DB Details'!$A:$T,20)</f>
        <v>0</v>
      </c>
      <c r="D79" s="49">
        <f>VLOOKUP(Table311[[#This Row],[Date]],'DB Details'!$A:$T,18)</f>
        <v>0</v>
      </c>
      <c r="E79" s="49">
        <f>VLOOKUP(Table311[[#This Row],[Date]],'DB Details'!$A:$T,19)</f>
        <v>0</v>
      </c>
    </row>
    <row r="80" spans="1:5" x14ac:dyDescent="0.35">
      <c r="A80" s="38">
        <v>19784</v>
      </c>
      <c r="B80" s="48">
        <f>VLOOKUP(Table311[[#This Row],[Date]],'DB Details'!$A:$L,12)</f>
        <v>44.7</v>
      </c>
      <c r="C80" s="49">
        <f>VLOOKUP(Table311[[#This Row],[Date]],'DB Details'!$A:$T,20)</f>
        <v>0</v>
      </c>
      <c r="D80" s="49">
        <f>VLOOKUP(Table311[[#This Row],[Date]],'DB Details'!$A:$T,18)</f>
        <v>0</v>
      </c>
      <c r="E80" s="49">
        <f>VLOOKUP(Table311[[#This Row],[Date]],'DB Details'!$A:$T,19)</f>
        <v>0</v>
      </c>
    </row>
    <row r="81" spans="1:5" x14ac:dyDescent="0.35">
      <c r="A81" s="38">
        <v>19815</v>
      </c>
      <c r="B81" s="48">
        <f>VLOOKUP(Table311[[#This Row],[Date]],'DB Details'!$A:$L,12)</f>
        <v>47.7</v>
      </c>
      <c r="C81" s="49">
        <f>VLOOKUP(Table311[[#This Row],[Date]],'DB Details'!$A:$T,20)</f>
        <v>-2.430009049587464E-2</v>
      </c>
      <c r="D81" s="49">
        <f>VLOOKUP(Table311[[#This Row],[Date]],'DB Details'!$A:$T,18)</f>
        <v>1.0899219555539361E-3</v>
      </c>
      <c r="E81" s="49">
        <f>VLOOKUP(Table311[[#This Row],[Date]],'DB Details'!$A:$T,19)</f>
        <v>4.3668205818458983E-3</v>
      </c>
    </row>
    <row r="82" spans="1:5" x14ac:dyDescent="0.35">
      <c r="A82" s="38">
        <v>19845</v>
      </c>
      <c r="B82" s="48">
        <f>VLOOKUP(Table311[[#This Row],[Date]],'DB Details'!$A:$L,12)</f>
        <v>50.1</v>
      </c>
      <c r="C82" s="49">
        <f>VLOOKUP(Table311[[#This Row],[Date]],'DB Details'!$A:$T,20)</f>
        <v>0</v>
      </c>
      <c r="D82" s="49">
        <f>VLOOKUP(Table311[[#This Row],[Date]],'DB Details'!$A:$T,18)</f>
        <v>0</v>
      </c>
      <c r="E82" s="49">
        <f>VLOOKUP(Table311[[#This Row],[Date]],'DB Details'!$A:$T,19)</f>
        <v>0</v>
      </c>
    </row>
    <row r="83" spans="1:5" x14ac:dyDescent="0.35">
      <c r="A83" s="38">
        <v>19876</v>
      </c>
      <c r="B83" s="48">
        <f>VLOOKUP(Table311[[#This Row],[Date]],'DB Details'!$A:$L,12)</f>
        <v>52.1</v>
      </c>
      <c r="C83" s="49">
        <f>VLOOKUP(Table311[[#This Row],[Date]],'DB Details'!$A:$T,20)</f>
        <v>0</v>
      </c>
      <c r="D83" s="49">
        <f>VLOOKUP(Table311[[#This Row],[Date]],'DB Details'!$A:$T,18)</f>
        <v>0</v>
      </c>
      <c r="E83" s="49">
        <f>VLOOKUP(Table311[[#This Row],[Date]],'DB Details'!$A:$T,19)</f>
        <v>0</v>
      </c>
    </row>
    <row r="84" spans="1:5" x14ac:dyDescent="0.35">
      <c r="A84" s="38">
        <v>19906</v>
      </c>
      <c r="B84" s="48">
        <f>VLOOKUP(Table311[[#This Row],[Date]],'DB Details'!$A:$L,12)</f>
        <v>51.7</v>
      </c>
      <c r="C84" s="49">
        <f>VLOOKUP(Table311[[#This Row],[Date]],'DB Details'!$A:$T,20)</f>
        <v>-7.697602225000209E-3</v>
      </c>
      <c r="D84" s="49">
        <f>VLOOKUP(Table311[[#This Row],[Date]],'DB Details'!$A:$T,18)</f>
        <v>1.129346276600556E-2</v>
      </c>
      <c r="E84" s="49">
        <f>VLOOKUP(Table311[[#This Row],[Date]],'DB Details'!$A:$T,19)</f>
        <v>4.5944882715464493E-2</v>
      </c>
    </row>
    <row r="85" spans="1:5" x14ac:dyDescent="0.35">
      <c r="A85" s="38">
        <v>19937</v>
      </c>
      <c r="B85" s="48">
        <f>VLOOKUP(Table311[[#This Row],[Date]],'DB Details'!$A:$L,12)</f>
        <v>54.4</v>
      </c>
      <c r="C85" s="49">
        <f>VLOOKUP(Table311[[#This Row],[Date]],'DB Details'!$A:$T,20)</f>
        <v>0</v>
      </c>
      <c r="D85" s="49">
        <f>VLOOKUP(Table311[[#This Row],[Date]],'DB Details'!$A:$T,18)</f>
        <v>0</v>
      </c>
      <c r="E85" s="49">
        <f>VLOOKUP(Table311[[#This Row],[Date]],'DB Details'!$A:$T,19)</f>
        <v>0</v>
      </c>
    </row>
    <row r="86" spans="1:5" x14ac:dyDescent="0.35">
      <c r="A86" s="38">
        <v>19968</v>
      </c>
      <c r="B86" s="48">
        <f>VLOOKUP(Table311[[#This Row],[Date]],'DB Details'!$A:$L,12)</f>
        <v>53.5</v>
      </c>
      <c r="C86" s="49">
        <f>VLOOKUP(Table311[[#This Row],[Date]],'DB Details'!$A:$T,20)</f>
        <v>0</v>
      </c>
      <c r="D86" s="49">
        <f>VLOOKUP(Table311[[#This Row],[Date]],'DB Details'!$A:$T,18)</f>
        <v>0</v>
      </c>
      <c r="E86" s="49">
        <f>VLOOKUP(Table311[[#This Row],[Date]],'DB Details'!$A:$T,19)</f>
        <v>0</v>
      </c>
    </row>
    <row r="87" spans="1:5" x14ac:dyDescent="0.35">
      <c r="A87" s="38">
        <v>19998</v>
      </c>
      <c r="B87" s="48">
        <f>VLOOKUP(Table311[[#This Row],[Date]],'DB Details'!$A:$L,12)</f>
        <v>58.2</v>
      </c>
      <c r="C87" s="49">
        <f>VLOOKUP(Table311[[#This Row],[Date]],'DB Details'!$A:$T,20)</f>
        <v>2.7270932499393798E-2</v>
      </c>
      <c r="D87" s="49">
        <f>VLOOKUP(Table311[[#This Row],[Date]],'DB Details'!$A:$T,18)</f>
        <v>1.9566880765181729E-2</v>
      </c>
      <c r="E87" s="49">
        <f>VLOOKUP(Table311[[#This Row],[Date]],'DB Details'!$A:$T,19)</f>
        <v>8.0594812306759467E-2</v>
      </c>
    </row>
    <row r="88" spans="1:5" x14ac:dyDescent="0.35">
      <c r="A88" s="38">
        <v>20029</v>
      </c>
      <c r="B88" s="48">
        <f>VLOOKUP(Table311[[#This Row],[Date]],'DB Details'!$A:$L,12)</f>
        <v>58.8</v>
      </c>
      <c r="C88" s="49">
        <f>VLOOKUP(Table311[[#This Row],[Date]],'DB Details'!$A:$T,20)</f>
        <v>0</v>
      </c>
      <c r="D88" s="49">
        <f>VLOOKUP(Table311[[#This Row],[Date]],'DB Details'!$A:$T,18)</f>
        <v>0</v>
      </c>
      <c r="E88" s="49">
        <f>VLOOKUP(Table311[[#This Row],[Date]],'DB Details'!$A:$T,19)</f>
        <v>0</v>
      </c>
    </row>
    <row r="89" spans="1:5" x14ac:dyDescent="0.35">
      <c r="A89" s="38">
        <v>20059</v>
      </c>
      <c r="B89" s="48">
        <f>VLOOKUP(Table311[[#This Row],[Date]],'DB Details'!$A:$L,12)</f>
        <v>63.8</v>
      </c>
      <c r="C89" s="49">
        <f>VLOOKUP(Table311[[#This Row],[Date]],'DB Details'!$A:$T,20)</f>
        <v>0</v>
      </c>
      <c r="D89" s="49">
        <f>VLOOKUP(Table311[[#This Row],[Date]],'DB Details'!$A:$T,18)</f>
        <v>0</v>
      </c>
      <c r="E89" s="49">
        <f>VLOOKUP(Table311[[#This Row],[Date]],'DB Details'!$A:$T,19)</f>
        <v>0</v>
      </c>
    </row>
    <row r="90" spans="1:5" x14ac:dyDescent="0.35">
      <c r="A90" s="38">
        <v>20090</v>
      </c>
      <c r="B90" s="48">
        <f>VLOOKUP(Table311[[#This Row],[Date]],'DB Details'!$A:$L,12)</f>
        <v>63</v>
      </c>
      <c r="C90" s="49">
        <f>VLOOKUP(Table311[[#This Row],[Date]],'DB Details'!$A:$T,20)</f>
        <v>6.1687319870597307E-2</v>
      </c>
      <c r="D90" s="49">
        <f>VLOOKUP(Table311[[#This Row],[Date]],'DB Details'!$A:$T,18)</f>
        <v>2.85623465450719E-2</v>
      </c>
      <c r="E90" s="49">
        <f>VLOOKUP(Table311[[#This Row],[Date]],'DB Details'!$A:$T,19)</f>
        <v>0.11923810308548791</v>
      </c>
    </row>
    <row r="91" spans="1:5" x14ac:dyDescent="0.35">
      <c r="A91" s="38">
        <v>20121</v>
      </c>
      <c r="B91" s="48">
        <f>VLOOKUP(Table311[[#This Row],[Date]],'DB Details'!$A:$L,12)</f>
        <v>67.8</v>
      </c>
      <c r="C91" s="49">
        <f>VLOOKUP(Table311[[#This Row],[Date]],'DB Details'!$A:$T,20)</f>
        <v>0</v>
      </c>
      <c r="D91" s="49">
        <f>VLOOKUP(Table311[[#This Row],[Date]],'DB Details'!$A:$T,18)</f>
        <v>0</v>
      </c>
      <c r="E91" s="49">
        <f>VLOOKUP(Table311[[#This Row],[Date]],'DB Details'!$A:$T,19)</f>
        <v>0</v>
      </c>
    </row>
    <row r="92" spans="1:5" x14ac:dyDescent="0.35">
      <c r="A92" s="38">
        <v>20149</v>
      </c>
      <c r="B92" s="48">
        <f>VLOOKUP(Table311[[#This Row],[Date]],'DB Details'!$A:$L,12)</f>
        <v>67.5</v>
      </c>
      <c r="C92" s="49">
        <f>VLOOKUP(Table311[[#This Row],[Date]],'DB Details'!$A:$T,20)</f>
        <v>0</v>
      </c>
      <c r="D92" s="49">
        <f>VLOOKUP(Table311[[#This Row],[Date]],'DB Details'!$A:$T,18)</f>
        <v>0</v>
      </c>
      <c r="E92" s="49">
        <f>VLOOKUP(Table311[[#This Row],[Date]],'DB Details'!$A:$T,19)</f>
        <v>0</v>
      </c>
    </row>
    <row r="93" spans="1:5" x14ac:dyDescent="0.35">
      <c r="A93" s="38">
        <v>20180</v>
      </c>
      <c r="B93" s="48">
        <f>VLOOKUP(Table311[[#This Row],[Date]],'DB Details'!$A:$L,12)</f>
        <v>68.7</v>
      </c>
      <c r="C93" s="49">
        <f>VLOOKUP(Table311[[#This Row],[Date]],'DB Details'!$A:$T,20)</f>
        <v>7.7788443281787259E-2</v>
      </c>
      <c r="D93" s="49">
        <f>VLOOKUP(Table311[[#This Row],[Date]],'DB Details'!$A:$T,18)</f>
        <v>1.6272049572063001E-2</v>
      </c>
      <c r="E93" s="49">
        <f>VLOOKUP(Table311[[#This Row],[Date]],'DB Details'!$A:$T,19)</f>
        <v>6.669418000707128E-2</v>
      </c>
    </row>
    <row r="94" spans="1:5" x14ac:dyDescent="0.35">
      <c r="A94" s="38">
        <v>20210</v>
      </c>
      <c r="B94" s="48">
        <f>VLOOKUP(Table311[[#This Row],[Date]],'DB Details'!$A:$L,12)</f>
        <v>69.5</v>
      </c>
      <c r="C94" s="49">
        <f>VLOOKUP(Table311[[#This Row],[Date]],'DB Details'!$A:$T,20)</f>
        <v>0</v>
      </c>
      <c r="D94" s="49">
        <f>VLOOKUP(Table311[[#This Row],[Date]],'DB Details'!$A:$T,18)</f>
        <v>0</v>
      </c>
      <c r="E94" s="49">
        <f>VLOOKUP(Table311[[#This Row],[Date]],'DB Details'!$A:$T,19)</f>
        <v>0</v>
      </c>
    </row>
    <row r="95" spans="1:5" x14ac:dyDescent="0.35">
      <c r="A95" s="38">
        <v>20241</v>
      </c>
      <c r="B95" s="48">
        <f>VLOOKUP(Table311[[#This Row],[Date]],'DB Details'!$A:$L,12)</f>
        <v>63.3</v>
      </c>
      <c r="C95" s="49">
        <f>VLOOKUP(Table311[[#This Row],[Date]],'DB Details'!$A:$T,20)</f>
        <v>0</v>
      </c>
      <c r="D95" s="49">
        <f>VLOOKUP(Table311[[#This Row],[Date]],'DB Details'!$A:$T,18)</f>
        <v>0</v>
      </c>
      <c r="E95" s="49">
        <f>VLOOKUP(Table311[[#This Row],[Date]],'DB Details'!$A:$T,19)</f>
        <v>0</v>
      </c>
    </row>
    <row r="96" spans="1:5" x14ac:dyDescent="0.35">
      <c r="A96" s="38">
        <v>20271</v>
      </c>
      <c r="B96" s="48">
        <f>VLOOKUP(Table311[[#This Row],[Date]],'DB Details'!$A:$L,12)</f>
        <v>66.2</v>
      </c>
      <c r="C96" s="49">
        <f>VLOOKUP(Table311[[#This Row],[Date]],'DB Details'!$A:$T,20)</f>
        <v>8.0145013809242382E-2</v>
      </c>
      <c r="D96" s="49">
        <f>VLOOKUP(Table311[[#This Row],[Date]],'DB Details'!$A:$T,18)</f>
        <v>1.350464287636728E-2</v>
      </c>
      <c r="E96" s="49">
        <f>VLOOKUP(Table311[[#This Row],[Date]],'DB Details'!$A:$T,19)</f>
        <v>5.5122708699020251E-2</v>
      </c>
    </row>
    <row r="97" spans="1:5" x14ac:dyDescent="0.35">
      <c r="A97" s="38">
        <v>20302</v>
      </c>
      <c r="B97" s="48">
        <f>VLOOKUP(Table311[[#This Row],[Date]],'DB Details'!$A:$L,12)</f>
        <v>64.8</v>
      </c>
      <c r="C97" s="49">
        <f>VLOOKUP(Table311[[#This Row],[Date]],'DB Details'!$A:$T,20)</f>
        <v>0</v>
      </c>
      <c r="D97" s="49">
        <f>VLOOKUP(Table311[[#This Row],[Date]],'DB Details'!$A:$T,18)</f>
        <v>0</v>
      </c>
      <c r="E97" s="49">
        <f>VLOOKUP(Table311[[#This Row],[Date]],'DB Details'!$A:$T,19)</f>
        <v>0</v>
      </c>
    </row>
    <row r="98" spans="1:5" x14ac:dyDescent="0.35">
      <c r="A98" s="38">
        <v>20333</v>
      </c>
      <c r="B98" s="48">
        <f>VLOOKUP(Table311[[#This Row],[Date]],'DB Details'!$A:$L,12)</f>
        <v>62.4</v>
      </c>
      <c r="C98" s="49">
        <f>VLOOKUP(Table311[[#This Row],[Date]],'DB Details'!$A:$T,20)</f>
        <v>0</v>
      </c>
      <c r="D98" s="49">
        <f>VLOOKUP(Table311[[#This Row],[Date]],'DB Details'!$A:$T,18)</f>
        <v>0</v>
      </c>
      <c r="E98" s="49">
        <f>VLOOKUP(Table311[[#This Row],[Date]],'DB Details'!$A:$T,19)</f>
        <v>0</v>
      </c>
    </row>
    <row r="99" spans="1:5" x14ac:dyDescent="0.35">
      <c r="A99" s="38">
        <v>20363</v>
      </c>
      <c r="B99" s="48">
        <f>VLOOKUP(Table311[[#This Row],[Date]],'DB Details'!$A:$L,12)</f>
        <v>63.7</v>
      </c>
      <c r="C99" s="49">
        <f>VLOOKUP(Table311[[#This Row],[Date]],'DB Details'!$A:$T,20)</f>
        <v>6.5775531977084092E-2</v>
      </c>
      <c r="D99" s="49">
        <f>VLOOKUP(Table311[[#This Row],[Date]],'DB Details'!$A:$T,18)</f>
        <v>6.0032873749215074E-3</v>
      </c>
      <c r="E99" s="49">
        <f>VLOOKUP(Table311[[#This Row],[Date]],'DB Details'!$A:$T,19)</f>
        <v>2.4230252975287799E-2</v>
      </c>
    </row>
    <row r="100" spans="1:5" x14ac:dyDescent="0.35">
      <c r="A100" s="38">
        <v>20394</v>
      </c>
      <c r="B100" s="48">
        <f>VLOOKUP(Table311[[#This Row],[Date]],'DB Details'!$A:$L,12)</f>
        <v>62</v>
      </c>
      <c r="C100" s="49">
        <f>VLOOKUP(Table311[[#This Row],[Date]],'DB Details'!$A:$T,20)</f>
        <v>0</v>
      </c>
      <c r="D100" s="49">
        <f>VLOOKUP(Table311[[#This Row],[Date]],'DB Details'!$A:$T,18)</f>
        <v>0</v>
      </c>
      <c r="E100" s="49">
        <f>VLOOKUP(Table311[[#This Row],[Date]],'DB Details'!$A:$T,19)</f>
        <v>0</v>
      </c>
    </row>
    <row r="101" spans="1:5" x14ac:dyDescent="0.35">
      <c r="A101" s="38">
        <v>20424</v>
      </c>
      <c r="B101" s="48">
        <f>VLOOKUP(Table311[[#This Row],[Date]],'DB Details'!$A:$L,12)</f>
        <v>65.599999999999994</v>
      </c>
      <c r="C101" s="49">
        <f>VLOOKUP(Table311[[#This Row],[Date]],'DB Details'!$A:$T,20)</f>
        <v>0</v>
      </c>
      <c r="D101" s="49">
        <f>VLOOKUP(Table311[[#This Row],[Date]],'DB Details'!$A:$T,18)</f>
        <v>0</v>
      </c>
      <c r="E101" s="49">
        <f>VLOOKUP(Table311[[#This Row],[Date]],'DB Details'!$A:$T,19)</f>
        <v>0</v>
      </c>
    </row>
    <row r="102" spans="1:5" x14ac:dyDescent="0.35">
      <c r="A102" s="38">
        <v>20455</v>
      </c>
      <c r="B102" s="48">
        <f>VLOOKUP(Table311[[#This Row],[Date]],'DB Details'!$A:$L,12)</f>
        <v>60.2</v>
      </c>
      <c r="C102" s="49">
        <f>VLOOKUP(Table311[[#This Row],[Date]],'DB Details'!$A:$T,20)</f>
        <v>3.2155485316151887E-2</v>
      </c>
      <c r="D102" s="49">
        <f>VLOOKUP(Table311[[#This Row],[Date]],'DB Details'!$A:$T,18)</f>
        <v>-3.8838046818890659E-3</v>
      </c>
      <c r="E102" s="49">
        <f>VLOOKUP(Table311[[#This Row],[Date]],'DB Details'!$A:$T,19)</f>
        <v>-1.5444949199477359E-2</v>
      </c>
    </row>
    <row r="103" spans="1:5" x14ac:dyDescent="0.35">
      <c r="A103" s="38">
        <v>20486</v>
      </c>
      <c r="B103" s="48">
        <f>VLOOKUP(Table311[[#This Row],[Date]],'DB Details'!$A:$L,12)</f>
        <v>58.2</v>
      </c>
      <c r="C103" s="49">
        <f>VLOOKUP(Table311[[#This Row],[Date]],'DB Details'!$A:$T,20)</f>
        <v>0</v>
      </c>
      <c r="D103" s="49">
        <f>VLOOKUP(Table311[[#This Row],[Date]],'DB Details'!$A:$T,18)</f>
        <v>0</v>
      </c>
      <c r="E103" s="49">
        <f>VLOOKUP(Table311[[#This Row],[Date]],'DB Details'!$A:$T,19)</f>
        <v>0</v>
      </c>
    </row>
    <row r="104" spans="1:5" x14ac:dyDescent="0.35">
      <c r="A104" s="38">
        <v>20515</v>
      </c>
      <c r="B104" s="48">
        <f>VLOOKUP(Table311[[#This Row],[Date]],'DB Details'!$A:$L,12)</f>
        <v>57.2</v>
      </c>
      <c r="C104" s="49">
        <f>VLOOKUP(Table311[[#This Row],[Date]],'DB Details'!$A:$T,20)</f>
        <v>0</v>
      </c>
      <c r="D104" s="49">
        <f>VLOOKUP(Table311[[#This Row],[Date]],'DB Details'!$A:$T,18)</f>
        <v>0</v>
      </c>
      <c r="E104" s="49">
        <f>VLOOKUP(Table311[[#This Row],[Date]],'DB Details'!$A:$T,19)</f>
        <v>0</v>
      </c>
    </row>
    <row r="105" spans="1:5" x14ac:dyDescent="0.35">
      <c r="A105" s="38">
        <v>20546</v>
      </c>
      <c r="B105" s="48">
        <f>VLOOKUP(Table311[[#This Row],[Date]],'DB Details'!$A:$L,12)</f>
        <v>55.9</v>
      </c>
      <c r="C105" s="49">
        <f>VLOOKUP(Table311[[#This Row],[Date]],'DB Details'!$A:$T,20)</f>
        <v>2.4021458666411331E-2</v>
      </c>
      <c r="D105" s="49">
        <f>VLOOKUP(Table311[[#This Row],[Date]],'DB Details'!$A:$T,18)</f>
        <v>8.2631942666303998E-3</v>
      </c>
      <c r="E105" s="49">
        <f>VLOOKUP(Table311[[#This Row],[Date]],'DB Details'!$A:$T,19)</f>
        <v>3.3464720861821728E-2</v>
      </c>
    </row>
    <row r="106" spans="1:5" x14ac:dyDescent="0.35">
      <c r="A106" s="38">
        <v>20576</v>
      </c>
      <c r="B106" s="48">
        <f>VLOOKUP(Table311[[#This Row],[Date]],'DB Details'!$A:$L,12)</f>
        <v>51.2</v>
      </c>
      <c r="C106" s="49">
        <f>VLOOKUP(Table311[[#This Row],[Date]],'DB Details'!$A:$T,20)</f>
        <v>0</v>
      </c>
      <c r="D106" s="49">
        <f>VLOOKUP(Table311[[#This Row],[Date]],'DB Details'!$A:$T,18)</f>
        <v>0</v>
      </c>
      <c r="E106" s="49">
        <f>VLOOKUP(Table311[[#This Row],[Date]],'DB Details'!$A:$T,19)</f>
        <v>0</v>
      </c>
    </row>
    <row r="107" spans="1:5" x14ac:dyDescent="0.35">
      <c r="A107" s="38">
        <v>20607</v>
      </c>
      <c r="B107" s="48">
        <f>VLOOKUP(Table311[[#This Row],[Date]],'DB Details'!$A:$L,12)</f>
        <v>47.7</v>
      </c>
      <c r="C107" s="49">
        <f>VLOOKUP(Table311[[#This Row],[Date]],'DB Details'!$A:$T,20)</f>
        <v>0</v>
      </c>
      <c r="D107" s="49">
        <f>VLOOKUP(Table311[[#This Row],[Date]],'DB Details'!$A:$T,18)</f>
        <v>0</v>
      </c>
      <c r="E107" s="49">
        <f>VLOOKUP(Table311[[#This Row],[Date]],'DB Details'!$A:$T,19)</f>
        <v>0</v>
      </c>
    </row>
    <row r="108" spans="1:5" x14ac:dyDescent="0.35">
      <c r="A108" s="38">
        <v>20637</v>
      </c>
      <c r="B108" s="48">
        <f>VLOOKUP(Table311[[#This Row],[Date]],'DB Details'!$A:$L,12)</f>
        <v>44.2</v>
      </c>
      <c r="C108" s="49">
        <f>VLOOKUP(Table311[[#This Row],[Date]],'DB Details'!$A:$T,20)</f>
        <v>9.4689641044317929E-3</v>
      </c>
      <c r="D108" s="49">
        <f>VLOOKUP(Table311[[#This Row],[Date]],'DB Details'!$A:$T,18)</f>
        <v>-8.9839592636159265E-4</v>
      </c>
      <c r="E108" s="49">
        <f>VLOOKUP(Table311[[#This Row],[Date]],'DB Details'!$A:$T,19)</f>
        <v>-3.588743913787829E-3</v>
      </c>
    </row>
    <row r="109" spans="1:5" x14ac:dyDescent="0.35">
      <c r="A109" s="38">
        <v>20668</v>
      </c>
      <c r="B109" s="48">
        <f>VLOOKUP(Table311[[#This Row],[Date]],'DB Details'!$A:$L,12)</f>
        <v>51.5</v>
      </c>
      <c r="C109" s="49">
        <f>VLOOKUP(Table311[[#This Row],[Date]],'DB Details'!$A:$T,20)</f>
        <v>0</v>
      </c>
      <c r="D109" s="49">
        <f>VLOOKUP(Table311[[#This Row],[Date]],'DB Details'!$A:$T,18)</f>
        <v>0</v>
      </c>
      <c r="E109" s="49">
        <f>VLOOKUP(Table311[[#This Row],[Date]],'DB Details'!$A:$T,19)</f>
        <v>0</v>
      </c>
    </row>
    <row r="110" spans="1:5" x14ac:dyDescent="0.35">
      <c r="A110" s="38">
        <v>20699</v>
      </c>
      <c r="B110" s="48">
        <f>VLOOKUP(Table311[[#This Row],[Date]],'DB Details'!$A:$L,12)</f>
        <v>55.5</v>
      </c>
      <c r="C110" s="49">
        <f>VLOOKUP(Table311[[#This Row],[Date]],'DB Details'!$A:$T,20)</f>
        <v>0</v>
      </c>
      <c r="D110" s="49">
        <f>VLOOKUP(Table311[[#This Row],[Date]],'DB Details'!$A:$T,18)</f>
        <v>0</v>
      </c>
      <c r="E110" s="49">
        <f>VLOOKUP(Table311[[#This Row],[Date]],'DB Details'!$A:$T,19)</f>
        <v>0</v>
      </c>
    </row>
    <row r="111" spans="1:5" x14ac:dyDescent="0.35">
      <c r="A111" s="38">
        <v>20729</v>
      </c>
      <c r="B111" s="48">
        <f>VLOOKUP(Table311[[#This Row],[Date]],'DB Details'!$A:$L,12)</f>
        <v>52.7</v>
      </c>
      <c r="C111" s="49">
        <f>VLOOKUP(Table311[[#This Row],[Date]],'DB Details'!$A:$T,20)</f>
        <v>1.9960335757640061E-2</v>
      </c>
      <c r="D111" s="49">
        <f>VLOOKUP(Table311[[#This Row],[Date]],'DB Details'!$A:$T,18)</f>
        <v>1.6458640384771659E-2</v>
      </c>
      <c r="E111" s="49">
        <f>VLOOKUP(Table311[[#This Row],[Date]],'DB Details'!$A:$T,19)</f>
        <v>6.7477789695216561E-2</v>
      </c>
    </row>
    <row r="112" spans="1:5" x14ac:dyDescent="0.35">
      <c r="A112" s="38">
        <v>20760</v>
      </c>
      <c r="B112" s="48">
        <f>VLOOKUP(Table311[[#This Row],[Date]],'DB Details'!$A:$L,12)</f>
        <v>55</v>
      </c>
      <c r="C112" s="49">
        <f>VLOOKUP(Table311[[#This Row],[Date]],'DB Details'!$A:$T,20)</f>
        <v>0</v>
      </c>
      <c r="D112" s="49">
        <f>VLOOKUP(Table311[[#This Row],[Date]],'DB Details'!$A:$T,18)</f>
        <v>0</v>
      </c>
      <c r="E112" s="49">
        <f>VLOOKUP(Table311[[#This Row],[Date]],'DB Details'!$A:$T,19)</f>
        <v>0</v>
      </c>
    </row>
    <row r="113" spans="1:5" x14ac:dyDescent="0.35">
      <c r="A113" s="38">
        <v>20790</v>
      </c>
      <c r="B113" s="48">
        <f>VLOOKUP(Table311[[#This Row],[Date]],'DB Details'!$A:$L,12)</f>
        <v>52.7</v>
      </c>
      <c r="C113" s="49">
        <f>VLOOKUP(Table311[[#This Row],[Date]],'DB Details'!$A:$T,20)</f>
        <v>0</v>
      </c>
      <c r="D113" s="49">
        <f>VLOOKUP(Table311[[#This Row],[Date]],'DB Details'!$A:$T,18)</f>
        <v>0</v>
      </c>
      <c r="E113" s="49">
        <f>VLOOKUP(Table311[[#This Row],[Date]],'DB Details'!$A:$T,19)</f>
        <v>0</v>
      </c>
    </row>
    <row r="114" spans="1:5" x14ac:dyDescent="0.35">
      <c r="A114" s="38">
        <v>20821</v>
      </c>
      <c r="B114" s="48">
        <f>VLOOKUP(Table311[[#This Row],[Date]],'DB Details'!$A:$L,12)</f>
        <v>53.6</v>
      </c>
      <c r="C114" s="49">
        <f>VLOOKUP(Table311[[#This Row],[Date]],'DB Details'!$A:$T,20)</f>
        <v>3.0493286197677931E-2</v>
      </c>
      <c r="D114" s="49">
        <f>VLOOKUP(Table311[[#This Row],[Date]],'DB Details'!$A:$T,18)</f>
        <v>6.4029115265516424E-3</v>
      </c>
      <c r="E114" s="49">
        <f>VLOOKUP(Table311[[#This Row],[Date]],'DB Details'!$A:$T,19)</f>
        <v>2.5858681450808829E-2</v>
      </c>
    </row>
    <row r="115" spans="1:5" x14ac:dyDescent="0.35">
      <c r="A115" s="38">
        <v>20852</v>
      </c>
      <c r="B115" s="48">
        <f>VLOOKUP(Table311[[#This Row],[Date]],'DB Details'!$A:$L,12)</f>
        <v>51</v>
      </c>
      <c r="C115" s="49">
        <f>VLOOKUP(Table311[[#This Row],[Date]],'DB Details'!$A:$T,20)</f>
        <v>0</v>
      </c>
      <c r="D115" s="49">
        <f>VLOOKUP(Table311[[#This Row],[Date]],'DB Details'!$A:$T,18)</f>
        <v>0</v>
      </c>
      <c r="E115" s="49">
        <f>VLOOKUP(Table311[[#This Row],[Date]],'DB Details'!$A:$T,19)</f>
        <v>0</v>
      </c>
    </row>
    <row r="116" spans="1:5" x14ac:dyDescent="0.35">
      <c r="A116" s="38">
        <v>20880</v>
      </c>
      <c r="B116" s="48">
        <f>VLOOKUP(Table311[[#This Row],[Date]],'DB Details'!$A:$L,12)</f>
        <v>47.5</v>
      </c>
      <c r="C116" s="49">
        <f>VLOOKUP(Table311[[#This Row],[Date]],'DB Details'!$A:$T,20)</f>
        <v>0</v>
      </c>
      <c r="D116" s="49">
        <f>VLOOKUP(Table311[[#This Row],[Date]],'DB Details'!$A:$T,18)</f>
        <v>0</v>
      </c>
      <c r="E116" s="49">
        <f>VLOOKUP(Table311[[#This Row],[Date]],'DB Details'!$A:$T,19)</f>
        <v>0</v>
      </c>
    </row>
    <row r="117" spans="1:5" x14ac:dyDescent="0.35">
      <c r="A117" s="38">
        <v>20911</v>
      </c>
      <c r="B117" s="48">
        <f>VLOOKUP(Table311[[#This Row],[Date]],'DB Details'!$A:$L,12)</f>
        <v>43.1</v>
      </c>
      <c r="C117" s="49">
        <f>VLOOKUP(Table311[[#This Row],[Date]],'DB Details'!$A:$T,20)</f>
        <v>1.9808742703093081E-2</v>
      </c>
      <c r="D117" s="49">
        <f>VLOOKUP(Table311[[#This Row],[Date]],'DB Details'!$A:$T,18)</f>
        <v>-2.1908592409674459E-3</v>
      </c>
      <c r="E117" s="49">
        <f>VLOOKUP(Table311[[#This Row],[Date]],'DB Details'!$A:$T,19)</f>
        <v>-8.734679818856006E-3</v>
      </c>
    </row>
    <row r="118" spans="1:5" x14ac:dyDescent="0.35">
      <c r="A118" s="38">
        <v>20941</v>
      </c>
      <c r="B118" s="48">
        <f>VLOOKUP(Table311[[#This Row],[Date]],'DB Details'!$A:$L,12)</f>
        <v>43.4</v>
      </c>
      <c r="C118" s="49">
        <f>VLOOKUP(Table311[[#This Row],[Date]],'DB Details'!$A:$T,20)</f>
        <v>0</v>
      </c>
      <c r="D118" s="49">
        <f>VLOOKUP(Table311[[#This Row],[Date]],'DB Details'!$A:$T,18)</f>
        <v>0</v>
      </c>
      <c r="E118" s="49">
        <f>VLOOKUP(Table311[[#This Row],[Date]],'DB Details'!$A:$T,19)</f>
        <v>0</v>
      </c>
    </row>
    <row r="119" spans="1:5" x14ac:dyDescent="0.35">
      <c r="A119" s="38">
        <v>20972</v>
      </c>
      <c r="B119" s="48">
        <f>VLOOKUP(Table311[[#This Row],[Date]],'DB Details'!$A:$L,12)</f>
        <v>45.9</v>
      </c>
      <c r="C119" s="49">
        <f>VLOOKUP(Table311[[#This Row],[Date]],'DB Details'!$A:$T,20)</f>
        <v>0</v>
      </c>
      <c r="D119" s="49">
        <f>VLOOKUP(Table311[[#This Row],[Date]],'DB Details'!$A:$T,18)</f>
        <v>0</v>
      </c>
      <c r="E119" s="49">
        <f>VLOOKUP(Table311[[#This Row],[Date]],'DB Details'!$A:$T,19)</f>
        <v>0</v>
      </c>
    </row>
    <row r="120" spans="1:5" x14ac:dyDescent="0.35">
      <c r="A120" s="38">
        <v>21002</v>
      </c>
      <c r="B120" s="48">
        <f>VLOOKUP(Table311[[#This Row],[Date]],'DB Details'!$A:$L,12)</f>
        <v>45.7</v>
      </c>
      <c r="C120" s="49">
        <f>VLOOKUP(Table311[[#This Row],[Date]],'DB Details'!$A:$T,20)</f>
        <v>3.0729058835667681E-2</v>
      </c>
      <c r="D120" s="49">
        <f>VLOOKUP(Table311[[#This Row],[Date]],'DB Details'!$A:$T,18)</f>
        <v>9.8001840212149031E-3</v>
      </c>
      <c r="E120" s="49">
        <f>VLOOKUP(Table311[[#This Row],[Date]],'DB Details'!$A:$T,19)</f>
        <v>3.9780771930417069E-2</v>
      </c>
    </row>
    <row r="121" spans="1:5" x14ac:dyDescent="0.35">
      <c r="A121" s="38">
        <v>21033</v>
      </c>
      <c r="B121" s="48">
        <f>VLOOKUP(Table311[[#This Row],[Date]],'DB Details'!$A:$L,12)</f>
        <v>45.3</v>
      </c>
      <c r="C121" s="49">
        <f>VLOOKUP(Table311[[#This Row],[Date]],'DB Details'!$A:$T,20)</f>
        <v>0</v>
      </c>
      <c r="D121" s="49">
        <f>VLOOKUP(Table311[[#This Row],[Date]],'DB Details'!$A:$T,18)</f>
        <v>0</v>
      </c>
      <c r="E121" s="49">
        <f>VLOOKUP(Table311[[#This Row],[Date]],'DB Details'!$A:$T,19)</f>
        <v>0</v>
      </c>
    </row>
    <row r="122" spans="1:5" x14ac:dyDescent="0.35">
      <c r="A122" s="38">
        <v>21064</v>
      </c>
      <c r="B122" s="48">
        <f>VLOOKUP(Table311[[#This Row],[Date]],'DB Details'!$A:$L,12)</f>
        <v>45.8</v>
      </c>
      <c r="C122" s="49">
        <f>VLOOKUP(Table311[[#This Row],[Date]],'DB Details'!$A:$T,20)</f>
        <v>0</v>
      </c>
      <c r="D122" s="49">
        <f>VLOOKUP(Table311[[#This Row],[Date]],'DB Details'!$A:$T,18)</f>
        <v>0</v>
      </c>
      <c r="E122" s="49">
        <f>VLOOKUP(Table311[[#This Row],[Date]],'DB Details'!$A:$T,19)</f>
        <v>0</v>
      </c>
    </row>
    <row r="123" spans="1:5" x14ac:dyDescent="0.35">
      <c r="A123" s="38">
        <v>21094</v>
      </c>
      <c r="B123" s="48">
        <f>VLOOKUP(Table311[[#This Row],[Date]],'DB Details'!$A:$L,12)</f>
        <v>41.1</v>
      </c>
      <c r="C123" s="49">
        <f>VLOOKUP(Table311[[#This Row],[Date]],'DB Details'!$A:$T,20)</f>
        <v>3.551347149057514E-3</v>
      </c>
      <c r="D123" s="49">
        <f>VLOOKUP(Table311[[#This Row],[Date]],'DB Details'!$A:$T,18)</f>
        <v>-1.0342796552445251E-2</v>
      </c>
      <c r="E123" s="49">
        <f>VLOOKUP(Table311[[#This Row],[Date]],'DB Details'!$A:$T,19)</f>
        <v>-4.0733759741440001E-2</v>
      </c>
    </row>
    <row r="124" spans="1:5" x14ac:dyDescent="0.35">
      <c r="A124" s="38">
        <v>21125</v>
      </c>
      <c r="B124" s="48">
        <f>VLOOKUP(Table311[[#This Row],[Date]],'DB Details'!$A:$L,12)</f>
        <v>40.4</v>
      </c>
      <c r="C124" s="49">
        <f>VLOOKUP(Table311[[#This Row],[Date]],'DB Details'!$A:$T,20)</f>
        <v>0</v>
      </c>
      <c r="D124" s="49">
        <f>VLOOKUP(Table311[[#This Row],[Date]],'DB Details'!$A:$T,18)</f>
        <v>0</v>
      </c>
      <c r="E124" s="49">
        <f>VLOOKUP(Table311[[#This Row],[Date]],'DB Details'!$A:$T,19)</f>
        <v>0</v>
      </c>
    </row>
    <row r="125" spans="1:5" x14ac:dyDescent="0.35">
      <c r="A125" s="38">
        <v>21155</v>
      </c>
      <c r="B125" s="48">
        <f>VLOOKUP(Table311[[#This Row],[Date]],'DB Details'!$A:$L,12)</f>
        <v>36.799999999999997</v>
      </c>
      <c r="C125" s="49">
        <f>VLOOKUP(Table311[[#This Row],[Date]],'DB Details'!$A:$T,20)</f>
        <v>0</v>
      </c>
      <c r="D125" s="49">
        <f>VLOOKUP(Table311[[#This Row],[Date]],'DB Details'!$A:$T,18)</f>
        <v>0</v>
      </c>
      <c r="E125" s="49">
        <f>VLOOKUP(Table311[[#This Row],[Date]],'DB Details'!$A:$T,19)</f>
        <v>0</v>
      </c>
    </row>
    <row r="126" spans="1:5" x14ac:dyDescent="0.35">
      <c r="A126" s="38">
        <v>21186</v>
      </c>
      <c r="B126" s="48">
        <f>VLOOKUP(Table311[[#This Row],[Date]],'DB Details'!$A:$L,12)</f>
        <v>33.4</v>
      </c>
      <c r="C126" s="49">
        <f>VLOOKUP(Table311[[#This Row],[Date]],'DB Details'!$A:$T,20)</f>
        <v>-2.8714282899375131E-2</v>
      </c>
      <c r="D126" s="49">
        <f>VLOOKUP(Table311[[#This Row],[Date]],'DB Details'!$A:$T,18)</f>
        <v>-2.595440044879475E-2</v>
      </c>
      <c r="E126" s="49">
        <f>VLOOKUP(Table311[[#This Row],[Date]],'DB Details'!$A:$T,19)</f>
        <v>-9.984529734545633E-2</v>
      </c>
    </row>
    <row r="127" spans="1:5" x14ac:dyDescent="0.35">
      <c r="A127" s="38">
        <v>21217</v>
      </c>
      <c r="B127" s="48">
        <f>VLOOKUP(Table311[[#This Row],[Date]],'DB Details'!$A:$L,12)</f>
        <v>37.200000000000003</v>
      </c>
      <c r="C127" s="49">
        <f>VLOOKUP(Table311[[#This Row],[Date]],'DB Details'!$A:$T,20)</f>
        <v>0</v>
      </c>
      <c r="D127" s="49">
        <f>VLOOKUP(Table311[[#This Row],[Date]],'DB Details'!$A:$T,18)</f>
        <v>0</v>
      </c>
      <c r="E127" s="49">
        <f>VLOOKUP(Table311[[#This Row],[Date]],'DB Details'!$A:$T,19)</f>
        <v>0</v>
      </c>
    </row>
    <row r="128" spans="1:5" x14ac:dyDescent="0.35">
      <c r="A128" s="38">
        <v>21245</v>
      </c>
      <c r="B128" s="48">
        <f>VLOOKUP(Table311[[#This Row],[Date]],'DB Details'!$A:$L,12)</f>
        <v>39.799999999999997</v>
      </c>
      <c r="C128" s="49">
        <f>VLOOKUP(Table311[[#This Row],[Date]],'DB Details'!$A:$T,20)</f>
        <v>0</v>
      </c>
      <c r="D128" s="49">
        <f>VLOOKUP(Table311[[#This Row],[Date]],'DB Details'!$A:$T,18)</f>
        <v>0</v>
      </c>
      <c r="E128" s="49">
        <f>VLOOKUP(Table311[[#This Row],[Date]],'DB Details'!$A:$T,19)</f>
        <v>0</v>
      </c>
    </row>
    <row r="129" spans="1:5" x14ac:dyDescent="0.35">
      <c r="A129" s="38">
        <v>21276</v>
      </c>
      <c r="B129" s="48">
        <f>VLOOKUP(Table311[[#This Row],[Date]],'DB Details'!$A:$L,12)</f>
        <v>39.1</v>
      </c>
      <c r="C129" s="49">
        <f>VLOOKUP(Table311[[#This Row],[Date]],'DB Details'!$A:$T,20)</f>
        <v>-2.0184094850251012E-2</v>
      </c>
      <c r="D129" s="49">
        <f>VLOOKUP(Table311[[#This Row],[Date]],'DB Details'!$A:$T,18)</f>
        <v>6.5722672602819441E-3</v>
      </c>
      <c r="E129" s="49">
        <f>VLOOKUP(Table311[[#This Row],[Date]],'DB Details'!$A:$T,19)</f>
        <v>2.654937463692297E-2</v>
      </c>
    </row>
    <row r="130" spans="1:5" x14ac:dyDescent="0.35">
      <c r="A130" s="38">
        <v>21306</v>
      </c>
      <c r="B130" s="48">
        <f>VLOOKUP(Table311[[#This Row],[Date]],'DB Details'!$A:$L,12)</f>
        <v>46.6</v>
      </c>
      <c r="C130" s="49">
        <f>VLOOKUP(Table311[[#This Row],[Date]],'DB Details'!$A:$T,20)</f>
        <v>0</v>
      </c>
      <c r="D130" s="49">
        <f>VLOOKUP(Table311[[#This Row],[Date]],'DB Details'!$A:$T,18)</f>
        <v>0</v>
      </c>
      <c r="E130" s="49">
        <f>VLOOKUP(Table311[[#This Row],[Date]],'DB Details'!$A:$T,19)</f>
        <v>0</v>
      </c>
    </row>
    <row r="131" spans="1:5" x14ac:dyDescent="0.35">
      <c r="A131" s="38">
        <v>21337</v>
      </c>
      <c r="B131" s="48">
        <f>VLOOKUP(Table311[[#This Row],[Date]],'DB Details'!$A:$L,12)</f>
        <v>51.4</v>
      </c>
      <c r="C131" s="49">
        <f>VLOOKUP(Table311[[#This Row],[Date]],'DB Details'!$A:$T,20)</f>
        <v>0</v>
      </c>
      <c r="D131" s="49">
        <f>VLOOKUP(Table311[[#This Row],[Date]],'DB Details'!$A:$T,18)</f>
        <v>0</v>
      </c>
      <c r="E131" s="49">
        <f>VLOOKUP(Table311[[#This Row],[Date]],'DB Details'!$A:$T,19)</f>
        <v>0</v>
      </c>
    </row>
    <row r="132" spans="1:5" x14ac:dyDescent="0.35">
      <c r="A132" s="38">
        <v>21367</v>
      </c>
      <c r="B132" s="48">
        <f>VLOOKUP(Table311[[#This Row],[Date]],'DB Details'!$A:$L,12)</f>
        <v>54.7</v>
      </c>
      <c r="C132" s="49">
        <f>VLOOKUP(Table311[[#This Row],[Date]],'DB Details'!$A:$T,20)</f>
        <v>-7.2479788556697733E-3</v>
      </c>
      <c r="D132" s="49">
        <f>VLOOKUP(Table311[[#This Row],[Date]],'DB Details'!$A:$T,18)</f>
        <v>2.3132170410894361E-2</v>
      </c>
      <c r="E132" s="49">
        <f>VLOOKUP(Table311[[#This Row],[Date]],'DB Details'!$A:$T,19)</f>
        <v>9.5789063668671348E-2</v>
      </c>
    </row>
    <row r="133" spans="1:5" x14ac:dyDescent="0.35">
      <c r="A133" s="38">
        <v>21398</v>
      </c>
      <c r="B133" s="48">
        <f>VLOOKUP(Table311[[#This Row],[Date]],'DB Details'!$A:$L,12)</f>
        <v>57.3</v>
      </c>
      <c r="C133" s="49">
        <f>VLOOKUP(Table311[[#This Row],[Date]],'DB Details'!$A:$T,20)</f>
        <v>0</v>
      </c>
      <c r="D133" s="49">
        <f>VLOOKUP(Table311[[#This Row],[Date]],'DB Details'!$A:$T,18)</f>
        <v>0</v>
      </c>
      <c r="E133" s="49">
        <f>VLOOKUP(Table311[[#This Row],[Date]],'DB Details'!$A:$T,19)</f>
        <v>0</v>
      </c>
    </row>
    <row r="134" spans="1:5" x14ac:dyDescent="0.35">
      <c r="A134" s="38">
        <v>21429</v>
      </c>
      <c r="B134" s="48">
        <f>VLOOKUP(Table311[[#This Row],[Date]],'DB Details'!$A:$L,12)</f>
        <v>59.8</v>
      </c>
      <c r="C134" s="49">
        <f>VLOOKUP(Table311[[#This Row],[Date]],'DB Details'!$A:$T,20)</f>
        <v>0</v>
      </c>
      <c r="D134" s="49">
        <f>VLOOKUP(Table311[[#This Row],[Date]],'DB Details'!$A:$T,18)</f>
        <v>0</v>
      </c>
      <c r="E134" s="49">
        <f>VLOOKUP(Table311[[#This Row],[Date]],'DB Details'!$A:$T,19)</f>
        <v>0</v>
      </c>
    </row>
    <row r="135" spans="1:5" x14ac:dyDescent="0.35">
      <c r="A135" s="38">
        <v>21459</v>
      </c>
      <c r="B135" s="48">
        <f>VLOOKUP(Table311[[#This Row],[Date]],'DB Details'!$A:$L,12)</f>
        <v>62.3</v>
      </c>
      <c r="C135" s="49">
        <f>VLOOKUP(Table311[[#This Row],[Date]],'DB Details'!$A:$T,20)</f>
        <v>2.6581373345278859E-2</v>
      </c>
      <c r="D135" s="49">
        <f>VLOOKUP(Table311[[#This Row],[Date]],'DB Details'!$A:$T,18)</f>
        <v>2.338109559842837E-2</v>
      </c>
      <c r="E135" s="49">
        <f>VLOOKUP(Table311[[#This Row],[Date]],'DB Details'!$A:$T,19)</f>
        <v>9.6855862537051252E-2</v>
      </c>
    </row>
    <row r="136" spans="1:5" x14ac:dyDescent="0.35">
      <c r="A136" s="38">
        <v>21490</v>
      </c>
      <c r="B136" s="48">
        <f>VLOOKUP(Table311[[#This Row],[Date]],'DB Details'!$A:$L,12)</f>
        <v>62.7</v>
      </c>
      <c r="C136" s="49">
        <f>VLOOKUP(Table311[[#This Row],[Date]],'DB Details'!$A:$T,20)</f>
        <v>0</v>
      </c>
      <c r="D136" s="49">
        <f>VLOOKUP(Table311[[#This Row],[Date]],'DB Details'!$A:$T,18)</f>
        <v>0</v>
      </c>
      <c r="E136" s="49">
        <f>VLOOKUP(Table311[[#This Row],[Date]],'DB Details'!$A:$T,19)</f>
        <v>0</v>
      </c>
    </row>
    <row r="137" spans="1:5" x14ac:dyDescent="0.35">
      <c r="A137" s="38">
        <v>21520</v>
      </c>
      <c r="B137" s="48">
        <f>VLOOKUP(Table311[[#This Row],[Date]],'DB Details'!$A:$L,12)</f>
        <v>60.5</v>
      </c>
      <c r="C137" s="49">
        <f>VLOOKUP(Table311[[#This Row],[Date]],'DB Details'!$A:$T,20)</f>
        <v>0</v>
      </c>
      <c r="D137" s="49">
        <f>VLOOKUP(Table311[[#This Row],[Date]],'DB Details'!$A:$T,18)</f>
        <v>0</v>
      </c>
      <c r="E137" s="49">
        <f>VLOOKUP(Table311[[#This Row],[Date]],'DB Details'!$A:$T,19)</f>
        <v>0</v>
      </c>
    </row>
    <row r="138" spans="1:5" x14ac:dyDescent="0.35">
      <c r="A138" s="38">
        <v>21551</v>
      </c>
      <c r="B138" s="48">
        <f>VLOOKUP(Table311[[#This Row],[Date]],'DB Details'!$A:$L,12)</f>
        <v>64.400000000000006</v>
      </c>
      <c r="C138" s="49">
        <f>VLOOKUP(Table311[[#This Row],[Date]],'DB Details'!$A:$T,20)</f>
        <v>7.4166492164959338E-2</v>
      </c>
      <c r="D138" s="49">
        <f>VLOOKUP(Table311[[#This Row],[Date]],'DB Details'!$A:$T,18)</f>
        <v>1.91955280360675E-2</v>
      </c>
      <c r="E138" s="49">
        <f>VLOOKUP(Table311[[#This Row],[Date]],'DB Details'!$A:$T,19)</f>
        <v>7.9021349466726676E-2</v>
      </c>
    </row>
    <row r="139" spans="1:5" x14ac:dyDescent="0.35">
      <c r="A139" s="38">
        <v>21582</v>
      </c>
      <c r="B139" s="48">
        <f>VLOOKUP(Table311[[#This Row],[Date]],'DB Details'!$A:$L,12)</f>
        <v>66.900000000000006</v>
      </c>
      <c r="C139" s="49">
        <f>VLOOKUP(Table311[[#This Row],[Date]],'DB Details'!$A:$T,20)</f>
        <v>0</v>
      </c>
      <c r="D139" s="49">
        <f>VLOOKUP(Table311[[#This Row],[Date]],'DB Details'!$A:$T,18)</f>
        <v>0</v>
      </c>
      <c r="E139" s="49">
        <f>VLOOKUP(Table311[[#This Row],[Date]],'DB Details'!$A:$T,19)</f>
        <v>0</v>
      </c>
    </row>
    <row r="140" spans="1:5" x14ac:dyDescent="0.35">
      <c r="A140" s="38">
        <v>21610</v>
      </c>
      <c r="B140" s="48">
        <f>VLOOKUP(Table311[[#This Row],[Date]],'DB Details'!$A:$L,12)</f>
        <v>67.099999999999994</v>
      </c>
      <c r="C140" s="49">
        <f>VLOOKUP(Table311[[#This Row],[Date]],'DB Details'!$A:$T,20)</f>
        <v>0</v>
      </c>
      <c r="D140" s="49">
        <f>VLOOKUP(Table311[[#This Row],[Date]],'DB Details'!$A:$T,18)</f>
        <v>0</v>
      </c>
      <c r="E140" s="49">
        <f>VLOOKUP(Table311[[#This Row],[Date]],'DB Details'!$A:$T,19)</f>
        <v>0</v>
      </c>
    </row>
    <row r="141" spans="1:5" x14ac:dyDescent="0.35">
      <c r="A141" s="38">
        <v>21641</v>
      </c>
      <c r="B141" s="48">
        <f>VLOOKUP(Table311[[#This Row],[Date]],'DB Details'!$A:$L,12)</f>
        <v>66.900000000000006</v>
      </c>
      <c r="C141" s="49">
        <f>VLOOKUP(Table311[[#This Row],[Date]],'DB Details'!$A:$T,20)</f>
        <v>9.121898479706364E-2</v>
      </c>
      <c r="D141" s="49">
        <f>VLOOKUP(Table311[[#This Row],[Date]],'DB Details'!$A:$T,18)</f>
        <v>2.2551695306433021E-2</v>
      </c>
      <c r="E141" s="49">
        <f>VLOOKUP(Table311[[#This Row],[Date]],'DB Details'!$A:$T,19)</f>
        <v>9.3304390916545632E-2</v>
      </c>
    </row>
    <row r="142" spans="1:5" x14ac:dyDescent="0.35">
      <c r="A142" s="38">
        <v>21671</v>
      </c>
      <c r="B142" s="48">
        <f>VLOOKUP(Table311[[#This Row],[Date]],'DB Details'!$A:$L,12)</f>
        <v>68.2</v>
      </c>
      <c r="C142" s="49">
        <f>VLOOKUP(Table311[[#This Row],[Date]],'DB Details'!$A:$T,20)</f>
        <v>0</v>
      </c>
      <c r="D142" s="49">
        <f>VLOOKUP(Table311[[#This Row],[Date]],'DB Details'!$A:$T,18)</f>
        <v>0</v>
      </c>
      <c r="E142" s="49">
        <f>VLOOKUP(Table311[[#This Row],[Date]],'DB Details'!$A:$T,19)</f>
        <v>0</v>
      </c>
    </row>
    <row r="143" spans="1:5" x14ac:dyDescent="0.35">
      <c r="A143" s="38">
        <v>21702</v>
      </c>
      <c r="B143" s="48">
        <f>VLOOKUP(Table311[[#This Row],[Date]],'DB Details'!$A:$L,12)</f>
        <v>64.400000000000006</v>
      </c>
      <c r="C143" s="49">
        <f>VLOOKUP(Table311[[#This Row],[Date]],'DB Details'!$A:$T,20)</f>
        <v>0</v>
      </c>
      <c r="D143" s="49">
        <f>VLOOKUP(Table311[[#This Row],[Date]],'DB Details'!$A:$T,18)</f>
        <v>0</v>
      </c>
      <c r="E143" s="49">
        <f>VLOOKUP(Table311[[#This Row],[Date]],'DB Details'!$A:$T,19)</f>
        <v>0</v>
      </c>
    </row>
    <row r="144" spans="1:5" x14ac:dyDescent="0.35">
      <c r="A144" s="38">
        <v>21732</v>
      </c>
      <c r="B144" s="48">
        <f>VLOOKUP(Table311[[#This Row],[Date]],'DB Details'!$A:$L,12)</f>
        <v>61.5</v>
      </c>
      <c r="C144" s="49">
        <f>VLOOKUP(Table311[[#This Row],[Date]],'DB Details'!$A:$T,20)</f>
        <v>6.7299987446212337E-2</v>
      </c>
      <c r="D144" s="49">
        <f>VLOOKUP(Table311[[#This Row],[Date]],'DB Details'!$A:$T,18)</f>
        <v>7.0560341143907266E-4</v>
      </c>
      <c r="E144" s="49">
        <f>VLOOKUP(Table311[[#This Row],[Date]],'DB Details'!$A:$T,19)</f>
        <v>2.8254023082616708E-3</v>
      </c>
    </row>
    <row r="145" spans="1:5" x14ac:dyDescent="0.35">
      <c r="A145" s="38">
        <v>21763</v>
      </c>
      <c r="B145" s="48">
        <f>VLOOKUP(Table311[[#This Row],[Date]],'DB Details'!$A:$L,12)</f>
        <v>55.1</v>
      </c>
      <c r="C145" s="49">
        <f>VLOOKUP(Table311[[#This Row],[Date]],'DB Details'!$A:$T,20)</f>
        <v>0</v>
      </c>
      <c r="D145" s="49">
        <f>VLOOKUP(Table311[[#This Row],[Date]],'DB Details'!$A:$T,18)</f>
        <v>0</v>
      </c>
      <c r="E145" s="49">
        <f>VLOOKUP(Table311[[#This Row],[Date]],'DB Details'!$A:$T,19)</f>
        <v>0</v>
      </c>
    </row>
    <row r="146" spans="1:5" x14ac:dyDescent="0.35">
      <c r="A146" s="38">
        <v>21794</v>
      </c>
      <c r="B146" s="48">
        <f>VLOOKUP(Table311[[#This Row],[Date]],'DB Details'!$A:$L,12)</f>
        <v>48.3</v>
      </c>
      <c r="C146" s="49">
        <f>VLOOKUP(Table311[[#This Row],[Date]],'DB Details'!$A:$T,20)</f>
        <v>0</v>
      </c>
      <c r="D146" s="49">
        <f>VLOOKUP(Table311[[#This Row],[Date]],'DB Details'!$A:$T,18)</f>
        <v>0</v>
      </c>
      <c r="E146" s="49">
        <f>VLOOKUP(Table311[[#This Row],[Date]],'DB Details'!$A:$T,19)</f>
        <v>0</v>
      </c>
    </row>
    <row r="147" spans="1:5" x14ac:dyDescent="0.35">
      <c r="A147" s="38">
        <v>21824</v>
      </c>
      <c r="B147" s="48">
        <f>VLOOKUP(Table311[[#This Row],[Date]],'DB Details'!$A:$L,12)</f>
        <v>49.7</v>
      </c>
      <c r="C147" s="49">
        <f>VLOOKUP(Table311[[#This Row],[Date]],'DB Details'!$A:$T,20)</f>
        <v>4.588663294771754E-2</v>
      </c>
      <c r="D147" s="49">
        <f>VLOOKUP(Table311[[#This Row],[Date]],'DB Details'!$A:$T,18)</f>
        <v>2.8488905531139528E-3</v>
      </c>
      <c r="E147" s="49">
        <f>VLOOKUP(Table311[[#This Row],[Date]],'DB Details'!$A:$T,19)</f>
        <v>1.144435183103387E-2</v>
      </c>
    </row>
    <row r="148" spans="1:5" x14ac:dyDescent="0.35">
      <c r="A148" s="38">
        <v>21855</v>
      </c>
      <c r="B148" s="48">
        <f>VLOOKUP(Table311[[#This Row],[Date]],'DB Details'!$A:$L,12)</f>
        <v>50.6</v>
      </c>
      <c r="C148" s="49">
        <f>VLOOKUP(Table311[[#This Row],[Date]],'DB Details'!$A:$T,20)</f>
        <v>0</v>
      </c>
      <c r="D148" s="49">
        <f>VLOOKUP(Table311[[#This Row],[Date]],'DB Details'!$A:$T,18)</f>
        <v>0</v>
      </c>
      <c r="E148" s="49">
        <f>VLOOKUP(Table311[[#This Row],[Date]],'DB Details'!$A:$T,19)</f>
        <v>0</v>
      </c>
    </row>
    <row r="149" spans="1:5" x14ac:dyDescent="0.35">
      <c r="A149" s="38">
        <v>21885</v>
      </c>
      <c r="B149" s="48">
        <f>VLOOKUP(Table311[[#This Row],[Date]],'DB Details'!$A:$L,12)</f>
        <v>58.2</v>
      </c>
      <c r="C149" s="49">
        <f>VLOOKUP(Table311[[#This Row],[Date]],'DB Details'!$A:$T,20)</f>
        <v>0</v>
      </c>
      <c r="D149" s="49">
        <f>VLOOKUP(Table311[[#This Row],[Date]],'DB Details'!$A:$T,18)</f>
        <v>0</v>
      </c>
      <c r="E149" s="49">
        <f>VLOOKUP(Table311[[#This Row],[Date]],'DB Details'!$A:$T,19)</f>
        <v>0</v>
      </c>
    </row>
    <row r="150" spans="1:5" x14ac:dyDescent="0.35">
      <c r="A150" s="38">
        <v>21916</v>
      </c>
      <c r="B150" s="48">
        <f>VLOOKUP(Table311[[#This Row],[Date]],'DB Details'!$A:$L,12)</f>
        <v>61.5</v>
      </c>
      <c r="C150" s="49">
        <f>VLOOKUP(Table311[[#This Row],[Date]],'DB Details'!$A:$T,20)</f>
        <v>4.9254188089672891E-2</v>
      </c>
      <c r="D150" s="49">
        <f>VLOOKUP(Table311[[#This Row],[Date]],'DB Details'!$A:$T,18)</f>
        <v>2.2477142919530051E-2</v>
      </c>
      <c r="E150" s="49">
        <f>VLOOKUP(Table311[[#This Row],[Date]],'DB Details'!$A:$T,19)</f>
        <v>9.298558243454158E-2</v>
      </c>
    </row>
    <row r="151" spans="1:5" x14ac:dyDescent="0.35">
      <c r="A151" s="38">
        <v>21947</v>
      </c>
      <c r="B151" s="48">
        <f>VLOOKUP(Table311[[#This Row],[Date]],'DB Details'!$A:$L,12)</f>
        <v>52.3</v>
      </c>
      <c r="C151" s="49">
        <f>VLOOKUP(Table311[[#This Row],[Date]],'DB Details'!$A:$T,20)</f>
        <v>0</v>
      </c>
      <c r="D151" s="49">
        <f>VLOOKUP(Table311[[#This Row],[Date]],'DB Details'!$A:$T,18)</f>
        <v>0</v>
      </c>
      <c r="E151" s="49">
        <f>VLOOKUP(Table311[[#This Row],[Date]],'DB Details'!$A:$T,19)</f>
        <v>0</v>
      </c>
    </row>
    <row r="152" spans="1:5" x14ac:dyDescent="0.35">
      <c r="A152" s="38">
        <v>21976</v>
      </c>
      <c r="B152" s="48">
        <f>VLOOKUP(Table311[[#This Row],[Date]],'DB Details'!$A:$L,12)</f>
        <v>47.8</v>
      </c>
      <c r="C152" s="49">
        <f>VLOOKUP(Table311[[#This Row],[Date]],'DB Details'!$A:$T,20)</f>
        <v>0</v>
      </c>
      <c r="D152" s="49">
        <f>VLOOKUP(Table311[[#This Row],[Date]],'DB Details'!$A:$T,18)</f>
        <v>0</v>
      </c>
      <c r="E152" s="49">
        <f>VLOOKUP(Table311[[#This Row],[Date]],'DB Details'!$A:$T,19)</f>
        <v>0</v>
      </c>
    </row>
    <row r="153" spans="1:5" x14ac:dyDescent="0.35">
      <c r="A153" s="38">
        <v>22007</v>
      </c>
      <c r="B153" s="48">
        <f>VLOOKUP(Table311[[#This Row],[Date]],'DB Details'!$A:$L,12)</f>
        <v>45.3</v>
      </c>
      <c r="C153" s="49">
        <f>VLOOKUP(Table311[[#This Row],[Date]],'DB Details'!$A:$T,20)</f>
        <v>2.0582082118588349E-2</v>
      </c>
      <c r="D153" s="49">
        <f>VLOOKUP(Table311[[#This Row],[Date]],'DB Details'!$A:$T,18)</f>
        <v>-5.3907336126427109E-3</v>
      </c>
      <c r="E153" s="49">
        <f>VLOOKUP(Table311[[#This Row],[Date]],'DB Details'!$A:$T,19)</f>
        <v>-2.138920017185875E-2</v>
      </c>
    </row>
    <row r="154" spans="1:5" x14ac:dyDescent="0.35">
      <c r="A154" s="38">
        <v>22037</v>
      </c>
      <c r="B154" s="48">
        <f>VLOOKUP(Table311[[#This Row],[Date]],'DB Details'!$A:$L,12)</f>
        <v>42.6</v>
      </c>
      <c r="C154" s="49">
        <f>VLOOKUP(Table311[[#This Row],[Date]],'DB Details'!$A:$T,20)</f>
        <v>0</v>
      </c>
      <c r="D154" s="49">
        <f>VLOOKUP(Table311[[#This Row],[Date]],'DB Details'!$A:$T,18)</f>
        <v>0</v>
      </c>
      <c r="E154" s="49">
        <f>VLOOKUP(Table311[[#This Row],[Date]],'DB Details'!$A:$T,19)</f>
        <v>0</v>
      </c>
    </row>
    <row r="155" spans="1:5" x14ac:dyDescent="0.35">
      <c r="A155" s="38">
        <v>22068</v>
      </c>
      <c r="B155" s="48">
        <f>VLOOKUP(Table311[[#This Row],[Date]],'DB Details'!$A:$L,12)</f>
        <v>44.4</v>
      </c>
      <c r="C155" s="49">
        <f>VLOOKUP(Table311[[#This Row],[Date]],'DB Details'!$A:$T,20)</f>
        <v>0</v>
      </c>
      <c r="D155" s="49">
        <f>VLOOKUP(Table311[[#This Row],[Date]],'DB Details'!$A:$T,18)</f>
        <v>0</v>
      </c>
      <c r="E155" s="49">
        <f>VLOOKUP(Table311[[#This Row],[Date]],'DB Details'!$A:$T,19)</f>
        <v>0</v>
      </c>
    </row>
    <row r="156" spans="1:5" x14ac:dyDescent="0.35">
      <c r="A156" s="38">
        <v>22098</v>
      </c>
      <c r="B156" s="48">
        <f>VLOOKUP(Table311[[#This Row],[Date]],'DB Details'!$A:$L,12)</f>
        <v>43.7</v>
      </c>
      <c r="C156" s="49">
        <f>VLOOKUP(Table311[[#This Row],[Date]],'DB Details'!$A:$T,20)</f>
        <v>2.4853887607873479E-2</v>
      </c>
      <c r="D156" s="49">
        <f>VLOOKUP(Table311[[#This Row],[Date]],'DB Details'!$A:$T,18)</f>
        <v>4.8942127988755441E-3</v>
      </c>
      <c r="E156" s="49">
        <f>VLOOKUP(Table311[[#This Row],[Date]],'DB Details'!$A:$T,19)</f>
        <v>1.9721040613348121E-2</v>
      </c>
    </row>
    <row r="157" spans="1:5" x14ac:dyDescent="0.35">
      <c r="A157" s="38">
        <v>22129</v>
      </c>
      <c r="B157" s="48">
        <f>VLOOKUP(Table311[[#This Row],[Date]],'DB Details'!$A:$L,12)</f>
        <v>47.6</v>
      </c>
      <c r="C157" s="49">
        <f>VLOOKUP(Table311[[#This Row],[Date]],'DB Details'!$A:$T,20)</f>
        <v>0</v>
      </c>
      <c r="D157" s="49">
        <f>VLOOKUP(Table311[[#This Row],[Date]],'DB Details'!$A:$T,18)</f>
        <v>0</v>
      </c>
      <c r="E157" s="49">
        <f>VLOOKUP(Table311[[#This Row],[Date]],'DB Details'!$A:$T,19)</f>
        <v>0</v>
      </c>
    </row>
    <row r="158" spans="1:5" x14ac:dyDescent="0.35">
      <c r="A158" s="38">
        <v>22160</v>
      </c>
      <c r="B158" s="48">
        <f>VLOOKUP(Table311[[#This Row],[Date]],'DB Details'!$A:$L,12)</f>
        <v>45.4</v>
      </c>
      <c r="C158" s="49">
        <f>VLOOKUP(Table311[[#This Row],[Date]],'DB Details'!$A:$T,20)</f>
        <v>0</v>
      </c>
      <c r="D158" s="49">
        <f>VLOOKUP(Table311[[#This Row],[Date]],'DB Details'!$A:$T,18)</f>
        <v>0</v>
      </c>
      <c r="E158" s="49">
        <f>VLOOKUP(Table311[[#This Row],[Date]],'DB Details'!$A:$T,19)</f>
        <v>0</v>
      </c>
    </row>
    <row r="159" spans="1:5" x14ac:dyDescent="0.35">
      <c r="A159" s="38">
        <v>22190</v>
      </c>
      <c r="B159" s="48">
        <f>VLOOKUP(Table311[[#This Row],[Date]],'DB Details'!$A:$L,12)</f>
        <v>46</v>
      </c>
      <c r="C159" s="49">
        <f>VLOOKUP(Table311[[#This Row],[Date]],'DB Details'!$A:$T,20)</f>
        <v>8.8268414337807615E-3</v>
      </c>
      <c r="D159" s="49">
        <f>VLOOKUP(Table311[[#This Row],[Date]],'DB Details'!$A:$T,18)</f>
        <v>-1.283403329474103E-2</v>
      </c>
      <c r="E159" s="49">
        <f>VLOOKUP(Table311[[#This Row],[Date]],'DB Details'!$A:$T,19)</f>
        <v>-5.0356287283370382E-2</v>
      </c>
    </row>
    <row r="160" spans="1:5" x14ac:dyDescent="0.35">
      <c r="A160" s="38">
        <v>22221</v>
      </c>
      <c r="B160" s="48">
        <f>VLOOKUP(Table311[[#This Row],[Date]],'DB Details'!$A:$L,12)</f>
        <v>44.3</v>
      </c>
      <c r="C160" s="49">
        <f>VLOOKUP(Table311[[#This Row],[Date]],'DB Details'!$A:$T,20)</f>
        <v>0</v>
      </c>
      <c r="D160" s="49">
        <f>VLOOKUP(Table311[[#This Row],[Date]],'DB Details'!$A:$T,18)</f>
        <v>0</v>
      </c>
      <c r="E160" s="49">
        <f>VLOOKUP(Table311[[#This Row],[Date]],'DB Details'!$A:$T,19)</f>
        <v>0</v>
      </c>
    </row>
    <row r="161" spans="1:5" x14ac:dyDescent="0.35">
      <c r="A161" s="38">
        <v>22251</v>
      </c>
      <c r="B161" s="48">
        <f>VLOOKUP(Table311[[#This Row],[Date]],'DB Details'!$A:$L,12)</f>
        <v>44.3</v>
      </c>
      <c r="C161" s="49">
        <f>VLOOKUP(Table311[[#This Row],[Date]],'DB Details'!$A:$T,20)</f>
        <v>0</v>
      </c>
      <c r="D161" s="49">
        <f>VLOOKUP(Table311[[#This Row],[Date]],'DB Details'!$A:$T,18)</f>
        <v>0</v>
      </c>
      <c r="E161" s="49">
        <f>VLOOKUP(Table311[[#This Row],[Date]],'DB Details'!$A:$T,19)</f>
        <v>0</v>
      </c>
    </row>
    <row r="162" spans="1:5" x14ac:dyDescent="0.35">
      <c r="A162" s="38">
        <v>22282</v>
      </c>
      <c r="B162" s="48">
        <f>VLOOKUP(Table311[[#This Row],[Date]],'DB Details'!$A:$L,12)</f>
        <v>43.9</v>
      </c>
      <c r="C162" s="49">
        <f>VLOOKUP(Table311[[#This Row],[Date]],'DB Details'!$A:$T,20)</f>
        <v>-6.6912824180018144E-3</v>
      </c>
      <c r="D162" s="49">
        <f>VLOOKUP(Table311[[#This Row],[Date]],'DB Details'!$A:$T,18)</f>
        <v>6.7490454029221309E-3</v>
      </c>
      <c r="E162" s="49">
        <f>VLOOKUP(Table311[[#This Row],[Date]],'DB Details'!$A:$T,19)</f>
        <v>2.7270711035208169E-2</v>
      </c>
    </row>
    <row r="163" spans="1:5" x14ac:dyDescent="0.35">
      <c r="A163" s="38">
        <v>22313</v>
      </c>
      <c r="B163" s="48">
        <f>VLOOKUP(Table311[[#This Row],[Date]],'DB Details'!$A:$L,12)</f>
        <v>43.6</v>
      </c>
      <c r="C163" s="49">
        <f>VLOOKUP(Table311[[#This Row],[Date]],'DB Details'!$A:$T,20)</f>
        <v>0</v>
      </c>
      <c r="D163" s="49">
        <f>VLOOKUP(Table311[[#This Row],[Date]],'DB Details'!$A:$T,18)</f>
        <v>0</v>
      </c>
      <c r="E163" s="49">
        <f>VLOOKUP(Table311[[#This Row],[Date]],'DB Details'!$A:$T,19)</f>
        <v>0</v>
      </c>
    </row>
    <row r="164" spans="1:5" x14ac:dyDescent="0.35">
      <c r="A164" s="38">
        <v>22341</v>
      </c>
      <c r="B164" s="48">
        <f>VLOOKUP(Table311[[#This Row],[Date]],'DB Details'!$A:$L,12)</f>
        <v>49.1</v>
      </c>
      <c r="C164" s="49">
        <f>VLOOKUP(Table311[[#This Row],[Date]],'DB Details'!$A:$T,20)</f>
        <v>0</v>
      </c>
      <c r="D164" s="49">
        <f>VLOOKUP(Table311[[#This Row],[Date]],'DB Details'!$A:$T,18)</f>
        <v>0</v>
      </c>
      <c r="E164" s="49">
        <f>VLOOKUP(Table311[[#This Row],[Date]],'DB Details'!$A:$T,19)</f>
        <v>0</v>
      </c>
    </row>
    <row r="165" spans="1:5" x14ac:dyDescent="0.35">
      <c r="A165" s="38">
        <v>22372</v>
      </c>
      <c r="B165" s="48">
        <f>VLOOKUP(Table311[[#This Row],[Date]],'DB Details'!$A:$L,12)</f>
        <v>57.6</v>
      </c>
      <c r="C165" s="49">
        <f>VLOOKUP(Table311[[#This Row],[Date]],'DB Details'!$A:$T,20)</f>
        <v>1.564454936035679E-2</v>
      </c>
      <c r="D165" s="49">
        <f>VLOOKUP(Table311[[#This Row],[Date]],'DB Details'!$A:$T,18)</f>
        <v>1.697434268841248E-2</v>
      </c>
      <c r="E165" s="49">
        <f>VLOOKUP(Table311[[#This Row],[Date]],'DB Details'!$A:$T,19)</f>
        <v>6.9645786784463759E-2</v>
      </c>
    </row>
    <row r="166" spans="1:5" x14ac:dyDescent="0.35">
      <c r="A166" s="38">
        <v>22402</v>
      </c>
      <c r="B166" s="48">
        <f>VLOOKUP(Table311[[#This Row],[Date]],'DB Details'!$A:$L,12)</f>
        <v>58.9</v>
      </c>
      <c r="C166" s="49">
        <f>VLOOKUP(Table311[[#This Row],[Date]],'DB Details'!$A:$T,20)</f>
        <v>0</v>
      </c>
      <c r="D166" s="49">
        <f>VLOOKUP(Table311[[#This Row],[Date]],'DB Details'!$A:$T,18)</f>
        <v>0</v>
      </c>
      <c r="E166" s="49">
        <f>VLOOKUP(Table311[[#This Row],[Date]],'DB Details'!$A:$T,19)</f>
        <v>0</v>
      </c>
    </row>
    <row r="167" spans="1:5" x14ac:dyDescent="0.35">
      <c r="A167" s="38">
        <v>22433</v>
      </c>
      <c r="B167" s="48">
        <f>VLOOKUP(Table311[[#This Row],[Date]],'DB Details'!$A:$L,12)</f>
        <v>58.1</v>
      </c>
      <c r="C167" s="49">
        <f>VLOOKUP(Table311[[#This Row],[Date]],'DB Details'!$A:$T,20)</f>
        <v>0</v>
      </c>
      <c r="D167" s="49">
        <f>VLOOKUP(Table311[[#This Row],[Date]],'DB Details'!$A:$T,18)</f>
        <v>0</v>
      </c>
      <c r="E167" s="49">
        <f>VLOOKUP(Table311[[#This Row],[Date]],'DB Details'!$A:$T,19)</f>
        <v>0</v>
      </c>
    </row>
    <row r="168" spans="1:5" x14ac:dyDescent="0.35">
      <c r="A168" s="38">
        <v>22463</v>
      </c>
      <c r="B168" s="48">
        <f>VLOOKUP(Table311[[#This Row],[Date]],'DB Details'!$A:$L,12)</f>
        <v>58.2</v>
      </c>
      <c r="C168" s="49">
        <f>VLOOKUP(Table311[[#This Row],[Date]],'DB Details'!$A:$T,20)</f>
        <v>3.009920537414091E-2</v>
      </c>
      <c r="D168" s="49">
        <f>VLOOKUP(Table311[[#This Row],[Date]],'DB Details'!$A:$T,18)</f>
        <v>1.9195869993213949E-2</v>
      </c>
      <c r="E168" s="49">
        <f>VLOOKUP(Table311[[#This Row],[Date]],'DB Details'!$A:$T,19)</f>
        <v>7.9022797586295823E-2</v>
      </c>
    </row>
    <row r="169" spans="1:5" x14ac:dyDescent="0.35">
      <c r="A169" s="38">
        <v>22494</v>
      </c>
      <c r="B169" s="48">
        <f>VLOOKUP(Table311[[#This Row],[Date]],'DB Details'!$A:$L,12)</f>
        <v>60.7</v>
      </c>
      <c r="C169" s="49">
        <f>VLOOKUP(Table311[[#This Row],[Date]],'DB Details'!$A:$T,20)</f>
        <v>0</v>
      </c>
      <c r="D169" s="49">
        <f>VLOOKUP(Table311[[#This Row],[Date]],'DB Details'!$A:$T,18)</f>
        <v>0</v>
      </c>
      <c r="E169" s="49">
        <f>VLOOKUP(Table311[[#This Row],[Date]],'DB Details'!$A:$T,19)</f>
        <v>0</v>
      </c>
    </row>
    <row r="170" spans="1:5" x14ac:dyDescent="0.35">
      <c r="A170" s="38">
        <v>22525</v>
      </c>
      <c r="B170" s="48">
        <f>VLOOKUP(Table311[[#This Row],[Date]],'DB Details'!$A:$L,12)</f>
        <v>63</v>
      </c>
      <c r="C170" s="49">
        <f>VLOOKUP(Table311[[#This Row],[Date]],'DB Details'!$A:$T,20)</f>
        <v>0</v>
      </c>
      <c r="D170" s="49">
        <f>VLOOKUP(Table311[[#This Row],[Date]],'DB Details'!$A:$T,18)</f>
        <v>0</v>
      </c>
      <c r="E170" s="49">
        <f>VLOOKUP(Table311[[#This Row],[Date]],'DB Details'!$A:$T,19)</f>
        <v>0</v>
      </c>
    </row>
    <row r="171" spans="1:5" x14ac:dyDescent="0.35">
      <c r="A171" s="38">
        <v>22555</v>
      </c>
      <c r="B171" s="48">
        <f>VLOOKUP(Table311[[#This Row],[Date]],'DB Details'!$A:$L,12)</f>
        <v>62.2</v>
      </c>
      <c r="C171" s="49">
        <f>VLOOKUP(Table311[[#This Row],[Date]],'DB Details'!$A:$T,20)</f>
        <v>6.3955298666980812E-2</v>
      </c>
      <c r="D171" s="49">
        <f>VLOOKUP(Table311[[#This Row],[Date]],'DB Details'!$A:$T,18)</f>
        <v>1.9610980632000841E-2</v>
      </c>
      <c r="E171" s="49">
        <f>VLOOKUP(Table311[[#This Row],[Date]],'DB Details'!$A:$T,19)</f>
        <v>8.0781782598194907E-2</v>
      </c>
    </row>
    <row r="172" spans="1:5" x14ac:dyDescent="0.35">
      <c r="A172" s="38">
        <v>22586</v>
      </c>
      <c r="B172" s="48">
        <f>VLOOKUP(Table311[[#This Row],[Date]],'DB Details'!$A:$L,12)</f>
        <v>59</v>
      </c>
      <c r="C172" s="49">
        <f>VLOOKUP(Table311[[#This Row],[Date]],'DB Details'!$A:$T,20)</f>
        <v>0</v>
      </c>
      <c r="D172" s="49">
        <f>VLOOKUP(Table311[[#This Row],[Date]],'DB Details'!$A:$T,18)</f>
        <v>0</v>
      </c>
      <c r="E172" s="49">
        <f>VLOOKUP(Table311[[#This Row],[Date]],'DB Details'!$A:$T,19)</f>
        <v>0</v>
      </c>
    </row>
    <row r="173" spans="1:5" x14ac:dyDescent="0.35">
      <c r="A173" s="38">
        <v>22616</v>
      </c>
      <c r="B173" s="48">
        <f>VLOOKUP(Table311[[#This Row],[Date]],'DB Details'!$A:$L,12)</f>
        <v>64.2</v>
      </c>
      <c r="C173" s="49">
        <f>VLOOKUP(Table311[[#This Row],[Date]],'DB Details'!$A:$T,20)</f>
        <v>0</v>
      </c>
      <c r="D173" s="49">
        <f>VLOOKUP(Table311[[#This Row],[Date]],'DB Details'!$A:$T,18)</f>
        <v>0</v>
      </c>
      <c r="E173" s="49">
        <f>VLOOKUP(Table311[[#This Row],[Date]],'DB Details'!$A:$T,19)</f>
        <v>0</v>
      </c>
    </row>
    <row r="174" spans="1:5" x14ac:dyDescent="0.35">
      <c r="A174" s="38">
        <v>22647</v>
      </c>
      <c r="B174" s="48">
        <f>VLOOKUP(Table311[[#This Row],[Date]],'DB Details'!$A:$L,12)</f>
        <v>60.9</v>
      </c>
      <c r="C174" s="49">
        <f>VLOOKUP(Table311[[#This Row],[Date]],'DB Details'!$A:$T,20)</f>
        <v>7.5672760398462477E-2</v>
      </c>
      <c r="D174" s="49">
        <f>VLOOKUP(Table311[[#This Row],[Date]],'DB Details'!$A:$T,18)</f>
        <v>1.783648810610167E-2</v>
      </c>
      <c r="E174" s="49">
        <f>VLOOKUP(Table311[[#This Row],[Date]],'DB Details'!$A:$T,19)</f>
        <v>7.3277593508693117E-2</v>
      </c>
    </row>
    <row r="175" spans="1:5" x14ac:dyDescent="0.35">
      <c r="A175" s="38">
        <v>22678</v>
      </c>
      <c r="B175" s="48">
        <f>VLOOKUP(Table311[[#This Row],[Date]],'DB Details'!$A:$L,12)</f>
        <v>61.1</v>
      </c>
      <c r="C175" s="49">
        <f>VLOOKUP(Table311[[#This Row],[Date]],'DB Details'!$A:$T,20)</f>
        <v>0</v>
      </c>
      <c r="D175" s="49">
        <f>VLOOKUP(Table311[[#This Row],[Date]],'DB Details'!$A:$T,18)</f>
        <v>0</v>
      </c>
      <c r="E175" s="49">
        <f>VLOOKUP(Table311[[#This Row],[Date]],'DB Details'!$A:$T,19)</f>
        <v>0</v>
      </c>
    </row>
    <row r="176" spans="1:5" x14ac:dyDescent="0.35">
      <c r="A176" s="38">
        <v>22706</v>
      </c>
      <c r="B176" s="48">
        <f>VLOOKUP(Table311[[#This Row],[Date]],'DB Details'!$A:$L,12)</f>
        <v>60.6</v>
      </c>
      <c r="C176" s="49">
        <f>VLOOKUP(Table311[[#This Row],[Date]],'DB Details'!$A:$T,20)</f>
        <v>0</v>
      </c>
      <c r="D176" s="49">
        <f>VLOOKUP(Table311[[#This Row],[Date]],'DB Details'!$A:$T,18)</f>
        <v>0</v>
      </c>
      <c r="E176" s="49">
        <f>VLOOKUP(Table311[[#This Row],[Date]],'DB Details'!$A:$T,19)</f>
        <v>0</v>
      </c>
    </row>
    <row r="177" spans="1:5" x14ac:dyDescent="0.35">
      <c r="A177" s="38">
        <v>22737</v>
      </c>
      <c r="B177" s="48">
        <f>VLOOKUP(Table311[[#This Row],[Date]],'DB Details'!$A:$L,12)</f>
        <v>55.1</v>
      </c>
      <c r="C177" s="49">
        <f>VLOOKUP(Table311[[#This Row],[Date]],'DB Details'!$A:$T,20)</f>
        <v>6.7276902108341433E-2</v>
      </c>
      <c r="D177" s="49">
        <f>VLOOKUP(Table311[[#This Row],[Date]],'DB Details'!$A:$T,18)</f>
        <v>9.0366382300993073E-3</v>
      </c>
      <c r="E177" s="49">
        <f>VLOOKUP(Table311[[#This Row],[Date]],'DB Details'!$A:$T,19)</f>
        <v>3.6639476329429772E-2</v>
      </c>
    </row>
    <row r="178" spans="1:5" x14ac:dyDescent="0.35">
      <c r="A178" s="38">
        <v>22767</v>
      </c>
      <c r="B178" s="48">
        <f>VLOOKUP(Table311[[#This Row],[Date]],'DB Details'!$A:$L,12)</f>
        <v>52.2</v>
      </c>
      <c r="C178" s="49">
        <f>VLOOKUP(Table311[[#This Row],[Date]],'DB Details'!$A:$T,20)</f>
        <v>0</v>
      </c>
      <c r="D178" s="49">
        <f>VLOOKUP(Table311[[#This Row],[Date]],'DB Details'!$A:$T,18)</f>
        <v>0</v>
      </c>
      <c r="E178" s="49">
        <f>VLOOKUP(Table311[[#This Row],[Date]],'DB Details'!$A:$T,19)</f>
        <v>0</v>
      </c>
    </row>
    <row r="179" spans="1:5" x14ac:dyDescent="0.35">
      <c r="A179" s="38">
        <v>22798</v>
      </c>
      <c r="B179" s="48">
        <f>VLOOKUP(Table311[[#This Row],[Date]],'DB Details'!$A:$L,12)</f>
        <v>50.8</v>
      </c>
      <c r="C179" s="49">
        <f>VLOOKUP(Table311[[#This Row],[Date]],'DB Details'!$A:$T,20)</f>
        <v>0</v>
      </c>
      <c r="D179" s="49">
        <f>VLOOKUP(Table311[[#This Row],[Date]],'DB Details'!$A:$T,18)</f>
        <v>0</v>
      </c>
      <c r="E179" s="49">
        <f>VLOOKUP(Table311[[#This Row],[Date]],'DB Details'!$A:$T,19)</f>
        <v>0</v>
      </c>
    </row>
    <row r="180" spans="1:5" x14ac:dyDescent="0.35">
      <c r="A180" s="38">
        <v>22828</v>
      </c>
      <c r="B180" s="48">
        <f>VLOOKUP(Table311[[#This Row],[Date]],'DB Details'!$A:$L,12)</f>
        <v>51</v>
      </c>
      <c r="C180" s="49">
        <f>VLOOKUP(Table311[[#This Row],[Date]],'DB Details'!$A:$T,20)</f>
        <v>6.0040145291106663E-2</v>
      </c>
      <c r="D180" s="49">
        <f>VLOOKUP(Table311[[#This Row],[Date]],'DB Details'!$A:$T,18)</f>
        <v>1.228513047875363E-2</v>
      </c>
      <c r="E180" s="49">
        <f>VLOOKUP(Table311[[#This Row],[Date]],'DB Details'!$A:$T,19)</f>
        <v>5.0053507783781807E-2</v>
      </c>
    </row>
    <row r="181" spans="1:5" x14ac:dyDescent="0.35">
      <c r="A181" s="38">
        <v>22859</v>
      </c>
      <c r="B181" s="48">
        <f>VLOOKUP(Table311[[#This Row],[Date]],'DB Details'!$A:$L,12)</f>
        <v>49.5</v>
      </c>
      <c r="C181" s="49">
        <f>VLOOKUP(Table311[[#This Row],[Date]],'DB Details'!$A:$T,20)</f>
        <v>0</v>
      </c>
      <c r="D181" s="49">
        <f>VLOOKUP(Table311[[#This Row],[Date]],'DB Details'!$A:$T,18)</f>
        <v>0</v>
      </c>
      <c r="E181" s="49">
        <f>VLOOKUP(Table311[[#This Row],[Date]],'DB Details'!$A:$T,19)</f>
        <v>0</v>
      </c>
    </row>
    <row r="182" spans="1:5" x14ac:dyDescent="0.35">
      <c r="A182" s="38">
        <v>22890</v>
      </c>
      <c r="B182" s="48">
        <f>VLOOKUP(Table311[[#This Row],[Date]],'DB Details'!$A:$L,12)</f>
        <v>50</v>
      </c>
      <c r="C182" s="49">
        <f>VLOOKUP(Table311[[#This Row],[Date]],'DB Details'!$A:$T,20)</f>
        <v>0</v>
      </c>
      <c r="D182" s="49">
        <f>VLOOKUP(Table311[[#This Row],[Date]],'DB Details'!$A:$T,18)</f>
        <v>0</v>
      </c>
      <c r="E182" s="49">
        <f>VLOOKUP(Table311[[#This Row],[Date]],'DB Details'!$A:$T,19)</f>
        <v>0</v>
      </c>
    </row>
    <row r="183" spans="1:5" x14ac:dyDescent="0.35">
      <c r="A183" s="38">
        <v>22920</v>
      </c>
      <c r="B183" s="48">
        <f>VLOOKUP(Table311[[#This Row],[Date]],'DB Details'!$A:$L,12)</f>
        <v>51.2</v>
      </c>
      <c r="C183" s="49">
        <f>VLOOKUP(Table311[[#This Row],[Date]],'DB Details'!$A:$T,20)</f>
        <v>4.3070989071540139E-2</v>
      </c>
      <c r="D183" s="49">
        <f>VLOOKUP(Table311[[#This Row],[Date]],'DB Details'!$A:$T,18)</f>
        <v>3.2890157607756991E-3</v>
      </c>
      <c r="E183" s="49">
        <f>VLOOKUP(Table311[[#This Row],[Date]],'DB Details'!$A:$T,19)</f>
        <v>1.3221111225523609E-2</v>
      </c>
    </row>
    <row r="184" spans="1:5" x14ac:dyDescent="0.35">
      <c r="A184" s="38">
        <v>22951</v>
      </c>
      <c r="B184" s="48">
        <f>VLOOKUP(Table311[[#This Row],[Date]],'DB Details'!$A:$L,12)</f>
        <v>53.8</v>
      </c>
      <c r="C184" s="49">
        <f>VLOOKUP(Table311[[#This Row],[Date]],'DB Details'!$A:$T,20)</f>
        <v>0</v>
      </c>
      <c r="D184" s="49">
        <f>VLOOKUP(Table311[[#This Row],[Date]],'DB Details'!$A:$T,18)</f>
        <v>0</v>
      </c>
      <c r="E184" s="49">
        <f>VLOOKUP(Table311[[#This Row],[Date]],'DB Details'!$A:$T,19)</f>
        <v>0</v>
      </c>
    </row>
    <row r="185" spans="1:5" x14ac:dyDescent="0.35">
      <c r="A185" s="38">
        <v>22981</v>
      </c>
      <c r="B185" s="48">
        <f>VLOOKUP(Table311[[#This Row],[Date]],'DB Details'!$A:$L,12)</f>
        <v>57.2</v>
      </c>
      <c r="C185" s="49">
        <f>VLOOKUP(Table311[[#This Row],[Date]],'DB Details'!$A:$T,20)</f>
        <v>0</v>
      </c>
      <c r="D185" s="49">
        <f>VLOOKUP(Table311[[#This Row],[Date]],'DB Details'!$A:$T,18)</f>
        <v>0</v>
      </c>
      <c r="E185" s="49">
        <f>VLOOKUP(Table311[[#This Row],[Date]],'DB Details'!$A:$T,19)</f>
        <v>0</v>
      </c>
    </row>
    <row r="186" spans="1:5" x14ac:dyDescent="0.35">
      <c r="A186" s="38">
        <v>23012</v>
      </c>
      <c r="B186" s="48">
        <f>VLOOKUP(Table311[[#This Row],[Date]],'DB Details'!$A:$L,12)</f>
        <v>55.2</v>
      </c>
      <c r="C186" s="49">
        <f>VLOOKUP(Table311[[#This Row],[Date]],'DB Details'!$A:$T,20)</f>
        <v>3.5978663152021979E-2</v>
      </c>
      <c r="D186" s="49">
        <f>VLOOKUP(Table311[[#This Row],[Date]],'DB Details'!$A:$T,18)</f>
        <v>1.0915743322612029E-2</v>
      </c>
      <c r="E186" s="49">
        <f>VLOOKUP(Table311[[#This Row],[Date]],'DB Details'!$A:$T,19)</f>
        <v>4.4383110795709342E-2</v>
      </c>
    </row>
    <row r="187" spans="1:5" x14ac:dyDescent="0.35">
      <c r="A187" s="38">
        <v>23043</v>
      </c>
      <c r="B187" s="48">
        <f>VLOOKUP(Table311[[#This Row],[Date]],'DB Details'!$A:$L,12)</f>
        <v>55.1</v>
      </c>
      <c r="C187" s="49">
        <f>VLOOKUP(Table311[[#This Row],[Date]],'DB Details'!$A:$T,20)</f>
        <v>0</v>
      </c>
      <c r="D187" s="49">
        <f>VLOOKUP(Table311[[#This Row],[Date]],'DB Details'!$A:$T,18)</f>
        <v>0</v>
      </c>
      <c r="E187" s="49">
        <f>VLOOKUP(Table311[[#This Row],[Date]],'DB Details'!$A:$T,19)</f>
        <v>0</v>
      </c>
    </row>
    <row r="188" spans="1:5" x14ac:dyDescent="0.35">
      <c r="A188" s="38">
        <v>23071</v>
      </c>
      <c r="B188" s="48">
        <f>VLOOKUP(Table311[[#This Row],[Date]],'DB Details'!$A:$L,12)</f>
        <v>54.7</v>
      </c>
      <c r="C188" s="49">
        <f>VLOOKUP(Table311[[#This Row],[Date]],'DB Details'!$A:$T,20)</f>
        <v>0</v>
      </c>
      <c r="D188" s="49">
        <f>VLOOKUP(Table311[[#This Row],[Date]],'DB Details'!$A:$T,18)</f>
        <v>0</v>
      </c>
      <c r="E188" s="49">
        <f>VLOOKUP(Table311[[#This Row],[Date]],'DB Details'!$A:$T,19)</f>
        <v>0</v>
      </c>
    </row>
    <row r="189" spans="1:5" x14ac:dyDescent="0.35">
      <c r="A189" s="38">
        <v>23102</v>
      </c>
      <c r="B189" s="48">
        <f>VLOOKUP(Table311[[#This Row],[Date]],'DB Details'!$A:$L,12)</f>
        <v>57.6</v>
      </c>
      <c r="C189" s="49">
        <f>VLOOKUP(Table311[[#This Row],[Date]],'DB Details'!$A:$T,20)</f>
        <v>3.8221569253868229E-2</v>
      </c>
      <c r="D189" s="49">
        <f>VLOOKUP(Table311[[#This Row],[Date]],'DB Details'!$A:$T,18)</f>
        <v>1.122121452821232E-2</v>
      </c>
      <c r="E189" s="49">
        <f>VLOOKUP(Table311[[#This Row],[Date]],'DB Details'!$A:$T,19)</f>
        <v>4.5646019606860877E-2</v>
      </c>
    </row>
    <row r="190" spans="1:5" x14ac:dyDescent="0.35">
      <c r="A190" s="38">
        <v>23132</v>
      </c>
      <c r="B190" s="48">
        <f>VLOOKUP(Table311[[#This Row],[Date]],'DB Details'!$A:$L,12)</f>
        <v>59.8</v>
      </c>
      <c r="C190" s="49">
        <f>VLOOKUP(Table311[[#This Row],[Date]],'DB Details'!$A:$T,20)</f>
        <v>0</v>
      </c>
      <c r="D190" s="49">
        <f>VLOOKUP(Table311[[#This Row],[Date]],'DB Details'!$A:$T,18)</f>
        <v>0</v>
      </c>
      <c r="E190" s="49">
        <f>VLOOKUP(Table311[[#This Row],[Date]],'DB Details'!$A:$T,19)</f>
        <v>0</v>
      </c>
    </row>
    <row r="191" spans="1:5" x14ac:dyDescent="0.35">
      <c r="A191" s="38">
        <v>23163</v>
      </c>
      <c r="B191" s="48">
        <f>VLOOKUP(Table311[[#This Row],[Date]],'DB Details'!$A:$L,12)</f>
        <v>58.2</v>
      </c>
      <c r="C191" s="49">
        <f>VLOOKUP(Table311[[#This Row],[Date]],'DB Details'!$A:$T,20)</f>
        <v>0</v>
      </c>
      <c r="D191" s="49">
        <f>VLOOKUP(Table311[[#This Row],[Date]],'DB Details'!$A:$T,18)</f>
        <v>0</v>
      </c>
      <c r="E191" s="49">
        <f>VLOOKUP(Table311[[#This Row],[Date]],'DB Details'!$A:$T,19)</f>
        <v>0</v>
      </c>
    </row>
    <row r="192" spans="1:5" x14ac:dyDescent="0.35">
      <c r="A192" s="38">
        <v>23193</v>
      </c>
      <c r="B192" s="48">
        <f>VLOOKUP(Table311[[#This Row],[Date]],'DB Details'!$A:$L,12)</f>
        <v>55.5</v>
      </c>
      <c r="C192" s="49">
        <f>VLOOKUP(Table311[[#This Row],[Date]],'DB Details'!$A:$T,20)</f>
        <v>4.8169293462612943E-2</v>
      </c>
      <c r="D192" s="49">
        <f>VLOOKUP(Table311[[#This Row],[Date]],'DB Details'!$A:$T,18)</f>
        <v>2.1984344593379179E-2</v>
      </c>
      <c r="E192" s="49">
        <f>VLOOKUP(Table311[[#This Row],[Date]],'DB Details'!$A:$T,19)</f>
        <v>9.0879981544722765E-2</v>
      </c>
    </row>
    <row r="193" spans="1:5" x14ac:dyDescent="0.35">
      <c r="A193" s="38">
        <v>23224</v>
      </c>
      <c r="B193" s="48">
        <f>VLOOKUP(Table311[[#This Row],[Date]],'DB Details'!$A:$L,12)</f>
        <v>55.1</v>
      </c>
      <c r="C193" s="49">
        <f>VLOOKUP(Table311[[#This Row],[Date]],'DB Details'!$A:$T,20)</f>
        <v>0</v>
      </c>
      <c r="D193" s="49">
        <f>VLOOKUP(Table311[[#This Row],[Date]],'DB Details'!$A:$T,18)</f>
        <v>0</v>
      </c>
      <c r="E193" s="49">
        <f>VLOOKUP(Table311[[#This Row],[Date]],'DB Details'!$A:$T,19)</f>
        <v>0</v>
      </c>
    </row>
    <row r="194" spans="1:5" x14ac:dyDescent="0.35">
      <c r="A194" s="38">
        <v>23255</v>
      </c>
      <c r="B194" s="48">
        <f>VLOOKUP(Table311[[#This Row],[Date]],'DB Details'!$A:$L,12)</f>
        <v>56.9</v>
      </c>
      <c r="C194" s="49">
        <f>VLOOKUP(Table311[[#This Row],[Date]],'DB Details'!$A:$T,20)</f>
        <v>0</v>
      </c>
      <c r="D194" s="49">
        <f>VLOOKUP(Table311[[#This Row],[Date]],'DB Details'!$A:$T,18)</f>
        <v>0</v>
      </c>
      <c r="E194" s="49">
        <f>VLOOKUP(Table311[[#This Row],[Date]],'DB Details'!$A:$T,19)</f>
        <v>0</v>
      </c>
    </row>
    <row r="195" spans="1:5" x14ac:dyDescent="0.35">
      <c r="A195" s="38">
        <v>23285</v>
      </c>
      <c r="B195" s="48">
        <f>VLOOKUP(Table311[[#This Row],[Date]],'DB Details'!$A:$L,12)</f>
        <v>57.7</v>
      </c>
      <c r="C195" s="49">
        <f>VLOOKUP(Table311[[#This Row],[Date]],'DB Details'!$A:$T,20)</f>
        <v>5.158244565253732E-2</v>
      </c>
      <c r="D195" s="49">
        <f>VLOOKUP(Table311[[#This Row],[Date]],'DB Details'!$A:$T,18)</f>
        <v>6.5560243658060744E-3</v>
      </c>
      <c r="E195" s="49">
        <f>VLOOKUP(Table311[[#This Row],[Date]],'DB Details'!$A:$T,19)</f>
        <v>2.6483115193417731E-2</v>
      </c>
    </row>
    <row r="196" spans="1:5" x14ac:dyDescent="0.35">
      <c r="A196" s="38">
        <v>23316</v>
      </c>
      <c r="B196" s="48">
        <f>VLOOKUP(Table311[[#This Row],[Date]],'DB Details'!$A:$L,12)</f>
        <v>57.5</v>
      </c>
      <c r="C196" s="49">
        <f>VLOOKUP(Table311[[#This Row],[Date]],'DB Details'!$A:$T,20)</f>
        <v>0</v>
      </c>
      <c r="D196" s="49">
        <f>VLOOKUP(Table311[[#This Row],[Date]],'DB Details'!$A:$T,18)</f>
        <v>0</v>
      </c>
      <c r="E196" s="49">
        <f>VLOOKUP(Table311[[#This Row],[Date]],'DB Details'!$A:$T,19)</f>
        <v>0</v>
      </c>
    </row>
    <row r="197" spans="1:5" x14ac:dyDescent="0.35">
      <c r="A197" s="38">
        <v>23346</v>
      </c>
      <c r="B197" s="48">
        <f>VLOOKUP(Table311[[#This Row],[Date]],'DB Details'!$A:$L,12)</f>
        <v>54</v>
      </c>
      <c r="C197" s="49">
        <f>VLOOKUP(Table311[[#This Row],[Date]],'DB Details'!$A:$T,20)</f>
        <v>0</v>
      </c>
      <c r="D197" s="49">
        <f>VLOOKUP(Table311[[#This Row],[Date]],'DB Details'!$A:$T,18)</f>
        <v>0</v>
      </c>
      <c r="E197" s="49">
        <f>VLOOKUP(Table311[[#This Row],[Date]],'DB Details'!$A:$T,19)</f>
        <v>0</v>
      </c>
    </row>
    <row r="198" spans="1:5" x14ac:dyDescent="0.35">
      <c r="A198" s="38">
        <v>23377</v>
      </c>
      <c r="B198" s="48">
        <f>VLOOKUP(Table311[[#This Row],[Date]],'DB Details'!$A:$L,12)</f>
        <v>57.1</v>
      </c>
      <c r="C198" s="49">
        <f>VLOOKUP(Table311[[#This Row],[Date]],'DB Details'!$A:$T,20)</f>
        <v>6.215820826578574E-2</v>
      </c>
      <c r="D198" s="49">
        <f>VLOOKUP(Table311[[#This Row],[Date]],'DB Details'!$A:$T,18)</f>
        <v>2.10825209895227E-2</v>
      </c>
      <c r="E198" s="49">
        <f>VLOOKUP(Table311[[#This Row],[Date]],'DB Details'!$A:$T,19)</f>
        <v>8.7034600081078217E-2</v>
      </c>
    </row>
    <row r="199" spans="1:5" x14ac:dyDescent="0.35">
      <c r="A199" s="38">
        <v>23408</v>
      </c>
      <c r="B199" s="48">
        <f>VLOOKUP(Table311[[#This Row],[Date]],'DB Details'!$A:$L,12)</f>
        <v>57.9</v>
      </c>
      <c r="C199" s="49">
        <f>VLOOKUP(Table311[[#This Row],[Date]],'DB Details'!$A:$T,20)</f>
        <v>0</v>
      </c>
      <c r="D199" s="49">
        <f>VLOOKUP(Table311[[#This Row],[Date]],'DB Details'!$A:$T,18)</f>
        <v>0</v>
      </c>
      <c r="E199" s="49">
        <f>VLOOKUP(Table311[[#This Row],[Date]],'DB Details'!$A:$T,19)</f>
        <v>0</v>
      </c>
    </row>
    <row r="200" spans="1:5" x14ac:dyDescent="0.35">
      <c r="A200" s="38">
        <v>23437</v>
      </c>
      <c r="B200" s="48">
        <f>VLOOKUP(Table311[[#This Row],[Date]],'DB Details'!$A:$L,12)</f>
        <v>60.2</v>
      </c>
      <c r="C200" s="49">
        <f>VLOOKUP(Table311[[#This Row],[Date]],'DB Details'!$A:$T,20)</f>
        <v>0</v>
      </c>
      <c r="D200" s="49">
        <f>VLOOKUP(Table311[[#This Row],[Date]],'DB Details'!$A:$T,18)</f>
        <v>0</v>
      </c>
      <c r="E200" s="49">
        <f>VLOOKUP(Table311[[#This Row],[Date]],'DB Details'!$A:$T,19)</f>
        <v>0</v>
      </c>
    </row>
    <row r="201" spans="1:5" x14ac:dyDescent="0.35">
      <c r="A201" s="38">
        <v>23468</v>
      </c>
      <c r="B201" s="48">
        <f>VLOOKUP(Table311[[#This Row],[Date]],'DB Details'!$A:$L,12)</f>
        <v>59.2</v>
      </c>
      <c r="C201" s="49">
        <f>VLOOKUP(Table311[[#This Row],[Date]],'DB Details'!$A:$T,20)</f>
        <v>6.1807512632801168E-2</v>
      </c>
      <c r="D201" s="49">
        <f>VLOOKUP(Table311[[#This Row],[Date]],'DB Details'!$A:$T,18)</f>
        <v>1.0887336899478069E-2</v>
      </c>
      <c r="E201" s="49">
        <f>VLOOKUP(Table311[[#This Row],[Date]],'DB Details'!$A:$T,19)</f>
        <v>4.426572835975362E-2</v>
      </c>
    </row>
    <row r="202" spans="1:5" x14ac:dyDescent="0.35">
      <c r="A202" s="38">
        <v>23498</v>
      </c>
      <c r="B202" s="48">
        <f>VLOOKUP(Table311[[#This Row],[Date]],'DB Details'!$A:$L,12)</f>
        <v>58.7</v>
      </c>
      <c r="C202" s="49">
        <f>VLOOKUP(Table311[[#This Row],[Date]],'DB Details'!$A:$T,20)</f>
        <v>0</v>
      </c>
      <c r="D202" s="49">
        <f>VLOOKUP(Table311[[#This Row],[Date]],'DB Details'!$A:$T,18)</f>
        <v>0</v>
      </c>
      <c r="E202" s="49">
        <f>VLOOKUP(Table311[[#This Row],[Date]],'DB Details'!$A:$T,19)</f>
        <v>0</v>
      </c>
    </row>
    <row r="203" spans="1:5" x14ac:dyDescent="0.35">
      <c r="A203" s="38">
        <v>23529</v>
      </c>
      <c r="B203" s="48">
        <f>VLOOKUP(Table311[[#This Row],[Date]],'DB Details'!$A:$L,12)</f>
        <v>60.1</v>
      </c>
      <c r="C203" s="49">
        <f>VLOOKUP(Table311[[#This Row],[Date]],'DB Details'!$A:$T,20)</f>
        <v>0</v>
      </c>
      <c r="D203" s="49">
        <f>VLOOKUP(Table311[[#This Row],[Date]],'DB Details'!$A:$T,18)</f>
        <v>0</v>
      </c>
      <c r="E203" s="49">
        <f>VLOOKUP(Table311[[#This Row],[Date]],'DB Details'!$A:$T,19)</f>
        <v>0</v>
      </c>
    </row>
    <row r="204" spans="1:5" x14ac:dyDescent="0.35">
      <c r="A204" s="38">
        <v>23559</v>
      </c>
      <c r="B204" s="48">
        <f>VLOOKUP(Table311[[#This Row],[Date]],'DB Details'!$A:$L,12)</f>
        <v>62.9</v>
      </c>
      <c r="C204" s="49">
        <f>VLOOKUP(Table311[[#This Row],[Date]],'DB Details'!$A:$T,20)</f>
        <v>5.5198295535006867E-2</v>
      </c>
      <c r="D204" s="49">
        <f>VLOOKUP(Table311[[#This Row],[Date]],'DB Details'!$A:$T,18)</f>
        <v>1.5623006663855091E-2</v>
      </c>
      <c r="E204" s="49">
        <f>VLOOKUP(Table311[[#This Row],[Date]],'DB Details'!$A:$T,19)</f>
        <v>6.3971809202924224E-2</v>
      </c>
    </row>
    <row r="205" spans="1:5" x14ac:dyDescent="0.35">
      <c r="A205" s="38">
        <v>23590</v>
      </c>
      <c r="B205" s="48">
        <f>VLOOKUP(Table311[[#This Row],[Date]],'DB Details'!$A:$L,12)</f>
        <v>63.3</v>
      </c>
      <c r="C205" s="49">
        <f>VLOOKUP(Table311[[#This Row],[Date]],'DB Details'!$A:$T,20)</f>
        <v>0</v>
      </c>
      <c r="D205" s="49">
        <f>VLOOKUP(Table311[[#This Row],[Date]],'DB Details'!$A:$T,18)</f>
        <v>0</v>
      </c>
      <c r="E205" s="49">
        <f>VLOOKUP(Table311[[#This Row],[Date]],'DB Details'!$A:$T,19)</f>
        <v>0</v>
      </c>
    </row>
    <row r="206" spans="1:5" x14ac:dyDescent="0.35">
      <c r="A206" s="38">
        <v>23621</v>
      </c>
      <c r="B206" s="48">
        <f>VLOOKUP(Table311[[#This Row],[Date]],'DB Details'!$A:$L,12)</f>
        <v>63.3</v>
      </c>
      <c r="C206" s="49">
        <f>VLOOKUP(Table311[[#This Row],[Date]],'DB Details'!$A:$T,20)</f>
        <v>0</v>
      </c>
      <c r="D206" s="49">
        <f>VLOOKUP(Table311[[#This Row],[Date]],'DB Details'!$A:$T,18)</f>
        <v>0</v>
      </c>
      <c r="E206" s="49">
        <f>VLOOKUP(Table311[[#This Row],[Date]],'DB Details'!$A:$T,19)</f>
        <v>0</v>
      </c>
    </row>
    <row r="207" spans="1:5" x14ac:dyDescent="0.35">
      <c r="A207" s="38">
        <v>23651</v>
      </c>
      <c r="B207" s="48">
        <f>VLOOKUP(Table311[[#This Row],[Date]],'DB Details'!$A:$L,12)</f>
        <v>60.7</v>
      </c>
      <c r="C207" s="49">
        <f>VLOOKUP(Table311[[#This Row],[Date]],'DB Details'!$A:$T,20)</f>
        <v>5.1563430645021127E-2</v>
      </c>
      <c r="D207" s="49">
        <f>VLOOKUP(Table311[[#This Row],[Date]],'DB Details'!$A:$T,18)</f>
        <v>3.0887185823790142E-3</v>
      </c>
      <c r="E207" s="49">
        <f>VLOOKUP(Table311[[#This Row],[Date]],'DB Details'!$A:$T,19)</f>
        <v>1.2412233383173101E-2</v>
      </c>
    </row>
    <row r="208" spans="1:5" x14ac:dyDescent="0.35">
      <c r="A208" s="38">
        <v>23682</v>
      </c>
      <c r="B208" s="48">
        <f>VLOOKUP(Table311[[#This Row],[Date]],'DB Details'!$A:$L,12)</f>
        <v>61.8</v>
      </c>
      <c r="C208" s="49">
        <f>VLOOKUP(Table311[[#This Row],[Date]],'DB Details'!$A:$T,20)</f>
        <v>0</v>
      </c>
      <c r="D208" s="49">
        <f>VLOOKUP(Table311[[#This Row],[Date]],'DB Details'!$A:$T,18)</f>
        <v>0</v>
      </c>
      <c r="E208" s="49">
        <f>VLOOKUP(Table311[[#This Row],[Date]],'DB Details'!$A:$T,19)</f>
        <v>0</v>
      </c>
    </row>
    <row r="209" spans="1:5" x14ac:dyDescent="0.35">
      <c r="A209" s="38">
        <v>23712</v>
      </c>
      <c r="B209" s="48">
        <f>VLOOKUP(Table311[[#This Row],[Date]],'DB Details'!$A:$L,12)</f>
        <v>62.4</v>
      </c>
      <c r="C209" s="49">
        <f>VLOOKUP(Table311[[#This Row],[Date]],'DB Details'!$A:$T,20)</f>
        <v>0</v>
      </c>
      <c r="D209" s="49">
        <f>VLOOKUP(Table311[[#This Row],[Date]],'DB Details'!$A:$T,18)</f>
        <v>0</v>
      </c>
      <c r="E209" s="49">
        <f>VLOOKUP(Table311[[#This Row],[Date]],'DB Details'!$A:$T,19)</f>
        <v>0</v>
      </c>
    </row>
    <row r="210" spans="1:5" x14ac:dyDescent="0.35">
      <c r="A210" s="38">
        <v>23743</v>
      </c>
      <c r="B210" s="48">
        <f>VLOOKUP(Table311[[#This Row],[Date]],'DB Details'!$A:$L,12)</f>
        <v>61</v>
      </c>
      <c r="C210" s="49">
        <f>VLOOKUP(Table311[[#This Row],[Date]],'DB Details'!$A:$T,20)</f>
        <v>5.4771416005096198E-2</v>
      </c>
      <c r="D210" s="49">
        <f>VLOOKUP(Table311[[#This Row],[Date]],'DB Details'!$A:$T,18)</f>
        <v>2.419751879498433E-2</v>
      </c>
      <c r="E210" s="49">
        <f>VLOOKUP(Table311[[#This Row],[Date]],'DB Details'!$A:$T,19)</f>
        <v>0.10036021002518369</v>
      </c>
    </row>
    <row r="211" spans="1:5" x14ac:dyDescent="0.35">
      <c r="A211" s="38">
        <v>23774</v>
      </c>
      <c r="B211" s="48">
        <f>VLOOKUP(Table311[[#This Row],[Date]],'DB Details'!$A:$L,12)</f>
        <v>62.1</v>
      </c>
      <c r="C211" s="49">
        <f>VLOOKUP(Table311[[#This Row],[Date]],'DB Details'!$A:$T,20)</f>
        <v>0</v>
      </c>
      <c r="D211" s="49">
        <f>VLOOKUP(Table311[[#This Row],[Date]],'DB Details'!$A:$T,18)</f>
        <v>0</v>
      </c>
      <c r="E211" s="49">
        <f>VLOOKUP(Table311[[#This Row],[Date]],'DB Details'!$A:$T,19)</f>
        <v>0</v>
      </c>
    </row>
    <row r="212" spans="1:5" x14ac:dyDescent="0.35">
      <c r="A212" s="38">
        <v>23802</v>
      </c>
      <c r="B212" s="48">
        <f>VLOOKUP(Table311[[#This Row],[Date]],'DB Details'!$A:$L,12)</f>
        <v>64.900000000000006</v>
      </c>
      <c r="C212" s="49">
        <f>VLOOKUP(Table311[[#This Row],[Date]],'DB Details'!$A:$T,20)</f>
        <v>0</v>
      </c>
      <c r="D212" s="49">
        <f>VLOOKUP(Table311[[#This Row],[Date]],'DB Details'!$A:$T,18)</f>
        <v>0</v>
      </c>
      <c r="E212" s="49">
        <f>VLOOKUP(Table311[[#This Row],[Date]],'DB Details'!$A:$T,19)</f>
        <v>0</v>
      </c>
    </row>
    <row r="213" spans="1:5" x14ac:dyDescent="0.35">
      <c r="A213" s="38">
        <v>23833</v>
      </c>
      <c r="B213" s="48">
        <f>VLOOKUP(Table311[[#This Row],[Date]],'DB Details'!$A:$L,12)</f>
        <v>62</v>
      </c>
      <c r="C213" s="49">
        <f>VLOOKUP(Table311[[#This Row],[Date]],'DB Details'!$A:$T,20)</f>
        <v>5.6592842586862209E-2</v>
      </c>
      <c r="D213" s="49">
        <f>VLOOKUP(Table311[[#This Row],[Date]],'DB Details'!$A:$T,18)</f>
        <v>1.2632982485488589E-2</v>
      </c>
      <c r="E213" s="49">
        <f>VLOOKUP(Table311[[#This Row],[Date]],'DB Details'!$A:$T,19)</f>
        <v>5.1497573394729379E-2</v>
      </c>
    </row>
    <row r="214" spans="1:5" x14ac:dyDescent="0.35">
      <c r="A214" s="38">
        <v>23863</v>
      </c>
      <c r="B214" s="48">
        <f>VLOOKUP(Table311[[#This Row],[Date]],'DB Details'!$A:$L,12)</f>
        <v>61.3</v>
      </c>
      <c r="C214" s="49">
        <f>VLOOKUP(Table311[[#This Row],[Date]],'DB Details'!$A:$T,20)</f>
        <v>0</v>
      </c>
      <c r="D214" s="49">
        <f>VLOOKUP(Table311[[#This Row],[Date]],'DB Details'!$A:$T,18)</f>
        <v>0</v>
      </c>
      <c r="E214" s="49">
        <f>VLOOKUP(Table311[[#This Row],[Date]],'DB Details'!$A:$T,19)</f>
        <v>0</v>
      </c>
    </row>
    <row r="215" spans="1:5" x14ac:dyDescent="0.35">
      <c r="A215" s="38">
        <v>23894</v>
      </c>
      <c r="B215" s="48">
        <f>VLOOKUP(Table311[[#This Row],[Date]],'DB Details'!$A:$L,12)</f>
        <v>58.7</v>
      </c>
      <c r="C215" s="49">
        <f>VLOOKUP(Table311[[#This Row],[Date]],'DB Details'!$A:$T,20)</f>
        <v>0</v>
      </c>
      <c r="D215" s="49">
        <f>VLOOKUP(Table311[[#This Row],[Date]],'DB Details'!$A:$T,18)</f>
        <v>0</v>
      </c>
      <c r="E215" s="49">
        <f>VLOOKUP(Table311[[#This Row],[Date]],'DB Details'!$A:$T,19)</f>
        <v>0</v>
      </c>
    </row>
    <row r="216" spans="1:5" x14ac:dyDescent="0.35">
      <c r="A216" s="38">
        <v>23924</v>
      </c>
      <c r="B216" s="48">
        <f>VLOOKUP(Table311[[#This Row],[Date]],'DB Details'!$A:$L,12)</f>
        <v>58.1</v>
      </c>
      <c r="C216" s="49">
        <f>VLOOKUP(Table311[[#This Row],[Date]],'DB Details'!$A:$T,20)</f>
        <v>6.3468984043853177E-2</v>
      </c>
      <c r="D216" s="49">
        <f>VLOOKUP(Table311[[#This Row],[Date]],'DB Details'!$A:$T,18)</f>
        <v>2.2232522817397491E-2</v>
      </c>
      <c r="E216" s="49">
        <f>VLOOKUP(Table311[[#This Row],[Date]],'DB Details'!$A:$T,19)</f>
        <v>9.1940002828739154E-2</v>
      </c>
    </row>
    <row r="217" spans="1:5" x14ac:dyDescent="0.35">
      <c r="A217" s="38">
        <v>23955</v>
      </c>
      <c r="B217" s="48">
        <f>VLOOKUP(Table311[[#This Row],[Date]],'DB Details'!$A:$L,12)</f>
        <v>58.1</v>
      </c>
      <c r="C217" s="49">
        <f>VLOOKUP(Table311[[#This Row],[Date]],'DB Details'!$A:$T,20)</f>
        <v>0</v>
      </c>
      <c r="D217" s="49">
        <f>VLOOKUP(Table311[[#This Row],[Date]],'DB Details'!$A:$T,18)</f>
        <v>0</v>
      </c>
      <c r="E217" s="49">
        <f>VLOOKUP(Table311[[#This Row],[Date]],'DB Details'!$A:$T,19)</f>
        <v>0</v>
      </c>
    </row>
    <row r="218" spans="1:5" x14ac:dyDescent="0.35">
      <c r="A218" s="38">
        <v>23986</v>
      </c>
      <c r="B218" s="48">
        <f>VLOOKUP(Table311[[#This Row],[Date]],'DB Details'!$A:$L,12)</f>
        <v>61</v>
      </c>
      <c r="C218" s="49">
        <f>VLOOKUP(Table311[[#This Row],[Date]],'DB Details'!$A:$T,20)</f>
        <v>0</v>
      </c>
      <c r="D218" s="49">
        <f>VLOOKUP(Table311[[#This Row],[Date]],'DB Details'!$A:$T,18)</f>
        <v>0</v>
      </c>
      <c r="E218" s="49">
        <f>VLOOKUP(Table311[[#This Row],[Date]],'DB Details'!$A:$T,19)</f>
        <v>0</v>
      </c>
    </row>
    <row r="219" spans="1:5" x14ac:dyDescent="0.35">
      <c r="A219" s="38">
        <v>24016</v>
      </c>
      <c r="B219" s="48">
        <f>VLOOKUP(Table311[[#This Row],[Date]],'DB Details'!$A:$L,12)</f>
        <v>58.6</v>
      </c>
      <c r="C219" s="49">
        <f>VLOOKUP(Table311[[#This Row],[Date]],'DB Details'!$A:$T,20)</f>
        <v>8.4621648738005956E-2</v>
      </c>
      <c r="D219" s="49">
        <f>VLOOKUP(Table311[[#This Row],[Date]],'DB Details'!$A:$T,18)</f>
        <v>2.3040404659747011E-2</v>
      </c>
      <c r="E219" s="49">
        <f>VLOOKUP(Table311[[#This Row],[Date]],'DB Details'!$A:$T,19)</f>
        <v>9.5395986872523153E-2</v>
      </c>
    </row>
    <row r="220" spans="1:5" x14ac:dyDescent="0.35">
      <c r="A220" s="38">
        <v>24047</v>
      </c>
      <c r="B220" s="48">
        <f>VLOOKUP(Table311[[#This Row],[Date]],'DB Details'!$A:$L,12)</f>
        <v>59.4</v>
      </c>
      <c r="C220" s="49">
        <f>VLOOKUP(Table311[[#This Row],[Date]],'DB Details'!$A:$T,20)</f>
        <v>0</v>
      </c>
      <c r="D220" s="49">
        <f>VLOOKUP(Table311[[#This Row],[Date]],'DB Details'!$A:$T,18)</f>
        <v>0</v>
      </c>
      <c r="E220" s="49">
        <f>VLOOKUP(Table311[[#This Row],[Date]],'DB Details'!$A:$T,19)</f>
        <v>0</v>
      </c>
    </row>
    <row r="221" spans="1:5" x14ac:dyDescent="0.35">
      <c r="A221" s="38">
        <v>24077</v>
      </c>
      <c r="B221" s="48">
        <f>VLOOKUP(Table311[[#This Row],[Date]],'DB Details'!$A:$L,12)</f>
        <v>62.8</v>
      </c>
      <c r="C221" s="49">
        <f>VLOOKUP(Table311[[#This Row],[Date]],'DB Details'!$A:$T,20)</f>
        <v>0</v>
      </c>
      <c r="D221" s="49">
        <f>VLOOKUP(Table311[[#This Row],[Date]],'DB Details'!$A:$T,18)</f>
        <v>0</v>
      </c>
      <c r="E221" s="49">
        <f>VLOOKUP(Table311[[#This Row],[Date]],'DB Details'!$A:$T,19)</f>
        <v>0</v>
      </c>
    </row>
    <row r="222" spans="1:5" x14ac:dyDescent="0.35">
      <c r="A222" s="38">
        <v>24108</v>
      </c>
      <c r="B222" s="48">
        <f>VLOOKUP(Table311[[#This Row],[Date]],'DB Details'!$A:$L,12)</f>
        <v>65.8</v>
      </c>
      <c r="C222" s="49">
        <f>VLOOKUP(Table311[[#This Row],[Date]],'DB Details'!$A:$T,20)</f>
        <v>8.477495839396397E-2</v>
      </c>
      <c r="D222" s="49">
        <f>VLOOKUP(Table311[[#This Row],[Date]],'DB Details'!$A:$T,18)</f>
        <v>2.4342287590095699E-2</v>
      </c>
      <c r="E222" s="49">
        <f>VLOOKUP(Table311[[#This Row],[Date]],'DB Details'!$A:$T,19)</f>
        <v>0.100982479057544</v>
      </c>
    </row>
    <row r="223" spans="1:5" x14ac:dyDescent="0.35">
      <c r="A223" s="38">
        <v>24139</v>
      </c>
      <c r="B223" s="48">
        <f>VLOOKUP(Table311[[#This Row],[Date]],'DB Details'!$A:$L,12)</f>
        <v>65.5</v>
      </c>
      <c r="C223" s="49">
        <f>VLOOKUP(Table311[[#This Row],[Date]],'DB Details'!$A:$T,20)</f>
        <v>0</v>
      </c>
      <c r="D223" s="49">
        <f>VLOOKUP(Table311[[#This Row],[Date]],'DB Details'!$A:$T,18)</f>
        <v>0</v>
      </c>
      <c r="E223" s="49">
        <f>VLOOKUP(Table311[[#This Row],[Date]],'DB Details'!$A:$T,19)</f>
        <v>0</v>
      </c>
    </row>
    <row r="224" spans="1:5" x14ac:dyDescent="0.35">
      <c r="A224" s="38">
        <v>24167</v>
      </c>
      <c r="B224" s="48">
        <f>VLOOKUP(Table311[[#This Row],[Date]],'DB Details'!$A:$L,12)</f>
        <v>65.7</v>
      </c>
      <c r="C224" s="49">
        <f>VLOOKUP(Table311[[#This Row],[Date]],'DB Details'!$A:$T,20)</f>
        <v>0</v>
      </c>
      <c r="D224" s="49">
        <f>VLOOKUP(Table311[[#This Row],[Date]],'DB Details'!$A:$T,18)</f>
        <v>0</v>
      </c>
      <c r="E224" s="49">
        <f>VLOOKUP(Table311[[#This Row],[Date]],'DB Details'!$A:$T,19)</f>
        <v>0</v>
      </c>
    </row>
    <row r="225" spans="1:5" x14ac:dyDescent="0.35">
      <c r="A225" s="38">
        <v>24198</v>
      </c>
      <c r="B225" s="48">
        <f>VLOOKUP(Table311[[#This Row],[Date]],'DB Details'!$A:$L,12)</f>
        <v>64.2</v>
      </c>
      <c r="C225" s="49">
        <f>VLOOKUP(Table311[[#This Row],[Date]],'DB Details'!$A:$T,20)</f>
        <v>7.490136086896218E-2</v>
      </c>
      <c r="D225" s="49">
        <f>VLOOKUP(Table311[[#This Row],[Date]],'DB Details'!$A:$T,18)</f>
        <v>3.4160196193779228E-3</v>
      </c>
      <c r="E225" s="49">
        <f>VLOOKUP(Table311[[#This Row],[Date]],'DB Details'!$A:$T,19)</f>
        <v>1.373425320265032E-2</v>
      </c>
    </row>
    <row r="226" spans="1:5" x14ac:dyDescent="0.35">
      <c r="A226" s="38">
        <v>24228</v>
      </c>
      <c r="B226" s="48">
        <f>VLOOKUP(Table311[[#This Row],[Date]],'DB Details'!$A:$L,12)</f>
        <v>57.7</v>
      </c>
      <c r="C226" s="49">
        <f>VLOOKUP(Table311[[#This Row],[Date]],'DB Details'!$A:$T,20)</f>
        <v>0</v>
      </c>
      <c r="D226" s="49">
        <f>VLOOKUP(Table311[[#This Row],[Date]],'DB Details'!$A:$T,18)</f>
        <v>0</v>
      </c>
      <c r="E226" s="49">
        <f>VLOOKUP(Table311[[#This Row],[Date]],'DB Details'!$A:$T,19)</f>
        <v>0</v>
      </c>
    </row>
    <row r="227" spans="1:5" x14ac:dyDescent="0.35">
      <c r="A227" s="38">
        <v>24259</v>
      </c>
      <c r="B227" s="48">
        <f>VLOOKUP(Table311[[#This Row],[Date]],'DB Details'!$A:$L,12)</f>
        <v>59</v>
      </c>
      <c r="C227" s="49">
        <f>VLOOKUP(Table311[[#This Row],[Date]],'DB Details'!$A:$T,20)</f>
        <v>0</v>
      </c>
      <c r="D227" s="49">
        <f>VLOOKUP(Table311[[#This Row],[Date]],'DB Details'!$A:$T,18)</f>
        <v>0</v>
      </c>
      <c r="E227" s="49">
        <f>VLOOKUP(Table311[[#This Row],[Date]],'DB Details'!$A:$T,19)</f>
        <v>0</v>
      </c>
    </row>
    <row r="228" spans="1:5" x14ac:dyDescent="0.35">
      <c r="A228" s="38">
        <v>24289</v>
      </c>
      <c r="B228" s="48">
        <f>VLOOKUP(Table311[[#This Row],[Date]],'DB Details'!$A:$L,12)</f>
        <v>60.3</v>
      </c>
      <c r="C228" s="49">
        <f>VLOOKUP(Table311[[#This Row],[Date]],'DB Details'!$A:$T,20)</f>
        <v>6.0428748447519318E-2</v>
      </c>
      <c r="D228" s="49">
        <f>VLOOKUP(Table311[[#This Row],[Date]],'DB Details'!$A:$T,18)</f>
        <v>8.4690505157436948E-3</v>
      </c>
      <c r="E228" s="49">
        <f>VLOOKUP(Table311[[#This Row],[Date]],'DB Details'!$A:$T,19)</f>
        <v>3.4308985871634563E-2</v>
      </c>
    </row>
    <row r="229" spans="1:5" x14ac:dyDescent="0.35">
      <c r="A229" s="38">
        <v>24320</v>
      </c>
      <c r="B229" s="48">
        <f>VLOOKUP(Table311[[#This Row],[Date]],'DB Details'!$A:$L,12)</f>
        <v>58.5</v>
      </c>
      <c r="C229" s="49">
        <f>VLOOKUP(Table311[[#This Row],[Date]],'DB Details'!$A:$T,20)</f>
        <v>0</v>
      </c>
      <c r="D229" s="49">
        <f>VLOOKUP(Table311[[#This Row],[Date]],'DB Details'!$A:$T,18)</f>
        <v>0</v>
      </c>
      <c r="E229" s="49">
        <f>VLOOKUP(Table311[[#This Row],[Date]],'DB Details'!$A:$T,19)</f>
        <v>0</v>
      </c>
    </row>
    <row r="230" spans="1:5" x14ac:dyDescent="0.35">
      <c r="A230" s="38">
        <v>24351</v>
      </c>
      <c r="B230" s="48">
        <f>VLOOKUP(Table311[[#This Row],[Date]],'DB Details'!$A:$L,12)</f>
        <v>58.7</v>
      </c>
      <c r="C230" s="49">
        <f>VLOOKUP(Table311[[#This Row],[Date]],'DB Details'!$A:$T,20)</f>
        <v>0</v>
      </c>
      <c r="D230" s="49">
        <f>VLOOKUP(Table311[[#This Row],[Date]],'DB Details'!$A:$T,18)</f>
        <v>0</v>
      </c>
      <c r="E230" s="49">
        <f>VLOOKUP(Table311[[#This Row],[Date]],'DB Details'!$A:$T,19)</f>
        <v>0</v>
      </c>
    </row>
    <row r="231" spans="1:5" x14ac:dyDescent="0.35">
      <c r="A231" s="38">
        <v>24381</v>
      </c>
      <c r="B231" s="48">
        <f>VLOOKUP(Table311[[#This Row],[Date]],'DB Details'!$A:$L,12)</f>
        <v>57.2</v>
      </c>
      <c r="C231" s="49">
        <f>VLOOKUP(Table311[[#This Row],[Date]],'DB Details'!$A:$T,20)</f>
        <v>4.505020174315192E-2</v>
      </c>
      <c r="D231" s="49">
        <f>VLOOKUP(Table311[[#This Row],[Date]],'DB Details'!$A:$T,18)</f>
        <v>8.2040710856639242E-3</v>
      </c>
      <c r="E231" s="49">
        <f>VLOOKUP(Table311[[#This Row],[Date]],'DB Details'!$A:$T,19)</f>
        <v>3.3222338325639138E-2</v>
      </c>
    </row>
    <row r="232" spans="1:5" x14ac:dyDescent="0.35">
      <c r="A232" s="38">
        <v>24412</v>
      </c>
      <c r="B232" s="48">
        <f>VLOOKUP(Table311[[#This Row],[Date]],'DB Details'!$A:$L,12)</f>
        <v>53.7</v>
      </c>
      <c r="C232" s="49">
        <f>VLOOKUP(Table311[[#This Row],[Date]],'DB Details'!$A:$T,20)</f>
        <v>0</v>
      </c>
      <c r="D232" s="49">
        <f>VLOOKUP(Table311[[#This Row],[Date]],'DB Details'!$A:$T,18)</f>
        <v>0</v>
      </c>
      <c r="E232" s="49">
        <f>VLOOKUP(Table311[[#This Row],[Date]],'DB Details'!$A:$T,19)</f>
        <v>0</v>
      </c>
    </row>
    <row r="233" spans="1:5" x14ac:dyDescent="0.35">
      <c r="A233" s="38">
        <v>24442</v>
      </c>
      <c r="B233" s="48">
        <f>VLOOKUP(Table311[[#This Row],[Date]],'DB Details'!$A:$L,12)</f>
        <v>52.4</v>
      </c>
      <c r="C233" s="49">
        <f>VLOOKUP(Table311[[#This Row],[Date]],'DB Details'!$A:$T,20)</f>
        <v>0</v>
      </c>
      <c r="D233" s="49">
        <f>VLOOKUP(Table311[[#This Row],[Date]],'DB Details'!$A:$T,18)</f>
        <v>0</v>
      </c>
      <c r="E233" s="49">
        <f>VLOOKUP(Table311[[#This Row],[Date]],'DB Details'!$A:$T,19)</f>
        <v>0</v>
      </c>
    </row>
    <row r="234" spans="1:5" x14ac:dyDescent="0.35">
      <c r="A234" s="38">
        <v>24473</v>
      </c>
      <c r="B234" s="48">
        <f>VLOOKUP(Table311[[#This Row],[Date]],'DB Details'!$A:$L,12)</f>
        <v>49.1</v>
      </c>
      <c r="C234" s="49">
        <f>VLOOKUP(Table311[[#This Row],[Date]],'DB Details'!$A:$T,20)</f>
        <v>2.9250362511276641E-2</v>
      </c>
      <c r="D234" s="49">
        <f>VLOOKUP(Table311[[#This Row],[Date]],'DB Details'!$A:$T,18)</f>
        <v>8.8555258677027685E-3</v>
      </c>
      <c r="E234" s="49">
        <f>VLOOKUP(Table311[[#This Row],[Date]],'DB Details'!$A:$T,19)</f>
        <v>3.5895409464262729E-2</v>
      </c>
    </row>
    <row r="235" spans="1:5" x14ac:dyDescent="0.35">
      <c r="A235" s="38">
        <v>24504</v>
      </c>
      <c r="B235" s="48">
        <f>VLOOKUP(Table311[[#This Row],[Date]],'DB Details'!$A:$L,12)</f>
        <v>47.6</v>
      </c>
      <c r="C235" s="49">
        <f>VLOOKUP(Table311[[#This Row],[Date]],'DB Details'!$A:$T,20)</f>
        <v>0</v>
      </c>
      <c r="D235" s="49">
        <f>VLOOKUP(Table311[[#This Row],[Date]],'DB Details'!$A:$T,18)</f>
        <v>0</v>
      </c>
      <c r="E235" s="49">
        <f>VLOOKUP(Table311[[#This Row],[Date]],'DB Details'!$A:$T,19)</f>
        <v>0</v>
      </c>
    </row>
    <row r="236" spans="1:5" x14ac:dyDescent="0.35">
      <c r="A236" s="38">
        <v>24532</v>
      </c>
      <c r="B236" s="48">
        <f>VLOOKUP(Table311[[#This Row],[Date]],'DB Details'!$A:$L,12)</f>
        <v>45.3</v>
      </c>
      <c r="C236" s="49">
        <f>VLOOKUP(Table311[[#This Row],[Date]],'DB Details'!$A:$T,20)</f>
        <v>0</v>
      </c>
      <c r="D236" s="49">
        <f>VLOOKUP(Table311[[#This Row],[Date]],'DB Details'!$A:$T,18)</f>
        <v>0</v>
      </c>
      <c r="E236" s="49">
        <f>VLOOKUP(Table311[[#This Row],[Date]],'DB Details'!$A:$T,19)</f>
        <v>0</v>
      </c>
    </row>
    <row r="237" spans="1:5" x14ac:dyDescent="0.35">
      <c r="A237" s="38">
        <v>24563</v>
      </c>
      <c r="B237" s="48">
        <f>VLOOKUP(Table311[[#This Row],[Date]],'DB Details'!$A:$L,12)</f>
        <v>42.8</v>
      </c>
      <c r="C237" s="49">
        <f>VLOOKUP(Table311[[#This Row],[Date]],'DB Details'!$A:$T,20)</f>
        <v>2.637515281107965E-2</v>
      </c>
      <c r="D237" s="49">
        <f>VLOOKUP(Table311[[#This Row],[Date]],'DB Details'!$A:$T,18)</f>
        <v>6.1297812624356185E-4</v>
      </c>
      <c r="E237" s="49">
        <f>VLOOKUP(Table311[[#This Row],[Date]],'DB Details'!$A:$T,19)</f>
        <v>2.4541678795020339E-3</v>
      </c>
    </row>
    <row r="238" spans="1:5" x14ac:dyDescent="0.35">
      <c r="A238" s="38">
        <v>24593</v>
      </c>
      <c r="B238" s="48">
        <f>VLOOKUP(Table311[[#This Row],[Date]],'DB Details'!$A:$L,12)</f>
        <v>44.5</v>
      </c>
      <c r="C238" s="49">
        <f>VLOOKUP(Table311[[#This Row],[Date]],'DB Details'!$A:$T,20)</f>
        <v>0</v>
      </c>
      <c r="D238" s="49">
        <f>VLOOKUP(Table311[[#This Row],[Date]],'DB Details'!$A:$T,18)</f>
        <v>0</v>
      </c>
      <c r="E238" s="49">
        <f>VLOOKUP(Table311[[#This Row],[Date]],'DB Details'!$A:$T,19)</f>
        <v>0</v>
      </c>
    </row>
    <row r="239" spans="1:5" x14ac:dyDescent="0.35">
      <c r="A239" s="38">
        <v>24624</v>
      </c>
      <c r="B239" s="48">
        <f>VLOOKUP(Table311[[#This Row],[Date]],'DB Details'!$A:$L,12)</f>
        <v>46.8</v>
      </c>
      <c r="C239" s="49">
        <f>VLOOKUP(Table311[[#This Row],[Date]],'DB Details'!$A:$T,20)</f>
        <v>0</v>
      </c>
      <c r="D239" s="49">
        <f>VLOOKUP(Table311[[#This Row],[Date]],'DB Details'!$A:$T,18)</f>
        <v>0</v>
      </c>
      <c r="E239" s="49">
        <f>VLOOKUP(Table311[[#This Row],[Date]],'DB Details'!$A:$T,19)</f>
        <v>0</v>
      </c>
    </row>
    <row r="240" spans="1:5" x14ac:dyDescent="0.35">
      <c r="A240" s="38">
        <v>24654</v>
      </c>
      <c r="B240" s="48">
        <f>VLOOKUP(Table311[[#This Row],[Date]],'DB Details'!$A:$L,12)</f>
        <v>49.5</v>
      </c>
      <c r="C240" s="49">
        <f>VLOOKUP(Table311[[#This Row],[Date]],'DB Details'!$A:$T,20)</f>
        <v>2.738492796925546E-2</v>
      </c>
      <c r="D240" s="49">
        <f>VLOOKUP(Table311[[#This Row],[Date]],'DB Details'!$A:$T,18)</f>
        <v>9.4612091745059444E-3</v>
      </c>
      <c r="E240" s="49">
        <f>VLOOKUP(Table311[[#This Row],[Date]],'DB Details'!$A:$T,19)</f>
        <v>3.8385319245969551E-2</v>
      </c>
    </row>
    <row r="241" spans="1:5" x14ac:dyDescent="0.35">
      <c r="A241" s="38">
        <v>24685</v>
      </c>
      <c r="B241" s="48">
        <f>VLOOKUP(Table311[[#This Row],[Date]],'DB Details'!$A:$L,12)</f>
        <v>52.2</v>
      </c>
      <c r="C241" s="49">
        <f>VLOOKUP(Table311[[#This Row],[Date]],'DB Details'!$A:$T,20)</f>
        <v>0</v>
      </c>
      <c r="D241" s="49">
        <f>VLOOKUP(Table311[[#This Row],[Date]],'DB Details'!$A:$T,18)</f>
        <v>0</v>
      </c>
      <c r="E241" s="49">
        <f>VLOOKUP(Table311[[#This Row],[Date]],'DB Details'!$A:$T,19)</f>
        <v>0</v>
      </c>
    </row>
    <row r="242" spans="1:5" x14ac:dyDescent="0.35">
      <c r="A242" s="38">
        <v>24716</v>
      </c>
      <c r="B242" s="48">
        <f>VLOOKUP(Table311[[#This Row],[Date]],'DB Details'!$A:$L,12)</f>
        <v>54.9</v>
      </c>
      <c r="C242" s="49">
        <f>VLOOKUP(Table311[[#This Row],[Date]],'DB Details'!$A:$T,20)</f>
        <v>0</v>
      </c>
      <c r="D242" s="49">
        <f>VLOOKUP(Table311[[#This Row],[Date]],'DB Details'!$A:$T,18)</f>
        <v>0</v>
      </c>
      <c r="E242" s="49">
        <f>VLOOKUP(Table311[[#This Row],[Date]],'DB Details'!$A:$T,19)</f>
        <v>0</v>
      </c>
    </row>
    <row r="243" spans="1:5" x14ac:dyDescent="0.35">
      <c r="A243" s="38">
        <v>24746</v>
      </c>
      <c r="B243" s="48">
        <f>VLOOKUP(Table311[[#This Row],[Date]],'DB Details'!$A:$L,12)</f>
        <v>54.1</v>
      </c>
      <c r="C243" s="49">
        <f>VLOOKUP(Table311[[#This Row],[Date]],'DB Details'!$A:$T,20)</f>
        <v>2.670839761173328E-2</v>
      </c>
      <c r="D243" s="49">
        <f>VLOOKUP(Table311[[#This Row],[Date]],'DB Details'!$A:$T,18)</f>
        <v>7.5401712735310893E-3</v>
      </c>
      <c r="E243" s="49">
        <f>VLOOKUP(Table311[[#This Row],[Date]],'DB Details'!$A:$T,19)</f>
        <v>3.0503528184631978E-2</v>
      </c>
    </row>
    <row r="244" spans="1:5" x14ac:dyDescent="0.35">
      <c r="A244" s="38">
        <v>24777</v>
      </c>
      <c r="B244" s="48">
        <f>VLOOKUP(Table311[[#This Row],[Date]],'DB Details'!$A:$L,12)</f>
        <v>54.2</v>
      </c>
      <c r="C244" s="49">
        <f>VLOOKUP(Table311[[#This Row],[Date]],'DB Details'!$A:$T,20)</f>
        <v>0</v>
      </c>
      <c r="D244" s="49">
        <f>VLOOKUP(Table311[[#This Row],[Date]],'DB Details'!$A:$T,18)</f>
        <v>0</v>
      </c>
      <c r="E244" s="49">
        <f>VLOOKUP(Table311[[#This Row],[Date]],'DB Details'!$A:$T,19)</f>
        <v>0</v>
      </c>
    </row>
    <row r="245" spans="1:5" x14ac:dyDescent="0.35">
      <c r="A245" s="38">
        <v>24807</v>
      </c>
      <c r="B245" s="48">
        <f>VLOOKUP(Table311[[#This Row],[Date]],'DB Details'!$A:$L,12)</f>
        <v>55.6</v>
      </c>
      <c r="C245" s="49">
        <f>VLOOKUP(Table311[[#This Row],[Date]],'DB Details'!$A:$T,20)</f>
        <v>0</v>
      </c>
      <c r="D245" s="49">
        <f>VLOOKUP(Table311[[#This Row],[Date]],'DB Details'!$A:$T,18)</f>
        <v>0</v>
      </c>
      <c r="E245" s="49">
        <f>VLOOKUP(Table311[[#This Row],[Date]],'DB Details'!$A:$T,19)</f>
        <v>0</v>
      </c>
    </row>
    <row r="246" spans="1:5" x14ac:dyDescent="0.35">
      <c r="A246" s="38">
        <v>24838</v>
      </c>
      <c r="B246" s="48">
        <f>VLOOKUP(Table311[[#This Row],[Date]],'DB Details'!$A:$L,12)</f>
        <v>56.6</v>
      </c>
      <c r="C246" s="49">
        <f>VLOOKUP(Table311[[#This Row],[Date]],'DB Details'!$A:$T,20)</f>
        <v>3.8452148706466398E-2</v>
      </c>
      <c r="D246" s="49">
        <f>VLOOKUP(Table311[[#This Row],[Date]],'DB Details'!$A:$T,18)</f>
        <v>2.0395071286729152E-2</v>
      </c>
      <c r="E246" s="49">
        <f>VLOOKUP(Table311[[#This Row],[Date]],'DB Details'!$A:$T,19)</f>
        <v>8.4110145813841353E-2</v>
      </c>
    </row>
    <row r="247" spans="1:5" x14ac:dyDescent="0.35">
      <c r="A247" s="38">
        <v>24869</v>
      </c>
      <c r="B247" s="48">
        <f>VLOOKUP(Table311[[#This Row],[Date]],'DB Details'!$A:$L,12)</f>
        <v>55</v>
      </c>
      <c r="C247" s="49">
        <f>VLOOKUP(Table311[[#This Row],[Date]],'DB Details'!$A:$T,20)</f>
        <v>0</v>
      </c>
      <c r="D247" s="49">
        <f>VLOOKUP(Table311[[#This Row],[Date]],'DB Details'!$A:$T,18)</f>
        <v>0</v>
      </c>
      <c r="E247" s="49">
        <f>VLOOKUP(Table311[[#This Row],[Date]],'DB Details'!$A:$T,19)</f>
        <v>0</v>
      </c>
    </row>
    <row r="248" spans="1:5" x14ac:dyDescent="0.35">
      <c r="A248" s="38">
        <v>24898</v>
      </c>
      <c r="B248" s="48">
        <f>VLOOKUP(Table311[[#This Row],[Date]],'DB Details'!$A:$L,12)</f>
        <v>53.8</v>
      </c>
      <c r="C248" s="49">
        <f>VLOOKUP(Table311[[#This Row],[Date]],'DB Details'!$A:$T,20)</f>
        <v>0</v>
      </c>
      <c r="D248" s="49">
        <f>VLOOKUP(Table311[[#This Row],[Date]],'DB Details'!$A:$T,18)</f>
        <v>0</v>
      </c>
      <c r="E248" s="49">
        <f>VLOOKUP(Table311[[#This Row],[Date]],'DB Details'!$A:$T,19)</f>
        <v>0</v>
      </c>
    </row>
    <row r="249" spans="1:5" x14ac:dyDescent="0.35">
      <c r="A249" s="38">
        <v>24929</v>
      </c>
      <c r="B249" s="48">
        <f>VLOOKUP(Table311[[#This Row],[Date]],'DB Details'!$A:$L,12)</f>
        <v>58</v>
      </c>
      <c r="C249" s="49">
        <f>VLOOKUP(Table311[[#This Row],[Date]],'DB Details'!$A:$T,20)</f>
        <v>5.5155815100588403E-2</v>
      </c>
      <c r="D249" s="49">
        <f>VLOOKUP(Table311[[#This Row],[Date]],'DB Details'!$A:$T,18)</f>
        <v>1.6707995500967191E-2</v>
      </c>
      <c r="E249" s="49">
        <f>VLOOKUP(Table311[[#This Row],[Date]],'DB Details'!$A:$T,19)</f>
        <v>6.852565923772147E-2</v>
      </c>
    </row>
    <row r="250" spans="1:5" x14ac:dyDescent="0.35">
      <c r="A250" s="38">
        <v>24959</v>
      </c>
      <c r="B250" s="48">
        <f>VLOOKUP(Table311[[#This Row],[Date]],'DB Details'!$A:$L,12)</f>
        <v>55.3</v>
      </c>
      <c r="C250" s="49">
        <f>VLOOKUP(Table311[[#This Row],[Date]],'DB Details'!$A:$T,20)</f>
        <v>0</v>
      </c>
      <c r="D250" s="49">
        <f>VLOOKUP(Table311[[#This Row],[Date]],'DB Details'!$A:$T,18)</f>
        <v>0</v>
      </c>
      <c r="E250" s="49">
        <f>VLOOKUP(Table311[[#This Row],[Date]],'DB Details'!$A:$T,19)</f>
        <v>0</v>
      </c>
    </row>
    <row r="251" spans="1:5" x14ac:dyDescent="0.35">
      <c r="A251" s="38">
        <v>24990</v>
      </c>
      <c r="B251" s="48">
        <f>VLOOKUP(Table311[[#This Row],[Date]],'DB Details'!$A:$L,12)</f>
        <v>53.5</v>
      </c>
      <c r="C251" s="49">
        <f>VLOOKUP(Table311[[#This Row],[Date]],'DB Details'!$A:$T,20)</f>
        <v>0</v>
      </c>
      <c r="D251" s="49">
        <f>VLOOKUP(Table311[[#This Row],[Date]],'DB Details'!$A:$T,18)</f>
        <v>0</v>
      </c>
      <c r="E251" s="49">
        <f>VLOOKUP(Table311[[#This Row],[Date]],'DB Details'!$A:$T,19)</f>
        <v>0</v>
      </c>
    </row>
    <row r="252" spans="1:5" x14ac:dyDescent="0.35">
      <c r="A252" s="38">
        <v>25020</v>
      </c>
      <c r="B252" s="48">
        <f>VLOOKUP(Table311[[#This Row],[Date]],'DB Details'!$A:$L,12)</f>
        <v>54.1</v>
      </c>
      <c r="C252" s="49">
        <f>VLOOKUP(Table311[[#This Row],[Date]],'DB Details'!$A:$T,20)</f>
        <v>5.3366682329002352E-2</v>
      </c>
      <c r="D252" s="49">
        <f>VLOOKUP(Table311[[#This Row],[Date]],'DB Details'!$A:$T,18)</f>
        <v>7.7495566345378913E-3</v>
      </c>
      <c r="E252" s="49">
        <f>VLOOKUP(Table311[[#This Row],[Date]],'DB Details'!$A:$T,19)</f>
        <v>3.1360425530983838E-2</v>
      </c>
    </row>
    <row r="253" spans="1:5" x14ac:dyDescent="0.35">
      <c r="A253" s="38">
        <v>25051</v>
      </c>
      <c r="B253" s="48">
        <f>VLOOKUP(Table311[[#This Row],[Date]],'DB Details'!$A:$L,12)</f>
        <v>52.7</v>
      </c>
      <c r="C253" s="49">
        <f>VLOOKUP(Table311[[#This Row],[Date]],'DB Details'!$A:$T,20)</f>
        <v>0</v>
      </c>
      <c r="D253" s="49">
        <f>VLOOKUP(Table311[[#This Row],[Date]],'DB Details'!$A:$T,18)</f>
        <v>0</v>
      </c>
      <c r="E253" s="49">
        <f>VLOOKUP(Table311[[#This Row],[Date]],'DB Details'!$A:$T,19)</f>
        <v>0</v>
      </c>
    </row>
    <row r="254" spans="1:5" x14ac:dyDescent="0.35">
      <c r="A254" s="38">
        <v>25082</v>
      </c>
      <c r="B254" s="48">
        <f>VLOOKUP(Table311[[#This Row],[Date]],'DB Details'!$A:$L,12)</f>
        <v>51.8</v>
      </c>
      <c r="C254" s="49">
        <f>VLOOKUP(Table311[[#This Row],[Date]],'DB Details'!$A:$T,20)</f>
        <v>0</v>
      </c>
      <c r="D254" s="49">
        <f>VLOOKUP(Table311[[#This Row],[Date]],'DB Details'!$A:$T,18)</f>
        <v>0</v>
      </c>
      <c r="E254" s="49">
        <f>VLOOKUP(Table311[[#This Row],[Date]],'DB Details'!$A:$T,19)</f>
        <v>0</v>
      </c>
    </row>
    <row r="255" spans="1:5" x14ac:dyDescent="0.35">
      <c r="A255" s="38">
        <v>25112</v>
      </c>
      <c r="B255" s="48">
        <f>VLOOKUP(Table311[[#This Row],[Date]],'DB Details'!$A:$L,12)</f>
        <v>55.8</v>
      </c>
      <c r="C255" s="49">
        <f>VLOOKUP(Table311[[#This Row],[Date]],'DB Details'!$A:$T,20)</f>
        <v>4.9595653600969333E-2</v>
      </c>
      <c r="D255" s="49">
        <f>VLOOKUP(Table311[[#This Row],[Date]],'DB Details'!$A:$T,18)</f>
        <v>3.9332004111917174E-3</v>
      </c>
      <c r="E255" s="49">
        <f>VLOOKUP(Table311[[#This Row],[Date]],'DB Details'!$A:$T,19)</f>
        <v>1.5825865664408582E-2</v>
      </c>
    </row>
    <row r="256" spans="1:5" x14ac:dyDescent="0.35">
      <c r="A256" s="38">
        <v>25143</v>
      </c>
      <c r="B256" s="48">
        <f>VLOOKUP(Table311[[#This Row],[Date]],'DB Details'!$A:$L,12)</f>
        <v>58.1</v>
      </c>
      <c r="C256" s="49">
        <f>VLOOKUP(Table311[[#This Row],[Date]],'DB Details'!$A:$T,20)</f>
        <v>0</v>
      </c>
      <c r="D256" s="49">
        <f>VLOOKUP(Table311[[#This Row],[Date]],'DB Details'!$A:$T,18)</f>
        <v>0</v>
      </c>
      <c r="E256" s="49">
        <f>VLOOKUP(Table311[[#This Row],[Date]],'DB Details'!$A:$T,19)</f>
        <v>0</v>
      </c>
    </row>
    <row r="257" spans="1:5" x14ac:dyDescent="0.35">
      <c r="A257" s="38">
        <v>25173</v>
      </c>
      <c r="B257" s="48">
        <f>VLOOKUP(Table311[[#This Row],[Date]],'DB Details'!$A:$L,12)</f>
        <v>56.1</v>
      </c>
      <c r="C257" s="49">
        <f>VLOOKUP(Table311[[#This Row],[Date]],'DB Details'!$A:$T,20)</f>
        <v>0</v>
      </c>
      <c r="D257" s="49">
        <f>VLOOKUP(Table311[[#This Row],[Date]],'DB Details'!$A:$T,18)</f>
        <v>0</v>
      </c>
      <c r="E257" s="49">
        <f>VLOOKUP(Table311[[#This Row],[Date]],'DB Details'!$A:$T,19)</f>
        <v>0</v>
      </c>
    </row>
    <row r="258" spans="1:5" x14ac:dyDescent="0.35">
      <c r="A258" s="38">
        <v>25204</v>
      </c>
      <c r="B258" s="48">
        <f>VLOOKUP(Table311[[#This Row],[Date]],'DB Details'!$A:$L,12)</f>
        <v>54.9</v>
      </c>
      <c r="C258" s="49">
        <f>VLOOKUP(Table311[[#This Row],[Date]],'DB Details'!$A:$T,20)</f>
        <v>4.4715981050763132E-2</v>
      </c>
      <c r="D258" s="49">
        <f>VLOOKUP(Table311[[#This Row],[Date]],'DB Details'!$A:$T,18)</f>
        <v>1.565115509134396E-2</v>
      </c>
      <c r="E258" s="49">
        <f>VLOOKUP(Table311[[#This Row],[Date]],'DB Details'!$A:$T,19)</f>
        <v>6.4089767847923085E-2</v>
      </c>
    </row>
    <row r="259" spans="1:5" x14ac:dyDescent="0.35">
      <c r="A259" s="38">
        <v>25235</v>
      </c>
      <c r="B259" s="48">
        <f>VLOOKUP(Table311[[#This Row],[Date]],'DB Details'!$A:$L,12)</f>
        <v>57</v>
      </c>
      <c r="C259" s="49">
        <f>VLOOKUP(Table311[[#This Row],[Date]],'DB Details'!$A:$T,20)</f>
        <v>0</v>
      </c>
      <c r="D259" s="49">
        <f>VLOOKUP(Table311[[#This Row],[Date]],'DB Details'!$A:$T,18)</f>
        <v>0</v>
      </c>
      <c r="E259" s="49">
        <f>VLOOKUP(Table311[[#This Row],[Date]],'DB Details'!$A:$T,19)</f>
        <v>0</v>
      </c>
    </row>
    <row r="260" spans="1:5" x14ac:dyDescent="0.35">
      <c r="A260" s="38">
        <v>25263</v>
      </c>
      <c r="B260" s="48">
        <f>VLOOKUP(Table311[[#This Row],[Date]],'DB Details'!$A:$L,12)</f>
        <v>57.1</v>
      </c>
      <c r="C260" s="49">
        <f>VLOOKUP(Table311[[#This Row],[Date]],'DB Details'!$A:$T,20)</f>
        <v>0</v>
      </c>
      <c r="D260" s="49">
        <f>VLOOKUP(Table311[[#This Row],[Date]],'DB Details'!$A:$T,18)</f>
        <v>0</v>
      </c>
      <c r="E260" s="49">
        <f>VLOOKUP(Table311[[#This Row],[Date]],'DB Details'!$A:$T,19)</f>
        <v>0</v>
      </c>
    </row>
    <row r="261" spans="1:5" x14ac:dyDescent="0.35">
      <c r="A261" s="38">
        <v>25294</v>
      </c>
      <c r="B261" s="48">
        <f>VLOOKUP(Table311[[#This Row],[Date]],'DB Details'!$A:$L,12)</f>
        <v>55.2</v>
      </c>
      <c r="C261" s="49">
        <f>VLOOKUP(Table311[[#This Row],[Date]],'DB Details'!$A:$T,20)</f>
        <v>3.067141537615219E-2</v>
      </c>
      <c r="D261" s="49">
        <f>VLOOKUP(Table311[[#This Row],[Date]],'DB Details'!$A:$T,18)</f>
        <v>3.039953206492568E-3</v>
      </c>
      <c r="E261" s="49">
        <f>VLOOKUP(Table311[[#This Row],[Date]],'DB Details'!$A:$T,19)</f>
        <v>1.221537317702515E-2</v>
      </c>
    </row>
    <row r="262" spans="1:5" x14ac:dyDescent="0.35">
      <c r="A262" s="38">
        <v>25324</v>
      </c>
      <c r="B262" s="48">
        <f>VLOOKUP(Table311[[#This Row],[Date]],'DB Details'!$A:$L,12)</f>
        <v>56.7</v>
      </c>
      <c r="C262" s="49">
        <f>VLOOKUP(Table311[[#This Row],[Date]],'DB Details'!$A:$T,20)</f>
        <v>0</v>
      </c>
      <c r="D262" s="49">
        <f>VLOOKUP(Table311[[#This Row],[Date]],'DB Details'!$A:$T,18)</f>
        <v>0</v>
      </c>
      <c r="E262" s="49">
        <f>VLOOKUP(Table311[[#This Row],[Date]],'DB Details'!$A:$T,19)</f>
        <v>0</v>
      </c>
    </row>
    <row r="263" spans="1:5" x14ac:dyDescent="0.35">
      <c r="A263" s="38">
        <v>25355</v>
      </c>
      <c r="B263" s="48">
        <f>VLOOKUP(Table311[[#This Row],[Date]],'DB Details'!$A:$L,12)</f>
        <v>55.5</v>
      </c>
      <c r="C263" s="49">
        <f>VLOOKUP(Table311[[#This Row],[Date]],'DB Details'!$A:$T,20)</f>
        <v>0</v>
      </c>
      <c r="D263" s="49">
        <f>VLOOKUP(Table311[[#This Row],[Date]],'DB Details'!$A:$T,18)</f>
        <v>0</v>
      </c>
      <c r="E263" s="49">
        <f>VLOOKUP(Table311[[#This Row],[Date]],'DB Details'!$A:$T,19)</f>
        <v>0</v>
      </c>
    </row>
    <row r="264" spans="1:5" x14ac:dyDescent="0.35">
      <c r="A264" s="38">
        <v>25385</v>
      </c>
      <c r="B264" s="48">
        <f>VLOOKUP(Table311[[#This Row],[Date]],'DB Details'!$A:$L,12)</f>
        <v>53.1</v>
      </c>
      <c r="C264" s="49">
        <f>VLOOKUP(Table311[[#This Row],[Date]],'DB Details'!$A:$T,20)</f>
        <v>2.9500970408946881E-2</v>
      </c>
      <c r="D264" s="49">
        <f>VLOOKUP(Table311[[#This Row],[Date]],'DB Details'!$A:$T,18)</f>
        <v>6.6051420527715021E-3</v>
      </c>
      <c r="E264" s="49">
        <f>VLOOKUP(Table311[[#This Row],[Date]],'DB Details'!$A:$T,19)</f>
        <v>2.6683490197652041E-2</v>
      </c>
    </row>
    <row r="265" spans="1:5" x14ac:dyDescent="0.35">
      <c r="A265" s="38">
        <v>25416</v>
      </c>
      <c r="B265" s="48">
        <f>VLOOKUP(Table311[[#This Row],[Date]],'DB Details'!$A:$L,12)</f>
        <v>54.8</v>
      </c>
      <c r="C265" s="49">
        <f>VLOOKUP(Table311[[#This Row],[Date]],'DB Details'!$A:$T,20)</f>
        <v>0</v>
      </c>
      <c r="D265" s="49">
        <f>VLOOKUP(Table311[[#This Row],[Date]],'DB Details'!$A:$T,18)</f>
        <v>0</v>
      </c>
      <c r="E265" s="49">
        <f>VLOOKUP(Table311[[#This Row],[Date]],'DB Details'!$A:$T,19)</f>
        <v>0</v>
      </c>
    </row>
    <row r="266" spans="1:5" x14ac:dyDescent="0.35">
      <c r="A266" s="38">
        <v>25447</v>
      </c>
      <c r="B266" s="48">
        <f>VLOOKUP(Table311[[#This Row],[Date]],'DB Details'!$A:$L,12)</f>
        <v>54.1</v>
      </c>
      <c r="C266" s="49">
        <f>VLOOKUP(Table311[[#This Row],[Date]],'DB Details'!$A:$T,20)</f>
        <v>0</v>
      </c>
      <c r="D266" s="49">
        <f>VLOOKUP(Table311[[#This Row],[Date]],'DB Details'!$A:$T,18)</f>
        <v>0</v>
      </c>
      <c r="E266" s="49">
        <f>VLOOKUP(Table311[[#This Row],[Date]],'DB Details'!$A:$T,19)</f>
        <v>0</v>
      </c>
    </row>
    <row r="267" spans="1:5" x14ac:dyDescent="0.35">
      <c r="A267" s="38">
        <v>25477</v>
      </c>
      <c r="B267" s="48">
        <f>VLOOKUP(Table311[[#This Row],[Date]],'DB Details'!$A:$L,12)</f>
        <v>54.6</v>
      </c>
      <c r="C267" s="49">
        <f>VLOOKUP(Table311[[#This Row],[Date]],'DB Details'!$A:$T,20)</f>
        <v>2.0466450833714091E-2</v>
      </c>
      <c r="D267" s="49">
        <f>VLOOKUP(Table311[[#This Row],[Date]],'DB Details'!$A:$T,18)</f>
        <v>-4.8769458752543609E-3</v>
      </c>
      <c r="E267" s="49">
        <f>VLOOKUP(Table311[[#This Row],[Date]],'DB Details'!$A:$T,19)</f>
        <v>-1.9365539313737409E-2</v>
      </c>
    </row>
    <row r="268" spans="1:5" x14ac:dyDescent="0.35">
      <c r="A268" s="38">
        <v>25508</v>
      </c>
      <c r="B268" s="48">
        <f>VLOOKUP(Table311[[#This Row],[Date]],'DB Details'!$A:$L,12)</f>
        <v>53.2</v>
      </c>
      <c r="C268" s="49">
        <f>VLOOKUP(Table311[[#This Row],[Date]],'DB Details'!$A:$T,20)</f>
        <v>0</v>
      </c>
      <c r="D268" s="49">
        <f>VLOOKUP(Table311[[#This Row],[Date]],'DB Details'!$A:$T,18)</f>
        <v>0</v>
      </c>
      <c r="E268" s="49">
        <f>VLOOKUP(Table311[[#This Row],[Date]],'DB Details'!$A:$T,19)</f>
        <v>0</v>
      </c>
    </row>
    <row r="269" spans="1:5" x14ac:dyDescent="0.35">
      <c r="A269" s="38">
        <v>25538</v>
      </c>
      <c r="B269" s="48">
        <f>VLOOKUP(Table311[[#This Row],[Date]],'DB Details'!$A:$L,12)</f>
        <v>52</v>
      </c>
      <c r="C269" s="49">
        <f>VLOOKUP(Table311[[#This Row],[Date]],'DB Details'!$A:$T,20)</f>
        <v>0</v>
      </c>
      <c r="D269" s="49">
        <f>VLOOKUP(Table311[[#This Row],[Date]],'DB Details'!$A:$T,18)</f>
        <v>0</v>
      </c>
      <c r="E269" s="49">
        <f>VLOOKUP(Table311[[#This Row],[Date]],'DB Details'!$A:$T,19)</f>
        <v>0</v>
      </c>
    </row>
    <row r="270" spans="1:5" x14ac:dyDescent="0.35">
      <c r="A270" s="38">
        <v>25569</v>
      </c>
      <c r="B270" s="48">
        <f>VLOOKUP(Table311[[#This Row],[Date]],'DB Details'!$A:$L,12)</f>
        <v>48.7</v>
      </c>
      <c r="C270" s="49">
        <f>VLOOKUP(Table311[[#This Row],[Date]],'DB Details'!$A:$T,20)</f>
        <v>3.249346028238541E-3</v>
      </c>
      <c r="D270" s="49">
        <f>VLOOKUP(Table311[[#This Row],[Date]],'DB Details'!$A:$T,18)</f>
        <v>-1.4847070124259069E-3</v>
      </c>
      <c r="E270" s="49">
        <f>VLOOKUP(Table311[[#This Row],[Date]],'DB Details'!$A:$T,19)</f>
        <v>-5.9256150066525626E-3</v>
      </c>
    </row>
    <row r="271" spans="1:5" x14ac:dyDescent="0.35">
      <c r="A271" s="38">
        <v>25600</v>
      </c>
      <c r="B271" s="48">
        <f>VLOOKUP(Table311[[#This Row],[Date]],'DB Details'!$A:$L,12)</f>
        <v>47.4</v>
      </c>
      <c r="C271" s="49">
        <f>VLOOKUP(Table311[[#This Row],[Date]],'DB Details'!$A:$T,20)</f>
        <v>0</v>
      </c>
      <c r="D271" s="49">
        <f>VLOOKUP(Table311[[#This Row],[Date]],'DB Details'!$A:$T,18)</f>
        <v>0</v>
      </c>
      <c r="E271" s="49">
        <f>VLOOKUP(Table311[[#This Row],[Date]],'DB Details'!$A:$T,19)</f>
        <v>0</v>
      </c>
    </row>
    <row r="272" spans="1:5" x14ac:dyDescent="0.35">
      <c r="A272" s="38">
        <v>25628</v>
      </c>
      <c r="B272" s="48">
        <f>VLOOKUP(Table311[[#This Row],[Date]],'DB Details'!$A:$L,12)</f>
        <v>46.9</v>
      </c>
      <c r="C272" s="49">
        <f>VLOOKUP(Table311[[#This Row],[Date]],'DB Details'!$A:$T,20)</f>
        <v>0</v>
      </c>
      <c r="D272" s="49">
        <f>VLOOKUP(Table311[[#This Row],[Date]],'DB Details'!$A:$T,18)</f>
        <v>0</v>
      </c>
      <c r="E272" s="49">
        <f>VLOOKUP(Table311[[#This Row],[Date]],'DB Details'!$A:$T,19)</f>
        <v>0</v>
      </c>
    </row>
    <row r="273" spans="1:5" x14ac:dyDescent="0.35">
      <c r="A273" s="38">
        <v>25659</v>
      </c>
      <c r="B273" s="48">
        <f>VLOOKUP(Table311[[#This Row],[Date]],'DB Details'!$A:$L,12)</f>
        <v>45</v>
      </c>
      <c r="C273" s="49">
        <f>VLOOKUP(Table311[[#This Row],[Date]],'DB Details'!$A:$T,20)</f>
        <v>1.628354507476494E-3</v>
      </c>
      <c r="D273" s="49">
        <f>VLOOKUP(Table311[[#This Row],[Date]],'DB Details'!$A:$T,18)</f>
        <v>1.419300010385208E-3</v>
      </c>
      <c r="E273" s="49">
        <f>VLOOKUP(Table311[[#This Row],[Date]],'DB Details'!$A:$T,19)</f>
        <v>5.6892979569385096E-3</v>
      </c>
    </row>
    <row r="274" spans="1:5" x14ac:dyDescent="0.35">
      <c r="A274" s="38">
        <v>25689</v>
      </c>
      <c r="B274" s="48">
        <f>VLOOKUP(Table311[[#This Row],[Date]],'DB Details'!$A:$L,12)</f>
        <v>47.2</v>
      </c>
      <c r="C274" s="49">
        <f>VLOOKUP(Table311[[#This Row],[Date]],'DB Details'!$A:$T,20)</f>
        <v>0</v>
      </c>
      <c r="D274" s="49">
        <f>VLOOKUP(Table311[[#This Row],[Date]],'DB Details'!$A:$T,18)</f>
        <v>0</v>
      </c>
      <c r="E274" s="49">
        <f>VLOOKUP(Table311[[#This Row],[Date]],'DB Details'!$A:$T,19)</f>
        <v>0</v>
      </c>
    </row>
    <row r="275" spans="1:5" x14ac:dyDescent="0.35">
      <c r="A275" s="38">
        <v>25720</v>
      </c>
      <c r="B275" s="48">
        <f>VLOOKUP(Table311[[#This Row],[Date]],'DB Details'!$A:$L,12)</f>
        <v>51.1</v>
      </c>
      <c r="C275" s="49">
        <f>VLOOKUP(Table311[[#This Row],[Date]],'DB Details'!$A:$T,20)</f>
        <v>0</v>
      </c>
      <c r="D275" s="49">
        <f>VLOOKUP(Table311[[#This Row],[Date]],'DB Details'!$A:$T,18)</f>
        <v>0</v>
      </c>
      <c r="E275" s="49">
        <f>VLOOKUP(Table311[[#This Row],[Date]],'DB Details'!$A:$T,19)</f>
        <v>0</v>
      </c>
    </row>
    <row r="276" spans="1:5" x14ac:dyDescent="0.35">
      <c r="A276" s="38">
        <v>25750</v>
      </c>
      <c r="B276" s="48">
        <f>VLOOKUP(Table311[[#This Row],[Date]],'DB Details'!$A:$L,12)</f>
        <v>49.5</v>
      </c>
      <c r="C276" s="49">
        <f>VLOOKUP(Table311[[#This Row],[Date]],'DB Details'!$A:$T,20)</f>
        <v>4.2258147637592551E-3</v>
      </c>
      <c r="D276" s="49">
        <f>VLOOKUP(Table311[[#This Row],[Date]],'DB Details'!$A:$T,18)</f>
        <v>9.2155083013763586E-3</v>
      </c>
      <c r="E276" s="49">
        <f>VLOOKUP(Table311[[#This Row],[Date]],'DB Details'!$A:$T,19)</f>
        <v>3.7374724507416517E-2</v>
      </c>
    </row>
    <row r="277" spans="1:5" x14ac:dyDescent="0.35">
      <c r="A277" s="38">
        <v>25781</v>
      </c>
      <c r="B277" s="48">
        <f>VLOOKUP(Table311[[#This Row],[Date]],'DB Details'!$A:$L,12)</f>
        <v>47.3</v>
      </c>
      <c r="C277" s="49">
        <f>VLOOKUP(Table311[[#This Row],[Date]],'DB Details'!$A:$T,20)</f>
        <v>0</v>
      </c>
      <c r="D277" s="49">
        <f>VLOOKUP(Table311[[#This Row],[Date]],'DB Details'!$A:$T,18)</f>
        <v>0</v>
      </c>
      <c r="E277" s="49">
        <f>VLOOKUP(Table311[[#This Row],[Date]],'DB Details'!$A:$T,19)</f>
        <v>0</v>
      </c>
    </row>
    <row r="278" spans="1:5" x14ac:dyDescent="0.35">
      <c r="A278" s="38">
        <v>25812</v>
      </c>
      <c r="B278" s="48">
        <f>VLOOKUP(Table311[[#This Row],[Date]],'DB Details'!$A:$L,12)</f>
        <v>44.1</v>
      </c>
      <c r="C278" s="49">
        <f>VLOOKUP(Table311[[#This Row],[Date]],'DB Details'!$A:$T,20)</f>
        <v>0</v>
      </c>
      <c r="D278" s="49">
        <f>VLOOKUP(Table311[[#This Row],[Date]],'DB Details'!$A:$T,18)</f>
        <v>0</v>
      </c>
      <c r="E278" s="49">
        <f>VLOOKUP(Table311[[#This Row],[Date]],'DB Details'!$A:$T,19)</f>
        <v>0</v>
      </c>
    </row>
    <row r="279" spans="1:5" x14ac:dyDescent="0.35">
      <c r="A279" s="38">
        <v>25842</v>
      </c>
      <c r="B279" s="48">
        <f>VLOOKUP(Table311[[#This Row],[Date]],'DB Details'!$A:$L,12)</f>
        <v>42.4</v>
      </c>
      <c r="C279" s="49">
        <f>VLOOKUP(Table311[[#This Row],[Date]],'DB Details'!$A:$T,20)</f>
        <v>-1.667035906259561E-3</v>
      </c>
      <c r="D279" s="49">
        <f>VLOOKUP(Table311[[#This Row],[Date]],'DB Details'!$A:$T,18)</f>
        <v>-1.071638106008845E-2</v>
      </c>
      <c r="E279" s="49">
        <f>VLOOKUP(Table311[[#This Row],[Date]],'DB Details'!$A:$T,19)</f>
        <v>-4.2181388825872079E-2</v>
      </c>
    </row>
    <row r="280" spans="1:5" x14ac:dyDescent="0.35">
      <c r="A280" s="38">
        <v>25873</v>
      </c>
      <c r="B280" s="48">
        <f>VLOOKUP(Table311[[#This Row],[Date]],'DB Details'!$A:$L,12)</f>
        <v>39.700000000000003</v>
      </c>
      <c r="C280" s="49">
        <f>VLOOKUP(Table311[[#This Row],[Date]],'DB Details'!$A:$T,20)</f>
        <v>0</v>
      </c>
      <c r="D280" s="49">
        <f>VLOOKUP(Table311[[#This Row],[Date]],'DB Details'!$A:$T,18)</f>
        <v>0</v>
      </c>
      <c r="E280" s="49">
        <f>VLOOKUP(Table311[[#This Row],[Date]],'DB Details'!$A:$T,19)</f>
        <v>0</v>
      </c>
    </row>
    <row r="281" spans="1:5" x14ac:dyDescent="0.35">
      <c r="A281" s="38">
        <v>25903</v>
      </c>
      <c r="B281" s="48">
        <f>VLOOKUP(Table311[[#This Row],[Date]],'DB Details'!$A:$L,12)</f>
        <v>45.4</v>
      </c>
      <c r="C281" s="49">
        <f>VLOOKUP(Table311[[#This Row],[Date]],'DB Details'!$A:$T,20)</f>
        <v>0</v>
      </c>
      <c r="D281" s="49">
        <f>VLOOKUP(Table311[[#This Row],[Date]],'DB Details'!$A:$T,18)</f>
        <v>0</v>
      </c>
      <c r="E281" s="49">
        <f>VLOOKUP(Table311[[#This Row],[Date]],'DB Details'!$A:$T,19)</f>
        <v>0</v>
      </c>
    </row>
    <row r="282" spans="1:5" x14ac:dyDescent="0.35">
      <c r="A282" s="38">
        <v>25934</v>
      </c>
      <c r="B282" s="48">
        <f>VLOOKUP(Table311[[#This Row],[Date]],'DB Details'!$A:$L,12)</f>
        <v>47.9</v>
      </c>
      <c r="C282" s="49">
        <f>VLOOKUP(Table311[[#This Row],[Date]],'DB Details'!$A:$T,20)</f>
        <v>2.697236849004174E-2</v>
      </c>
      <c r="D282" s="49">
        <f>VLOOKUP(Table311[[#This Row],[Date]],'DB Details'!$A:$T,18)</f>
        <v>2.7159927894247621E-2</v>
      </c>
      <c r="E282" s="49">
        <f>VLOOKUP(Table311[[#This Row],[Date]],'DB Details'!$A:$T,19)</f>
        <v>0.1131463651735802</v>
      </c>
    </row>
    <row r="283" spans="1:5" x14ac:dyDescent="0.35">
      <c r="A283" s="38">
        <v>25965</v>
      </c>
      <c r="B283" s="48">
        <f>VLOOKUP(Table311[[#This Row],[Date]],'DB Details'!$A:$L,12)</f>
        <v>54.8</v>
      </c>
      <c r="C283" s="49">
        <f>VLOOKUP(Table311[[#This Row],[Date]],'DB Details'!$A:$T,20)</f>
        <v>0</v>
      </c>
      <c r="D283" s="49">
        <f>VLOOKUP(Table311[[#This Row],[Date]],'DB Details'!$A:$T,18)</f>
        <v>0</v>
      </c>
      <c r="E283" s="49">
        <f>VLOOKUP(Table311[[#This Row],[Date]],'DB Details'!$A:$T,19)</f>
        <v>0</v>
      </c>
    </row>
    <row r="284" spans="1:5" x14ac:dyDescent="0.35">
      <c r="A284" s="38">
        <v>25993</v>
      </c>
      <c r="B284" s="48">
        <f>VLOOKUP(Table311[[#This Row],[Date]],'DB Details'!$A:$L,12)</f>
        <v>51.2</v>
      </c>
      <c r="C284" s="49">
        <f>VLOOKUP(Table311[[#This Row],[Date]],'DB Details'!$A:$T,20)</f>
        <v>0</v>
      </c>
      <c r="D284" s="49">
        <f>VLOOKUP(Table311[[#This Row],[Date]],'DB Details'!$A:$T,18)</f>
        <v>0</v>
      </c>
      <c r="E284" s="49">
        <f>VLOOKUP(Table311[[#This Row],[Date]],'DB Details'!$A:$T,19)</f>
        <v>0</v>
      </c>
    </row>
    <row r="285" spans="1:5" x14ac:dyDescent="0.35">
      <c r="A285" s="38">
        <v>26024</v>
      </c>
      <c r="B285" s="48">
        <f>VLOOKUP(Table311[[#This Row],[Date]],'DB Details'!$A:$L,12)</f>
        <v>54.5</v>
      </c>
      <c r="C285" s="49">
        <f>VLOOKUP(Table311[[#This Row],[Date]],'DB Details'!$A:$T,20)</f>
        <v>3.106613002019493E-2</v>
      </c>
      <c r="D285" s="49">
        <f>VLOOKUP(Table311[[#This Row],[Date]],'DB Details'!$A:$T,18)</f>
        <v>5.4112007973197733E-3</v>
      </c>
      <c r="E285" s="49">
        <f>VLOOKUP(Table311[[#This Row],[Date]],'DB Details'!$A:$T,19)</f>
        <v>2.1821124394593161E-2</v>
      </c>
    </row>
    <row r="286" spans="1:5" x14ac:dyDescent="0.35">
      <c r="A286" s="38">
        <v>26054</v>
      </c>
      <c r="B286" s="48">
        <f>VLOOKUP(Table311[[#This Row],[Date]],'DB Details'!$A:$L,12)</f>
        <v>54.2</v>
      </c>
      <c r="C286" s="49">
        <f>VLOOKUP(Table311[[#This Row],[Date]],'DB Details'!$A:$T,20)</f>
        <v>0</v>
      </c>
      <c r="D286" s="49">
        <f>VLOOKUP(Table311[[#This Row],[Date]],'DB Details'!$A:$T,18)</f>
        <v>0</v>
      </c>
      <c r="E286" s="49">
        <f>VLOOKUP(Table311[[#This Row],[Date]],'DB Details'!$A:$T,19)</f>
        <v>0</v>
      </c>
    </row>
    <row r="287" spans="1:5" x14ac:dyDescent="0.35">
      <c r="A287" s="38">
        <v>26085</v>
      </c>
      <c r="B287" s="48">
        <f>VLOOKUP(Table311[[#This Row],[Date]],'DB Details'!$A:$L,12)</f>
        <v>53.8</v>
      </c>
      <c r="C287" s="49">
        <f>VLOOKUP(Table311[[#This Row],[Date]],'DB Details'!$A:$T,20)</f>
        <v>0</v>
      </c>
      <c r="D287" s="49">
        <f>VLOOKUP(Table311[[#This Row],[Date]],'DB Details'!$A:$T,18)</f>
        <v>0</v>
      </c>
      <c r="E287" s="49">
        <f>VLOOKUP(Table311[[#This Row],[Date]],'DB Details'!$A:$T,19)</f>
        <v>0</v>
      </c>
    </row>
    <row r="288" spans="1:5" x14ac:dyDescent="0.35">
      <c r="A288" s="38">
        <v>26115</v>
      </c>
      <c r="B288" s="48">
        <f>VLOOKUP(Table311[[#This Row],[Date]],'DB Details'!$A:$L,12)</f>
        <v>54.4</v>
      </c>
      <c r="C288" s="49">
        <f>VLOOKUP(Table311[[#This Row],[Date]],'DB Details'!$A:$T,20)</f>
        <v>3.0058948108077931E-2</v>
      </c>
      <c r="D288" s="49">
        <f>VLOOKUP(Table311[[#This Row],[Date]],'DB Details'!$A:$T,18)</f>
        <v>8.2296708504175139E-3</v>
      </c>
      <c r="E288" s="49">
        <f>VLOOKUP(Table311[[#This Row],[Date]],'DB Details'!$A:$T,19)</f>
        <v>3.3327282382066732E-2</v>
      </c>
    </row>
    <row r="289" spans="1:5" x14ac:dyDescent="0.35">
      <c r="A289" s="38">
        <v>26146</v>
      </c>
      <c r="B289" s="48">
        <f>VLOOKUP(Table311[[#This Row],[Date]],'DB Details'!$A:$L,12)</f>
        <v>53.6</v>
      </c>
      <c r="C289" s="49">
        <f>VLOOKUP(Table311[[#This Row],[Date]],'DB Details'!$A:$T,20)</f>
        <v>0</v>
      </c>
      <c r="D289" s="49">
        <f>VLOOKUP(Table311[[#This Row],[Date]],'DB Details'!$A:$T,18)</f>
        <v>0</v>
      </c>
      <c r="E289" s="49">
        <f>VLOOKUP(Table311[[#This Row],[Date]],'DB Details'!$A:$T,19)</f>
        <v>0</v>
      </c>
    </row>
    <row r="290" spans="1:5" x14ac:dyDescent="0.35">
      <c r="A290" s="38">
        <v>26177</v>
      </c>
      <c r="B290" s="48">
        <f>VLOOKUP(Table311[[#This Row],[Date]],'DB Details'!$A:$L,12)</f>
        <v>55.1</v>
      </c>
      <c r="C290" s="49">
        <f>VLOOKUP(Table311[[#This Row],[Date]],'DB Details'!$A:$T,20)</f>
        <v>0</v>
      </c>
      <c r="D290" s="49">
        <f>VLOOKUP(Table311[[#This Row],[Date]],'DB Details'!$A:$T,18)</f>
        <v>0</v>
      </c>
      <c r="E290" s="49">
        <f>VLOOKUP(Table311[[#This Row],[Date]],'DB Details'!$A:$T,19)</f>
        <v>0</v>
      </c>
    </row>
    <row r="291" spans="1:5" x14ac:dyDescent="0.35">
      <c r="A291" s="38">
        <v>26207</v>
      </c>
      <c r="B291" s="48">
        <f>VLOOKUP(Table311[[#This Row],[Date]],'DB Details'!$A:$L,12)</f>
        <v>55</v>
      </c>
      <c r="C291" s="49">
        <f>VLOOKUP(Table311[[#This Row],[Date]],'DB Details'!$A:$T,20)</f>
        <v>4.3672048006249138E-2</v>
      </c>
      <c r="D291" s="49">
        <f>VLOOKUP(Table311[[#This Row],[Date]],'DB Details'!$A:$T,18)</f>
        <v>2.357838388214737E-3</v>
      </c>
      <c r="E291" s="49">
        <f>VLOOKUP(Table311[[#This Row],[Date]],'DB Details'!$A:$T,19)</f>
        <v>9.464762427640272E-3</v>
      </c>
    </row>
    <row r="292" spans="1:5" x14ac:dyDescent="0.35">
      <c r="A292" s="38">
        <v>26238</v>
      </c>
      <c r="B292" s="48">
        <f>VLOOKUP(Table311[[#This Row],[Date]],'DB Details'!$A:$L,12)</f>
        <v>52.3</v>
      </c>
      <c r="C292" s="49">
        <f>VLOOKUP(Table311[[#This Row],[Date]],'DB Details'!$A:$T,20)</f>
        <v>0</v>
      </c>
      <c r="D292" s="49">
        <f>VLOOKUP(Table311[[#This Row],[Date]],'DB Details'!$A:$T,18)</f>
        <v>0</v>
      </c>
      <c r="E292" s="49">
        <f>VLOOKUP(Table311[[#This Row],[Date]],'DB Details'!$A:$T,19)</f>
        <v>0</v>
      </c>
    </row>
    <row r="293" spans="1:5" x14ac:dyDescent="0.35">
      <c r="A293" s="38">
        <v>26268</v>
      </c>
      <c r="B293" s="48">
        <f>VLOOKUP(Table311[[#This Row],[Date]],'DB Details'!$A:$L,12)</f>
        <v>57.6</v>
      </c>
      <c r="C293" s="49">
        <f>VLOOKUP(Table311[[#This Row],[Date]],'DB Details'!$A:$T,20)</f>
        <v>0</v>
      </c>
      <c r="D293" s="49">
        <f>VLOOKUP(Table311[[#This Row],[Date]],'DB Details'!$A:$T,18)</f>
        <v>0</v>
      </c>
      <c r="E293" s="49">
        <f>VLOOKUP(Table311[[#This Row],[Date]],'DB Details'!$A:$T,19)</f>
        <v>0</v>
      </c>
    </row>
    <row r="294" spans="1:5" x14ac:dyDescent="0.35">
      <c r="A294" s="38">
        <v>26299</v>
      </c>
      <c r="B294" s="48">
        <f>VLOOKUP(Table311[[#This Row],[Date]],'DB Details'!$A:$L,12)</f>
        <v>59.6</v>
      </c>
      <c r="C294" s="49">
        <f>VLOOKUP(Table311[[#This Row],[Date]],'DB Details'!$A:$T,20)</f>
        <v>3.4760721277919467E-2</v>
      </c>
      <c r="D294" s="49">
        <f>VLOOKUP(Table311[[#This Row],[Date]],'DB Details'!$A:$T,18)</f>
        <v>1.8389588842627851E-2</v>
      </c>
      <c r="E294" s="49">
        <f>VLOOKUP(Table311[[#This Row],[Date]],'DB Details'!$A:$T,19)</f>
        <v>7.5612407343295995E-2</v>
      </c>
    </row>
    <row r="295" spans="1:5" x14ac:dyDescent="0.35">
      <c r="A295" s="38">
        <v>26330</v>
      </c>
      <c r="B295" s="48">
        <f>VLOOKUP(Table311[[#This Row],[Date]],'DB Details'!$A:$L,12)</f>
        <v>60.6</v>
      </c>
      <c r="C295" s="49">
        <f>VLOOKUP(Table311[[#This Row],[Date]],'DB Details'!$A:$T,20)</f>
        <v>0</v>
      </c>
      <c r="D295" s="49">
        <f>VLOOKUP(Table311[[#This Row],[Date]],'DB Details'!$A:$T,18)</f>
        <v>0</v>
      </c>
      <c r="E295" s="49">
        <f>VLOOKUP(Table311[[#This Row],[Date]],'DB Details'!$A:$T,19)</f>
        <v>0</v>
      </c>
    </row>
    <row r="296" spans="1:5" x14ac:dyDescent="0.35">
      <c r="A296" s="38">
        <v>26359</v>
      </c>
      <c r="B296" s="48">
        <f>VLOOKUP(Table311[[#This Row],[Date]],'DB Details'!$A:$L,12)</f>
        <v>59.8</v>
      </c>
      <c r="C296" s="49">
        <f>VLOOKUP(Table311[[#This Row],[Date]],'DB Details'!$A:$T,20)</f>
        <v>0</v>
      </c>
      <c r="D296" s="49">
        <f>VLOOKUP(Table311[[#This Row],[Date]],'DB Details'!$A:$T,18)</f>
        <v>0</v>
      </c>
      <c r="E296" s="49">
        <f>VLOOKUP(Table311[[#This Row],[Date]],'DB Details'!$A:$T,19)</f>
        <v>0</v>
      </c>
    </row>
    <row r="297" spans="1:5" x14ac:dyDescent="0.35">
      <c r="A297" s="38">
        <v>26390</v>
      </c>
      <c r="B297" s="48">
        <f>VLOOKUP(Table311[[#This Row],[Date]],'DB Details'!$A:$L,12)</f>
        <v>59.3</v>
      </c>
      <c r="C297" s="49">
        <f>VLOOKUP(Table311[[#This Row],[Date]],'DB Details'!$A:$T,20)</f>
        <v>5.2551864571869791E-2</v>
      </c>
      <c r="D297" s="49">
        <f>VLOOKUP(Table311[[#This Row],[Date]],'DB Details'!$A:$T,18)</f>
        <v>2.2697723541087039E-2</v>
      </c>
      <c r="E297" s="49">
        <f>VLOOKUP(Table311[[#This Row],[Date]],'DB Details'!$A:$T,19)</f>
        <v>9.3929053762295656E-2</v>
      </c>
    </row>
    <row r="298" spans="1:5" x14ac:dyDescent="0.35">
      <c r="A298" s="38">
        <v>26420</v>
      </c>
      <c r="B298" s="48">
        <f>VLOOKUP(Table311[[#This Row],[Date]],'DB Details'!$A:$L,12)</f>
        <v>61.4</v>
      </c>
      <c r="C298" s="49">
        <f>VLOOKUP(Table311[[#This Row],[Date]],'DB Details'!$A:$T,20)</f>
        <v>0</v>
      </c>
      <c r="D298" s="49">
        <f>VLOOKUP(Table311[[#This Row],[Date]],'DB Details'!$A:$T,18)</f>
        <v>0</v>
      </c>
      <c r="E298" s="49">
        <f>VLOOKUP(Table311[[#This Row],[Date]],'DB Details'!$A:$T,19)</f>
        <v>0</v>
      </c>
    </row>
    <row r="299" spans="1:5" x14ac:dyDescent="0.35">
      <c r="A299" s="38">
        <v>26451</v>
      </c>
      <c r="B299" s="48">
        <f>VLOOKUP(Table311[[#This Row],[Date]],'DB Details'!$A:$L,12)</f>
        <v>58.6</v>
      </c>
      <c r="C299" s="49">
        <f>VLOOKUP(Table311[[#This Row],[Date]],'DB Details'!$A:$T,20)</f>
        <v>0</v>
      </c>
      <c r="D299" s="49">
        <f>VLOOKUP(Table311[[#This Row],[Date]],'DB Details'!$A:$T,18)</f>
        <v>0</v>
      </c>
      <c r="E299" s="49">
        <f>VLOOKUP(Table311[[#This Row],[Date]],'DB Details'!$A:$T,19)</f>
        <v>0</v>
      </c>
    </row>
    <row r="300" spans="1:5" x14ac:dyDescent="0.35">
      <c r="A300" s="38">
        <v>26481</v>
      </c>
      <c r="B300" s="48">
        <f>VLOOKUP(Table311[[#This Row],[Date]],'DB Details'!$A:$L,12)</f>
        <v>60.1</v>
      </c>
      <c r="C300" s="49">
        <f>VLOOKUP(Table311[[#This Row],[Date]],'DB Details'!$A:$T,20)</f>
        <v>5.3819387051471212E-2</v>
      </c>
      <c r="D300" s="49">
        <f>VLOOKUP(Table311[[#This Row],[Date]],'DB Details'!$A:$T,18)</f>
        <v>9.4438188800006935E-3</v>
      </c>
      <c r="E300" s="49">
        <f>VLOOKUP(Table311[[#This Row],[Date]],'DB Details'!$A:$T,19)</f>
        <v>3.8313766779282547E-2</v>
      </c>
    </row>
    <row r="301" spans="1:5" x14ac:dyDescent="0.35">
      <c r="A301" s="38">
        <v>26512</v>
      </c>
      <c r="B301" s="48">
        <f>VLOOKUP(Table311[[#This Row],[Date]],'DB Details'!$A:$L,12)</f>
        <v>61.7</v>
      </c>
      <c r="C301" s="49">
        <f>VLOOKUP(Table311[[#This Row],[Date]],'DB Details'!$A:$T,20)</f>
        <v>0</v>
      </c>
      <c r="D301" s="49">
        <f>VLOOKUP(Table311[[#This Row],[Date]],'DB Details'!$A:$T,18)</f>
        <v>0</v>
      </c>
      <c r="E301" s="49">
        <f>VLOOKUP(Table311[[#This Row],[Date]],'DB Details'!$A:$T,19)</f>
        <v>0</v>
      </c>
    </row>
    <row r="302" spans="1:5" x14ac:dyDescent="0.35">
      <c r="A302" s="38">
        <v>26543</v>
      </c>
      <c r="B302" s="48">
        <f>VLOOKUP(Table311[[#This Row],[Date]],'DB Details'!$A:$L,12)</f>
        <v>65.099999999999994</v>
      </c>
      <c r="C302" s="49">
        <f>VLOOKUP(Table311[[#This Row],[Date]],'DB Details'!$A:$T,20)</f>
        <v>0</v>
      </c>
      <c r="D302" s="49">
        <f>VLOOKUP(Table311[[#This Row],[Date]],'DB Details'!$A:$T,18)</f>
        <v>0</v>
      </c>
      <c r="E302" s="49">
        <f>VLOOKUP(Table311[[#This Row],[Date]],'DB Details'!$A:$T,19)</f>
        <v>0</v>
      </c>
    </row>
    <row r="303" spans="1:5" x14ac:dyDescent="0.35">
      <c r="A303" s="38">
        <v>26573</v>
      </c>
      <c r="B303" s="48">
        <f>VLOOKUP(Table311[[#This Row],[Date]],'DB Details'!$A:$L,12)</f>
        <v>67</v>
      </c>
      <c r="C303" s="49">
        <f>VLOOKUP(Table311[[#This Row],[Date]],'DB Details'!$A:$T,20)</f>
        <v>6.8944758870178285E-2</v>
      </c>
      <c r="D303" s="49">
        <f>VLOOKUP(Table311[[#This Row],[Date]],'DB Details'!$A:$T,18)</f>
        <v>1.6744587376992581E-2</v>
      </c>
      <c r="E303" s="49">
        <f>VLOOKUP(Table311[[#This Row],[Date]],'DB Details'!$A:$T,19)</f>
        <v>6.8679494830585552E-2</v>
      </c>
    </row>
    <row r="304" spans="1:5" x14ac:dyDescent="0.35">
      <c r="A304" s="38">
        <v>26604</v>
      </c>
      <c r="B304" s="48">
        <f>VLOOKUP(Table311[[#This Row],[Date]],'DB Details'!$A:$L,12)</f>
        <v>69.900000000000006</v>
      </c>
      <c r="C304" s="49">
        <f>VLOOKUP(Table311[[#This Row],[Date]],'DB Details'!$A:$T,20)</f>
        <v>0</v>
      </c>
      <c r="D304" s="49">
        <f>VLOOKUP(Table311[[#This Row],[Date]],'DB Details'!$A:$T,18)</f>
        <v>0</v>
      </c>
      <c r="E304" s="49">
        <f>VLOOKUP(Table311[[#This Row],[Date]],'DB Details'!$A:$T,19)</f>
        <v>0</v>
      </c>
    </row>
    <row r="305" spans="1:5" x14ac:dyDescent="0.35">
      <c r="A305" s="38">
        <v>26634</v>
      </c>
      <c r="B305" s="48">
        <f>VLOOKUP(Table311[[#This Row],[Date]],'DB Details'!$A:$L,12)</f>
        <v>70.5</v>
      </c>
      <c r="C305" s="49">
        <f>VLOOKUP(Table311[[#This Row],[Date]],'DB Details'!$A:$T,20)</f>
        <v>0</v>
      </c>
      <c r="D305" s="49">
        <f>VLOOKUP(Table311[[#This Row],[Date]],'DB Details'!$A:$T,18)</f>
        <v>0</v>
      </c>
      <c r="E305" s="49">
        <f>VLOOKUP(Table311[[#This Row],[Date]],'DB Details'!$A:$T,19)</f>
        <v>0</v>
      </c>
    </row>
    <row r="306" spans="1:5" x14ac:dyDescent="0.35">
      <c r="A306" s="38">
        <v>26665</v>
      </c>
      <c r="B306" s="48">
        <f>VLOOKUP(Table311[[#This Row],[Date]],'DB Details'!$A:$L,12)</f>
        <v>72.099999999999994</v>
      </c>
      <c r="C306" s="49">
        <f>VLOOKUP(Table311[[#This Row],[Date]],'DB Details'!$A:$T,20)</f>
        <v>7.5618882917976041E-2</v>
      </c>
      <c r="D306" s="49">
        <f>VLOOKUP(Table311[[#This Row],[Date]],'DB Details'!$A:$T,18)</f>
        <v>2.474806376709953E-2</v>
      </c>
      <c r="E306" s="49">
        <f>VLOOKUP(Table311[[#This Row],[Date]],'DB Details'!$A:$T,19)</f>
        <v>0.1027280596009803</v>
      </c>
    </row>
    <row r="307" spans="1:5" x14ac:dyDescent="0.35">
      <c r="A307" s="38">
        <v>26696</v>
      </c>
      <c r="B307" s="48">
        <f>VLOOKUP(Table311[[#This Row],[Date]],'DB Details'!$A:$L,12)</f>
        <v>69.599999999999994</v>
      </c>
      <c r="C307" s="49">
        <f>VLOOKUP(Table311[[#This Row],[Date]],'DB Details'!$A:$T,20)</f>
        <v>0</v>
      </c>
      <c r="D307" s="49">
        <f>VLOOKUP(Table311[[#This Row],[Date]],'DB Details'!$A:$T,18)</f>
        <v>0</v>
      </c>
      <c r="E307" s="49">
        <f>VLOOKUP(Table311[[#This Row],[Date]],'DB Details'!$A:$T,19)</f>
        <v>0</v>
      </c>
    </row>
    <row r="308" spans="1:5" x14ac:dyDescent="0.35">
      <c r="A308" s="38">
        <v>26724</v>
      </c>
      <c r="B308" s="48">
        <f>VLOOKUP(Table311[[#This Row],[Date]],'DB Details'!$A:$L,12)</f>
        <v>69.599999999999994</v>
      </c>
      <c r="C308" s="49">
        <f>VLOOKUP(Table311[[#This Row],[Date]],'DB Details'!$A:$T,20)</f>
        <v>0</v>
      </c>
      <c r="D308" s="49">
        <f>VLOOKUP(Table311[[#This Row],[Date]],'DB Details'!$A:$T,18)</f>
        <v>0</v>
      </c>
      <c r="E308" s="49">
        <f>VLOOKUP(Table311[[#This Row],[Date]],'DB Details'!$A:$T,19)</f>
        <v>0</v>
      </c>
    </row>
    <row r="309" spans="1:5" x14ac:dyDescent="0.35">
      <c r="A309" s="38">
        <v>26755</v>
      </c>
      <c r="B309" s="48">
        <f>VLOOKUP(Table311[[#This Row],[Date]],'DB Details'!$A:$L,12)</f>
        <v>67.7</v>
      </c>
      <c r="C309" s="49">
        <f>VLOOKUP(Table311[[#This Row],[Date]],'DB Details'!$A:$T,20)</f>
        <v>6.3196600158145266E-2</v>
      </c>
      <c r="D309" s="49">
        <f>VLOOKUP(Table311[[#This Row],[Date]],'DB Details'!$A:$T,18)</f>
        <v>1.0886625296699469E-2</v>
      </c>
      <c r="E309" s="49">
        <f>VLOOKUP(Table311[[#This Row],[Date]],'DB Details'!$A:$T,19)</f>
        <v>4.4262787966369732E-2</v>
      </c>
    </row>
    <row r="310" spans="1:5" x14ac:dyDescent="0.35">
      <c r="A310" s="38">
        <v>26785</v>
      </c>
      <c r="B310" s="48">
        <f>VLOOKUP(Table311[[#This Row],[Date]],'DB Details'!$A:$L,12)</f>
        <v>64.8</v>
      </c>
      <c r="C310" s="49">
        <f>VLOOKUP(Table311[[#This Row],[Date]],'DB Details'!$A:$T,20)</f>
        <v>0</v>
      </c>
      <c r="D310" s="49">
        <f>VLOOKUP(Table311[[#This Row],[Date]],'DB Details'!$A:$T,18)</f>
        <v>0</v>
      </c>
      <c r="E310" s="49">
        <f>VLOOKUP(Table311[[#This Row],[Date]],'DB Details'!$A:$T,19)</f>
        <v>0</v>
      </c>
    </row>
    <row r="311" spans="1:5" x14ac:dyDescent="0.35">
      <c r="A311" s="38">
        <v>26816</v>
      </c>
      <c r="B311" s="48">
        <f>VLOOKUP(Table311[[#This Row],[Date]],'DB Details'!$A:$L,12)</f>
        <v>65</v>
      </c>
      <c r="C311" s="49">
        <f>VLOOKUP(Table311[[#This Row],[Date]],'DB Details'!$A:$T,20)</f>
        <v>0</v>
      </c>
      <c r="D311" s="49">
        <f>VLOOKUP(Table311[[#This Row],[Date]],'DB Details'!$A:$T,18)</f>
        <v>0</v>
      </c>
      <c r="E311" s="49">
        <f>VLOOKUP(Table311[[#This Row],[Date]],'DB Details'!$A:$T,19)</f>
        <v>0</v>
      </c>
    </row>
    <row r="312" spans="1:5" x14ac:dyDescent="0.35">
      <c r="A312" s="38">
        <v>26846</v>
      </c>
      <c r="B312" s="48">
        <f>VLOOKUP(Table311[[#This Row],[Date]],'DB Details'!$A:$L,12)</f>
        <v>57.8</v>
      </c>
      <c r="C312" s="49">
        <f>VLOOKUP(Table311[[#This Row],[Date]],'DB Details'!$A:$T,20)</f>
        <v>4.7710873076094118E-2</v>
      </c>
      <c r="D312" s="49">
        <f>VLOOKUP(Table311[[#This Row],[Date]],'DB Details'!$A:$T,18)</f>
        <v>-5.2589853628965894E-3</v>
      </c>
      <c r="E312" s="49">
        <f>VLOOKUP(Table311[[#This Row],[Date]],'DB Details'!$A:$T,19)</f>
        <v>-2.0870580913895931E-2</v>
      </c>
    </row>
    <row r="313" spans="1:5" x14ac:dyDescent="0.35">
      <c r="A313" s="38">
        <v>26877</v>
      </c>
      <c r="B313" s="48">
        <f>VLOOKUP(Table311[[#This Row],[Date]],'DB Details'!$A:$L,12)</f>
        <v>62.7</v>
      </c>
      <c r="C313" s="49">
        <f>VLOOKUP(Table311[[#This Row],[Date]],'DB Details'!$A:$T,20)</f>
        <v>0</v>
      </c>
      <c r="D313" s="49">
        <f>VLOOKUP(Table311[[#This Row],[Date]],'DB Details'!$A:$T,18)</f>
        <v>0</v>
      </c>
      <c r="E313" s="49">
        <f>VLOOKUP(Table311[[#This Row],[Date]],'DB Details'!$A:$T,19)</f>
        <v>0</v>
      </c>
    </row>
    <row r="314" spans="1:5" x14ac:dyDescent="0.35">
      <c r="A314" s="38">
        <v>26908</v>
      </c>
      <c r="B314" s="48">
        <f>VLOOKUP(Table311[[#This Row],[Date]],'DB Details'!$A:$L,12)</f>
        <v>63.5</v>
      </c>
      <c r="C314" s="49">
        <f>VLOOKUP(Table311[[#This Row],[Date]],'DB Details'!$A:$T,20)</f>
        <v>0</v>
      </c>
      <c r="D314" s="49">
        <f>VLOOKUP(Table311[[#This Row],[Date]],'DB Details'!$A:$T,18)</f>
        <v>0</v>
      </c>
      <c r="E314" s="49">
        <f>VLOOKUP(Table311[[#This Row],[Date]],'DB Details'!$A:$T,19)</f>
        <v>0</v>
      </c>
    </row>
    <row r="315" spans="1:5" x14ac:dyDescent="0.35">
      <c r="A315" s="38">
        <v>26938</v>
      </c>
      <c r="B315" s="48">
        <f>VLOOKUP(Table311[[#This Row],[Date]],'DB Details'!$A:$L,12)</f>
        <v>66.2</v>
      </c>
      <c r="C315" s="49">
        <f>VLOOKUP(Table311[[#This Row],[Date]],'DB Details'!$A:$T,20)</f>
        <v>4.0237563989062503E-2</v>
      </c>
      <c r="D315" s="49">
        <f>VLOOKUP(Table311[[#This Row],[Date]],'DB Details'!$A:$T,18)</f>
        <v>9.4921604343136869E-3</v>
      </c>
      <c r="E315" s="49">
        <f>VLOOKUP(Table311[[#This Row],[Date]],'DB Details'!$A:$T,19)</f>
        <v>3.8512677530483819E-2</v>
      </c>
    </row>
    <row r="316" spans="1:5" x14ac:dyDescent="0.35">
      <c r="A316" s="38">
        <v>26969</v>
      </c>
      <c r="B316" s="48">
        <f>VLOOKUP(Table311[[#This Row],[Date]],'DB Details'!$A:$L,12)</f>
        <v>68.099999999999994</v>
      </c>
      <c r="C316" s="49">
        <f>VLOOKUP(Table311[[#This Row],[Date]],'DB Details'!$A:$T,20)</f>
        <v>0</v>
      </c>
      <c r="D316" s="49">
        <f>VLOOKUP(Table311[[#This Row],[Date]],'DB Details'!$A:$T,18)</f>
        <v>0</v>
      </c>
      <c r="E316" s="49">
        <f>VLOOKUP(Table311[[#This Row],[Date]],'DB Details'!$A:$T,19)</f>
        <v>0</v>
      </c>
    </row>
    <row r="317" spans="1:5" x14ac:dyDescent="0.35">
      <c r="A317" s="38">
        <v>26999</v>
      </c>
      <c r="B317" s="48">
        <f>VLOOKUP(Table311[[#This Row],[Date]],'DB Details'!$A:$L,12)</f>
        <v>63.6</v>
      </c>
      <c r="C317" s="49">
        <f>VLOOKUP(Table311[[#This Row],[Date]],'DB Details'!$A:$T,20)</f>
        <v>0</v>
      </c>
      <c r="D317" s="49">
        <f>VLOOKUP(Table311[[#This Row],[Date]],'DB Details'!$A:$T,18)</f>
        <v>0</v>
      </c>
      <c r="E317" s="49">
        <f>VLOOKUP(Table311[[#This Row],[Date]],'DB Details'!$A:$T,19)</f>
        <v>0</v>
      </c>
    </row>
    <row r="318" spans="1:5" x14ac:dyDescent="0.35">
      <c r="A318" s="38">
        <v>27030</v>
      </c>
      <c r="B318" s="48">
        <f>VLOOKUP(Table311[[#This Row],[Date]],'DB Details'!$A:$L,12)</f>
        <v>62.1</v>
      </c>
      <c r="C318" s="49">
        <f>VLOOKUP(Table311[[#This Row],[Date]],'DB Details'!$A:$T,20)</f>
        <v>6.3877387719998612E-3</v>
      </c>
      <c r="D318" s="49">
        <f>VLOOKUP(Table311[[#This Row],[Date]],'DB Details'!$A:$T,18)</f>
        <v>-8.5977257437322464E-3</v>
      </c>
      <c r="E318" s="49">
        <f>VLOOKUP(Table311[[#This Row],[Date]],'DB Details'!$A:$T,19)</f>
        <v>-3.3949914388930691E-2</v>
      </c>
    </row>
    <row r="319" spans="1:5" x14ac:dyDescent="0.35">
      <c r="A319" s="38">
        <v>27061</v>
      </c>
      <c r="B319" s="48">
        <f>VLOOKUP(Table311[[#This Row],[Date]],'DB Details'!$A:$L,12)</f>
        <v>58.6</v>
      </c>
      <c r="C319" s="49">
        <f>VLOOKUP(Table311[[#This Row],[Date]],'DB Details'!$A:$T,20)</f>
        <v>0</v>
      </c>
      <c r="D319" s="49">
        <f>VLOOKUP(Table311[[#This Row],[Date]],'DB Details'!$A:$T,18)</f>
        <v>0</v>
      </c>
      <c r="E319" s="49">
        <f>VLOOKUP(Table311[[#This Row],[Date]],'DB Details'!$A:$T,19)</f>
        <v>0</v>
      </c>
    </row>
    <row r="320" spans="1:5" x14ac:dyDescent="0.35">
      <c r="A320" s="38">
        <v>27089</v>
      </c>
      <c r="B320" s="48">
        <f>VLOOKUP(Table311[[#This Row],[Date]],'DB Details'!$A:$L,12)</f>
        <v>61.8</v>
      </c>
      <c r="C320" s="49">
        <f>VLOOKUP(Table311[[#This Row],[Date]],'DB Details'!$A:$T,20)</f>
        <v>0</v>
      </c>
      <c r="D320" s="49">
        <f>VLOOKUP(Table311[[#This Row],[Date]],'DB Details'!$A:$T,18)</f>
        <v>0</v>
      </c>
      <c r="E320" s="49">
        <f>VLOOKUP(Table311[[#This Row],[Date]],'DB Details'!$A:$T,19)</f>
        <v>0</v>
      </c>
    </row>
    <row r="321" spans="1:5" x14ac:dyDescent="0.35">
      <c r="A321" s="38">
        <v>27120</v>
      </c>
      <c r="B321" s="48">
        <f>VLOOKUP(Table311[[#This Row],[Date]],'DB Details'!$A:$L,12)</f>
        <v>59.9</v>
      </c>
      <c r="C321" s="49">
        <f>VLOOKUP(Table311[[#This Row],[Date]],'DB Details'!$A:$T,20)</f>
        <v>-2.0841819594568669E-3</v>
      </c>
      <c r="D321" s="49">
        <f>VLOOKUP(Table311[[#This Row],[Date]],'DB Details'!$A:$T,18)</f>
        <v>2.3768322735318119E-3</v>
      </c>
      <c r="E321" s="49">
        <f>VLOOKUP(Table311[[#This Row],[Date]],'DB Details'!$A:$T,19)</f>
        <v>9.5412788260365033E-3</v>
      </c>
    </row>
    <row r="322" spans="1:5" x14ac:dyDescent="0.35">
      <c r="A322" s="38">
        <v>27150</v>
      </c>
      <c r="B322" s="48">
        <f>VLOOKUP(Table311[[#This Row],[Date]],'DB Details'!$A:$L,12)</f>
        <v>55.7</v>
      </c>
      <c r="C322" s="49">
        <f>VLOOKUP(Table311[[#This Row],[Date]],'DB Details'!$A:$T,20)</f>
        <v>0</v>
      </c>
      <c r="D322" s="49">
        <f>VLOOKUP(Table311[[#This Row],[Date]],'DB Details'!$A:$T,18)</f>
        <v>0</v>
      </c>
      <c r="E322" s="49">
        <f>VLOOKUP(Table311[[#This Row],[Date]],'DB Details'!$A:$T,19)</f>
        <v>0</v>
      </c>
    </row>
    <row r="323" spans="1:5" x14ac:dyDescent="0.35">
      <c r="A323" s="38">
        <v>27181</v>
      </c>
      <c r="B323" s="48">
        <f>VLOOKUP(Table311[[#This Row],[Date]],'DB Details'!$A:$L,12)</f>
        <v>54.7</v>
      </c>
      <c r="C323" s="49">
        <f>VLOOKUP(Table311[[#This Row],[Date]],'DB Details'!$A:$T,20)</f>
        <v>0</v>
      </c>
      <c r="D323" s="49">
        <f>VLOOKUP(Table311[[#This Row],[Date]],'DB Details'!$A:$T,18)</f>
        <v>0</v>
      </c>
      <c r="E323" s="49">
        <f>VLOOKUP(Table311[[#This Row],[Date]],'DB Details'!$A:$T,19)</f>
        <v>0</v>
      </c>
    </row>
    <row r="324" spans="1:5" x14ac:dyDescent="0.35">
      <c r="A324" s="38">
        <v>27211</v>
      </c>
      <c r="B324" s="48">
        <f>VLOOKUP(Table311[[#This Row],[Date]],'DB Details'!$A:$L,12)</f>
        <v>54.8</v>
      </c>
      <c r="C324" s="49">
        <f>VLOOKUP(Table311[[#This Row],[Date]],'DB Details'!$A:$T,20)</f>
        <v>-6.2900049280189829E-3</v>
      </c>
      <c r="D324" s="49">
        <f>VLOOKUP(Table311[[#This Row],[Date]],'DB Details'!$A:$T,18)</f>
        <v>-9.4514277828859072E-3</v>
      </c>
      <c r="E324" s="49">
        <f>VLOOKUP(Table311[[#This Row],[Date]],'DB Details'!$A:$T,19)</f>
        <v>-3.7273103393761782E-2</v>
      </c>
    </row>
    <row r="325" spans="1:5" x14ac:dyDescent="0.35">
      <c r="A325" s="38">
        <v>27242</v>
      </c>
      <c r="B325" s="48">
        <f>VLOOKUP(Table311[[#This Row],[Date]],'DB Details'!$A:$L,12)</f>
        <v>52.9</v>
      </c>
      <c r="C325" s="49">
        <f>VLOOKUP(Table311[[#This Row],[Date]],'DB Details'!$A:$T,20)</f>
        <v>0</v>
      </c>
      <c r="D325" s="49">
        <f>VLOOKUP(Table311[[#This Row],[Date]],'DB Details'!$A:$T,18)</f>
        <v>0</v>
      </c>
      <c r="E325" s="49">
        <f>VLOOKUP(Table311[[#This Row],[Date]],'DB Details'!$A:$T,19)</f>
        <v>0</v>
      </c>
    </row>
    <row r="326" spans="1:5" x14ac:dyDescent="0.35">
      <c r="A326" s="38">
        <v>27273</v>
      </c>
      <c r="B326" s="48">
        <f>VLOOKUP(Table311[[#This Row],[Date]],'DB Details'!$A:$L,12)</f>
        <v>46.2</v>
      </c>
      <c r="C326" s="49">
        <f>VLOOKUP(Table311[[#This Row],[Date]],'DB Details'!$A:$T,20)</f>
        <v>0</v>
      </c>
      <c r="D326" s="49">
        <f>VLOOKUP(Table311[[#This Row],[Date]],'DB Details'!$A:$T,18)</f>
        <v>0</v>
      </c>
      <c r="E326" s="49">
        <f>VLOOKUP(Table311[[#This Row],[Date]],'DB Details'!$A:$T,19)</f>
        <v>0</v>
      </c>
    </row>
    <row r="327" spans="1:5" x14ac:dyDescent="0.35">
      <c r="A327" s="38">
        <v>27303</v>
      </c>
      <c r="B327" s="48">
        <f>VLOOKUP(Table311[[#This Row],[Date]],'DB Details'!$A:$L,12)</f>
        <v>42.7</v>
      </c>
      <c r="C327" s="49">
        <f>VLOOKUP(Table311[[#This Row],[Date]],'DB Details'!$A:$T,20)</f>
        <v>-1.945449393820109E-2</v>
      </c>
      <c r="D327" s="49">
        <f>VLOOKUP(Table311[[#This Row],[Date]],'DB Details'!$A:$T,18)</f>
        <v>-3.881407827863123E-3</v>
      </c>
      <c r="E327" s="49">
        <f>VLOOKUP(Table311[[#This Row],[Date]],'DB Details'!$A:$T,19)</f>
        <v>-1.5435473022839759E-2</v>
      </c>
    </row>
    <row r="328" spans="1:5" x14ac:dyDescent="0.35">
      <c r="A328" s="38">
        <v>27334</v>
      </c>
      <c r="B328" s="48">
        <f>VLOOKUP(Table311[[#This Row],[Date]],'DB Details'!$A:$L,12)</f>
        <v>37.9</v>
      </c>
      <c r="C328" s="49">
        <f>VLOOKUP(Table311[[#This Row],[Date]],'DB Details'!$A:$T,20)</f>
        <v>0</v>
      </c>
      <c r="D328" s="49">
        <f>VLOOKUP(Table311[[#This Row],[Date]],'DB Details'!$A:$T,18)</f>
        <v>0</v>
      </c>
      <c r="E328" s="49">
        <f>VLOOKUP(Table311[[#This Row],[Date]],'DB Details'!$A:$T,19)</f>
        <v>0</v>
      </c>
    </row>
    <row r="329" spans="1:5" x14ac:dyDescent="0.35">
      <c r="A329" s="38">
        <v>27364</v>
      </c>
      <c r="B329" s="48">
        <f>VLOOKUP(Table311[[#This Row],[Date]],'DB Details'!$A:$L,12)</f>
        <v>30.9</v>
      </c>
      <c r="C329" s="49">
        <f>VLOOKUP(Table311[[#This Row],[Date]],'DB Details'!$A:$T,20)</f>
        <v>0</v>
      </c>
      <c r="D329" s="49">
        <f>VLOOKUP(Table311[[#This Row],[Date]],'DB Details'!$A:$T,18)</f>
        <v>0</v>
      </c>
      <c r="E329" s="49">
        <f>VLOOKUP(Table311[[#This Row],[Date]],'DB Details'!$A:$T,19)</f>
        <v>0</v>
      </c>
    </row>
    <row r="330" spans="1:5" x14ac:dyDescent="0.35">
      <c r="A330" s="38">
        <v>27395</v>
      </c>
      <c r="B330" s="48">
        <f>VLOOKUP(Table311[[#This Row],[Date]],'DB Details'!$A:$L,12)</f>
        <v>30.7</v>
      </c>
      <c r="C330" s="49">
        <f>VLOOKUP(Table311[[#This Row],[Date]],'DB Details'!$A:$T,20)</f>
        <v>-2.2990475952479598E-2</v>
      </c>
      <c r="D330" s="49">
        <f>VLOOKUP(Table311[[#This Row],[Date]],'DB Details'!$A:$T,18)</f>
        <v>-1.217285875797099E-2</v>
      </c>
      <c r="E330" s="49">
        <f>VLOOKUP(Table311[[#This Row],[Date]],'DB Details'!$A:$T,19)</f>
        <v>-4.7809557156305638E-2</v>
      </c>
    </row>
    <row r="331" spans="1:5" x14ac:dyDescent="0.35">
      <c r="A331" s="38">
        <v>27426</v>
      </c>
      <c r="B331" s="48">
        <f>VLOOKUP(Table311[[#This Row],[Date]],'DB Details'!$A:$L,12)</f>
        <v>34.4</v>
      </c>
      <c r="C331" s="49">
        <f>VLOOKUP(Table311[[#This Row],[Date]],'DB Details'!$A:$T,20)</f>
        <v>0</v>
      </c>
      <c r="D331" s="49">
        <f>VLOOKUP(Table311[[#This Row],[Date]],'DB Details'!$A:$T,18)</f>
        <v>0</v>
      </c>
      <c r="E331" s="49">
        <f>VLOOKUP(Table311[[#This Row],[Date]],'DB Details'!$A:$T,19)</f>
        <v>0</v>
      </c>
    </row>
    <row r="332" spans="1:5" x14ac:dyDescent="0.35">
      <c r="A332" s="38">
        <v>27454</v>
      </c>
      <c r="B332" s="48">
        <f>VLOOKUP(Table311[[#This Row],[Date]],'DB Details'!$A:$L,12)</f>
        <v>31.6</v>
      </c>
      <c r="C332" s="49">
        <f>VLOOKUP(Table311[[#This Row],[Date]],'DB Details'!$A:$T,20)</f>
        <v>0</v>
      </c>
      <c r="D332" s="49">
        <f>VLOOKUP(Table311[[#This Row],[Date]],'DB Details'!$A:$T,18)</f>
        <v>0</v>
      </c>
      <c r="E332" s="49">
        <f>VLOOKUP(Table311[[#This Row],[Date]],'DB Details'!$A:$T,19)</f>
        <v>0</v>
      </c>
    </row>
    <row r="333" spans="1:5" x14ac:dyDescent="0.35">
      <c r="A333" s="38">
        <v>27485</v>
      </c>
      <c r="B333" s="48">
        <f>VLOOKUP(Table311[[#This Row],[Date]],'DB Details'!$A:$L,12)</f>
        <v>37.5</v>
      </c>
      <c r="C333" s="49">
        <f>VLOOKUP(Table311[[#This Row],[Date]],'DB Details'!$A:$T,20)</f>
        <v>-1.834262400105072E-2</v>
      </c>
      <c r="D333" s="49">
        <f>VLOOKUP(Table311[[#This Row],[Date]],'DB Details'!$A:$T,18)</f>
        <v>7.1453621611923873E-3</v>
      </c>
      <c r="E333" s="49">
        <f>VLOOKUP(Table311[[#This Row],[Date]],'DB Details'!$A:$T,19)</f>
        <v>2.888924771416268E-2</v>
      </c>
    </row>
    <row r="334" spans="1:5" x14ac:dyDescent="0.35">
      <c r="A334" s="38">
        <v>27515</v>
      </c>
      <c r="B334" s="48">
        <f>VLOOKUP(Table311[[#This Row],[Date]],'DB Details'!$A:$L,12)</f>
        <v>41.2</v>
      </c>
      <c r="C334" s="49">
        <f>VLOOKUP(Table311[[#This Row],[Date]],'DB Details'!$A:$T,20)</f>
        <v>0</v>
      </c>
      <c r="D334" s="49">
        <f>VLOOKUP(Table311[[#This Row],[Date]],'DB Details'!$A:$T,18)</f>
        <v>0</v>
      </c>
      <c r="E334" s="49">
        <f>VLOOKUP(Table311[[#This Row],[Date]],'DB Details'!$A:$T,19)</f>
        <v>0</v>
      </c>
    </row>
    <row r="335" spans="1:5" x14ac:dyDescent="0.35">
      <c r="A335" s="38">
        <v>27546</v>
      </c>
      <c r="B335" s="48">
        <f>VLOOKUP(Table311[[#This Row],[Date]],'DB Details'!$A:$L,12)</f>
        <v>45.1</v>
      </c>
      <c r="C335" s="49">
        <f>VLOOKUP(Table311[[#This Row],[Date]],'DB Details'!$A:$T,20)</f>
        <v>0</v>
      </c>
      <c r="D335" s="49">
        <f>VLOOKUP(Table311[[#This Row],[Date]],'DB Details'!$A:$T,18)</f>
        <v>0</v>
      </c>
      <c r="E335" s="49">
        <f>VLOOKUP(Table311[[#This Row],[Date]],'DB Details'!$A:$T,19)</f>
        <v>0</v>
      </c>
    </row>
    <row r="336" spans="1:5" x14ac:dyDescent="0.35">
      <c r="A336" s="38">
        <v>27576</v>
      </c>
      <c r="B336" s="48">
        <f>VLOOKUP(Table311[[#This Row],[Date]],'DB Details'!$A:$L,12)</f>
        <v>47.2</v>
      </c>
      <c r="C336" s="49">
        <f>VLOOKUP(Table311[[#This Row],[Date]],'DB Details'!$A:$T,20)</f>
        <v>7.9868486935100094E-3</v>
      </c>
      <c r="D336" s="49">
        <f>VLOOKUP(Table311[[#This Row],[Date]],'DB Details'!$A:$T,18)</f>
        <v>1.7116519672596298E-2</v>
      </c>
      <c r="E336" s="49">
        <f>VLOOKUP(Table311[[#This Row],[Date]],'DB Details'!$A:$T,19)</f>
        <v>7.0244074865320139E-2</v>
      </c>
    </row>
    <row r="337" spans="1:5" x14ac:dyDescent="0.35">
      <c r="A337" s="38">
        <v>27607</v>
      </c>
      <c r="B337" s="48">
        <f>VLOOKUP(Table311[[#This Row],[Date]],'DB Details'!$A:$L,12)</f>
        <v>51.4</v>
      </c>
      <c r="C337" s="49">
        <f>VLOOKUP(Table311[[#This Row],[Date]],'DB Details'!$A:$T,20)</f>
        <v>0</v>
      </c>
      <c r="D337" s="49">
        <f>VLOOKUP(Table311[[#This Row],[Date]],'DB Details'!$A:$T,18)</f>
        <v>0</v>
      </c>
      <c r="E337" s="49">
        <f>VLOOKUP(Table311[[#This Row],[Date]],'DB Details'!$A:$T,19)</f>
        <v>0</v>
      </c>
    </row>
    <row r="338" spans="1:5" x14ac:dyDescent="0.35">
      <c r="A338" s="38">
        <v>27638</v>
      </c>
      <c r="B338" s="48">
        <f>VLOOKUP(Table311[[#This Row],[Date]],'DB Details'!$A:$L,12)</f>
        <v>54.4</v>
      </c>
      <c r="C338" s="49">
        <f>VLOOKUP(Table311[[#This Row],[Date]],'DB Details'!$A:$T,20)</f>
        <v>0</v>
      </c>
      <c r="D338" s="49">
        <f>VLOOKUP(Table311[[#This Row],[Date]],'DB Details'!$A:$T,18)</f>
        <v>0</v>
      </c>
      <c r="E338" s="49">
        <f>VLOOKUP(Table311[[#This Row],[Date]],'DB Details'!$A:$T,19)</f>
        <v>0</v>
      </c>
    </row>
    <row r="339" spans="1:5" x14ac:dyDescent="0.35">
      <c r="A339" s="38">
        <v>27668</v>
      </c>
      <c r="B339" s="48">
        <f>VLOOKUP(Table311[[#This Row],[Date]],'DB Details'!$A:$L,12)</f>
        <v>55.5</v>
      </c>
      <c r="C339" s="49">
        <f>VLOOKUP(Table311[[#This Row],[Date]],'DB Details'!$A:$T,20)</f>
        <v>2.5540174722061351E-2</v>
      </c>
      <c r="D339" s="49">
        <f>VLOOKUP(Table311[[#This Row],[Date]],'DB Details'!$A:$T,18)</f>
        <v>1.3465241519955561E-2</v>
      </c>
      <c r="E339" s="49">
        <f>VLOOKUP(Table311[[#This Row],[Date]],'DB Details'!$A:$T,19)</f>
        <v>5.4958641008029607E-2</v>
      </c>
    </row>
    <row r="340" spans="1:5" x14ac:dyDescent="0.35">
      <c r="A340" s="38">
        <v>27699</v>
      </c>
      <c r="B340" s="48">
        <f>VLOOKUP(Table311[[#This Row],[Date]],'DB Details'!$A:$L,12)</f>
        <v>54.5</v>
      </c>
      <c r="C340" s="49">
        <f>VLOOKUP(Table311[[#This Row],[Date]],'DB Details'!$A:$T,20)</f>
        <v>0</v>
      </c>
      <c r="D340" s="49">
        <f>VLOOKUP(Table311[[#This Row],[Date]],'DB Details'!$A:$T,18)</f>
        <v>0</v>
      </c>
      <c r="E340" s="49">
        <f>VLOOKUP(Table311[[#This Row],[Date]],'DB Details'!$A:$T,19)</f>
        <v>0</v>
      </c>
    </row>
    <row r="341" spans="1:5" x14ac:dyDescent="0.35">
      <c r="A341" s="38">
        <v>27729</v>
      </c>
      <c r="B341" s="48">
        <f>VLOOKUP(Table311[[#This Row],[Date]],'DB Details'!$A:$L,12)</f>
        <v>54.9</v>
      </c>
      <c r="C341" s="49">
        <f>VLOOKUP(Table311[[#This Row],[Date]],'DB Details'!$A:$T,20)</f>
        <v>0</v>
      </c>
      <c r="D341" s="49">
        <f>VLOOKUP(Table311[[#This Row],[Date]],'DB Details'!$A:$T,18)</f>
        <v>0</v>
      </c>
      <c r="E341" s="49">
        <f>VLOOKUP(Table311[[#This Row],[Date]],'DB Details'!$A:$T,19)</f>
        <v>0</v>
      </c>
    </row>
    <row r="342" spans="1:5" x14ac:dyDescent="0.35">
      <c r="A342" s="38">
        <v>27760</v>
      </c>
      <c r="B342" s="48">
        <f>VLOOKUP(Table311[[#This Row],[Date]],'DB Details'!$A:$L,12)</f>
        <v>58.8</v>
      </c>
      <c r="C342" s="49">
        <f>VLOOKUP(Table311[[#This Row],[Date]],'DB Details'!$A:$T,20)</f>
        <v>6.1523893616258638E-2</v>
      </c>
      <c r="D342" s="49">
        <f>VLOOKUP(Table311[[#This Row],[Date]],'DB Details'!$A:$T,18)</f>
        <v>2.2487601205135949E-2</v>
      </c>
      <c r="E342" s="49">
        <f>VLOOKUP(Table311[[#This Row],[Date]],'DB Details'!$A:$T,19)</f>
        <v>9.3030301011741479E-2</v>
      </c>
    </row>
    <row r="343" spans="1:5" x14ac:dyDescent="0.35">
      <c r="A343" s="38">
        <v>27791</v>
      </c>
      <c r="B343" s="48">
        <f>VLOOKUP(Table311[[#This Row],[Date]],'DB Details'!$A:$L,12)</f>
        <v>61.5</v>
      </c>
      <c r="C343" s="49">
        <f>VLOOKUP(Table311[[#This Row],[Date]],'DB Details'!$A:$T,20)</f>
        <v>0</v>
      </c>
      <c r="D343" s="49">
        <f>VLOOKUP(Table311[[#This Row],[Date]],'DB Details'!$A:$T,18)</f>
        <v>0</v>
      </c>
      <c r="E343" s="49">
        <f>VLOOKUP(Table311[[#This Row],[Date]],'DB Details'!$A:$T,19)</f>
        <v>0</v>
      </c>
    </row>
    <row r="344" spans="1:5" x14ac:dyDescent="0.35">
      <c r="A344" s="38">
        <v>27820</v>
      </c>
      <c r="B344" s="48">
        <f>VLOOKUP(Table311[[#This Row],[Date]],'DB Details'!$A:$L,12)</f>
        <v>58.4</v>
      </c>
      <c r="C344" s="49">
        <f>VLOOKUP(Table311[[#This Row],[Date]],'DB Details'!$A:$T,20)</f>
        <v>0</v>
      </c>
      <c r="D344" s="49">
        <f>VLOOKUP(Table311[[#This Row],[Date]],'DB Details'!$A:$T,18)</f>
        <v>0</v>
      </c>
      <c r="E344" s="49">
        <f>VLOOKUP(Table311[[#This Row],[Date]],'DB Details'!$A:$T,19)</f>
        <v>0</v>
      </c>
    </row>
    <row r="345" spans="1:5" x14ac:dyDescent="0.35">
      <c r="A345" s="38">
        <v>27851</v>
      </c>
      <c r="B345" s="48">
        <f>VLOOKUP(Table311[[#This Row],[Date]],'DB Details'!$A:$L,12)</f>
        <v>60.6</v>
      </c>
      <c r="C345" s="49">
        <f>VLOOKUP(Table311[[#This Row],[Date]],'DB Details'!$A:$T,20)</f>
        <v>6.1725884584526818E-2</v>
      </c>
      <c r="D345" s="49">
        <f>VLOOKUP(Table311[[#This Row],[Date]],'DB Details'!$A:$T,18)</f>
        <v>7.3370057672507601E-3</v>
      </c>
      <c r="E345" s="49">
        <f>VLOOKUP(Table311[[#This Row],[Date]],'DB Details'!$A:$T,19)</f>
        <v>2.9672595741234709E-2</v>
      </c>
    </row>
    <row r="346" spans="1:5" x14ac:dyDescent="0.35">
      <c r="A346" s="38">
        <v>27881</v>
      </c>
      <c r="B346" s="48">
        <f>VLOOKUP(Table311[[#This Row],[Date]],'DB Details'!$A:$L,12)</f>
        <v>58.8</v>
      </c>
      <c r="C346" s="49">
        <f>VLOOKUP(Table311[[#This Row],[Date]],'DB Details'!$A:$T,20)</f>
        <v>0</v>
      </c>
      <c r="D346" s="49">
        <f>VLOOKUP(Table311[[#This Row],[Date]],'DB Details'!$A:$T,18)</f>
        <v>0</v>
      </c>
      <c r="E346" s="49">
        <f>VLOOKUP(Table311[[#This Row],[Date]],'DB Details'!$A:$T,19)</f>
        <v>0</v>
      </c>
    </row>
    <row r="347" spans="1:5" x14ac:dyDescent="0.35">
      <c r="A347" s="38">
        <v>27912</v>
      </c>
      <c r="B347" s="48">
        <f>VLOOKUP(Table311[[#This Row],[Date]],'DB Details'!$A:$L,12)</f>
        <v>58.2</v>
      </c>
      <c r="C347" s="49">
        <f>VLOOKUP(Table311[[#This Row],[Date]],'DB Details'!$A:$T,20)</f>
        <v>0</v>
      </c>
      <c r="D347" s="49">
        <f>VLOOKUP(Table311[[#This Row],[Date]],'DB Details'!$A:$T,18)</f>
        <v>0</v>
      </c>
      <c r="E347" s="49">
        <f>VLOOKUP(Table311[[#This Row],[Date]],'DB Details'!$A:$T,19)</f>
        <v>0</v>
      </c>
    </row>
    <row r="348" spans="1:5" x14ac:dyDescent="0.35">
      <c r="A348" s="38">
        <v>27942</v>
      </c>
      <c r="B348" s="48">
        <f>VLOOKUP(Table311[[#This Row],[Date]],'DB Details'!$A:$L,12)</f>
        <v>55.9</v>
      </c>
      <c r="C348" s="49">
        <f>VLOOKUP(Table311[[#This Row],[Date]],'DB Details'!$A:$T,20)</f>
        <v>4.958636996409576E-2</v>
      </c>
      <c r="D348" s="49">
        <f>VLOOKUP(Table311[[#This Row],[Date]],'DB Details'!$A:$T,18)</f>
        <v>5.4870576424046113E-3</v>
      </c>
      <c r="E348" s="49">
        <f>VLOOKUP(Table311[[#This Row],[Date]],'DB Details'!$A:$T,19)</f>
        <v>2.2129539098495469E-2</v>
      </c>
    </row>
    <row r="349" spans="1:5" x14ac:dyDescent="0.35">
      <c r="A349" s="38">
        <v>27973</v>
      </c>
      <c r="B349" s="48">
        <f>VLOOKUP(Table311[[#This Row],[Date]],'DB Details'!$A:$L,12)</f>
        <v>54.5</v>
      </c>
      <c r="C349" s="49">
        <f>VLOOKUP(Table311[[#This Row],[Date]],'DB Details'!$A:$T,20)</f>
        <v>0</v>
      </c>
      <c r="D349" s="49">
        <f>VLOOKUP(Table311[[#This Row],[Date]],'DB Details'!$A:$T,18)</f>
        <v>0</v>
      </c>
      <c r="E349" s="49">
        <f>VLOOKUP(Table311[[#This Row],[Date]],'DB Details'!$A:$T,19)</f>
        <v>0</v>
      </c>
    </row>
    <row r="350" spans="1:5" x14ac:dyDescent="0.35">
      <c r="A350" s="38">
        <v>28004</v>
      </c>
      <c r="B350" s="48">
        <f>VLOOKUP(Table311[[#This Row],[Date]],'DB Details'!$A:$L,12)</f>
        <v>53.6</v>
      </c>
      <c r="C350" s="49">
        <f>VLOOKUP(Table311[[#This Row],[Date]],'DB Details'!$A:$T,20)</f>
        <v>0</v>
      </c>
      <c r="D350" s="49">
        <f>VLOOKUP(Table311[[#This Row],[Date]],'DB Details'!$A:$T,18)</f>
        <v>0</v>
      </c>
      <c r="E350" s="49">
        <f>VLOOKUP(Table311[[#This Row],[Date]],'DB Details'!$A:$T,19)</f>
        <v>0</v>
      </c>
    </row>
    <row r="351" spans="1:5" x14ac:dyDescent="0.35">
      <c r="A351" s="38">
        <v>28034</v>
      </c>
      <c r="B351" s="48">
        <f>VLOOKUP(Table311[[#This Row],[Date]],'DB Details'!$A:$L,12)</f>
        <v>53.5</v>
      </c>
      <c r="C351" s="49">
        <f>VLOOKUP(Table311[[#This Row],[Date]],'DB Details'!$A:$T,20)</f>
        <v>4.314806637790361E-2</v>
      </c>
      <c r="D351" s="49">
        <f>VLOOKUP(Table311[[#This Row],[Date]],'DB Details'!$A:$T,18)</f>
        <v>7.2485097809732481E-3</v>
      </c>
      <c r="E351" s="49">
        <f>VLOOKUP(Table311[[#This Row],[Date]],'DB Details'!$A:$T,19)</f>
        <v>2.931081062144569E-2</v>
      </c>
    </row>
    <row r="352" spans="1:5" x14ac:dyDescent="0.35">
      <c r="A352" s="38">
        <v>28065</v>
      </c>
      <c r="B352" s="48">
        <f>VLOOKUP(Table311[[#This Row],[Date]],'DB Details'!$A:$L,12)</f>
        <v>51.7</v>
      </c>
      <c r="C352" s="49">
        <f>VLOOKUP(Table311[[#This Row],[Date]],'DB Details'!$A:$T,20)</f>
        <v>0</v>
      </c>
      <c r="D352" s="49">
        <f>VLOOKUP(Table311[[#This Row],[Date]],'DB Details'!$A:$T,18)</f>
        <v>0</v>
      </c>
      <c r="E352" s="49">
        <f>VLOOKUP(Table311[[#This Row],[Date]],'DB Details'!$A:$T,19)</f>
        <v>0</v>
      </c>
    </row>
    <row r="353" spans="1:5" x14ac:dyDescent="0.35">
      <c r="A353" s="38">
        <v>28095</v>
      </c>
      <c r="B353" s="48">
        <f>VLOOKUP(Table311[[#This Row],[Date]],'DB Details'!$A:$L,12)</f>
        <v>56.6</v>
      </c>
      <c r="C353" s="49">
        <f>VLOOKUP(Table311[[#This Row],[Date]],'DB Details'!$A:$T,20)</f>
        <v>0</v>
      </c>
      <c r="D353" s="49">
        <f>VLOOKUP(Table311[[#This Row],[Date]],'DB Details'!$A:$T,18)</f>
        <v>0</v>
      </c>
      <c r="E353" s="49">
        <f>VLOOKUP(Table311[[#This Row],[Date]],'DB Details'!$A:$T,19)</f>
        <v>0</v>
      </c>
    </row>
    <row r="354" spans="1:5" x14ac:dyDescent="0.35">
      <c r="A354" s="38">
        <v>28126</v>
      </c>
      <c r="B354" s="48">
        <f>VLOOKUP(Table311[[#This Row],[Date]],'DB Details'!$A:$L,12)</f>
        <v>54.8</v>
      </c>
      <c r="C354" s="49">
        <f>VLOOKUP(Table311[[#This Row],[Date]],'DB Details'!$A:$T,20)</f>
        <v>3.225964641737461E-2</v>
      </c>
      <c r="D354" s="49">
        <f>VLOOKUP(Table311[[#This Row],[Date]],'DB Details'!$A:$T,18)</f>
        <v>1.1814835981102891E-2</v>
      </c>
      <c r="E354" s="49">
        <f>VLOOKUP(Table311[[#This Row],[Date]],'DB Details'!$A:$T,19)</f>
        <v>4.8103502453763942E-2</v>
      </c>
    </row>
    <row r="355" spans="1:5" x14ac:dyDescent="0.35">
      <c r="A355" s="38">
        <v>28157</v>
      </c>
      <c r="B355" s="48">
        <f>VLOOKUP(Table311[[#This Row],[Date]],'DB Details'!$A:$L,12)</f>
        <v>55</v>
      </c>
      <c r="C355" s="49">
        <f>VLOOKUP(Table311[[#This Row],[Date]],'DB Details'!$A:$T,20)</f>
        <v>0</v>
      </c>
      <c r="D355" s="49">
        <f>VLOOKUP(Table311[[#This Row],[Date]],'DB Details'!$A:$T,18)</f>
        <v>0</v>
      </c>
      <c r="E355" s="49">
        <f>VLOOKUP(Table311[[#This Row],[Date]],'DB Details'!$A:$T,19)</f>
        <v>0</v>
      </c>
    </row>
    <row r="356" spans="1:5" x14ac:dyDescent="0.35">
      <c r="A356" s="38">
        <v>28185</v>
      </c>
      <c r="B356" s="48">
        <f>VLOOKUP(Table311[[#This Row],[Date]],'DB Details'!$A:$L,12)</f>
        <v>58.4</v>
      </c>
      <c r="C356" s="49">
        <f>VLOOKUP(Table311[[#This Row],[Date]],'DB Details'!$A:$T,20)</f>
        <v>0</v>
      </c>
      <c r="D356" s="49">
        <f>VLOOKUP(Table311[[#This Row],[Date]],'DB Details'!$A:$T,18)</f>
        <v>0</v>
      </c>
      <c r="E356" s="49">
        <f>VLOOKUP(Table311[[#This Row],[Date]],'DB Details'!$A:$T,19)</f>
        <v>0</v>
      </c>
    </row>
    <row r="357" spans="1:5" x14ac:dyDescent="0.35">
      <c r="A357" s="38">
        <v>28216</v>
      </c>
      <c r="B357" s="48">
        <f>VLOOKUP(Table311[[#This Row],[Date]],'DB Details'!$A:$L,12)</f>
        <v>56.9</v>
      </c>
      <c r="C357" s="49">
        <f>VLOOKUP(Table311[[#This Row],[Date]],'DB Details'!$A:$T,20)</f>
        <v>4.4663240975555407E-2</v>
      </c>
      <c r="D357" s="49">
        <f>VLOOKUP(Table311[[#This Row],[Date]],'DB Details'!$A:$T,18)</f>
        <v>1.9441130777226059E-2</v>
      </c>
      <c r="E357" s="49">
        <f>VLOOKUP(Table311[[#This Row],[Date]],'DB Details'!$A:$T,19)</f>
        <v>8.0061803046076241E-2</v>
      </c>
    </row>
    <row r="358" spans="1:5" x14ac:dyDescent="0.35">
      <c r="A358" s="38">
        <v>28246</v>
      </c>
      <c r="B358" s="48">
        <f>VLOOKUP(Table311[[#This Row],[Date]],'DB Details'!$A:$L,12)</f>
        <v>59.7</v>
      </c>
      <c r="C358" s="49">
        <f>VLOOKUP(Table311[[#This Row],[Date]],'DB Details'!$A:$T,20)</f>
        <v>0</v>
      </c>
      <c r="D358" s="49">
        <f>VLOOKUP(Table311[[#This Row],[Date]],'DB Details'!$A:$T,18)</f>
        <v>0</v>
      </c>
      <c r="E358" s="49">
        <f>VLOOKUP(Table311[[#This Row],[Date]],'DB Details'!$A:$T,19)</f>
        <v>0</v>
      </c>
    </row>
    <row r="359" spans="1:5" x14ac:dyDescent="0.35">
      <c r="A359" s="38">
        <v>28277</v>
      </c>
      <c r="B359" s="48">
        <f>VLOOKUP(Table311[[#This Row],[Date]],'DB Details'!$A:$L,12)</f>
        <v>56.8</v>
      </c>
      <c r="C359" s="49">
        <f>VLOOKUP(Table311[[#This Row],[Date]],'DB Details'!$A:$T,20)</f>
        <v>0</v>
      </c>
      <c r="D359" s="49">
        <f>VLOOKUP(Table311[[#This Row],[Date]],'DB Details'!$A:$T,18)</f>
        <v>0</v>
      </c>
      <c r="E359" s="49">
        <f>VLOOKUP(Table311[[#This Row],[Date]],'DB Details'!$A:$T,19)</f>
        <v>0</v>
      </c>
    </row>
    <row r="360" spans="1:5" x14ac:dyDescent="0.35">
      <c r="A360" s="38">
        <v>28307</v>
      </c>
      <c r="B360" s="48">
        <f>VLOOKUP(Table311[[#This Row],[Date]],'DB Details'!$A:$L,12)</f>
        <v>57.7</v>
      </c>
      <c r="C360" s="49">
        <f>VLOOKUP(Table311[[#This Row],[Date]],'DB Details'!$A:$T,20)</f>
        <v>5.7708973680908472E-2</v>
      </c>
      <c r="D360" s="49">
        <f>VLOOKUP(Table311[[#This Row],[Date]],'DB Details'!$A:$T,18)</f>
        <v>1.8043558989618839E-2</v>
      </c>
      <c r="E360" s="49">
        <f>VLOOKUP(Table311[[#This Row],[Date]],'DB Details'!$A:$T,19)</f>
        <v>7.4151259847902606E-2</v>
      </c>
    </row>
    <row r="361" spans="1:5" x14ac:dyDescent="0.35">
      <c r="A361" s="38">
        <v>28338</v>
      </c>
      <c r="B361" s="48">
        <f>VLOOKUP(Table311[[#This Row],[Date]],'DB Details'!$A:$L,12)</f>
        <v>54.9</v>
      </c>
      <c r="C361" s="49">
        <f>VLOOKUP(Table311[[#This Row],[Date]],'DB Details'!$A:$T,20)</f>
        <v>0</v>
      </c>
      <c r="D361" s="49">
        <f>VLOOKUP(Table311[[#This Row],[Date]],'DB Details'!$A:$T,18)</f>
        <v>0</v>
      </c>
      <c r="E361" s="49">
        <f>VLOOKUP(Table311[[#This Row],[Date]],'DB Details'!$A:$T,19)</f>
        <v>0</v>
      </c>
    </row>
    <row r="362" spans="1:5" x14ac:dyDescent="0.35">
      <c r="A362" s="38">
        <v>28369</v>
      </c>
      <c r="B362" s="48">
        <f>VLOOKUP(Table311[[#This Row],[Date]],'DB Details'!$A:$L,12)</f>
        <v>53.9</v>
      </c>
      <c r="C362" s="49">
        <f>VLOOKUP(Table311[[#This Row],[Date]],'DB Details'!$A:$T,20)</f>
        <v>0</v>
      </c>
      <c r="D362" s="49">
        <f>VLOOKUP(Table311[[#This Row],[Date]],'DB Details'!$A:$T,18)</f>
        <v>0</v>
      </c>
      <c r="E362" s="49">
        <f>VLOOKUP(Table311[[#This Row],[Date]],'DB Details'!$A:$T,19)</f>
        <v>0</v>
      </c>
    </row>
    <row r="363" spans="1:5" x14ac:dyDescent="0.35">
      <c r="A363" s="38">
        <v>28399</v>
      </c>
      <c r="B363" s="48">
        <f>VLOOKUP(Table311[[#This Row],[Date]],'DB Details'!$A:$L,12)</f>
        <v>55.4</v>
      </c>
      <c r="C363" s="49">
        <f>VLOOKUP(Table311[[#This Row],[Date]],'DB Details'!$A:$T,20)</f>
        <v>5.0120285625136027E-2</v>
      </c>
      <c r="D363" s="49">
        <f>VLOOKUP(Table311[[#This Row],[Date]],'DB Details'!$A:$T,18)</f>
        <v>2.185771923568307E-5</v>
      </c>
      <c r="E363" s="49">
        <f>VLOOKUP(Table311[[#This Row],[Date]],'DB Details'!$A:$T,19)</f>
        <v>8.7433743543918752E-5</v>
      </c>
    </row>
    <row r="364" spans="1:5" x14ac:dyDescent="0.35">
      <c r="A364" s="38">
        <v>28430</v>
      </c>
      <c r="B364" s="48">
        <f>VLOOKUP(Table311[[#This Row],[Date]],'DB Details'!$A:$L,12)</f>
        <v>56.1</v>
      </c>
      <c r="C364" s="49">
        <f>VLOOKUP(Table311[[#This Row],[Date]],'DB Details'!$A:$T,20)</f>
        <v>0</v>
      </c>
      <c r="D364" s="49">
        <f>VLOOKUP(Table311[[#This Row],[Date]],'DB Details'!$A:$T,18)</f>
        <v>0</v>
      </c>
      <c r="E364" s="49">
        <f>VLOOKUP(Table311[[#This Row],[Date]],'DB Details'!$A:$T,19)</f>
        <v>0</v>
      </c>
    </row>
    <row r="365" spans="1:5" x14ac:dyDescent="0.35">
      <c r="A365" s="38">
        <v>28460</v>
      </c>
      <c r="B365" s="48">
        <f>VLOOKUP(Table311[[#This Row],[Date]],'DB Details'!$A:$L,12)</f>
        <v>59.8</v>
      </c>
      <c r="C365" s="49">
        <f>VLOOKUP(Table311[[#This Row],[Date]],'DB Details'!$A:$T,20)</f>
        <v>0</v>
      </c>
      <c r="D365" s="49">
        <f>VLOOKUP(Table311[[#This Row],[Date]],'DB Details'!$A:$T,18)</f>
        <v>0</v>
      </c>
      <c r="E365" s="49">
        <f>VLOOKUP(Table311[[#This Row],[Date]],'DB Details'!$A:$T,19)</f>
        <v>0</v>
      </c>
    </row>
    <row r="366" spans="1:5" x14ac:dyDescent="0.35">
      <c r="A366" s="38">
        <v>28491</v>
      </c>
      <c r="B366" s="48">
        <f>VLOOKUP(Table311[[#This Row],[Date]],'DB Details'!$A:$L,12)</f>
        <v>57.4</v>
      </c>
      <c r="C366" s="49">
        <f>VLOOKUP(Table311[[#This Row],[Date]],'DB Details'!$A:$T,20)</f>
        <v>4.1170623423679387E-2</v>
      </c>
      <c r="D366" s="49">
        <f>VLOOKUP(Table311[[#This Row],[Date]],'DB Details'!$A:$T,18)</f>
        <v>3.191632414415807E-3</v>
      </c>
      <c r="E366" s="49">
        <f>VLOOKUP(Table311[[#This Row],[Date]],'DB Details'!$A:$T,19)</f>
        <v>1.282777891271847E-2</v>
      </c>
    </row>
    <row r="367" spans="1:5" x14ac:dyDescent="0.35">
      <c r="A367" s="38">
        <v>28522</v>
      </c>
      <c r="B367" s="48">
        <f>VLOOKUP(Table311[[#This Row],[Date]],'DB Details'!$A:$L,12)</f>
        <v>55.9</v>
      </c>
      <c r="C367" s="49">
        <f>VLOOKUP(Table311[[#This Row],[Date]],'DB Details'!$A:$T,20)</f>
        <v>0</v>
      </c>
      <c r="D367" s="49">
        <f>VLOOKUP(Table311[[#This Row],[Date]],'DB Details'!$A:$T,18)</f>
        <v>0</v>
      </c>
      <c r="E367" s="49">
        <f>VLOOKUP(Table311[[#This Row],[Date]],'DB Details'!$A:$T,19)</f>
        <v>0</v>
      </c>
    </row>
    <row r="368" spans="1:5" x14ac:dyDescent="0.35">
      <c r="A368" s="38">
        <v>28550</v>
      </c>
      <c r="B368" s="48">
        <f>VLOOKUP(Table311[[#This Row],[Date]],'DB Details'!$A:$L,12)</f>
        <v>55</v>
      </c>
      <c r="C368" s="49">
        <f>VLOOKUP(Table311[[#This Row],[Date]],'DB Details'!$A:$T,20)</f>
        <v>0</v>
      </c>
      <c r="D368" s="49">
        <f>VLOOKUP(Table311[[#This Row],[Date]],'DB Details'!$A:$T,18)</f>
        <v>0</v>
      </c>
      <c r="E368" s="49">
        <f>VLOOKUP(Table311[[#This Row],[Date]],'DB Details'!$A:$T,19)</f>
        <v>0</v>
      </c>
    </row>
    <row r="369" spans="1:5" x14ac:dyDescent="0.35">
      <c r="A369" s="38">
        <v>28581</v>
      </c>
      <c r="B369" s="48">
        <f>VLOOKUP(Table311[[#This Row],[Date]],'DB Details'!$A:$L,12)</f>
        <v>57.7</v>
      </c>
      <c r="C369" s="49">
        <f>VLOOKUP(Table311[[#This Row],[Date]],'DB Details'!$A:$T,20)</f>
        <v>6.078147798838987E-2</v>
      </c>
      <c r="D369" s="49">
        <f>VLOOKUP(Table311[[#This Row],[Date]],'DB Details'!$A:$T,18)</f>
        <v>3.8642701877278973E-2</v>
      </c>
      <c r="E369" s="49">
        <f>VLOOKUP(Table311[[#This Row],[Date]],'DB Details'!$A:$T,19)</f>
        <v>0.16376340193805031</v>
      </c>
    </row>
    <row r="370" spans="1:5" x14ac:dyDescent="0.35">
      <c r="A370" s="38">
        <v>28611</v>
      </c>
      <c r="B370" s="48">
        <f>VLOOKUP(Table311[[#This Row],[Date]],'DB Details'!$A:$L,12)</f>
        <v>60.2</v>
      </c>
      <c r="C370" s="49">
        <f>VLOOKUP(Table311[[#This Row],[Date]],'DB Details'!$A:$T,20)</f>
        <v>0</v>
      </c>
      <c r="D370" s="49">
        <f>VLOOKUP(Table311[[#This Row],[Date]],'DB Details'!$A:$T,18)</f>
        <v>0</v>
      </c>
      <c r="E370" s="49">
        <f>VLOOKUP(Table311[[#This Row],[Date]],'DB Details'!$A:$T,19)</f>
        <v>0</v>
      </c>
    </row>
    <row r="371" spans="1:5" x14ac:dyDescent="0.35">
      <c r="A371" s="38">
        <v>28642</v>
      </c>
      <c r="B371" s="48">
        <f>VLOOKUP(Table311[[#This Row],[Date]],'DB Details'!$A:$L,12)</f>
        <v>60.5</v>
      </c>
      <c r="C371" s="49">
        <f>VLOOKUP(Table311[[#This Row],[Date]],'DB Details'!$A:$T,20)</f>
        <v>0</v>
      </c>
      <c r="D371" s="49">
        <f>VLOOKUP(Table311[[#This Row],[Date]],'DB Details'!$A:$T,18)</f>
        <v>0</v>
      </c>
      <c r="E371" s="49">
        <f>VLOOKUP(Table311[[#This Row],[Date]],'DB Details'!$A:$T,19)</f>
        <v>0</v>
      </c>
    </row>
    <row r="372" spans="1:5" x14ac:dyDescent="0.35">
      <c r="A372" s="38">
        <v>28672</v>
      </c>
      <c r="B372" s="48">
        <f>VLOOKUP(Table311[[#This Row],[Date]],'DB Details'!$A:$L,12)</f>
        <v>62.2</v>
      </c>
      <c r="C372" s="49">
        <f>VLOOKUP(Table311[[#This Row],[Date]],'DB Details'!$A:$T,20)</f>
        <v>5.2457734219320623E-2</v>
      </c>
      <c r="D372" s="49">
        <f>VLOOKUP(Table311[[#This Row],[Date]],'DB Details'!$A:$T,18)</f>
        <v>1.0055171271113E-2</v>
      </c>
      <c r="E372" s="49">
        <f>VLOOKUP(Table311[[#This Row],[Date]],'DB Details'!$A:$T,19)</f>
        <v>4.0831400694179898E-2</v>
      </c>
    </row>
    <row r="373" spans="1:5" x14ac:dyDescent="0.35">
      <c r="A373" s="38">
        <v>28703</v>
      </c>
      <c r="B373" s="48">
        <f>VLOOKUP(Table311[[#This Row],[Date]],'DB Details'!$A:$L,12)</f>
        <v>60.3</v>
      </c>
      <c r="C373" s="49">
        <f>VLOOKUP(Table311[[#This Row],[Date]],'DB Details'!$A:$T,20)</f>
        <v>0</v>
      </c>
      <c r="D373" s="49">
        <f>VLOOKUP(Table311[[#This Row],[Date]],'DB Details'!$A:$T,18)</f>
        <v>0</v>
      </c>
      <c r="E373" s="49">
        <f>VLOOKUP(Table311[[#This Row],[Date]],'DB Details'!$A:$T,19)</f>
        <v>0</v>
      </c>
    </row>
    <row r="374" spans="1:5" x14ac:dyDescent="0.35">
      <c r="A374" s="38">
        <v>28734</v>
      </c>
      <c r="B374" s="48">
        <f>VLOOKUP(Table311[[#This Row],[Date]],'DB Details'!$A:$L,12)</f>
        <v>60.5</v>
      </c>
      <c r="C374" s="49">
        <f>VLOOKUP(Table311[[#This Row],[Date]],'DB Details'!$A:$T,20)</f>
        <v>0</v>
      </c>
      <c r="D374" s="49">
        <f>VLOOKUP(Table311[[#This Row],[Date]],'DB Details'!$A:$T,18)</f>
        <v>0</v>
      </c>
      <c r="E374" s="49">
        <f>VLOOKUP(Table311[[#This Row],[Date]],'DB Details'!$A:$T,19)</f>
        <v>0</v>
      </c>
    </row>
    <row r="375" spans="1:5" x14ac:dyDescent="0.35">
      <c r="A375" s="38">
        <v>28764</v>
      </c>
      <c r="B375" s="48">
        <f>VLOOKUP(Table311[[#This Row],[Date]],'DB Details'!$A:$L,12)</f>
        <v>60.1</v>
      </c>
      <c r="C375" s="49">
        <f>VLOOKUP(Table311[[#This Row],[Date]],'DB Details'!$A:$T,20)</f>
        <v>6.6580958826500586E-2</v>
      </c>
      <c r="D375" s="49">
        <f>VLOOKUP(Table311[[#This Row],[Date]],'DB Details'!$A:$T,18)</f>
        <v>1.344143063836532E-2</v>
      </c>
      <c r="E375" s="49">
        <f>VLOOKUP(Table311[[#This Row],[Date]],'DB Details'!$A:$T,19)</f>
        <v>5.4859501505211572E-2</v>
      </c>
    </row>
    <row r="376" spans="1:5" x14ac:dyDescent="0.35">
      <c r="A376" s="38">
        <v>28795</v>
      </c>
      <c r="B376" s="48">
        <f>VLOOKUP(Table311[[#This Row],[Date]],'DB Details'!$A:$L,12)</f>
        <v>61.3</v>
      </c>
      <c r="C376" s="49">
        <f>VLOOKUP(Table311[[#This Row],[Date]],'DB Details'!$A:$T,20)</f>
        <v>0</v>
      </c>
      <c r="D376" s="49">
        <f>VLOOKUP(Table311[[#This Row],[Date]],'DB Details'!$A:$T,18)</f>
        <v>0</v>
      </c>
      <c r="E376" s="49">
        <f>VLOOKUP(Table311[[#This Row],[Date]],'DB Details'!$A:$T,19)</f>
        <v>0</v>
      </c>
    </row>
    <row r="377" spans="1:5" x14ac:dyDescent="0.35">
      <c r="A377" s="38">
        <v>28825</v>
      </c>
      <c r="B377" s="48">
        <f>VLOOKUP(Table311[[#This Row],[Date]],'DB Details'!$A:$L,12)</f>
        <v>59.4</v>
      </c>
      <c r="C377" s="49">
        <f>VLOOKUP(Table311[[#This Row],[Date]],'DB Details'!$A:$T,20)</f>
        <v>0</v>
      </c>
      <c r="D377" s="49">
        <f>VLOOKUP(Table311[[#This Row],[Date]],'DB Details'!$A:$T,18)</f>
        <v>0</v>
      </c>
      <c r="E377" s="49">
        <f>VLOOKUP(Table311[[#This Row],[Date]],'DB Details'!$A:$T,19)</f>
        <v>0</v>
      </c>
    </row>
    <row r="378" spans="1:5" x14ac:dyDescent="0.35">
      <c r="A378" s="38">
        <v>28856</v>
      </c>
      <c r="B378" s="48">
        <f>VLOOKUP(Table311[[#This Row],[Date]],'DB Details'!$A:$L,12)</f>
        <v>58.5</v>
      </c>
      <c r="C378" s="49">
        <f>VLOOKUP(Table311[[#This Row],[Date]],'DB Details'!$A:$T,20)</f>
        <v>6.509913089167918E-2</v>
      </c>
      <c r="D378" s="49">
        <f>VLOOKUP(Table311[[#This Row],[Date]],'DB Details'!$A:$T,18)</f>
        <v>1.797872875968448E-3</v>
      </c>
      <c r="E378" s="49">
        <f>VLOOKUP(Table311[[#This Row],[Date]],'DB Details'!$A:$T,19)</f>
        <v>7.2109088409857414E-3</v>
      </c>
    </row>
    <row r="379" spans="1:5" x14ac:dyDescent="0.35">
      <c r="A379" s="38">
        <v>28887</v>
      </c>
      <c r="B379" s="48">
        <f>VLOOKUP(Table311[[#This Row],[Date]],'DB Details'!$A:$L,12)</f>
        <v>58.2</v>
      </c>
      <c r="C379" s="49">
        <f>VLOOKUP(Table311[[#This Row],[Date]],'DB Details'!$A:$T,20)</f>
        <v>0</v>
      </c>
      <c r="D379" s="49">
        <f>VLOOKUP(Table311[[#This Row],[Date]],'DB Details'!$A:$T,18)</f>
        <v>0</v>
      </c>
      <c r="E379" s="49">
        <f>VLOOKUP(Table311[[#This Row],[Date]],'DB Details'!$A:$T,19)</f>
        <v>0</v>
      </c>
    </row>
    <row r="380" spans="1:5" x14ac:dyDescent="0.35">
      <c r="A380" s="38">
        <v>28915</v>
      </c>
      <c r="B380" s="48">
        <f>VLOOKUP(Table311[[#This Row],[Date]],'DB Details'!$A:$L,12)</f>
        <v>57.7</v>
      </c>
      <c r="C380" s="49">
        <f>VLOOKUP(Table311[[#This Row],[Date]],'DB Details'!$A:$T,20)</f>
        <v>0</v>
      </c>
      <c r="D380" s="49">
        <f>VLOOKUP(Table311[[#This Row],[Date]],'DB Details'!$A:$T,18)</f>
        <v>0</v>
      </c>
      <c r="E380" s="49">
        <f>VLOOKUP(Table311[[#This Row],[Date]],'DB Details'!$A:$T,19)</f>
        <v>0</v>
      </c>
    </row>
    <row r="381" spans="1:5" x14ac:dyDescent="0.35">
      <c r="A381" s="38">
        <v>28946</v>
      </c>
      <c r="B381" s="48">
        <f>VLOOKUP(Table311[[#This Row],[Date]],'DB Details'!$A:$L,12)</f>
        <v>56.2</v>
      </c>
      <c r="C381" s="49">
        <f>VLOOKUP(Table311[[#This Row],[Date]],'DB Details'!$A:$T,20)</f>
        <v>2.6568550627374739E-2</v>
      </c>
      <c r="D381" s="49">
        <f>VLOOKUP(Table311[[#This Row],[Date]],'DB Details'!$A:$T,18)</f>
        <v>1.069198313236971E-3</v>
      </c>
      <c r="E381" s="49">
        <f>VLOOKUP(Table311[[#This Row],[Date]],'DB Details'!$A:$T,19)</f>
        <v>4.2836572536188999E-3</v>
      </c>
    </row>
    <row r="382" spans="1:5" x14ac:dyDescent="0.35">
      <c r="A382" s="38">
        <v>28976</v>
      </c>
      <c r="B382" s="48">
        <f>VLOOKUP(Table311[[#This Row],[Date]],'DB Details'!$A:$L,12)</f>
        <v>54.4</v>
      </c>
      <c r="C382" s="49">
        <f>VLOOKUP(Table311[[#This Row],[Date]],'DB Details'!$A:$T,20)</f>
        <v>0</v>
      </c>
      <c r="D382" s="49">
        <f>VLOOKUP(Table311[[#This Row],[Date]],'DB Details'!$A:$T,18)</f>
        <v>0</v>
      </c>
      <c r="E382" s="49">
        <f>VLOOKUP(Table311[[#This Row],[Date]],'DB Details'!$A:$T,19)</f>
        <v>0</v>
      </c>
    </row>
    <row r="383" spans="1:5" x14ac:dyDescent="0.35">
      <c r="A383" s="38">
        <v>29007</v>
      </c>
      <c r="B383" s="48">
        <f>VLOOKUP(Table311[[#This Row],[Date]],'DB Details'!$A:$L,12)</f>
        <v>52.7</v>
      </c>
      <c r="C383" s="49">
        <f>VLOOKUP(Table311[[#This Row],[Date]],'DB Details'!$A:$T,20)</f>
        <v>0</v>
      </c>
      <c r="D383" s="49">
        <f>VLOOKUP(Table311[[#This Row],[Date]],'DB Details'!$A:$T,18)</f>
        <v>0</v>
      </c>
      <c r="E383" s="49">
        <f>VLOOKUP(Table311[[#This Row],[Date]],'DB Details'!$A:$T,19)</f>
        <v>0</v>
      </c>
    </row>
    <row r="384" spans="1:5" x14ac:dyDescent="0.35">
      <c r="A384" s="38">
        <v>29037</v>
      </c>
      <c r="B384" s="48">
        <f>VLOOKUP(Table311[[#This Row],[Date]],'DB Details'!$A:$L,12)</f>
        <v>51.3</v>
      </c>
      <c r="C384" s="49">
        <f>VLOOKUP(Table311[[#This Row],[Date]],'DB Details'!$A:$T,20)</f>
        <v>2.3899154129708951E-2</v>
      </c>
      <c r="D384" s="49">
        <f>VLOOKUP(Table311[[#This Row],[Date]],'DB Details'!$A:$T,18)</f>
        <v>7.4287146794002048E-3</v>
      </c>
      <c r="E384" s="49">
        <f>VLOOKUP(Table311[[#This Row],[Date]],'DB Details'!$A:$T,19)</f>
        <v>3.0047616412103961E-2</v>
      </c>
    </row>
    <row r="385" spans="1:5" x14ac:dyDescent="0.35">
      <c r="A385" s="38">
        <v>29068</v>
      </c>
      <c r="B385" s="48">
        <f>VLOOKUP(Table311[[#This Row],[Date]],'DB Details'!$A:$L,12)</f>
        <v>49.5</v>
      </c>
      <c r="C385" s="49">
        <f>VLOOKUP(Table311[[#This Row],[Date]],'DB Details'!$A:$T,20)</f>
        <v>0</v>
      </c>
      <c r="D385" s="49">
        <f>VLOOKUP(Table311[[#This Row],[Date]],'DB Details'!$A:$T,18)</f>
        <v>0</v>
      </c>
      <c r="E385" s="49">
        <f>VLOOKUP(Table311[[#This Row],[Date]],'DB Details'!$A:$T,19)</f>
        <v>0</v>
      </c>
    </row>
    <row r="386" spans="1:5" x14ac:dyDescent="0.35">
      <c r="A386" s="38">
        <v>29099</v>
      </c>
      <c r="B386" s="48">
        <f>VLOOKUP(Table311[[#This Row],[Date]],'DB Details'!$A:$L,12)</f>
        <v>49.6</v>
      </c>
      <c r="C386" s="49">
        <f>VLOOKUP(Table311[[#This Row],[Date]],'DB Details'!$A:$T,20)</f>
        <v>0</v>
      </c>
      <c r="D386" s="49">
        <f>VLOOKUP(Table311[[#This Row],[Date]],'DB Details'!$A:$T,18)</f>
        <v>0</v>
      </c>
      <c r="E386" s="49">
        <f>VLOOKUP(Table311[[#This Row],[Date]],'DB Details'!$A:$T,19)</f>
        <v>0</v>
      </c>
    </row>
    <row r="387" spans="1:5" x14ac:dyDescent="0.35">
      <c r="A387" s="38">
        <v>29129</v>
      </c>
      <c r="B387" s="48">
        <f>VLOOKUP(Table311[[#This Row],[Date]],'DB Details'!$A:$L,12)</f>
        <v>49</v>
      </c>
      <c r="C387" s="49">
        <f>VLOOKUP(Table311[[#This Row],[Date]],'DB Details'!$A:$T,20)</f>
        <v>1.2845576723374779E-2</v>
      </c>
      <c r="D387" s="49">
        <f>VLOOKUP(Table311[[#This Row],[Date]],'DB Details'!$A:$T,18)</f>
        <v>2.500750342688359E-3</v>
      </c>
      <c r="E387" s="49">
        <f>VLOOKUP(Table311[[#This Row],[Date]],'DB Details'!$A:$T,19)</f>
        <v>1.0040586479814319E-2</v>
      </c>
    </row>
    <row r="388" spans="1:5" x14ac:dyDescent="0.35">
      <c r="A388" s="38">
        <v>29160</v>
      </c>
      <c r="B388" s="48">
        <f>VLOOKUP(Table311[[#This Row],[Date]],'DB Details'!$A:$L,12)</f>
        <v>48</v>
      </c>
      <c r="C388" s="49">
        <f>VLOOKUP(Table311[[#This Row],[Date]],'DB Details'!$A:$T,20)</f>
        <v>0</v>
      </c>
      <c r="D388" s="49">
        <f>VLOOKUP(Table311[[#This Row],[Date]],'DB Details'!$A:$T,18)</f>
        <v>0</v>
      </c>
      <c r="E388" s="49">
        <f>VLOOKUP(Table311[[#This Row],[Date]],'DB Details'!$A:$T,19)</f>
        <v>0</v>
      </c>
    </row>
    <row r="389" spans="1:5" x14ac:dyDescent="0.35">
      <c r="A389" s="38">
        <v>29190</v>
      </c>
      <c r="B389" s="48">
        <f>VLOOKUP(Table311[[#This Row],[Date]],'DB Details'!$A:$L,12)</f>
        <v>44.8</v>
      </c>
      <c r="C389" s="49">
        <f>VLOOKUP(Table311[[#This Row],[Date]],'DB Details'!$A:$T,20)</f>
        <v>0</v>
      </c>
      <c r="D389" s="49">
        <f>VLOOKUP(Table311[[#This Row],[Date]],'DB Details'!$A:$T,18)</f>
        <v>0</v>
      </c>
      <c r="E389" s="49">
        <f>VLOOKUP(Table311[[#This Row],[Date]],'DB Details'!$A:$T,19)</f>
        <v>0</v>
      </c>
    </row>
    <row r="390" spans="1:5" x14ac:dyDescent="0.35">
      <c r="A390" s="38">
        <v>29221</v>
      </c>
      <c r="B390" s="48">
        <f>VLOOKUP(Table311[[#This Row],[Date]],'DB Details'!$A:$L,12)</f>
        <v>46.2</v>
      </c>
      <c r="C390" s="49">
        <f>VLOOKUP(Table311[[#This Row],[Date]],'DB Details'!$A:$T,20)</f>
        <v>1.420775265869138E-2</v>
      </c>
      <c r="D390" s="49">
        <f>VLOOKUP(Table311[[#This Row],[Date]],'DB Details'!$A:$T,18)</f>
        <v>3.1451907552622021E-3</v>
      </c>
      <c r="E390" s="49">
        <f>VLOOKUP(Table311[[#This Row],[Date]],'DB Details'!$A:$T,19)</f>
        <v>1.264024091996396E-2</v>
      </c>
    </row>
    <row r="391" spans="1:5" x14ac:dyDescent="0.35">
      <c r="A391" s="38">
        <v>29252</v>
      </c>
      <c r="B391" s="48">
        <f>VLOOKUP(Table311[[#This Row],[Date]],'DB Details'!$A:$L,12)</f>
        <v>50.2</v>
      </c>
      <c r="C391" s="49">
        <f>VLOOKUP(Table311[[#This Row],[Date]],'DB Details'!$A:$T,20)</f>
        <v>0</v>
      </c>
      <c r="D391" s="49">
        <f>VLOOKUP(Table311[[#This Row],[Date]],'DB Details'!$A:$T,18)</f>
        <v>0</v>
      </c>
      <c r="E391" s="49">
        <f>VLOOKUP(Table311[[#This Row],[Date]],'DB Details'!$A:$T,19)</f>
        <v>0</v>
      </c>
    </row>
    <row r="392" spans="1:5" x14ac:dyDescent="0.35">
      <c r="A392" s="38">
        <v>29281</v>
      </c>
      <c r="B392" s="48">
        <f>VLOOKUP(Table311[[#This Row],[Date]],'DB Details'!$A:$L,12)</f>
        <v>43.6</v>
      </c>
      <c r="C392" s="49">
        <f>VLOOKUP(Table311[[#This Row],[Date]],'DB Details'!$A:$T,20)</f>
        <v>0</v>
      </c>
      <c r="D392" s="49">
        <f>VLOOKUP(Table311[[#This Row],[Date]],'DB Details'!$A:$T,18)</f>
        <v>0</v>
      </c>
      <c r="E392" s="49">
        <f>VLOOKUP(Table311[[#This Row],[Date]],'DB Details'!$A:$T,19)</f>
        <v>0</v>
      </c>
    </row>
    <row r="393" spans="1:5" x14ac:dyDescent="0.35">
      <c r="A393" s="38">
        <v>29312</v>
      </c>
      <c r="B393" s="48">
        <f>VLOOKUP(Table311[[#This Row],[Date]],'DB Details'!$A:$L,12)</f>
        <v>37.4</v>
      </c>
      <c r="C393" s="49">
        <f>VLOOKUP(Table311[[#This Row],[Date]],'DB Details'!$A:$T,20)</f>
        <v>-7.7506271295789192E-3</v>
      </c>
      <c r="D393" s="49">
        <f>VLOOKUP(Table311[[#This Row],[Date]],'DB Details'!$A:$T,18)</f>
        <v>-2.0604721643770911E-2</v>
      </c>
      <c r="E393" s="49">
        <f>VLOOKUP(Table311[[#This Row],[Date]],'DB Details'!$A:$T,19)</f>
        <v>-7.9906370318043152E-2</v>
      </c>
    </row>
    <row r="394" spans="1:5" x14ac:dyDescent="0.35">
      <c r="A394" s="38">
        <v>29342</v>
      </c>
      <c r="B394" s="48">
        <f>VLOOKUP(Table311[[#This Row],[Date]],'DB Details'!$A:$L,12)</f>
        <v>29.4</v>
      </c>
      <c r="C394" s="49">
        <f>VLOOKUP(Table311[[#This Row],[Date]],'DB Details'!$A:$T,20)</f>
        <v>0</v>
      </c>
      <c r="D394" s="49">
        <f>VLOOKUP(Table311[[#This Row],[Date]],'DB Details'!$A:$T,18)</f>
        <v>0</v>
      </c>
      <c r="E394" s="49">
        <f>VLOOKUP(Table311[[#This Row],[Date]],'DB Details'!$A:$T,19)</f>
        <v>0</v>
      </c>
    </row>
    <row r="395" spans="1:5" x14ac:dyDescent="0.35">
      <c r="A395" s="38">
        <v>29373</v>
      </c>
      <c r="B395" s="48">
        <f>VLOOKUP(Table311[[#This Row],[Date]],'DB Details'!$A:$L,12)</f>
        <v>30.3</v>
      </c>
      <c r="C395" s="49">
        <f>VLOOKUP(Table311[[#This Row],[Date]],'DB Details'!$A:$T,20)</f>
        <v>0</v>
      </c>
      <c r="D395" s="49">
        <f>VLOOKUP(Table311[[#This Row],[Date]],'DB Details'!$A:$T,18)</f>
        <v>0</v>
      </c>
      <c r="E395" s="49">
        <f>VLOOKUP(Table311[[#This Row],[Date]],'DB Details'!$A:$T,19)</f>
        <v>0</v>
      </c>
    </row>
    <row r="396" spans="1:5" x14ac:dyDescent="0.35">
      <c r="A396" s="38">
        <v>29403</v>
      </c>
      <c r="B396" s="48">
        <f>VLOOKUP(Table311[[#This Row],[Date]],'DB Details'!$A:$L,12)</f>
        <v>35</v>
      </c>
      <c r="C396" s="49">
        <f>VLOOKUP(Table311[[#This Row],[Date]],'DB Details'!$A:$T,20)</f>
        <v>-1.6237974306972859E-2</v>
      </c>
      <c r="D396" s="49">
        <f>VLOOKUP(Table311[[#This Row],[Date]],'DB Details'!$A:$T,18)</f>
        <v>-1.188471173007907E-3</v>
      </c>
      <c r="E396" s="49">
        <f>VLOOKUP(Table311[[#This Row],[Date]],'DB Details'!$A:$T,19)</f>
        <v>-4.745416622351839E-3</v>
      </c>
    </row>
    <row r="397" spans="1:5" x14ac:dyDescent="0.35">
      <c r="A397" s="38">
        <v>29434</v>
      </c>
      <c r="B397" s="48">
        <f>VLOOKUP(Table311[[#This Row],[Date]],'DB Details'!$A:$L,12)</f>
        <v>45.5</v>
      </c>
      <c r="C397" s="49">
        <f>VLOOKUP(Table311[[#This Row],[Date]],'DB Details'!$A:$T,20)</f>
        <v>0</v>
      </c>
      <c r="D397" s="49">
        <f>VLOOKUP(Table311[[#This Row],[Date]],'DB Details'!$A:$T,18)</f>
        <v>0</v>
      </c>
      <c r="E397" s="49">
        <f>VLOOKUP(Table311[[#This Row],[Date]],'DB Details'!$A:$T,19)</f>
        <v>0</v>
      </c>
    </row>
    <row r="398" spans="1:5" x14ac:dyDescent="0.35">
      <c r="A398" s="38">
        <v>29465</v>
      </c>
      <c r="B398" s="48">
        <f>VLOOKUP(Table311[[#This Row],[Date]],'DB Details'!$A:$L,12)</f>
        <v>50.1</v>
      </c>
      <c r="C398" s="49">
        <f>VLOOKUP(Table311[[#This Row],[Date]],'DB Details'!$A:$T,20)</f>
        <v>0</v>
      </c>
      <c r="D398" s="49">
        <f>VLOOKUP(Table311[[#This Row],[Date]],'DB Details'!$A:$T,18)</f>
        <v>0</v>
      </c>
      <c r="E398" s="49">
        <f>VLOOKUP(Table311[[#This Row],[Date]],'DB Details'!$A:$T,19)</f>
        <v>0</v>
      </c>
    </row>
    <row r="399" spans="1:5" x14ac:dyDescent="0.35">
      <c r="A399" s="38">
        <v>29495</v>
      </c>
      <c r="B399" s="48">
        <f>VLOOKUP(Table311[[#This Row],[Date]],'DB Details'!$A:$L,12)</f>
        <v>55.5</v>
      </c>
      <c r="C399" s="49">
        <f>VLOOKUP(Table311[[#This Row],[Date]],'DB Details'!$A:$T,20)</f>
        <v>-3.9131615354252831E-4</v>
      </c>
      <c r="D399" s="49">
        <f>VLOOKUP(Table311[[#This Row],[Date]],'DB Details'!$A:$T,18)</f>
        <v>1.8649256052742209E-2</v>
      </c>
      <c r="E399" s="49">
        <f>VLOOKUP(Table311[[#This Row],[Date]],'DB Details'!$A:$T,19)</f>
        <v>7.6709858133567232E-2</v>
      </c>
    </row>
    <row r="400" spans="1:5" x14ac:dyDescent="0.35">
      <c r="A400" s="38">
        <v>29526</v>
      </c>
      <c r="B400" s="48">
        <f>VLOOKUP(Table311[[#This Row],[Date]],'DB Details'!$A:$L,12)</f>
        <v>58.2</v>
      </c>
      <c r="C400" s="49">
        <f>VLOOKUP(Table311[[#This Row],[Date]],'DB Details'!$A:$T,20)</f>
        <v>0</v>
      </c>
      <c r="D400" s="49">
        <f>VLOOKUP(Table311[[#This Row],[Date]],'DB Details'!$A:$T,18)</f>
        <v>0</v>
      </c>
      <c r="E400" s="49">
        <f>VLOOKUP(Table311[[#This Row],[Date]],'DB Details'!$A:$T,19)</f>
        <v>0</v>
      </c>
    </row>
    <row r="401" spans="1:5" x14ac:dyDescent="0.35">
      <c r="A401" s="38">
        <v>29556</v>
      </c>
      <c r="B401" s="48">
        <f>VLOOKUP(Table311[[#This Row],[Date]],'DB Details'!$A:$L,12)</f>
        <v>53</v>
      </c>
      <c r="C401" s="49">
        <f>VLOOKUP(Table311[[#This Row],[Date]],'DB Details'!$A:$T,20)</f>
        <v>0</v>
      </c>
      <c r="D401" s="49">
        <f>VLOOKUP(Table311[[#This Row],[Date]],'DB Details'!$A:$T,18)</f>
        <v>0</v>
      </c>
      <c r="E401" s="49">
        <f>VLOOKUP(Table311[[#This Row],[Date]],'DB Details'!$A:$T,19)</f>
        <v>0</v>
      </c>
    </row>
    <row r="402" spans="1:5" x14ac:dyDescent="0.35">
      <c r="A402" s="38">
        <v>29587</v>
      </c>
      <c r="B402" s="48">
        <f>VLOOKUP(Table311[[#This Row],[Date]],'DB Details'!$A:$L,12)</f>
        <v>49.2</v>
      </c>
      <c r="C402" s="49">
        <f>VLOOKUP(Table311[[#This Row],[Date]],'DB Details'!$A:$T,20)</f>
        <v>1.5999797720674402E-2</v>
      </c>
      <c r="D402" s="49">
        <f>VLOOKUP(Table311[[#This Row],[Date]],'DB Details'!$A:$T,18)</f>
        <v>1.959429460935417E-2</v>
      </c>
      <c r="E402" s="49">
        <f>VLOOKUP(Table311[[#This Row],[Date]],'DB Details'!$A:$T,19)</f>
        <v>8.0711035982251378E-2</v>
      </c>
    </row>
    <row r="403" spans="1:5" x14ac:dyDescent="0.35">
      <c r="A403" s="38">
        <v>29618</v>
      </c>
      <c r="B403" s="48">
        <f>VLOOKUP(Table311[[#This Row],[Date]],'DB Details'!$A:$L,12)</f>
        <v>48.8</v>
      </c>
      <c r="C403" s="49">
        <f>VLOOKUP(Table311[[#This Row],[Date]],'DB Details'!$A:$T,20)</f>
        <v>0</v>
      </c>
      <c r="D403" s="49">
        <f>VLOOKUP(Table311[[#This Row],[Date]],'DB Details'!$A:$T,18)</f>
        <v>0</v>
      </c>
      <c r="E403" s="49">
        <f>VLOOKUP(Table311[[#This Row],[Date]],'DB Details'!$A:$T,19)</f>
        <v>0</v>
      </c>
    </row>
    <row r="404" spans="1:5" x14ac:dyDescent="0.35">
      <c r="A404" s="38">
        <v>29646</v>
      </c>
      <c r="B404" s="48">
        <f>VLOOKUP(Table311[[#This Row],[Date]],'DB Details'!$A:$L,12)</f>
        <v>49.6</v>
      </c>
      <c r="C404" s="49">
        <f>VLOOKUP(Table311[[#This Row],[Date]],'DB Details'!$A:$T,20)</f>
        <v>0</v>
      </c>
      <c r="D404" s="49">
        <f>VLOOKUP(Table311[[#This Row],[Date]],'DB Details'!$A:$T,18)</f>
        <v>0</v>
      </c>
      <c r="E404" s="49">
        <f>VLOOKUP(Table311[[#This Row],[Date]],'DB Details'!$A:$T,19)</f>
        <v>0</v>
      </c>
    </row>
    <row r="405" spans="1:5" x14ac:dyDescent="0.35">
      <c r="A405" s="38">
        <v>29677</v>
      </c>
      <c r="B405" s="48">
        <f>VLOOKUP(Table311[[#This Row],[Date]],'DB Details'!$A:$L,12)</f>
        <v>51.6</v>
      </c>
      <c r="C405" s="49">
        <f>VLOOKUP(Table311[[#This Row],[Date]],'DB Details'!$A:$T,20)</f>
        <v>2.968700707322398E-2</v>
      </c>
      <c r="D405" s="49">
        <f>VLOOKUP(Table311[[#This Row],[Date]],'DB Details'!$A:$T,18)</f>
        <v>-7.4106361293506404E-3</v>
      </c>
      <c r="E405" s="49">
        <f>VLOOKUP(Table311[[#This Row],[Date]],'DB Details'!$A:$T,19)</f>
        <v>-2.931466422968176E-2</v>
      </c>
    </row>
    <row r="406" spans="1:5" x14ac:dyDescent="0.35">
      <c r="A406" s="38">
        <v>29707</v>
      </c>
      <c r="B406" s="48">
        <f>VLOOKUP(Table311[[#This Row],[Date]],'DB Details'!$A:$L,12)</f>
        <v>53.5</v>
      </c>
      <c r="C406" s="49">
        <f>VLOOKUP(Table311[[#This Row],[Date]],'DB Details'!$A:$T,20)</f>
        <v>0</v>
      </c>
      <c r="D406" s="49">
        <f>VLOOKUP(Table311[[#This Row],[Date]],'DB Details'!$A:$T,18)</f>
        <v>0</v>
      </c>
      <c r="E406" s="49">
        <f>VLOOKUP(Table311[[#This Row],[Date]],'DB Details'!$A:$T,19)</f>
        <v>0</v>
      </c>
    </row>
    <row r="407" spans="1:5" x14ac:dyDescent="0.35">
      <c r="A407" s="38">
        <v>29738</v>
      </c>
      <c r="B407" s="48">
        <f>VLOOKUP(Table311[[#This Row],[Date]],'DB Details'!$A:$L,12)</f>
        <v>50.7</v>
      </c>
      <c r="C407" s="49">
        <f>VLOOKUP(Table311[[#This Row],[Date]],'DB Details'!$A:$T,20)</f>
        <v>0</v>
      </c>
      <c r="D407" s="49">
        <f>VLOOKUP(Table311[[#This Row],[Date]],'DB Details'!$A:$T,18)</f>
        <v>0</v>
      </c>
      <c r="E407" s="49">
        <f>VLOOKUP(Table311[[#This Row],[Date]],'DB Details'!$A:$T,19)</f>
        <v>0</v>
      </c>
    </row>
    <row r="408" spans="1:5" x14ac:dyDescent="0.35">
      <c r="A408" s="38">
        <v>29768</v>
      </c>
      <c r="B408" s="48">
        <f>VLOOKUP(Table311[[#This Row],[Date]],'DB Details'!$A:$L,12)</f>
        <v>46.7</v>
      </c>
      <c r="C408" s="49">
        <f>VLOOKUP(Table311[[#This Row],[Date]],'DB Details'!$A:$T,20)</f>
        <v>4.3257650212562768E-2</v>
      </c>
      <c r="D408" s="49">
        <f>VLOOKUP(Table311[[#This Row],[Date]],'DB Details'!$A:$T,18)</f>
        <v>1.1975252102180129E-2</v>
      </c>
      <c r="E408" s="49">
        <f>VLOOKUP(Table311[[#This Row],[Date]],'DB Details'!$A:$T,19)</f>
        <v>4.8768338275421819E-2</v>
      </c>
    </row>
    <row r="409" spans="1:5" x14ac:dyDescent="0.35">
      <c r="A409" s="38">
        <v>29799</v>
      </c>
      <c r="B409" s="48">
        <f>VLOOKUP(Table311[[#This Row],[Date]],'DB Details'!$A:$L,12)</f>
        <v>48.3</v>
      </c>
      <c r="C409" s="49">
        <f>VLOOKUP(Table311[[#This Row],[Date]],'DB Details'!$A:$T,20)</f>
        <v>0</v>
      </c>
      <c r="D409" s="49">
        <f>VLOOKUP(Table311[[#This Row],[Date]],'DB Details'!$A:$T,18)</f>
        <v>0</v>
      </c>
      <c r="E409" s="49">
        <f>VLOOKUP(Table311[[#This Row],[Date]],'DB Details'!$A:$T,19)</f>
        <v>0</v>
      </c>
    </row>
    <row r="410" spans="1:5" x14ac:dyDescent="0.35">
      <c r="A410" s="38">
        <v>29830</v>
      </c>
      <c r="B410" s="48">
        <f>VLOOKUP(Table311[[#This Row],[Date]],'DB Details'!$A:$L,12)</f>
        <v>42.5</v>
      </c>
      <c r="C410" s="49">
        <f>VLOOKUP(Table311[[#This Row],[Date]],'DB Details'!$A:$T,20)</f>
        <v>0</v>
      </c>
      <c r="D410" s="49">
        <f>VLOOKUP(Table311[[#This Row],[Date]],'DB Details'!$A:$T,18)</f>
        <v>0</v>
      </c>
      <c r="E410" s="49">
        <f>VLOOKUP(Table311[[#This Row],[Date]],'DB Details'!$A:$T,19)</f>
        <v>0</v>
      </c>
    </row>
    <row r="411" spans="1:5" x14ac:dyDescent="0.35">
      <c r="A411" s="38">
        <v>29860</v>
      </c>
      <c r="B411" s="48">
        <f>VLOOKUP(Table311[[#This Row],[Date]],'DB Details'!$A:$L,12)</f>
        <v>40</v>
      </c>
      <c r="C411" s="49">
        <f>VLOOKUP(Table311[[#This Row],[Date]],'DB Details'!$A:$T,20)</f>
        <v>1.2999011572913281E-2</v>
      </c>
      <c r="D411" s="49">
        <f>VLOOKUP(Table311[[#This Row],[Date]],'DB Details'!$A:$T,18)</f>
        <v>-1.0895640870053E-2</v>
      </c>
      <c r="E411" s="49">
        <f>VLOOKUP(Table311[[#This Row],[Date]],'DB Details'!$A:$T,19)</f>
        <v>-4.2875433350734633E-2</v>
      </c>
    </row>
    <row r="412" spans="1:5" x14ac:dyDescent="0.35">
      <c r="A412" s="38">
        <v>29891</v>
      </c>
      <c r="B412" s="48">
        <f>VLOOKUP(Table311[[#This Row],[Date]],'DB Details'!$A:$L,12)</f>
        <v>36.1</v>
      </c>
      <c r="C412" s="49">
        <f>VLOOKUP(Table311[[#This Row],[Date]],'DB Details'!$A:$T,20)</f>
        <v>0</v>
      </c>
      <c r="D412" s="49">
        <f>VLOOKUP(Table311[[#This Row],[Date]],'DB Details'!$A:$T,18)</f>
        <v>0</v>
      </c>
      <c r="E412" s="49">
        <f>VLOOKUP(Table311[[#This Row],[Date]],'DB Details'!$A:$T,19)</f>
        <v>0</v>
      </c>
    </row>
    <row r="413" spans="1:5" x14ac:dyDescent="0.35">
      <c r="A413" s="38">
        <v>29921</v>
      </c>
      <c r="B413" s="48">
        <f>VLOOKUP(Table311[[#This Row],[Date]],'DB Details'!$A:$L,12)</f>
        <v>37.799999999999997</v>
      </c>
      <c r="C413" s="49">
        <f>VLOOKUP(Table311[[#This Row],[Date]],'DB Details'!$A:$T,20)</f>
        <v>0</v>
      </c>
      <c r="D413" s="49">
        <f>VLOOKUP(Table311[[#This Row],[Date]],'DB Details'!$A:$T,18)</f>
        <v>0</v>
      </c>
      <c r="E413" s="49">
        <f>VLOOKUP(Table311[[#This Row],[Date]],'DB Details'!$A:$T,19)</f>
        <v>0</v>
      </c>
    </row>
    <row r="414" spans="1:5" x14ac:dyDescent="0.35">
      <c r="A414" s="38">
        <v>29952</v>
      </c>
      <c r="B414" s="48">
        <f>VLOOKUP(Table311[[#This Row],[Date]],'DB Details'!$A:$L,12)</f>
        <v>38.200000000000003</v>
      </c>
      <c r="C414" s="49">
        <f>VLOOKUP(Table311[[#This Row],[Date]],'DB Details'!$A:$T,20)</f>
        <v>-2.1903489824850589E-2</v>
      </c>
      <c r="D414" s="49">
        <f>VLOOKUP(Table311[[#This Row],[Date]],'DB Details'!$A:$T,18)</f>
        <v>-1.5535444794338851E-2</v>
      </c>
      <c r="E414" s="49">
        <f>VLOOKUP(Table311[[#This Row],[Date]],'DB Details'!$A:$T,19)</f>
        <v>-6.0708618578961808E-2</v>
      </c>
    </row>
    <row r="415" spans="1:5" x14ac:dyDescent="0.35">
      <c r="A415" s="38">
        <v>29983</v>
      </c>
      <c r="B415" s="48">
        <f>VLOOKUP(Table311[[#This Row],[Date]],'DB Details'!$A:$L,12)</f>
        <v>38.299999999999997</v>
      </c>
      <c r="C415" s="49">
        <f>VLOOKUP(Table311[[#This Row],[Date]],'DB Details'!$A:$T,20)</f>
        <v>0</v>
      </c>
      <c r="D415" s="49">
        <f>VLOOKUP(Table311[[#This Row],[Date]],'DB Details'!$A:$T,18)</f>
        <v>0</v>
      </c>
      <c r="E415" s="49">
        <f>VLOOKUP(Table311[[#This Row],[Date]],'DB Details'!$A:$T,19)</f>
        <v>0</v>
      </c>
    </row>
    <row r="416" spans="1:5" x14ac:dyDescent="0.35">
      <c r="A416" s="38">
        <v>30011</v>
      </c>
      <c r="B416" s="48">
        <f>VLOOKUP(Table311[[#This Row],[Date]],'DB Details'!$A:$L,12)</f>
        <v>36.799999999999997</v>
      </c>
      <c r="C416" s="49">
        <f>VLOOKUP(Table311[[#This Row],[Date]],'DB Details'!$A:$T,20)</f>
        <v>0</v>
      </c>
      <c r="D416" s="49">
        <f>VLOOKUP(Table311[[#This Row],[Date]],'DB Details'!$A:$T,18)</f>
        <v>0</v>
      </c>
      <c r="E416" s="49">
        <f>VLOOKUP(Table311[[#This Row],[Date]],'DB Details'!$A:$T,19)</f>
        <v>0</v>
      </c>
    </row>
    <row r="417" spans="1:5" x14ac:dyDescent="0.35">
      <c r="A417" s="38">
        <v>30042</v>
      </c>
      <c r="B417" s="48">
        <f>VLOOKUP(Table311[[#This Row],[Date]],'DB Details'!$A:$L,12)</f>
        <v>37.799999999999997</v>
      </c>
      <c r="C417" s="49">
        <f>VLOOKUP(Table311[[#This Row],[Date]],'DB Details'!$A:$T,20)</f>
        <v>-1.0105681465743289E-2</v>
      </c>
      <c r="D417" s="49">
        <f>VLOOKUP(Table311[[#This Row],[Date]],'DB Details'!$A:$T,18)</f>
        <v>4.5619851533253864E-3</v>
      </c>
      <c r="E417" s="49">
        <f>VLOOKUP(Table311[[#This Row],[Date]],'DB Details'!$A:$T,19)</f>
        <v>1.8373191068485228E-2</v>
      </c>
    </row>
    <row r="418" spans="1:5" x14ac:dyDescent="0.35">
      <c r="A418" s="38">
        <v>30072</v>
      </c>
      <c r="B418" s="48">
        <f>VLOOKUP(Table311[[#This Row],[Date]],'DB Details'!$A:$L,12)</f>
        <v>35.5</v>
      </c>
      <c r="C418" s="49">
        <f>VLOOKUP(Table311[[#This Row],[Date]],'DB Details'!$A:$T,20)</f>
        <v>0</v>
      </c>
      <c r="D418" s="49">
        <f>VLOOKUP(Table311[[#This Row],[Date]],'DB Details'!$A:$T,18)</f>
        <v>0</v>
      </c>
      <c r="E418" s="49">
        <f>VLOOKUP(Table311[[#This Row],[Date]],'DB Details'!$A:$T,19)</f>
        <v>0</v>
      </c>
    </row>
    <row r="419" spans="1:5" x14ac:dyDescent="0.35">
      <c r="A419" s="38">
        <v>30103</v>
      </c>
      <c r="B419" s="48">
        <f>VLOOKUP(Table311[[#This Row],[Date]],'DB Details'!$A:$L,12)</f>
        <v>38.299999999999997</v>
      </c>
      <c r="C419" s="49">
        <f>VLOOKUP(Table311[[#This Row],[Date]],'DB Details'!$A:$T,20)</f>
        <v>0</v>
      </c>
      <c r="D419" s="49">
        <f>VLOOKUP(Table311[[#This Row],[Date]],'DB Details'!$A:$T,18)</f>
        <v>0</v>
      </c>
      <c r="E419" s="49">
        <f>VLOOKUP(Table311[[#This Row],[Date]],'DB Details'!$A:$T,19)</f>
        <v>0</v>
      </c>
    </row>
    <row r="420" spans="1:5" x14ac:dyDescent="0.35">
      <c r="A420" s="38">
        <v>30133</v>
      </c>
      <c r="B420" s="48">
        <f>VLOOKUP(Table311[[#This Row],[Date]],'DB Details'!$A:$L,12)</f>
        <v>38.4</v>
      </c>
      <c r="C420" s="49">
        <f>VLOOKUP(Table311[[#This Row],[Date]],'DB Details'!$A:$T,20)</f>
        <v>-2.5559214328054209E-2</v>
      </c>
      <c r="D420" s="49">
        <f>VLOOKUP(Table311[[#This Row],[Date]],'DB Details'!$A:$T,18)</f>
        <v>-3.82299274214082E-3</v>
      </c>
      <c r="E420" s="49">
        <f>VLOOKUP(Table311[[#This Row],[Date]],'DB Details'!$A:$T,19)</f>
        <v>-1.520450261025641E-2</v>
      </c>
    </row>
    <row r="421" spans="1:5" x14ac:dyDescent="0.35">
      <c r="A421" s="38">
        <v>30164</v>
      </c>
      <c r="B421" s="48">
        <f>VLOOKUP(Table311[[#This Row],[Date]],'DB Details'!$A:$L,12)</f>
        <v>38.299999999999997</v>
      </c>
      <c r="C421" s="49">
        <f>VLOOKUP(Table311[[#This Row],[Date]],'DB Details'!$A:$T,20)</f>
        <v>0</v>
      </c>
      <c r="D421" s="49">
        <f>VLOOKUP(Table311[[#This Row],[Date]],'DB Details'!$A:$T,18)</f>
        <v>0</v>
      </c>
      <c r="E421" s="49">
        <f>VLOOKUP(Table311[[#This Row],[Date]],'DB Details'!$A:$T,19)</f>
        <v>0</v>
      </c>
    </row>
    <row r="422" spans="1:5" x14ac:dyDescent="0.35">
      <c r="A422" s="38">
        <v>30195</v>
      </c>
      <c r="B422" s="48">
        <f>VLOOKUP(Table311[[#This Row],[Date]],'DB Details'!$A:$L,12)</f>
        <v>38.799999999999997</v>
      </c>
      <c r="C422" s="49">
        <f>VLOOKUP(Table311[[#This Row],[Date]],'DB Details'!$A:$T,20)</f>
        <v>0</v>
      </c>
      <c r="D422" s="49">
        <f>VLOOKUP(Table311[[#This Row],[Date]],'DB Details'!$A:$T,18)</f>
        <v>0</v>
      </c>
      <c r="E422" s="49">
        <f>VLOOKUP(Table311[[#This Row],[Date]],'DB Details'!$A:$T,19)</f>
        <v>0</v>
      </c>
    </row>
    <row r="423" spans="1:5" x14ac:dyDescent="0.35">
      <c r="A423" s="38">
        <v>30225</v>
      </c>
      <c r="B423" s="48">
        <f>VLOOKUP(Table311[[#This Row],[Date]],'DB Details'!$A:$L,12)</f>
        <v>39.4</v>
      </c>
      <c r="C423" s="49">
        <f>VLOOKUP(Table311[[#This Row],[Date]],'DB Details'!$A:$T,20)</f>
        <v>-1.443156178740442E-2</v>
      </c>
      <c r="D423" s="49">
        <f>VLOOKUP(Table311[[#This Row],[Date]],'DB Details'!$A:$T,18)</f>
        <v>3.9946273878294482E-4</v>
      </c>
      <c r="E423" s="49">
        <f>VLOOKUP(Table311[[#This Row],[Date]],'DB Details'!$A:$T,19)</f>
        <v>1.5988086330049891E-3</v>
      </c>
    </row>
    <row r="424" spans="1:5" x14ac:dyDescent="0.35">
      <c r="A424" s="38">
        <v>30256</v>
      </c>
      <c r="B424" s="48">
        <f>VLOOKUP(Table311[[#This Row],[Date]],'DB Details'!$A:$L,12)</f>
        <v>39.200000000000003</v>
      </c>
      <c r="C424" s="49">
        <f>VLOOKUP(Table311[[#This Row],[Date]],'DB Details'!$A:$T,20)</f>
        <v>0</v>
      </c>
      <c r="D424" s="49">
        <f>VLOOKUP(Table311[[#This Row],[Date]],'DB Details'!$A:$T,18)</f>
        <v>0</v>
      </c>
      <c r="E424" s="49">
        <f>VLOOKUP(Table311[[#This Row],[Date]],'DB Details'!$A:$T,19)</f>
        <v>0</v>
      </c>
    </row>
    <row r="425" spans="1:5" x14ac:dyDescent="0.35">
      <c r="A425" s="38">
        <v>30286</v>
      </c>
      <c r="B425" s="48">
        <f>VLOOKUP(Table311[[#This Row],[Date]],'DB Details'!$A:$L,12)</f>
        <v>42.8</v>
      </c>
      <c r="C425" s="49">
        <f>VLOOKUP(Table311[[#This Row],[Date]],'DB Details'!$A:$T,20)</f>
        <v>0</v>
      </c>
      <c r="D425" s="49">
        <f>VLOOKUP(Table311[[#This Row],[Date]],'DB Details'!$A:$T,18)</f>
        <v>0</v>
      </c>
      <c r="E425" s="49">
        <f>VLOOKUP(Table311[[#This Row],[Date]],'DB Details'!$A:$T,19)</f>
        <v>0</v>
      </c>
    </row>
    <row r="426" spans="1:5" x14ac:dyDescent="0.35">
      <c r="A426" s="38">
        <v>30317</v>
      </c>
      <c r="B426" s="48">
        <f>VLOOKUP(Table311[[#This Row],[Date]],'DB Details'!$A:$L,12)</f>
        <v>46</v>
      </c>
      <c r="C426" s="49">
        <f>VLOOKUP(Table311[[#This Row],[Date]],'DB Details'!$A:$T,20)</f>
        <v>1.431455577415857E-2</v>
      </c>
      <c r="D426" s="49">
        <f>VLOOKUP(Table311[[#This Row],[Date]],'DB Details'!$A:$T,18)</f>
        <v>1.317847576348375E-2</v>
      </c>
      <c r="E426" s="49">
        <f>VLOOKUP(Table311[[#This Row],[Date]],'DB Details'!$A:$T,19)</f>
        <v>5.3765121497419077E-2</v>
      </c>
    </row>
    <row r="427" spans="1:5" x14ac:dyDescent="0.35">
      <c r="A427" s="38">
        <v>30348</v>
      </c>
      <c r="B427" s="48">
        <f>VLOOKUP(Table311[[#This Row],[Date]],'DB Details'!$A:$L,12)</f>
        <v>54.4</v>
      </c>
      <c r="C427" s="49">
        <f>VLOOKUP(Table311[[#This Row],[Date]],'DB Details'!$A:$T,20)</f>
        <v>0</v>
      </c>
      <c r="D427" s="49">
        <f>VLOOKUP(Table311[[#This Row],[Date]],'DB Details'!$A:$T,18)</f>
        <v>0</v>
      </c>
      <c r="E427" s="49">
        <f>VLOOKUP(Table311[[#This Row],[Date]],'DB Details'!$A:$T,19)</f>
        <v>0</v>
      </c>
    </row>
    <row r="428" spans="1:5" x14ac:dyDescent="0.35">
      <c r="A428" s="38">
        <v>30376</v>
      </c>
      <c r="B428" s="48">
        <f>VLOOKUP(Table311[[#This Row],[Date]],'DB Details'!$A:$L,12)</f>
        <v>53.9</v>
      </c>
      <c r="C428" s="49">
        <f>VLOOKUP(Table311[[#This Row],[Date]],'DB Details'!$A:$T,20)</f>
        <v>0</v>
      </c>
      <c r="D428" s="49">
        <f>VLOOKUP(Table311[[#This Row],[Date]],'DB Details'!$A:$T,18)</f>
        <v>0</v>
      </c>
      <c r="E428" s="49">
        <f>VLOOKUP(Table311[[#This Row],[Date]],'DB Details'!$A:$T,19)</f>
        <v>0</v>
      </c>
    </row>
    <row r="429" spans="1:5" x14ac:dyDescent="0.35">
      <c r="A429" s="38">
        <v>30407</v>
      </c>
      <c r="B429" s="48">
        <f>VLOOKUP(Table311[[#This Row],[Date]],'DB Details'!$A:$L,12)</f>
        <v>54.2</v>
      </c>
      <c r="C429" s="49">
        <f>VLOOKUP(Table311[[#This Row],[Date]],'DB Details'!$A:$T,20)</f>
        <v>3.2685328840770238E-2</v>
      </c>
      <c r="D429" s="49">
        <f>VLOOKUP(Table311[[#This Row],[Date]],'DB Details'!$A:$T,18)</f>
        <v>2.275612439301274E-2</v>
      </c>
      <c r="E429" s="49">
        <f>VLOOKUP(Table311[[#This Row],[Date]],'DB Details'!$A:$T,19)</f>
        <v>9.4178949150713009E-2</v>
      </c>
    </row>
    <row r="430" spans="1:5" x14ac:dyDescent="0.35">
      <c r="A430" s="38">
        <v>30437</v>
      </c>
      <c r="B430" s="48">
        <f>VLOOKUP(Table311[[#This Row],[Date]],'DB Details'!$A:$L,12)</f>
        <v>56.1</v>
      </c>
      <c r="C430" s="49">
        <f>VLOOKUP(Table311[[#This Row],[Date]],'DB Details'!$A:$T,20)</f>
        <v>0</v>
      </c>
      <c r="D430" s="49">
        <f>VLOOKUP(Table311[[#This Row],[Date]],'DB Details'!$A:$T,18)</f>
        <v>0</v>
      </c>
      <c r="E430" s="49">
        <f>VLOOKUP(Table311[[#This Row],[Date]],'DB Details'!$A:$T,19)</f>
        <v>0</v>
      </c>
    </row>
    <row r="431" spans="1:5" x14ac:dyDescent="0.35">
      <c r="A431" s="38">
        <v>30468</v>
      </c>
      <c r="B431" s="48">
        <f>VLOOKUP(Table311[[#This Row],[Date]],'DB Details'!$A:$L,12)</f>
        <v>57.5</v>
      </c>
      <c r="C431" s="49">
        <f>VLOOKUP(Table311[[#This Row],[Date]],'DB Details'!$A:$T,20)</f>
        <v>0</v>
      </c>
      <c r="D431" s="49">
        <f>VLOOKUP(Table311[[#This Row],[Date]],'DB Details'!$A:$T,18)</f>
        <v>0</v>
      </c>
      <c r="E431" s="49">
        <f>VLOOKUP(Table311[[#This Row],[Date]],'DB Details'!$A:$T,19)</f>
        <v>0</v>
      </c>
    </row>
    <row r="432" spans="1:5" x14ac:dyDescent="0.35">
      <c r="A432" s="38">
        <v>30498</v>
      </c>
      <c r="B432" s="48">
        <f>VLOOKUP(Table311[[#This Row],[Date]],'DB Details'!$A:$L,12)</f>
        <v>63.6</v>
      </c>
      <c r="C432" s="49">
        <f>VLOOKUP(Table311[[#This Row],[Date]],'DB Details'!$A:$T,20)</f>
        <v>5.7371696845111453E-2</v>
      </c>
      <c r="D432" s="49">
        <f>VLOOKUP(Table311[[#This Row],[Date]],'DB Details'!$A:$T,18)</f>
        <v>1.9990642943219668E-2</v>
      </c>
      <c r="E432" s="49">
        <f>VLOOKUP(Table311[[#This Row],[Date]],'DB Details'!$A:$T,19)</f>
        <v>8.2392441412500128E-2</v>
      </c>
    </row>
    <row r="433" spans="1:5" x14ac:dyDescent="0.35">
      <c r="A433" s="38">
        <v>30529</v>
      </c>
      <c r="B433" s="48">
        <f>VLOOKUP(Table311[[#This Row],[Date]],'DB Details'!$A:$L,12)</f>
        <v>63.1</v>
      </c>
      <c r="C433" s="49">
        <f>VLOOKUP(Table311[[#This Row],[Date]],'DB Details'!$A:$T,20)</f>
        <v>0</v>
      </c>
      <c r="D433" s="49">
        <f>VLOOKUP(Table311[[#This Row],[Date]],'DB Details'!$A:$T,18)</f>
        <v>0</v>
      </c>
      <c r="E433" s="49">
        <f>VLOOKUP(Table311[[#This Row],[Date]],'DB Details'!$A:$T,19)</f>
        <v>0</v>
      </c>
    </row>
    <row r="434" spans="1:5" x14ac:dyDescent="0.35">
      <c r="A434" s="38">
        <v>30560</v>
      </c>
      <c r="B434" s="48">
        <f>VLOOKUP(Table311[[#This Row],[Date]],'DB Details'!$A:$L,12)</f>
        <v>62.5</v>
      </c>
      <c r="C434" s="49">
        <f>VLOOKUP(Table311[[#This Row],[Date]],'DB Details'!$A:$T,20)</f>
        <v>0</v>
      </c>
      <c r="D434" s="49">
        <f>VLOOKUP(Table311[[#This Row],[Date]],'DB Details'!$A:$T,18)</f>
        <v>0</v>
      </c>
      <c r="E434" s="49">
        <f>VLOOKUP(Table311[[#This Row],[Date]],'DB Details'!$A:$T,19)</f>
        <v>0</v>
      </c>
    </row>
    <row r="435" spans="1:5" x14ac:dyDescent="0.35">
      <c r="A435" s="38">
        <v>30590</v>
      </c>
      <c r="B435" s="48">
        <f>VLOOKUP(Table311[[#This Row],[Date]],'DB Details'!$A:$L,12)</f>
        <v>64.400000000000006</v>
      </c>
      <c r="C435" s="49">
        <f>VLOOKUP(Table311[[#This Row],[Date]],'DB Details'!$A:$T,20)</f>
        <v>7.8999749811109563E-2</v>
      </c>
      <c r="D435" s="49">
        <f>VLOOKUP(Table311[[#This Row],[Date]],'DB Details'!$A:$T,18)</f>
        <v>2.0862174793425631E-2</v>
      </c>
      <c r="E435" s="49">
        <f>VLOOKUP(Table311[[#This Row],[Date]],'DB Details'!$A:$T,19)</f>
        <v>8.6096590027290532E-2</v>
      </c>
    </row>
    <row r="436" spans="1:5" x14ac:dyDescent="0.35">
      <c r="A436" s="38">
        <v>30621</v>
      </c>
      <c r="B436" s="48">
        <f>VLOOKUP(Table311[[#This Row],[Date]],'DB Details'!$A:$L,12)</f>
        <v>66</v>
      </c>
      <c r="C436" s="49">
        <f>VLOOKUP(Table311[[#This Row],[Date]],'DB Details'!$A:$T,20)</f>
        <v>0</v>
      </c>
      <c r="D436" s="49">
        <f>VLOOKUP(Table311[[#This Row],[Date]],'DB Details'!$A:$T,18)</f>
        <v>0</v>
      </c>
      <c r="E436" s="49">
        <f>VLOOKUP(Table311[[#This Row],[Date]],'DB Details'!$A:$T,19)</f>
        <v>0</v>
      </c>
    </row>
    <row r="437" spans="1:5" x14ac:dyDescent="0.35">
      <c r="A437" s="38">
        <v>30651</v>
      </c>
      <c r="B437" s="48">
        <f>VLOOKUP(Table311[[#This Row],[Date]],'DB Details'!$A:$L,12)</f>
        <v>69.900000000000006</v>
      </c>
      <c r="C437" s="49">
        <f>VLOOKUP(Table311[[#This Row],[Date]],'DB Details'!$A:$T,20)</f>
        <v>0</v>
      </c>
      <c r="D437" s="49">
        <f>VLOOKUP(Table311[[#This Row],[Date]],'DB Details'!$A:$T,18)</f>
        <v>0</v>
      </c>
      <c r="E437" s="49">
        <f>VLOOKUP(Table311[[#This Row],[Date]],'DB Details'!$A:$T,19)</f>
        <v>0</v>
      </c>
    </row>
    <row r="438" spans="1:5" x14ac:dyDescent="0.35">
      <c r="A438" s="38">
        <v>30682</v>
      </c>
      <c r="B438" s="48">
        <f>VLOOKUP(Table311[[#This Row],[Date]],'DB Details'!$A:$L,12)</f>
        <v>60.5</v>
      </c>
      <c r="C438" s="49">
        <f>VLOOKUP(Table311[[#This Row],[Date]],'DB Details'!$A:$T,20)</f>
        <v>8.5782754622195131E-2</v>
      </c>
      <c r="D438" s="49">
        <f>VLOOKUP(Table311[[#This Row],[Date]],'DB Details'!$A:$T,18)</f>
        <v>1.9547702889620849E-2</v>
      </c>
      <c r="E438" s="49">
        <f>VLOOKUP(Table311[[#This Row],[Date]],'DB Details'!$A:$T,19)</f>
        <v>8.0513511399357585E-2</v>
      </c>
    </row>
    <row r="439" spans="1:5" x14ac:dyDescent="0.35">
      <c r="A439" s="38">
        <v>30713</v>
      </c>
      <c r="B439" s="48">
        <f>VLOOKUP(Table311[[#This Row],[Date]],'DB Details'!$A:$L,12)</f>
        <v>61.3</v>
      </c>
      <c r="C439" s="49">
        <f>VLOOKUP(Table311[[#This Row],[Date]],'DB Details'!$A:$T,20)</f>
        <v>0</v>
      </c>
      <c r="D439" s="49">
        <f>VLOOKUP(Table311[[#This Row],[Date]],'DB Details'!$A:$T,18)</f>
        <v>0</v>
      </c>
      <c r="E439" s="49">
        <f>VLOOKUP(Table311[[#This Row],[Date]],'DB Details'!$A:$T,19)</f>
        <v>0</v>
      </c>
    </row>
    <row r="440" spans="1:5" x14ac:dyDescent="0.35">
      <c r="A440" s="38">
        <v>30742</v>
      </c>
      <c r="B440" s="48">
        <f>VLOOKUP(Table311[[#This Row],[Date]],'DB Details'!$A:$L,12)</f>
        <v>58.9</v>
      </c>
      <c r="C440" s="49">
        <f>VLOOKUP(Table311[[#This Row],[Date]],'DB Details'!$A:$T,20)</f>
        <v>0</v>
      </c>
      <c r="D440" s="49">
        <f>VLOOKUP(Table311[[#This Row],[Date]],'DB Details'!$A:$T,18)</f>
        <v>0</v>
      </c>
      <c r="E440" s="49">
        <f>VLOOKUP(Table311[[#This Row],[Date]],'DB Details'!$A:$T,19)</f>
        <v>0</v>
      </c>
    </row>
    <row r="441" spans="1:5" x14ac:dyDescent="0.35">
      <c r="A441" s="38">
        <v>30773</v>
      </c>
      <c r="B441" s="48">
        <f>VLOOKUP(Table311[[#This Row],[Date]],'DB Details'!$A:$L,12)</f>
        <v>61</v>
      </c>
      <c r="C441" s="49">
        <f>VLOOKUP(Table311[[#This Row],[Date]],'DB Details'!$A:$T,20)</f>
        <v>7.9966966754093649E-2</v>
      </c>
      <c r="D441" s="49">
        <f>VLOOKUP(Table311[[#This Row],[Date]],'DB Details'!$A:$T,18)</f>
        <v>1.7277926627437559E-2</v>
      </c>
      <c r="E441" s="49">
        <f>VLOOKUP(Table311[[#This Row],[Date]],'DB Details'!$A:$T,19)</f>
        <v>7.0923587812259603E-2</v>
      </c>
    </row>
    <row r="442" spans="1:5" x14ac:dyDescent="0.35">
      <c r="A442" s="38">
        <v>30803</v>
      </c>
      <c r="B442" s="48">
        <f>VLOOKUP(Table311[[#This Row],[Date]],'DB Details'!$A:$L,12)</f>
        <v>58.6</v>
      </c>
      <c r="C442" s="49">
        <f>VLOOKUP(Table311[[#This Row],[Date]],'DB Details'!$A:$T,20)</f>
        <v>0</v>
      </c>
      <c r="D442" s="49">
        <f>VLOOKUP(Table311[[#This Row],[Date]],'DB Details'!$A:$T,18)</f>
        <v>0</v>
      </c>
      <c r="E442" s="49">
        <f>VLOOKUP(Table311[[#This Row],[Date]],'DB Details'!$A:$T,19)</f>
        <v>0</v>
      </c>
    </row>
    <row r="443" spans="1:5" x14ac:dyDescent="0.35">
      <c r="A443" s="38">
        <v>30834</v>
      </c>
      <c r="B443" s="48">
        <f>VLOOKUP(Table311[[#This Row],[Date]],'DB Details'!$A:$L,12)</f>
        <v>58.1</v>
      </c>
      <c r="C443" s="49">
        <f>VLOOKUP(Table311[[#This Row],[Date]],'DB Details'!$A:$T,20)</f>
        <v>0</v>
      </c>
      <c r="D443" s="49">
        <f>VLOOKUP(Table311[[#This Row],[Date]],'DB Details'!$A:$T,18)</f>
        <v>0</v>
      </c>
      <c r="E443" s="49">
        <f>VLOOKUP(Table311[[#This Row],[Date]],'DB Details'!$A:$T,19)</f>
        <v>0</v>
      </c>
    </row>
    <row r="444" spans="1:5" x14ac:dyDescent="0.35">
      <c r="A444" s="38">
        <v>30864</v>
      </c>
      <c r="B444" s="48">
        <f>VLOOKUP(Table311[[#This Row],[Date]],'DB Details'!$A:$L,12)</f>
        <v>56.1</v>
      </c>
      <c r="C444" s="49">
        <f>VLOOKUP(Table311[[#This Row],[Date]],'DB Details'!$A:$T,20)</f>
        <v>6.9008370834181168E-2</v>
      </c>
      <c r="D444" s="49">
        <f>VLOOKUP(Table311[[#This Row],[Date]],'DB Details'!$A:$T,18)</f>
        <v>9.64063628357004E-3</v>
      </c>
      <c r="E444" s="49">
        <f>VLOOKUP(Table311[[#This Row],[Date]],'DB Details'!$A:$T,19)</f>
        <v>3.9123789055161673E-2</v>
      </c>
    </row>
    <row r="445" spans="1:5" x14ac:dyDescent="0.35">
      <c r="A445" s="38">
        <v>30895</v>
      </c>
      <c r="B445" s="48">
        <f>VLOOKUP(Table311[[#This Row],[Date]],'DB Details'!$A:$L,12)</f>
        <v>53</v>
      </c>
      <c r="C445" s="49">
        <f>VLOOKUP(Table311[[#This Row],[Date]],'DB Details'!$A:$T,20)</f>
        <v>0</v>
      </c>
      <c r="D445" s="49">
        <f>VLOOKUP(Table311[[#This Row],[Date]],'DB Details'!$A:$T,18)</f>
        <v>0</v>
      </c>
      <c r="E445" s="49">
        <f>VLOOKUP(Table311[[#This Row],[Date]],'DB Details'!$A:$T,19)</f>
        <v>0</v>
      </c>
    </row>
    <row r="446" spans="1:5" x14ac:dyDescent="0.35">
      <c r="A446" s="38">
        <v>30926</v>
      </c>
      <c r="B446" s="48">
        <f>VLOOKUP(Table311[[#This Row],[Date]],'DB Details'!$A:$L,12)</f>
        <v>50</v>
      </c>
      <c r="C446" s="49">
        <f>VLOOKUP(Table311[[#This Row],[Date]],'DB Details'!$A:$T,20)</f>
        <v>0</v>
      </c>
      <c r="D446" s="49">
        <f>VLOOKUP(Table311[[#This Row],[Date]],'DB Details'!$A:$T,18)</f>
        <v>0</v>
      </c>
      <c r="E446" s="49">
        <f>VLOOKUP(Table311[[#This Row],[Date]],'DB Details'!$A:$T,19)</f>
        <v>0</v>
      </c>
    </row>
    <row r="447" spans="1:5" x14ac:dyDescent="0.35">
      <c r="A447" s="38">
        <v>30956</v>
      </c>
      <c r="B447" s="48">
        <f>VLOOKUP(Table311[[#This Row],[Date]],'DB Details'!$A:$L,12)</f>
        <v>50.8</v>
      </c>
      <c r="C447" s="49">
        <f>VLOOKUP(Table311[[#This Row],[Date]],'DB Details'!$A:$T,20)</f>
        <v>5.5757994618356933E-2</v>
      </c>
      <c r="D447" s="49">
        <f>VLOOKUP(Table311[[#This Row],[Date]],'DB Details'!$A:$T,18)</f>
        <v>8.208571463863279E-3</v>
      </c>
      <c r="E447" s="49">
        <f>VLOOKUP(Table311[[#This Row],[Date]],'DB Details'!$A:$T,19)</f>
        <v>3.3240786663843558E-2</v>
      </c>
    </row>
    <row r="448" spans="1:5" x14ac:dyDescent="0.35">
      <c r="A448" s="38">
        <v>30987</v>
      </c>
      <c r="B448" s="48">
        <f>VLOOKUP(Table311[[#This Row],[Date]],'DB Details'!$A:$L,12)</f>
        <v>50.3</v>
      </c>
      <c r="C448" s="49">
        <f>VLOOKUP(Table311[[#This Row],[Date]],'DB Details'!$A:$T,20)</f>
        <v>0</v>
      </c>
      <c r="D448" s="49">
        <f>VLOOKUP(Table311[[#This Row],[Date]],'DB Details'!$A:$T,18)</f>
        <v>0</v>
      </c>
      <c r="E448" s="49">
        <f>VLOOKUP(Table311[[#This Row],[Date]],'DB Details'!$A:$T,19)</f>
        <v>0</v>
      </c>
    </row>
    <row r="449" spans="1:5" x14ac:dyDescent="0.35">
      <c r="A449" s="38">
        <v>31017</v>
      </c>
      <c r="B449" s="48">
        <f>VLOOKUP(Table311[[#This Row],[Date]],'DB Details'!$A:$L,12)</f>
        <v>50.6</v>
      </c>
      <c r="C449" s="49">
        <f>VLOOKUP(Table311[[#This Row],[Date]],'DB Details'!$A:$T,20)</f>
        <v>0</v>
      </c>
      <c r="D449" s="49">
        <f>VLOOKUP(Table311[[#This Row],[Date]],'DB Details'!$A:$T,18)</f>
        <v>0</v>
      </c>
      <c r="E449" s="49">
        <f>VLOOKUP(Table311[[#This Row],[Date]],'DB Details'!$A:$T,19)</f>
        <v>0</v>
      </c>
    </row>
    <row r="450" spans="1:5" x14ac:dyDescent="0.35">
      <c r="A450" s="38">
        <v>31048</v>
      </c>
      <c r="B450" s="48">
        <f>VLOOKUP(Table311[[#This Row],[Date]],'DB Details'!$A:$L,12)</f>
        <v>50.3</v>
      </c>
      <c r="C450" s="49">
        <f>VLOOKUP(Table311[[#This Row],[Date]],'DB Details'!$A:$T,20)</f>
        <v>4.5550933893434779E-2</v>
      </c>
      <c r="D450" s="49">
        <f>VLOOKUP(Table311[[#This Row],[Date]],'DB Details'!$A:$T,18)</f>
        <v>9.6907230055981904E-3</v>
      </c>
      <c r="E450" s="49">
        <f>VLOOKUP(Table311[[#This Row],[Date]],'DB Details'!$A:$T,19)</f>
        <v>3.9330001743275167E-2</v>
      </c>
    </row>
    <row r="451" spans="1:5" x14ac:dyDescent="0.35">
      <c r="A451" s="38">
        <v>31079</v>
      </c>
      <c r="B451" s="48">
        <f>VLOOKUP(Table311[[#This Row],[Date]],'DB Details'!$A:$L,12)</f>
        <v>49.9</v>
      </c>
      <c r="C451" s="49">
        <f>VLOOKUP(Table311[[#This Row],[Date]],'DB Details'!$A:$T,20)</f>
        <v>0</v>
      </c>
      <c r="D451" s="49">
        <f>VLOOKUP(Table311[[#This Row],[Date]],'DB Details'!$A:$T,18)</f>
        <v>0</v>
      </c>
      <c r="E451" s="49">
        <f>VLOOKUP(Table311[[#This Row],[Date]],'DB Details'!$A:$T,19)</f>
        <v>0</v>
      </c>
    </row>
    <row r="452" spans="1:5" x14ac:dyDescent="0.35">
      <c r="A452" s="38">
        <v>31107</v>
      </c>
      <c r="B452" s="48">
        <f>VLOOKUP(Table311[[#This Row],[Date]],'DB Details'!$A:$L,12)</f>
        <v>47.8</v>
      </c>
      <c r="C452" s="49">
        <f>VLOOKUP(Table311[[#This Row],[Date]],'DB Details'!$A:$T,20)</f>
        <v>0</v>
      </c>
      <c r="D452" s="49">
        <f>VLOOKUP(Table311[[#This Row],[Date]],'DB Details'!$A:$T,18)</f>
        <v>0</v>
      </c>
      <c r="E452" s="49">
        <f>VLOOKUP(Table311[[#This Row],[Date]],'DB Details'!$A:$T,19)</f>
        <v>0</v>
      </c>
    </row>
    <row r="453" spans="1:5" x14ac:dyDescent="0.35">
      <c r="A453" s="38">
        <v>31138</v>
      </c>
      <c r="B453" s="48">
        <f>VLOOKUP(Table311[[#This Row],[Date]],'DB Details'!$A:$L,12)</f>
        <v>48.2</v>
      </c>
      <c r="C453" s="49">
        <f>VLOOKUP(Table311[[#This Row],[Date]],'DB Details'!$A:$T,20)</f>
        <v>3.6842175046639142E-2</v>
      </c>
      <c r="D453" s="49">
        <f>VLOOKUP(Table311[[#This Row],[Date]],'DB Details'!$A:$T,18)</f>
        <v>8.8046635314193416E-3</v>
      </c>
      <c r="E453" s="49">
        <f>VLOOKUP(Table311[[#This Row],[Date]],'DB Details'!$A:$T,19)</f>
        <v>3.568652295878616E-2</v>
      </c>
    </row>
    <row r="454" spans="1:5" x14ac:dyDescent="0.35">
      <c r="A454" s="38">
        <v>31168</v>
      </c>
      <c r="B454" s="48">
        <f>VLOOKUP(Table311[[#This Row],[Date]],'DB Details'!$A:$L,12)</f>
        <v>47.1</v>
      </c>
      <c r="C454" s="49">
        <f>VLOOKUP(Table311[[#This Row],[Date]],'DB Details'!$A:$T,20)</f>
        <v>0</v>
      </c>
      <c r="D454" s="49">
        <f>VLOOKUP(Table311[[#This Row],[Date]],'DB Details'!$A:$T,18)</f>
        <v>0</v>
      </c>
      <c r="E454" s="49">
        <f>VLOOKUP(Table311[[#This Row],[Date]],'DB Details'!$A:$T,19)</f>
        <v>0</v>
      </c>
    </row>
    <row r="455" spans="1:5" x14ac:dyDescent="0.35">
      <c r="A455" s="38">
        <v>31199</v>
      </c>
      <c r="B455" s="48">
        <f>VLOOKUP(Table311[[#This Row],[Date]],'DB Details'!$A:$L,12)</f>
        <v>47.8</v>
      </c>
      <c r="C455" s="49">
        <f>VLOOKUP(Table311[[#This Row],[Date]],'DB Details'!$A:$T,20)</f>
        <v>0</v>
      </c>
      <c r="D455" s="49">
        <f>VLOOKUP(Table311[[#This Row],[Date]],'DB Details'!$A:$T,18)</f>
        <v>0</v>
      </c>
      <c r="E455" s="49">
        <f>VLOOKUP(Table311[[#This Row],[Date]],'DB Details'!$A:$T,19)</f>
        <v>0</v>
      </c>
    </row>
    <row r="456" spans="1:5" x14ac:dyDescent="0.35">
      <c r="A456" s="38">
        <v>31229</v>
      </c>
      <c r="B456" s="48">
        <f>VLOOKUP(Table311[[#This Row],[Date]],'DB Details'!$A:$L,12)</f>
        <v>47.9</v>
      </c>
      <c r="C456" s="49">
        <f>VLOOKUP(Table311[[#This Row],[Date]],'DB Details'!$A:$T,20)</f>
        <v>4.2624449274052741E-2</v>
      </c>
      <c r="D456" s="49">
        <f>VLOOKUP(Table311[[#This Row],[Date]],'DB Details'!$A:$T,18)</f>
        <v>1.527121263417938E-2</v>
      </c>
      <c r="E456" s="49">
        <f>VLOOKUP(Table311[[#This Row],[Date]],'DB Details'!$A:$T,19)</f>
        <v>6.2498410129544053E-2</v>
      </c>
    </row>
    <row r="457" spans="1:5" x14ac:dyDescent="0.35">
      <c r="A457" s="38">
        <v>31260</v>
      </c>
      <c r="B457" s="48">
        <f>VLOOKUP(Table311[[#This Row],[Date]],'DB Details'!$A:$L,12)</f>
        <v>47.7</v>
      </c>
      <c r="C457" s="49">
        <f>VLOOKUP(Table311[[#This Row],[Date]],'DB Details'!$A:$T,20)</f>
        <v>0</v>
      </c>
      <c r="D457" s="49">
        <f>VLOOKUP(Table311[[#This Row],[Date]],'DB Details'!$A:$T,18)</f>
        <v>0</v>
      </c>
      <c r="E457" s="49">
        <f>VLOOKUP(Table311[[#This Row],[Date]],'DB Details'!$A:$T,19)</f>
        <v>0</v>
      </c>
    </row>
    <row r="458" spans="1:5" x14ac:dyDescent="0.35">
      <c r="A458" s="38">
        <v>31291</v>
      </c>
      <c r="B458" s="48">
        <f>VLOOKUP(Table311[[#This Row],[Date]],'DB Details'!$A:$L,12)</f>
        <v>49.9</v>
      </c>
      <c r="C458" s="49">
        <f>VLOOKUP(Table311[[#This Row],[Date]],'DB Details'!$A:$T,20)</f>
        <v>0</v>
      </c>
      <c r="D458" s="49">
        <f>VLOOKUP(Table311[[#This Row],[Date]],'DB Details'!$A:$T,18)</f>
        <v>0</v>
      </c>
      <c r="E458" s="49">
        <f>VLOOKUP(Table311[[#This Row],[Date]],'DB Details'!$A:$T,19)</f>
        <v>0</v>
      </c>
    </row>
    <row r="459" spans="1:5" x14ac:dyDescent="0.35">
      <c r="A459" s="38">
        <v>31321</v>
      </c>
      <c r="B459" s="48">
        <f>VLOOKUP(Table311[[#This Row],[Date]],'DB Details'!$A:$L,12)</f>
        <v>50.9</v>
      </c>
      <c r="C459" s="49">
        <f>VLOOKUP(Table311[[#This Row],[Date]],'DB Details'!$A:$T,20)</f>
        <v>4.1822685935742232E-2</v>
      </c>
      <c r="D459" s="49">
        <f>VLOOKUP(Table311[[#This Row],[Date]],'DB Details'!$A:$T,18)</f>
        <v>7.4332734449716617E-3</v>
      </c>
      <c r="E459" s="49">
        <f>VLOOKUP(Table311[[#This Row],[Date]],'DB Details'!$A:$T,19)</f>
        <v>3.006626101659382E-2</v>
      </c>
    </row>
    <row r="460" spans="1:5" x14ac:dyDescent="0.35">
      <c r="A460" s="38">
        <v>31352</v>
      </c>
      <c r="B460" s="48">
        <f>VLOOKUP(Table311[[#This Row],[Date]],'DB Details'!$A:$L,12)</f>
        <v>52</v>
      </c>
      <c r="C460" s="49">
        <f>VLOOKUP(Table311[[#This Row],[Date]],'DB Details'!$A:$T,20)</f>
        <v>0</v>
      </c>
      <c r="D460" s="49">
        <f>VLOOKUP(Table311[[#This Row],[Date]],'DB Details'!$A:$T,18)</f>
        <v>0</v>
      </c>
      <c r="E460" s="49">
        <f>VLOOKUP(Table311[[#This Row],[Date]],'DB Details'!$A:$T,19)</f>
        <v>0</v>
      </c>
    </row>
    <row r="461" spans="1:5" x14ac:dyDescent="0.35">
      <c r="A461" s="38">
        <v>31382</v>
      </c>
      <c r="B461" s="48">
        <f>VLOOKUP(Table311[[#This Row],[Date]],'DB Details'!$A:$L,12)</f>
        <v>50.7</v>
      </c>
      <c r="C461" s="49">
        <f>VLOOKUP(Table311[[#This Row],[Date]],'DB Details'!$A:$T,20)</f>
        <v>0</v>
      </c>
      <c r="D461" s="49">
        <f>VLOOKUP(Table311[[#This Row],[Date]],'DB Details'!$A:$T,18)</f>
        <v>0</v>
      </c>
      <c r="E461" s="49">
        <f>VLOOKUP(Table311[[#This Row],[Date]],'DB Details'!$A:$T,19)</f>
        <v>0</v>
      </c>
    </row>
    <row r="462" spans="1:5" x14ac:dyDescent="0.35">
      <c r="A462" s="38">
        <v>31413</v>
      </c>
      <c r="B462" s="48">
        <f>VLOOKUP(Table311[[#This Row],[Date]],'DB Details'!$A:$L,12)</f>
        <v>51.2</v>
      </c>
      <c r="C462" s="49">
        <f>VLOOKUP(Table311[[#This Row],[Date]],'DB Details'!$A:$T,20)</f>
        <v>4.1455897492227813E-2</v>
      </c>
      <c r="D462" s="49">
        <f>VLOOKUP(Table311[[#This Row],[Date]],'DB Details'!$A:$T,18)</f>
        <v>9.3352470750759607E-3</v>
      </c>
      <c r="E462" s="49">
        <f>VLOOKUP(Table311[[#This Row],[Date]],'DB Details'!$A:$T,19)</f>
        <v>3.7867131071648297E-2</v>
      </c>
    </row>
    <row r="463" spans="1:5" x14ac:dyDescent="0.35">
      <c r="A463" s="38">
        <v>31444</v>
      </c>
      <c r="B463" s="48">
        <f>VLOOKUP(Table311[[#This Row],[Date]],'DB Details'!$A:$L,12)</f>
        <v>51</v>
      </c>
      <c r="C463" s="49">
        <f>VLOOKUP(Table311[[#This Row],[Date]],'DB Details'!$A:$T,20)</f>
        <v>0</v>
      </c>
      <c r="D463" s="49">
        <f>VLOOKUP(Table311[[#This Row],[Date]],'DB Details'!$A:$T,18)</f>
        <v>0</v>
      </c>
      <c r="E463" s="49">
        <f>VLOOKUP(Table311[[#This Row],[Date]],'DB Details'!$A:$T,19)</f>
        <v>0</v>
      </c>
    </row>
    <row r="464" spans="1:5" x14ac:dyDescent="0.35">
      <c r="A464" s="38">
        <v>31472</v>
      </c>
      <c r="B464" s="48">
        <f>VLOOKUP(Table311[[#This Row],[Date]],'DB Details'!$A:$L,12)</f>
        <v>51</v>
      </c>
      <c r="C464" s="49">
        <f>VLOOKUP(Table311[[#This Row],[Date]],'DB Details'!$A:$T,20)</f>
        <v>0</v>
      </c>
      <c r="D464" s="49">
        <f>VLOOKUP(Table311[[#This Row],[Date]],'DB Details'!$A:$T,18)</f>
        <v>0</v>
      </c>
      <c r="E464" s="49">
        <f>VLOOKUP(Table311[[#This Row],[Date]],'DB Details'!$A:$T,19)</f>
        <v>0</v>
      </c>
    </row>
    <row r="465" spans="1:5" x14ac:dyDescent="0.35">
      <c r="A465" s="38">
        <v>31503</v>
      </c>
      <c r="B465" s="48">
        <f>VLOOKUP(Table311[[#This Row],[Date]],'DB Details'!$A:$L,12)</f>
        <v>49.7</v>
      </c>
      <c r="C465" s="49">
        <f>VLOOKUP(Table311[[#This Row],[Date]],'DB Details'!$A:$T,20)</f>
        <v>3.7015803866048268E-2</v>
      </c>
      <c r="D465" s="49">
        <f>VLOOKUP(Table311[[#This Row],[Date]],'DB Details'!$A:$T,18)</f>
        <v>4.5037736258633776E-3</v>
      </c>
      <c r="E465" s="49">
        <f>VLOOKUP(Table311[[#This Row],[Date]],'DB Details'!$A:$T,19)</f>
        <v>1.813716419389122E-2</v>
      </c>
    </row>
    <row r="466" spans="1:5" x14ac:dyDescent="0.35">
      <c r="A466" s="38">
        <v>31533</v>
      </c>
      <c r="B466" s="48">
        <f>VLOOKUP(Table311[[#This Row],[Date]],'DB Details'!$A:$L,12)</f>
        <v>53.4</v>
      </c>
      <c r="C466" s="49">
        <f>VLOOKUP(Table311[[#This Row],[Date]],'DB Details'!$A:$T,20)</f>
        <v>0</v>
      </c>
      <c r="D466" s="49">
        <f>VLOOKUP(Table311[[#This Row],[Date]],'DB Details'!$A:$T,18)</f>
        <v>0</v>
      </c>
      <c r="E466" s="49">
        <f>VLOOKUP(Table311[[#This Row],[Date]],'DB Details'!$A:$T,19)</f>
        <v>0</v>
      </c>
    </row>
    <row r="467" spans="1:5" x14ac:dyDescent="0.35">
      <c r="A467" s="38">
        <v>31564</v>
      </c>
      <c r="B467" s="48">
        <f>VLOOKUP(Table311[[#This Row],[Date]],'DB Details'!$A:$L,12)</f>
        <v>50.5</v>
      </c>
      <c r="C467" s="49">
        <f>VLOOKUP(Table311[[#This Row],[Date]],'DB Details'!$A:$T,20)</f>
        <v>0</v>
      </c>
      <c r="D467" s="49">
        <f>VLOOKUP(Table311[[#This Row],[Date]],'DB Details'!$A:$T,18)</f>
        <v>0</v>
      </c>
      <c r="E467" s="49">
        <f>VLOOKUP(Table311[[#This Row],[Date]],'DB Details'!$A:$T,19)</f>
        <v>0</v>
      </c>
    </row>
    <row r="468" spans="1:5" x14ac:dyDescent="0.35">
      <c r="A468" s="38">
        <v>31594</v>
      </c>
      <c r="B468" s="48">
        <f>VLOOKUP(Table311[[#This Row],[Date]],'DB Details'!$A:$L,12)</f>
        <v>48</v>
      </c>
      <c r="C468" s="49">
        <f>VLOOKUP(Table311[[#This Row],[Date]],'DB Details'!$A:$T,20)</f>
        <v>3.1192412738599871E-2</v>
      </c>
      <c r="D468" s="49">
        <f>VLOOKUP(Table311[[#This Row],[Date]],'DB Details'!$A:$T,18)</f>
        <v>9.5699288643793252E-3</v>
      </c>
      <c r="E468" s="49">
        <f>VLOOKUP(Table311[[#This Row],[Date]],'DB Details'!$A:$T,19)</f>
        <v>3.8832730867670813E-2</v>
      </c>
    </row>
    <row r="469" spans="1:5" x14ac:dyDescent="0.35">
      <c r="A469" s="38">
        <v>31625</v>
      </c>
      <c r="B469" s="48">
        <f>VLOOKUP(Table311[[#This Row],[Date]],'DB Details'!$A:$L,12)</f>
        <v>52.6</v>
      </c>
      <c r="C469" s="49">
        <f>VLOOKUP(Table311[[#This Row],[Date]],'DB Details'!$A:$T,20)</f>
        <v>0</v>
      </c>
      <c r="D469" s="49">
        <f>VLOOKUP(Table311[[#This Row],[Date]],'DB Details'!$A:$T,18)</f>
        <v>0</v>
      </c>
      <c r="E469" s="49">
        <f>VLOOKUP(Table311[[#This Row],[Date]],'DB Details'!$A:$T,19)</f>
        <v>0</v>
      </c>
    </row>
    <row r="470" spans="1:5" x14ac:dyDescent="0.35">
      <c r="A470" s="38">
        <v>31656</v>
      </c>
      <c r="B470" s="48">
        <f>VLOOKUP(Table311[[#This Row],[Date]],'DB Details'!$A:$L,12)</f>
        <v>52.4</v>
      </c>
      <c r="C470" s="49">
        <f>VLOOKUP(Table311[[#This Row],[Date]],'DB Details'!$A:$T,20)</f>
        <v>0</v>
      </c>
      <c r="D470" s="49">
        <f>VLOOKUP(Table311[[#This Row],[Date]],'DB Details'!$A:$T,18)</f>
        <v>0</v>
      </c>
      <c r="E470" s="49">
        <f>VLOOKUP(Table311[[#This Row],[Date]],'DB Details'!$A:$T,19)</f>
        <v>0</v>
      </c>
    </row>
    <row r="471" spans="1:5" x14ac:dyDescent="0.35">
      <c r="A471" s="38">
        <v>31686</v>
      </c>
      <c r="B471" s="48">
        <f>VLOOKUP(Table311[[#This Row],[Date]],'DB Details'!$A:$L,12)</f>
        <v>51.2</v>
      </c>
      <c r="C471" s="49">
        <f>VLOOKUP(Table311[[#This Row],[Date]],'DB Details'!$A:$T,20)</f>
        <v>2.9080333208927719E-2</v>
      </c>
      <c r="D471" s="49">
        <f>VLOOKUP(Table311[[#This Row],[Date]],'DB Details'!$A:$T,18)</f>
        <v>5.3698571823336677E-3</v>
      </c>
      <c r="E471" s="49">
        <f>VLOOKUP(Table311[[#This Row],[Date]],'DB Details'!$A:$T,19)</f>
        <v>2.1653061124957459E-2</v>
      </c>
    </row>
    <row r="472" spans="1:5" x14ac:dyDescent="0.35">
      <c r="A472" s="38">
        <v>31717</v>
      </c>
      <c r="B472" s="48">
        <f>VLOOKUP(Table311[[#This Row],[Date]],'DB Details'!$A:$L,12)</f>
        <v>51.2</v>
      </c>
      <c r="C472" s="49">
        <f>VLOOKUP(Table311[[#This Row],[Date]],'DB Details'!$A:$T,20)</f>
        <v>0</v>
      </c>
      <c r="D472" s="49">
        <f>VLOOKUP(Table311[[#This Row],[Date]],'DB Details'!$A:$T,18)</f>
        <v>0</v>
      </c>
      <c r="E472" s="49">
        <f>VLOOKUP(Table311[[#This Row],[Date]],'DB Details'!$A:$T,19)</f>
        <v>0</v>
      </c>
    </row>
    <row r="473" spans="1:5" x14ac:dyDescent="0.35">
      <c r="A473" s="38">
        <v>31747</v>
      </c>
      <c r="B473" s="48">
        <f>VLOOKUP(Table311[[#This Row],[Date]],'DB Details'!$A:$L,12)</f>
        <v>50.5</v>
      </c>
      <c r="C473" s="49">
        <f>VLOOKUP(Table311[[#This Row],[Date]],'DB Details'!$A:$T,20)</f>
        <v>0</v>
      </c>
      <c r="D473" s="49">
        <f>VLOOKUP(Table311[[#This Row],[Date]],'DB Details'!$A:$T,18)</f>
        <v>0</v>
      </c>
      <c r="E473" s="49">
        <f>VLOOKUP(Table311[[#This Row],[Date]],'DB Details'!$A:$T,19)</f>
        <v>0</v>
      </c>
    </row>
    <row r="474" spans="1:5" x14ac:dyDescent="0.35">
      <c r="A474" s="38">
        <v>31778</v>
      </c>
      <c r="B474" s="48">
        <f>VLOOKUP(Table311[[#This Row],[Date]],'DB Details'!$A:$L,12)</f>
        <v>54.9</v>
      </c>
      <c r="C474" s="49">
        <f>VLOOKUP(Table311[[#This Row],[Date]],'DB Details'!$A:$T,20)</f>
        <v>2.7158406191741289E-2</v>
      </c>
      <c r="D474" s="49">
        <f>VLOOKUP(Table311[[#This Row],[Date]],'DB Details'!$A:$T,18)</f>
        <v>7.4501962990076546E-3</v>
      </c>
      <c r="E474" s="49">
        <f>VLOOKUP(Table311[[#This Row],[Date]],'DB Details'!$A:$T,19)</f>
        <v>3.013547493148994E-2</v>
      </c>
    </row>
    <row r="475" spans="1:5" x14ac:dyDescent="0.35">
      <c r="A475" s="38">
        <v>31809</v>
      </c>
      <c r="B475" s="48">
        <f>VLOOKUP(Table311[[#This Row],[Date]],'DB Details'!$A:$L,12)</f>
        <v>52.6</v>
      </c>
      <c r="C475" s="49">
        <f>VLOOKUP(Table311[[#This Row],[Date]],'DB Details'!$A:$T,20)</f>
        <v>0</v>
      </c>
      <c r="D475" s="49">
        <f>VLOOKUP(Table311[[#This Row],[Date]],'DB Details'!$A:$T,18)</f>
        <v>0</v>
      </c>
      <c r="E475" s="49">
        <f>VLOOKUP(Table311[[#This Row],[Date]],'DB Details'!$A:$T,19)</f>
        <v>0</v>
      </c>
    </row>
    <row r="476" spans="1:5" x14ac:dyDescent="0.35">
      <c r="A476" s="38">
        <v>31837</v>
      </c>
      <c r="B476" s="48">
        <f>VLOOKUP(Table311[[#This Row],[Date]],'DB Details'!$A:$L,12)</f>
        <v>55</v>
      </c>
      <c r="C476" s="49">
        <f>VLOOKUP(Table311[[#This Row],[Date]],'DB Details'!$A:$T,20)</f>
        <v>0</v>
      </c>
      <c r="D476" s="49">
        <f>VLOOKUP(Table311[[#This Row],[Date]],'DB Details'!$A:$T,18)</f>
        <v>0</v>
      </c>
      <c r="E476" s="49">
        <f>VLOOKUP(Table311[[#This Row],[Date]],'DB Details'!$A:$T,19)</f>
        <v>0</v>
      </c>
    </row>
    <row r="477" spans="1:5" x14ac:dyDescent="0.35">
      <c r="A477" s="38">
        <v>31868</v>
      </c>
      <c r="B477" s="48">
        <f>VLOOKUP(Table311[[#This Row],[Date]],'DB Details'!$A:$L,12)</f>
        <v>55.5</v>
      </c>
      <c r="C477" s="49">
        <f>VLOOKUP(Table311[[#This Row],[Date]],'DB Details'!$A:$T,20)</f>
        <v>3.3584793796559688E-2</v>
      </c>
      <c r="D477" s="49">
        <f>VLOOKUP(Table311[[#This Row],[Date]],'DB Details'!$A:$T,18)</f>
        <v>1.078842316084223E-2</v>
      </c>
      <c r="E477" s="49">
        <f>VLOOKUP(Table311[[#This Row],[Date]],'DB Details'!$A:$T,19)</f>
        <v>4.3857069297295492E-2</v>
      </c>
    </row>
    <row r="478" spans="1:5" x14ac:dyDescent="0.35">
      <c r="A478" s="38">
        <v>31898</v>
      </c>
      <c r="B478" s="48">
        <f>VLOOKUP(Table311[[#This Row],[Date]],'DB Details'!$A:$L,12)</f>
        <v>57.2</v>
      </c>
      <c r="C478" s="49">
        <f>VLOOKUP(Table311[[#This Row],[Date]],'DB Details'!$A:$T,20)</f>
        <v>0</v>
      </c>
      <c r="D478" s="49">
        <f>VLOOKUP(Table311[[#This Row],[Date]],'DB Details'!$A:$T,18)</f>
        <v>0</v>
      </c>
      <c r="E478" s="49">
        <f>VLOOKUP(Table311[[#This Row],[Date]],'DB Details'!$A:$T,19)</f>
        <v>0</v>
      </c>
    </row>
    <row r="479" spans="1:5" x14ac:dyDescent="0.35">
      <c r="A479" s="38">
        <v>31929</v>
      </c>
      <c r="B479" s="48">
        <f>VLOOKUP(Table311[[#This Row],[Date]],'DB Details'!$A:$L,12)</f>
        <v>57.4</v>
      </c>
      <c r="C479" s="49">
        <f>VLOOKUP(Table311[[#This Row],[Date]],'DB Details'!$A:$T,20)</f>
        <v>0</v>
      </c>
      <c r="D479" s="49">
        <f>VLOOKUP(Table311[[#This Row],[Date]],'DB Details'!$A:$T,18)</f>
        <v>0</v>
      </c>
      <c r="E479" s="49">
        <f>VLOOKUP(Table311[[#This Row],[Date]],'DB Details'!$A:$T,19)</f>
        <v>0</v>
      </c>
    </row>
    <row r="480" spans="1:5" x14ac:dyDescent="0.35">
      <c r="A480" s="38">
        <v>31959</v>
      </c>
      <c r="B480" s="48">
        <f>VLOOKUP(Table311[[#This Row],[Date]],'DB Details'!$A:$L,12)</f>
        <v>57.5</v>
      </c>
      <c r="C480" s="49">
        <f>VLOOKUP(Table311[[#This Row],[Date]],'DB Details'!$A:$T,20)</f>
        <v>3.2669261519167977E-2</v>
      </c>
      <c r="D480" s="49">
        <f>VLOOKUP(Table311[[#This Row],[Date]],'DB Details'!$A:$T,18)</f>
        <v>8.6756685562682911E-3</v>
      </c>
      <c r="E480" s="49">
        <f>VLOOKUP(Table311[[#This Row],[Date]],'DB Details'!$A:$T,19)</f>
        <v>3.5156895213603212E-2</v>
      </c>
    </row>
    <row r="481" spans="1:5" x14ac:dyDescent="0.35">
      <c r="A481" s="38">
        <v>31990</v>
      </c>
      <c r="B481" s="48">
        <f>VLOOKUP(Table311[[#This Row],[Date]],'DB Details'!$A:$L,12)</f>
        <v>59.3</v>
      </c>
      <c r="C481" s="49">
        <f>VLOOKUP(Table311[[#This Row],[Date]],'DB Details'!$A:$T,20)</f>
        <v>0</v>
      </c>
      <c r="D481" s="49">
        <f>VLOOKUP(Table311[[#This Row],[Date]],'DB Details'!$A:$T,18)</f>
        <v>0</v>
      </c>
      <c r="E481" s="49">
        <f>VLOOKUP(Table311[[#This Row],[Date]],'DB Details'!$A:$T,19)</f>
        <v>0</v>
      </c>
    </row>
    <row r="482" spans="1:5" x14ac:dyDescent="0.35">
      <c r="A482" s="38">
        <v>32021</v>
      </c>
      <c r="B482" s="48">
        <f>VLOOKUP(Table311[[#This Row],[Date]],'DB Details'!$A:$L,12)</f>
        <v>60</v>
      </c>
      <c r="C482" s="49">
        <f>VLOOKUP(Table311[[#This Row],[Date]],'DB Details'!$A:$T,20)</f>
        <v>0</v>
      </c>
      <c r="D482" s="49">
        <f>VLOOKUP(Table311[[#This Row],[Date]],'DB Details'!$A:$T,18)</f>
        <v>0</v>
      </c>
      <c r="E482" s="49">
        <f>VLOOKUP(Table311[[#This Row],[Date]],'DB Details'!$A:$T,19)</f>
        <v>0</v>
      </c>
    </row>
    <row r="483" spans="1:5" x14ac:dyDescent="0.35">
      <c r="A483" s="38">
        <v>32051</v>
      </c>
      <c r="B483" s="48">
        <f>VLOOKUP(Table311[[#This Row],[Date]],'DB Details'!$A:$L,12)</f>
        <v>60.7</v>
      </c>
      <c r="C483" s="49">
        <f>VLOOKUP(Table311[[#This Row],[Date]],'DB Details'!$A:$T,20)</f>
        <v>4.4790191376797107E-2</v>
      </c>
      <c r="D483" s="49">
        <f>VLOOKUP(Table311[[#This Row],[Date]],'DB Details'!$A:$T,18)</f>
        <v>1.7170360958300369E-2</v>
      </c>
      <c r="E483" s="49">
        <f>VLOOKUP(Table311[[#This Row],[Date]],'DB Details'!$A:$T,19)</f>
        <v>7.0470707277670686E-2</v>
      </c>
    </row>
    <row r="484" spans="1:5" x14ac:dyDescent="0.35">
      <c r="A484" s="38">
        <v>32082</v>
      </c>
      <c r="B484" s="48">
        <f>VLOOKUP(Table311[[#This Row],[Date]],'DB Details'!$A:$L,12)</f>
        <v>58.8</v>
      </c>
      <c r="C484" s="49">
        <f>VLOOKUP(Table311[[#This Row],[Date]],'DB Details'!$A:$T,20)</f>
        <v>0</v>
      </c>
      <c r="D484" s="49">
        <f>VLOOKUP(Table311[[#This Row],[Date]],'DB Details'!$A:$T,18)</f>
        <v>0</v>
      </c>
      <c r="E484" s="49">
        <f>VLOOKUP(Table311[[#This Row],[Date]],'DB Details'!$A:$T,19)</f>
        <v>0</v>
      </c>
    </row>
    <row r="485" spans="1:5" x14ac:dyDescent="0.35">
      <c r="A485" s="38">
        <v>32112</v>
      </c>
      <c r="B485" s="48">
        <f>VLOOKUP(Table311[[#This Row],[Date]],'DB Details'!$A:$L,12)</f>
        <v>61</v>
      </c>
      <c r="C485" s="49">
        <f>VLOOKUP(Table311[[#This Row],[Date]],'DB Details'!$A:$T,20)</f>
        <v>0</v>
      </c>
      <c r="D485" s="49">
        <f>VLOOKUP(Table311[[#This Row],[Date]],'DB Details'!$A:$T,18)</f>
        <v>0</v>
      </c>
      <c r="E485" s="49">
        <f>VLOOKUP(Table311[[#This Row],[Date]],'DB Details'!$A:$T,19)</f>
        <v>0</v>
      </c>
    </row>
    <row r="486" spans="1:5" x14ac:dyDescent="0.35">
      <c r="A486" s="38">
        <v>32143</v>
      </c>
      <c r="B486" s="48">
        <f>VLOOKUP(Table311[[#This Row],[Date]],'DB Details'!$A:$L,12)</f>
        <v>57.5</v>
      </c>
      <c r="C486" s="49">
        <f>VLOOKUP(Table311[[#This Row],[Date]],'DB Details'!$A:$T,20)</f>
        <v>4.2421895689621632E-2</v>
      </c>
      <c r="D486" s="49">
        <f>VLOOKUP(Table311[[#This Row],[Date]],'DB Details'!$A:$T,18)</f>
        <v>5.1665416718571942E-3</v>
      </c>
      <c r="E486" s="49">
        <f>VLOOKUP(Table311[[#This Row],[Date]],'DB Details'!$A:$T,19)</f>
        <v>2.0826877962181412E-2</v>
      </c>
    </row>
    <row r="487" spans="1:5" x14ac:dyDescent="0.35">
      <c r="A487" s="38">
        <v>32174</v>
      </c>
      <c r="B487" s="48">
        <f>VLOOKUP(Table311[[#This Row],[Date]],'DB Details'!$A:$L,12)</f>
        <v>56.2</v>
      </c>
      <c r="C487" s="49">
        <f>VLOOKUP(Table311[[#This Row],[Date]],'DB Details'!$A:$T,20)</f>
        <v>0</v>
      </c>
      <c r="D487" s="49">
        <f>VLOOKUP(Table311[[#This Row],[Date]],'DB Details'!$A:$T,18)</f>
        <v>0</v>
      </c>
      <c r="E487" s="49">
        <f>VLOOKUP(Table311[[#This Row],[Date]],'DB Details'!$A:$T,19)</f>
        <v>0</v>
      </c>
    </row>
    <row r="488" spans="1:5" x14ac:dyDescent="0.35">
      <c r="A488" s="38">
        <v>32203</v>
      </c>
      <c r="B488" s="48">
        <f>VLOOKUP(Table311[[#This Row],[Date]],'DB Details'!$A:$L,12)</f>
        <v>54.6</v>
      </c>
      <c r="C488" s="49">
        <f>VLOOKUP(Table311[[#This Row],[Date]],'DB Details'!$A:$T,20)</f>
        <v>0</v>
      </c>
      <c r="D488" s="49">
        <f>VLOOKUP(Table311[[#This Row],[Date]],'DB Details'!$A:$T,18)</f>
        <v>0</v>
      </c>
      <c r="E488" s="49">
        <f>VLOOKUP(Table311[[#This Row],[Date]],'DB Details'!$A:$T,19)</f>
        <v>0</v>
      </c>
    </row>
    <row r="489" spans="1:5" x14ac:dyDescent="0.35">
      <c r="A489" s="38">
        <v>32234</v>
      </c>
      <c r="B489" s="48">
        <f>VLOOKUP(Table311[[#This Row],[Date]],'DB Details'!$A:$L,12)</f>
        <v>55.8</v>
      </c>
      <c r="C489" s="49">
        <f>VLOOKUP(Table311[[#This Row],[Date]],'DB Details'!$A:$T,20)</f>
        <v>4.48460421728804E-2</v>
      </c>
      <c r="D489" s="49">
        <f>VLOOKUP(Table311[[#This Row],[Date]],'DB Details'!$A:$T,18)</f>
        <v>1.3139006174740861E-2</v>
      </c>
      <c r="E489" s="49">
        <f>VLOOKUP(Table311[[#This Row],[Date]],'DB Details'!$A:$T,19)</f>
        <v>5.3600928330452602E-2</v>
      </c>
    </row>
    <row r="490" spans="1:5" x14ac:dyDescent="0.35">
      <c r="A490" s="38">
        <v>32264</v>
      </c>
      <c r="B490" s="48">
        <f>VLOOKUP(Table311[[#This Row],[Date]],'DB Details'!$A:$L,12)</f>
        <v>55.5</v>
      </c>
      <c r="C490" s="49">
        <f>VLOOKUP(Table311[[#This Row],[Date]],'DB Details'!$A:$T,20)</f>
        <v>0</v>
      </c>
      <c r="D490" s="49">
        <f>VLOOKUP(Table311[[#This Row],[Date]],'DB Details'!$A:$T,18)</f>
        <v>0</v>
      </c>
      <c r="E490" s="49">
        <f>VLOOKUP(Table311[[#This Row],[Date]],'DB Details'!$A:$T,19)</f>
        <v>0</v>
      </c>
    </row>
    <row r="491" spans="1:5" x14ac:dyDescent="0.35">
      <c r="A491" s="38">
        <v>32295</v>
      </c>
      <c r="B491" s="48">
        <f>VLOOKUP(Table311[[#This Row],[Date]],'DB Details'!$A:$L,12)</f>
        <v>59.3</v>
      </c>
      <c r="C491" s="49">
        <f>VLOOKUP(Table311[[#This Row],[Date]],'DB Details'!$A:$T,20)</f>
        <v>0</v>
      </c>
      <c r="D491" s="49">
        <f>VLOOKUP(Table311[[#This Row],[Date]],'DB Details'!$A:$T,18)</f>
        <v>0</v>
      </c>
      <c r="E491" s="49">
        <f>VLOOKUP(Table311[[#This Row],[Date]],'DB Details'!$A:$T,19)</f>
        <v>0</v>
      </c>
    </row>
    <row r="492" spans="1:5" x14ac:dyDescent="0.35">
      <c r="A492" s="38">
        <v>32325</v>
      </c>
      <c r="B492" s="48">
        <f>VLOOKUP(Table311[[#This Row],[Date]],'DB Details'!$A:$L,12)</f>
        <v>58.2</v>
      </c>
      <c r="C492" s="49">
        <f>VLOOKUP(Table311[[#This Row],[Date]],'DB Details'!$A:$T,20)</f>
        <v>4.192866323342976E-2</v>
      </c>
      <c r="D492" s="49">
        <f>VLOOKUP(Table311[[#This Row],[Date]],'DB Details'!$A:$T,18)</f>
        <v>5.859283143099971E-3</v>
      </c>
      <c r="E492" s="49">
        <f>VLOOKUP(Table311[[#This Row],[Date]],'DB Details'!$A:$T,19)</f>
        <v>2.364392556959816E-2</v>
      </c>
    </row>
    <row r="493" spans="1:5" x14ac:dyDescent="0.35">
      <c r="A493" s="38">
        <v>32356</v>
      </c>
      <c r="B493" s="48">
        <f>VLOOKUP(Table311[[#This Row],[Date]],'DB Details'!$A:$L,12)</f>
        <v>56</v>
      </c>
      <c r="C493" s="49">
        <f>VLOOKUP(Table311[[#This Row],[Date]],'DB Details'!$A:$T,20)</f>
        <v>0</v>
      </c>
      <c r="D493" s="49">
        <f>VLOOKUP(Table311[[#This Row],[Date]],'DB Details'!$A:$T,18)</f>
        <v>0</v>
      </c>
      <c r="E493" s="49">
        <f>VLOOKUP(Table311[[#This Row],[Date]],'DB Details'!$A:$T,19)</f>
        <v>0</v>
      </c>
    </row>
    <row r="494" spans="1:5" x14ac:dyDescent="0.35">
      <c r="A494" s="38">
        <v>32387</v>
      </c>
      <c r="B494" s="48">
        <f>VLOOKUP(Table311[[#This Row],[Date]],'DB Details'!$A:$L,12)</f>
        <v>54.5</v>
      </c>
      <c r="C494" s="49">
        <f>VLOOKUP(Table311[[#This Row],[Date]],'DB Details'!$A:$T,20)</f>
        <v>0</v>
      </c>
      <c r="D494" s="49">
        <f>VLOOKUP(Table311[[#This Row],[Date]],'DB Details'!$A:$T,18)</f>
        <v>0</v>
      </c>
      <c r="E494" s="49">
        <f>VLOOKUP(Table311[[#This Row],[Date]],'DB Details'!$A:$T,19)</f>
        <v>0</v>
      </c>
    </row>
    <row r="495" spans="1:5" x14ac:dyDescent="0.35">
      <c r="A495" s="38">
        <v>32417</v>
      </c>
      <c r="B495" s="48">
        <f>VLOOKUP(Table311[[#This Row],[Date]],'DB Details'!$A:$L,12)</f>
        <v>55.4</v>
      </c>
      <c r="C495" s="49">
        <f>VLOOKUP(Table311[[#This Row],[Date]],'DB Details'!$A:$T,20)</f>
        <v>3.7989710436494843E-2</v>
      </c>
      <c r="D495" s="49">
        <f>VLOOKUP(Table311[[#This Row],[Date]],'DB Details'!$A:$T,18)</f>
        <v>1.3325005532697319E-2</v>
      </c>
      <c r="E495" s="49">
        <f>VLOOKUP(Table311[[#This Row],[Date]],'DB Details'!$A:$T,19)</f>
        <v>5.4374852018120423E-2</v>
      </c>
    </row>
    <row r="496" spans="1:5" x14ac:dyDescent="0.35">
      <c r="A496" s="38">
        <v>32448</v>
      </c>
      <c r="B496" s="48">
        <f>VLOOKUP(Table311[[#This Row],[Date]],'DB Details'!$A:$L,12)</f>
        <v>55.6</v>
      </c>
      <c r="C496" s="49">
        <f>VLOOKUP(Table311[[#This Row],[Date]],'DB Details'!$A:$T,20)</f>
        <v>0</v>
      </c>
      <c r="D496" s="49">
        <f>VLOOKUP(Table311[[#This Row],[Date]],'DB Details'!$A:$T,18)</f>
        <v>0</v>
      </c>
      <c r="E496" s="49">
        <f>VLOOKUP(Table311[[#This Row],[Date]],'DB Details'!$A:$T,19)</f>
        <v>0</v>
      </c>
    </row>
    <row r="497" spans="1:5" x14ac:dyDescent="0.35">
      <c r="A497" s="38">
        <v>32478</v>
      </c>
      <c r="B497" s="48">
        <f>VLOOKUP(Table311[[#This Row],[Date]],'DB Details'!$A:$L,12)</f>
        <v>56</v>
      </c>
      <c r="C497" s="49">
        <f>VLOOKUP(Table311[[#This Row],[Date]],'DB Details'!$A:$T,20)</f>
        <v>0</v>
      </c>
      <c r="D497" s="49">
        <f>VLOOKUP(Table311[[#This Row],[Date]],'DB Details'!$A:$T,18)</f>
        <v>0</v>
      </c>
      <c r="E497" s="49">
        <f>VLOOKUP(Table311[[#This Row],[Date]],'DB Details'!$A:$T,19)</f>
        <v>0</v>
      </c>
    </row>
    <row r="498" spans="1:5" x14ac:dyDescent="0.35">
      <c r="A498" s="38">
        <v>32509</v>
      </c>
      <c r="B498" s="48">
        <f>VLOOKUP(Table311[[#This Row],[Date]],'DB Details'!$A:$L,12)</f>
        <v>54.7</v>
      </c>
      <c r="C498" s="49">
        <f>VLOOKUP(Table311[[#This Row],[Date]],'DB Details'!$A:$T,20)</f>
        <v>4.3152399345334859E-2</v>
      </c>
      <c r="D498" s="49">
        <f>VLOOKUP(Table311[[#This Row],[Date]],'DB Details'!$A:$T,18)</f>
        <v>1.0165976737590321E-2</v>
      </c>
      <c r="E498" s="49">
        <f>VLOOKUP(Table311[[#This Row],[Date]],'DB Details'!$A:$T,19)</f>
        <v>4.1288202625324288E-2</v>
      </c>
    </row>
    <row r="499" spans="1:5" x14ac:dyDescent="0.35">
      <c r="A499" s="38">
        <v>32540</v>
      </c>
      <c r="B499" s="48">
        <f>VLOOKUP(Table311[[#This Row],[Date]],'DB Details'!$A:$L,12)</f>
        <v>54.1</v>
      </c>
      <c r="C499" s="49">
        <f>VLOOKUP(Table311[[#This Row],[Date]],'DB Details'!$A:$T,20)</f>
        <v>0</v>
      </c>
      <c r="D499" s="49">
        <f>VLOOKUP(Table311[[#This Row],[Date]],'DB Details'!$A:$T,18)</f>
        <v>0</v>
      </c>
      <c r="E499" s="49">
        <f>VLOOKUP(Table311[[#This Row],[Date]],'DB Details'!$A:$T,19)</f>
        <v>0</v>
      </c>
    </row>
    <row r="500" spans="1:5" x14ac:dyDescent="0.35">
      <c r="A500" s="38">
        <v>32568</v>
      </c>
      <c r="B500" s="48">
        <f>VLOOKUP(Table311[[#This Row],[Date]],'DB Details'!$A:$L,12)</f>
        <v>51.5</v>
      </c>
      <c r="C500" s="49">
        <f>VLOOKUP(Table311[[#This Row],[Date]],'DB Details'!$A:$T,20)</f>
        <v>0</v>
      </c>
      <c r="D500" s="49">
        <f>VLOOKUP(Table311[[#This Row],[Date]],'DB Details'!$A:$T,18)</f>
        <v>0</v>
      </c>
      <c r="E500" s="49">
        <f>VLOOKUP(Table311[[#This Row],[Date]],'DB Details'!$A:$T,19)</f>
        <v>0</v>
      </c>
    </row>
    <row r="501" spans="1:5" x14ac:dyDescent="0.35">
      <c r="A501" s="38">
        <v>32599</v>
      </c>
      <c r="B501" s="48">
        <f>VLOOKUP(Table311[[#This Row],[Date]],'DB Details'!$A:$L,12)</f>
        <v>52.2</v>
      </c>
      <c r="C501" s="49">
        <f>VLOOKUP(Table311[[#This Row],[Date]],'DB Details'!$A:$T,20)</f>
        <v>3.7482928748439691E-2</v>
      </c>
      <c r="D501" s="49">
        <f>VLOOKUP(Table311[[#This Row],[Date]],'DB Details'!$A:$T,18)</f>
        <v>7.6326565659204249E-3</v>
      </c>
      <c r="E501" s="49">
        <f>VLOOKUP(Table311[[#This Row],[Date]],'DB Details'!$A:$T,19)</f>
        <v>3.0881952971449911E-2</v>
      </c>
    </row>
    <row r="502" spans="1:5" x14ac:dyDescent="0.35">
      <c r="A502" s="38">
        <v>32629</v>
      </c>
      <c r="B502" s="48">
        <f>VLOOKUP(Table311[[#This Row],[Date]],'DB Details'!$A:$L,12)</f>
        <v>49.3</v>
      </c>
      <c r="C502" s="49">
        <f>VLOOKUP(Table311[[#This Row],[Date]],'DB Details'!$A:$T,20)</f>
        <v>0</v>
      </c>
      <c r="D502" s="49">
        <f>VLOOKUP(Table311[[#This Row],[Date]],'DB Details'!$A:$T,18)</f>
        <v>0</v>
      </c>
      <c r="E502" s="49">
        <f>VLOOKUP(Table311[[#This Row],[Date]],'DB Details'!$A:$T,19)</f>
        <v>0</v>
      </c>
    </row>
    <row r="503" spans="1:5" x14ac:dyDescent="0.35">
      <c r="A503" s="38">
        <v>32660</v>
      </c>
      <c r="B503" s="48">
        <f>VLOOKUP(Table311[[#This Row],[Date]],'DB Details'!$A:$L,12)</f>
        <v>47.3</v>
      </c>
      <c r="C503" s="49">
        <f>VLOOKUP(Table311[[#This Row],[Date]],'DB Details'!$A:$T,20)</f>
        <v>0</v>
      </c>
      <c r="D503" s="49">
        <f>VLOOKUP(Table311[[#This Row],[Date]],'DB Details'!$A:$T,18)</f>
        <v>0</v>
      </c>
      <c r="E503" s="49">
        <f>VLOOKUP(Table311[[#This Row],[Date]],'DB Details'!$A:$T,19)</f>
        <v>0</v>
      </c>
    </row>
    <row r="504" spans="1:5" x14ac:dyDescent="0.35">
      <c r="A504" s="38">
        <v>32690</v>
      </c>
      <c r="B504" s="48">
        <f>VLOOKUP(Table311[[#This Row],[Date]],'DB Details'!$A:$L,12)</f>
        <v>45.9</v>
      </c>
      <c r="C504" s="49">
        <f>VLOOKUP(Table311[[#This Row],[Date]],'DB Details'!$A:$T,20)</f>
        <v>3.9081130529283373E-2</v>
      </c>
      <c r="D504" s="49">
        <f>VLOOKUP(Table311[[#This Row],[Date]],'DB Details'!$A:$T,18)</f>
        <v>7.4087699375831543E-3</v>
      </c>
      <c r="E504" s="49">
        <f>VLOOKUP(Table311[[#This Row],[Date]],'DB Details'!$A:$T,19)</f>
        <v>2.9966048660892589E-2</v>
      </c>
    </row>
    <row r="505" spans="1:5" x14ac:dyDescent="0.35">
      <c r="A505" s="38">
        <v>32721</v>
      </c>
      <c r="B505" s="48">
        <f>VLOOKUP(Table311[[#This Row],[Date]],'DB Details'!$A:$L,12)</f>
        <v>45.1</v>
      </c>
      <c r="C505" s="49">
        <f>VLOOKUP(Table311[[#This Row],[Date]],'DB Details'!$A:$T,20)</f>
        <v>0</v>
      </c>
      <c r="D505" s="49">
        <f>VLOOKUP(Table311[[#This Row],[Date]],'DB Details'!$A:$T,18)</f>
        <v>0</v>
      </c>
      <c r="E505" s="49">
        <f>VLOOKUP(Table311[[#This Row],[Date]],'DB Details'!$A:$T,19)</f>
        <v>0</v>
      </c>
    </row>
    <row r="506" spans="1:5" x14ac:dyDescent="0.35">
      <c r="A506" s="38">
        <v>32752</v>
      </c>
      <c r="B506" s="48">
        <f>VLOOKUP(Table311[[#This Row],[Date]],'DB Details'!$A:$L,12)</f>
        <v>46</v>
      </c>
      <c r="C506" s="49">
        <f>VLOOKUP(Table311[[#This Row],[Date]],'DB Details'!$A:$T,20)</f>
        <v>0</v>
      </c>
      <c r="D506" s="49">
        <f>VLOOKUP(Table311[[#This Row],[Date]],'DB Details'!$A:$T,18)</f>
        <v>0</v>
      </c>
      <c r="E506" s="49">
        <f>VLOOKUP(Table311[[#This Row],[Date]],'DB Details'!$A:$T,19)</f>
        <v>0</v>
      </c>
    </row>
    <row r="507" spans="1:5" x14ac:dyDescent="0.35">
      <c r="A507" s="38">
        <v>32782</v>
      </c>
      <c r="B507" s="48">
        <f>VLOOKUP(Table311[[#This Row],[Date]],'DB Details'!$A:$L,12)</f>
        <v>46.8</v>
      </c>
      <c r="C507" s="49">
        <f>VLOOKUP(Table311[[#This Row],[Date]],'DB Details'!$A:$T,20)</f>
        <v>2.743803255246614E-2</v>
      </c>
      <c r="D507" s="49">
        <f>VLOOKUP(Table311[[#This Row],[Date]],'DB Details'!$A:$T,18)</f>
        <v>1.9705097429736549E-3</v>
      </c>
      <c r="E507" s="49">
        <f>VLOOKUP(Table311[[#This Row],[Date]],'DB Details'!$A:$T,19)</f>
        <v>7.9053670440918378E-3</v>
      </c>
    </row>
    <row r="508" spans="1:5" x14ac:dyDescent="0.35">
      <c r="A508" s="38">
        <v>32813</v>
      </c>
      <c r="B508" s="48">
        <f>VLOOKUP(Table311[[#This Row],[Date]],'DB Details'!$A:$L,12)</f>
        <v>46.8</v>
      </c>
      <c r="C508" s="49">
        <f>VLOOKUP(Table311[[#This Row],[Date]],'DB Details'!$A:$T,20)</f>
        <v>0</v>
      </c>
      <c r="D508" s="49">
        <f>VLOOKUP(Table311[[#This Row],[Date]],'DB Details'!$A:$T,18)</f>
        <v>0</v>
      </c>
      <c r="E508" s="49">
        <f>VLOOKUP(Table311[[#This Row],[Date]],'DB Details'!$A:$T,19)</f>
        <v>0</v>
      </c>
    </row>
    <row r="509" spans="1:5" x14ac:dyDescent="0.35">
      <c r="A509" s="38">
        <v>32843</v>
      </c>
      <c r="B509" s="48">
        <f>VLOOKUP(Table311[[#This Row],[Date]],'DB Details'!$A:$L,12)</f>
        <v>47.4</v>
      </c>
      <c r="C509" s="49">
        <f>VLOOKUP(Table311[[#This Row],[Date]],'DB Details'!$A:$T,20)</f>
        <v>0</v>
      </c>
      <c r="D509" s="49">
        <f>VLOOKUP(Table311[[#This Row],[Date]],'DB Details'!$A:$T,18)</f>
        <v>0</v>
      </c>
      <c r="E509" s="49">
        <f>VLOOKUP(Table311[[#This Row],[Date]],'DB Details'!$A:$T,19)</f>
        <v>0</v>
      </c>
    </row>
    <row r="510" spans="1:5" x14ac:dyDescent="0.35">
      <c r="A510" s="38">
        <v>32874</v>
      </c>
      <c r="B510" s="48">
        <f>VLOOKUP(Table311[[#This Row],[Date]],'DB Details'!$A:$L,12)</f>
        <v>47.2</v>
      </c>
      <c r="C510" s="49">
        <f>VLOOKUP(Table311[[#This Row],[Date]],'DB Details'!$A:$T,20)</f>
        <v>2.8213038443606939E-2</v>
      </c>
      <c r="D510" s="49">
        <f>VLOOKUP(Table311[[#This Row],[Date]],'DB Details'!$A:$T,18)</f>
        <v>1.092795415929108E-2</v>
      </c>
      <c r="E510" s="49">
        <f>VLOOKUP(Table311[[#This Row],[Date]],'DB Details'!$A:$T,19)</f>
        <v>4.4433572064092493E-2</v>
      </c>
    </row>
    <row r="511" spans="1:5" x14ac:dyDescent="0.35">
      <c r="A511" s="38">
        <v>32905</v>
      </c>
      <c r="B511" s="48">
        <f>VLOOKUP(Table311[[#This Row],[Date]],'DB Details'!$A:$L,12)</f>
        <v>49.1</v>
      </c>
      <c r="C511" s="49">
        <f>VLOOKUP(Table311[[#This Row],[Date]],'DB Details'!$A:$T,20)</f>
        <v>0</v>
      </c>
      <c r="D511" s="49">
        <f>VLOOKUP(Table311[[#This Row],[Date]],'DB Details'!$A:$T,18)</f>
        <v>0</v>
      </c>
      <c r="E511" s="49">
        <f>VLOOKUP(Table311[[#This Row],[Date]],'DB Details'!$A:$T,19)</f>
        <v>0</v>
      </c>
    </row>
    <row r="512" spans="1:5" x14ac:dyDescent="0.35">
      <c r="A512" s="38">
        <v>32933</v>
      </c>
      <c r="B512" s="48">
        <f>VLOOKUP(Table311[[#This Row],[Date]],'DB Details'!$A:$L,12)</f>
        <v>49.9</v>
      </c>
      <c r="C512" s="49">
        <f>VLOOKUP(Table311[[#This Row],[Date]],'DB Details'!$A:$T,20)</f>
        <v>0</v>
      </c>
      <c r="D512" s="49">
        <f>VLOOKUP(Table311[[#This Row],[Date]],'DB Details'!$A:$T,18)</f>
        <v>0</v>
      </c>
      <c r="E512" s="49">
        <f>VLOOKUP(Table311[[#This Row],[Date]],'DB Details'!$A:$T,19)</f>
        <v>0</v>
      </c>
    </row>
    <row r="513" spans="1:5" x14ac:dyDescent="0.35">
      <c r="A513" s="38">
        <v>32964</v>
      </c>
      <c r="B513" s="48">
        <f>VLOOKUP(Table311[[#This Row],[Date]],'DB Details'!$A:$L,12)</f>
        <v>50</v>
      </c>
      <c r="C513" s="49">
        <f>VLOOKUP(Table311[[#This Row],[Date]],'DB Details'!$A:$T,20)</f>
        <v>2.412772955183759E-2</v>
      </c>
      <c r="D513" s="49">
        <f>VLOOKUP(Table311[[#This Row],[Date]],'DB Details'!$A:$T,18)</f>
        <v>3.6291179045774341E-3</v>
      </c>
      <c r="E513" s="49">
        <f>VLOOKUP(Table311[[#This Row],[Date]],'DB Details'!$A:$T,19)</f>
        <v>1.459568596150662E-2</v>
      </c>
    </row>
    <row r="514" spans="1:5" x14ac:dyDescent="0.35">
      <c r="A514" s="38">
        <v>32994</v>
      </c>
      <c r="B514" s="48">
        <f>VLOOKUP(Table311[[#This Row],[Date]],'DB Details'!$A:$L,12)</f>
        <v>49.5</v>
      </c>
      <c r="C514" s="49">
        <f>VLOOKUP(Table311[[#This Row],[Date]],'DB Details'!$A:$T,20)</f>
        <v>0</v>
      </c>
      <c r="D514" s="49">
        <f>VLOOKUP(Table311[[#This Row],[Date]],'DB Details'!$A:$T,18)</f>
        <v>0</v>
      </c>
      <c r="E514" s="49">
        <f>VLOOKUP(Table311[[#This Row],[Date]],'DB Details'!$A:$T,19)</f>
        <v>0</v>
      </c>
    </row>
    <row r="515" spans="1:5" x14ac:dyDescent="0.35">
      <c r="A515" s="38">
        <v>33025</v>
      </c>
      <c r="B515" s="48">
        <f>VLOOKUP(Table311[[#This Row],[Date]],'DB Details'!$A:$L,12)</f>
        <v>49.2</v>
      </c>
      <c r="C515" s="49">
        <f>VLOOKUP(Table311[[#This Row],[Date]],'DB Details'!$A:$T,20)</f>
        <v>0</v>
      </c>
      <c r="D515" s="49">
        <f>VLOOKUP(Table311[[#This Row],[Date]],'DB Details'!$A:$T,18)</f>
        <v>0</v>
      </c>
      <c r="E515" s="49">
        <f>VLOOKUP(Table311[[#This Row],[Date]],'DB Details'!$A:$T,19)</f>
        <v>0</v>
      </c>
    </row>
    <row r="516" spans="1:5" x14ac:dyDescent="0.35">
      <c r="A516" s="38">
        <v>33055</v>
      </c>
      <c r="B516" s="48">
        <f>VLOOKUP(Table311[[#This Row],[Date]],'DB Details'!$A:$L,12)</f>
        <v>46.6</v>
      </c>
      <c r="C516" s="49">
        <f>VLOOKUP(Table311[[#This Row],[Date]],'DB Details'!$A:$T,20)</f>
        <v>1.7272166368697859E-2</v>
      </c>
      <c r="D516" s="49">
        <f>VLOOKUP(Table311[[#This Row],[Date]],'DB Details'!$A:$T,18)</f>
        <v>6.6512432164184338E-4</v>
      </c>
      <c r="E516" s="49">
        <f>VLOOKUP(Table311[[#This Row],[Date]],'DB Details'!$A:$T,19)</f>
        <v>2.6631528059206659E-3</v>
      </c>
    </row>
    <row r="517" spans="1:5" x14ac:dyDescent="0.35">
      <c r="A517" s="38">
        <v>33086</v>
      </c>
      <c r="B517" s="48">
        <f>VLOOKUP(Table311[[#This Row],[Date]],'DB Details'!$A:$L,12)</f>
        <v>46.1</v>
      </c>
      <c r="C517" s="49">
        <f>VLOOKUP(Table311[[#This Row],[Date]],'DB Details'!$A:$T,20)</f>
        <v>0</v>
      </c>
      <c r="D517" s="49">
        <f>VLOOKUP(Table311[[#This Row],[Date]],'DB Details'!$A:$T,18)</f>
        <v>0</v>
      </c>
      <c r="E517" s="49">
        <f>VLOOKUP(Table311[[#This Row],[Date]],'DB Details'!$A:$T,19)</f>
        <v>0</v>
      </c>
    </row>
    <row r="518" spans="1:5" x14ac:dyDescent="0.35">
      <c r="A518" s="38">
        <v>33117</v>
      </c>
      <c r="B518" s="48">
        <f>VLOOKUP(Table311[[#This Row],[Date]],'DB Details'!$A:$L,12)</f>
        <v>44.5</v>
      </c>
      <c r="C518" s="49">
        <f>VLOOKUP(Table311[[#This Row],[Date]],'DB Details'!$A:$T,20)</f>
        <v>0</v>
      </c>
      <c r="D518" s="49">
        <f>VLOOKUP(Table311[[#This Row],[Date]],'DB Details'!$A:$T,18)</f>
        <v>0</v>
      </c>
      <c r="E518" s="49">
        <f>VLOOKUP(Table311[[#This Row],[Date]],'DB Details'!$A:$T,19)</f>
        <v>0</v>
      </c>
    </row>
    <row r="519" spans="1:5" x14ac:dyDescent="0.35">
      <c r="A519" s="38">
        <v>33147</v>
      </c>
      <c r="B519" s="48">
        <f>VLOOKUP(Table311[[#This Row],[Date]],'DB Details'!$A:$L,12)</f>
        <v>43.2</v>
      </c>
      <c r="C519" s="49">
        <f>VLOOKUP(Table311[[#This Row],[Date]],'DB Details'!$A:$T,20)</f>
        <v>6.0285869649822858E-3</v>
      </c>
      <c r="D519" s="49">
        <f>VLOOKUP(Table311[[#This Row],[Date]],'DB Details'!$A:$T,18)</f>
        <v>-9.1039454116298435E-3</v>
      </c>
      <c r="E519" s="49">
        <f>VLOOKUP(Table311[[#This Row],[Date]],'DB Details'!$A:$T,19)</f>
        <v>-3.5921502051109888E-2</v>
      </c>
    </row>
    <row r="520" spans="1:5" x14ac:dyDescent="0.35">
      <c r="A520" s="38">
        <v>33178</v>
      </c>
      <c r="B520" s="48">
        <f>VLOOKUP(Table311[[#This Row],[Date]],'DB Details'!$A:$L,12)</f>
        <v>41.3</v>
      </c>
      <c r="C520" s="49">
        <f>VLOOKUP(Table311[[#This Row],[Date]],'DB Details'!$A:$T,20)</f>
        <v>0</v>
      </c>
      <c r="D520" s="49">
        <f>VLOOKUP(Table311[[#This Row],[Date]],'DB Details'!$A:$T,18)</f>
        <v>0</v>
      </c>
      <c r="E520" s="49">
        <f>VLOOKUP(Table311[[#This Row],[Date]],'DB Details'!$A:$T,19)</f>
        <v>0</v>
      </c>
    </row>
    <row r="521" spans="1:5" x14ac:dyDescent="0.35">
      <c r="A521" s="38">
        <v>33208</v>
      </c>
      <c r="B521" s="48">
        <f>VLOOKUP(Table311[[#This Row],[Date]],'DB Details'!$A:$L,12)</f>
        <v>40.799999999999997</v>
      </c>
      <c r="C521" s="49">
        <f>VLOOKUP(Table311[[#This Row],[Date]],'DB Details'!$A:$T,20)</f>
        <v>0</v>
      </c>
      <c r="D521" s="49">
        <f>VLOOKUP(Table311[[#This Row],[Date]],'DB Details'!$A:$T,18)</f>
        <v>0</v>
      </c>
      <c r="E521" s="49">
        <f>VLOOKUP(Table311[[#This Row],[Date]],'DB Details'!$A:$T,19)</f>
        <v>0</v>
      </c>
    </row>
    <row r="522" spans="1:5" x14ac:dyDescent="0.35">
      <c r="A522" s="38">
        <v>33239</v>
      </c>
      <c r="B522" s="48">
        <f>VLOOKUP(Table311[[#This Row],[Date]],'DB Details'!$A:$L,12)</f>
        <v>39.200000000000003</v>
      </c>
      <c r="C522" s="49">
        <f>VLOOKUP(Table311[[#This Row],[Date]],'DB Details'!$A:$T,20)</f>
        <v>-9.5024069710160919E-3</v>
      </c>
      <c r="D522" s="49">
        <f>VLOOKUP(Table311[[#This Row],[Date]],'DB Details'!$A:$T,18)</f>
        <v>-4.6786758403052431E-3</v>
      </c>
      <c r="E522" s="49">
        <f>VLOOKUP(Table311[[#This Row],[Date]],'DB Details'!$A:$T,19)</f>
        <v>-1.858377250133569E-2</v>
      </c>
    </row>
    <row r="523" spans="1:5" x14ac:dyDescent="0.35">
      <c r="A523" s="38">
        <v>33270</v>
      </c>
      <c r="B523" s="48">
        <f>VLOOKUP(Table311[[#This Row],[Date]],'DB Details'!$A:$L,12)</f>
        <v>39.4</v>
      </c>
      <c r="C523" s="49">
        <f>VLOOKUP(Table311[[#This Row],[Date]],'DB Details'!$A:$T,20)</f>
        <v>0</v>
      </c>
      <c r="D523" s="49">
        <f>VLOOKUP(Table311[[#This Row],[Date]],'DB Details'!$A:$T,18)</f>
        <v>0</v>
      </c>
      <c r="E523" s="49">
        <f>VLOOKUP(Table311[[#This Row],[Date]],'DB Details'!$A:$T,19)</f>
        <v>0</v>
      </c>
    </row>
    <row r="524" spans="1:5" x14ac:dyDescent="0.35">
      <c r="A524" s="38">
        <v>33298</v>
      </c>
      <c r="B524" s="48">
        <f>VLOOKUP(Table311[[#This Row],[Date]],'DB Details'!$A:$L,12)</f>
        <v>40.700000000000003</v>
      </c>
      <c r="C524" s="49">
        <f>VLOOKUP(Table311[[#This Row],[Date]],'DB Details'!$A:$T,20)</f>
        <v>0</v>
      </c>
      <c r="D524" s="49">
        <f>VLOOKUP(Table311[[#This Row],[Date]],'DB Details'!$A:$T,18)</f>
        <v>0</v>
      </c>
      <c r="E524" s="49">
        <f>VLOOKUP(Table311[[#This Row],[Date]],'DB Details'!$A:$T,19)</f>
        <v>0</v>
      </c>
    </row>
    <row r="525" spans="1:5" x14ac:dyDescent="0.35">
      <c r="A525" s="38">
        <v>33329</v>
      </c>
      <c r="B525" s="48">
        <f>VLOOKUP(Table311[[#This Row],[Date]],'DB Details'!$A:$L,12)</f>
        <v>42.8</v>
      </c>
      <c r="C525" s="49">
        <f>VLOOKUP(Table311[[#This Row],[Date]],'DB Details'!$A:$T,20)</f>
        <v>-5.3888796022831757E-3</v>
      </c>
      <c r="D525" s="49">
        <f>VLOOKUP(Table311[[#This Row],[Date]],'DB Details'!$A:$T,18)</f>
        <v>7.7971803750098564E-3</v>
      </c>
      <c r="E525" s="49">
        <f>VLOOKUP(Table311[[#This Row],[Date]],'DB Details'!$A:$T,19)</f>
        <v>3.1555397477190723E-2</v>
      </c>
    </row>
    <row r="526" spans="1:5" x14ac:dyDescent="0.35">
      <c r="A526" s="38">
        <v>33359</v>
      </c>
      <c r="B526" s="48">
        <f>VLOOKUP(Table311[[#This Row],[Date]],'DB Details'!$A:$L,12)</f>
        <v>44.5</v>
      </c>
      <c r="C526" s="49">
        <f>VLOOKUP(Table311[[#This Row],[Date]],'DB Details'!$A:$T,20)</f>
        <v>0</v>
      </c>
      <c r="D526" s="49">
        <f>VLOOKUP(Table311[[#This Row],[Date]],'DB Details'!$A:$T,18)</f>
        <v>0</v>
      </c>
      <c r="E526" s="49">
        <f>VLOOKUP(Table311[[#This Row],[Date]],'DB Details'!$A:$T,19)</f>
        <v>0</v>
      </c>
    </row>
    <row r="527" spans="1:5" x14ac:dyDescent="0.35">
      <c r="A527" s="38">
        <v>33390</v>
      </c>
      <c r="B527" s="48">
        <f>VLOOKUP(Table311[[#This Row],[Date]],'DB Details'!$A:$L,12)</f>
        <v>50.3</v>
      </c>
      <c r="C527" s="49">
        <f>VLOOKUP(Table311[[#This Row],[Date]],'DB Details'!$A:$T,20)</f>
        <v>0</v>
      </c>
      <c r="D527" s="49">
        <f>VLOOKUP(Table311[[#This Row],[Date]],'DB Details'!$A:$T,18)</f>
        <v>0</v>
      </c>
      <c r="E527" s="49">
        <f>VLOOKUP(Table311[[#This Row],[Date]],'DB Details'!$A:$T,19)</f>
        <v>0</v>
      </c>
    </row>
    <row r="528" spans="1:5" x14ac:dyDescent="0.35">
      <c r="A528" s="38">
        <v>33420</v>
      </c>
      <c r="B528" s="48">
        <f>VLOOKUP(Table311[[#This Row],[Date]],'DB Details'!$A:$L,12)</f>
        <v>50.6</v>
      </c>
      <c r="C528" s="49">
        <f>VLOOKUP(Table311[[#This Row],[Date]],'DB Details'!$A:$T,20)</f>
        <v>-1.0271685005062319E-3</v>
      </c>
      <c r="D528" s="49">
        <f>VLOOKUP(Table311[[#This Row],[Date]],'DB Details'!$A:$T,18)</f>
        <v>5.0533843082881079E-3</v>
      </c>
      <c r="E528" s="49">
        <f>VLOOKUP(Table311[[#This Row],[Date]],'DB Details'!$A:$T,19)</f>
        <v>2.0367274229972528E-2</v>
      </c>
    </row>
    <row r="529" spans="1:5" x14ac:dyDescent="0.35">
      <c r="A529" s="38">
        <v>33451</v>
      </c>
      <c r="B529" s="48">
        <f>VLOOKUP(Table311[[#This Row],[Date]],'DB Details'!$A:$L,12)</f>
        <v>52.9</v>
      </c>
      <c r="C529" s="49">
        <f>VLOOKUP(Table311[[#This Row],[Date]],'DB Details'!$A:$T,20)</f>
        <v>0</v>
      </c>
      <c r="D529" s="49">
        <f>VLOOKUP(Table311[[#This Row],[Date]],'DB Details'!$A:$T,18)</f>
        <v>0</v>
      </c>
      <c r="E529" s="49">
        <f>VLOOKUP(Table311[[#This Row],[Date]],'DB Details'!$A:$T,19)</f>
        <v>0</v>
      </c>
    </row>
    <row r="530" spans="1:5" x14ac:dyDescent="0.35">
      <c r="A530" s="38">
        <v>33482</v>
      </c>
      <c r="B530" s="48">
        <f>VLOOKUP(Table311[[#This Row],[Date]],'DB Details'!$A:$L,12)</f>
        <v>54.9</v>
      </c>
      <c r="C530" s="49">
        <f>VLOOKUP(Table311[[#This Row],[Date]],'DB Details'!$A:$T,20)</f>
        <v>0</v>
      </c>
      <c r="D530" s="49">
        <f>VLOOKUP(Table311[[#This Row],[Date]],'DB Details'!$A:$T,18)</f>
        <v>0</v>
      </c>
      <c r="E530" s="49">
        <f>VLOOKUP(Table311[[#This Row],[Date]],'DB Details'!$A:$T,19)</f>
        <v>0</v>
      </c>
    </row>
    <row r="531" spans="1:5" x14ac:dyDescent="0.35">
      <c r="A531" s="38">
        <v>33512</v>
      </c>
      <c r="B531" s="48">
        <f>VLOOKUP(Table311[[#This Row],[Date]],'DB Details'!$A:$L,12)</f>
        <v>53.1</v>
      </c>
      <c r="C531" s="49">
        <f>VLOOKUP(Table311[[#This Row],[Date]],'DB Details'!$A:$T,20)</f>
        <v>1.166503342248571E-2</v>
      </c>
      <c r="D531" s="49">
        <f>VLOOKUP(Table311[[#This Row],[Date]],'DB Details'!$A:$T,18)</f>
        <v>3.4856390224669632E-3</v>
      </c>
      <c r="E531" s="49">
        <f>VLOOKUP(Table311[[#This Row],[Date]],'DB Details'!$A:$T,19)</f>
        <v>1.401562371143839E-2</v>
      </c>
    </row>
    <row r="532" spans="1:5" x14ac:dyDescent="0.35">
      <c r="A532" s="38">
        <v>33543</v>
      </c>
      <c r="B532" s="48">
        <f>VLOOKUP(Table311[[#This Row],[Date]],'DB Details'!$A:$L,12)</f>
        <v>49.5</v>
      </c>
      <c r="C532" s="49">
        <f>VLOOKUP(Table311[[#This Row],[Date]],'DB Details'!$A:$T,20)</f>
        <v>0</v>
      </c>
      <c r="D532" s="49">
        <f>VLOOKUP(Table311[[#This Row],[Date]],'DB Details'!$A:$T,18)</f>
        <v>0</v>
      </c>
      <c r="E532" s="49">
        <f>VLOOKUP(Table311[[#This Row],[Date]],'DB Details'!$A:$T,19)</f>
        <v>0</v>
      </c>
    </row>
    <row r="533" spans="1:5" x14ac:dyDescent="0.35">
      <c r="A533" s="38">
        <v>33573</v>
      </c>
      <c r="B533" s="48">
        <f>VLOOKUP(Table311[[#This Row],[Date]],'DB Details'!$A:$L,12)</f>
        <v>46.8</v>
      </c>
      <c r="C533" s="49">
        <f>VLOOKUP(Table311[[#This Row],[Date]],'DB Details'!$A:$T,20)</f>
        <v>0</v>
      </c>
      <c r="D533" s="49">
        <f>VLOOKUP(Table311[[#This Row],[Date]],'DB Details'!$A:$T,18)</f>
        <v>0</v>
      </c>
      <c r="E533" s="49">
        <f>VLOOKUP(Table311[[#This Row],[Date]],'DB Details'!$A:$T,19)</f>
        <v>0</v>
      </c>
    </row>
    <row r="534" spans="1:5" x14ac:dyDescent="0.35">
      <c r="A534" s="38">
        <v>33604</v>
      </c>
      <c r="B534" s="48">
        <f>VLOOKUP(Table311[[#This Row],[Date]],'DB Details'!$A:$L,12)</f>
        <v>47.3</v>
      </c>
      <c r="C534" s="49">
        <f>VLOOKUP(Table311[[#This Row],[Date]],'DB Details'!$A:$T,20)</f>
        <v>2.8588691053506081E-2</v>
      </c>
      <c r="D534" s="49">
        <f>VLOOKUP(Table311[[#This Row],[Date]],'DB Details'!$A:$T,18)</f>
        <v>1.19715757414335E-2</v>
      </c>
      <c r="E534" s="49">
        <f>VLOOKUP(Table311[[#This Row],[Date]],'DB Details'!$A:$T,19)</f>
        <v>4.8753098259492589E-2</v>
      </c>
    </row>
    <row r="535" spans="1:5" x14ac:dyDescent="0.35">
      <c r="A535" s="38">
        <v>33635</v>
      </c>
      <c r="B535" s="48">
        <f>VLOOKUP(Table311[[#This Row],[Date]],'DB Details'!$A:$L,12)</f>
        <v>52.7</v>
      </c>
      <c r="C535" s="49">
        <f>VLOOKUP(Table311[[#This Row],[Date]],'DB Details'!$A:$T,20)</f>
        <v>0</v>
      </c>
      <c r="D535" s="49">
        <f>VLOOKUP(Table311[[#This Row],[Date]],'DB Details'!$A:$T,18)</f>
        <v>0</v>
      </c>
      <c r="E535" s="49">
        <f>VLOOKUP(Table311[[#This Row],[Date]],'DB Details'!$A:$T,19)</f>
        <v>0</v>
      </c>
    </row>
    <row r="536" spans="1:5" x14ac:dyDescent="0.35">
      <c r="A536" s="38">
        <v>33664</v>
      </c>
      <c r="B536" s="48">
        <f>VLOOKUP(Table311[[#This Row],[Date]],'DB Details'!$A:$L,12)</f>
        <v>54.6</v>
      </c>
      <c r="C536" s="49">
        <f>VLOOKUP(Table311[[#This Row],[Date]],'DB Details'!$A:$T,20)</f>
        <v>0</v>
      </c>
      <c r="D536" s="49">
        <f>VLOOKUP(Table311[[#This Row],[Date]],'DB Details'!$A:$T,18)</f>
        <v>0</v>
      </c>
      <c r="E536" s="49">
        <f>VLOOKUP(Table311[[#This Row],[Date]],'DB Details'!$A:$T,19)</f>
        <v>0</v>
      </c>
    </row>
    <row r="537" spans="1:5" x14ac:dyDescent="0.35">
      <c r="A537" s="38">
        <v>33695</v>
      </c>
      <c r="B537" s="48">
        <f>VLOOKUP(Table311[[#This Row],[Date]],'DB Details'!$A:$L,12)</f>
        <v>52.6</v>
      </c>
      <c r="C537" s="49">
        <f>VLOOKUP(Table311[[#This Row],[Date]],'DB Details'!$A:$T,20)</f>
        <v>3.1697558206670688E-2</v>
      </c>
      <c r="D537" s="49">
        <f>VLOOKUP(Table311[[#This Row],[Date]],'DB Details'!$A:$T,18)</f>
        <v>1.0843206039467399E-2</v>
      </c>
      <c r="E537" s="49">
        <f>VLOOKUP(Table311[[#This Row],[Date]],'DB Details'!$A:$T,19)</f>
        <v>4.4083388249948292E-2</v>
      </c>
    </row>
    <row r="538" spans="1:5" x14ac:dyDescent="0.35">
      <c r="A538" s="38">
        <v>33725</v>
      </c>
      <c r="B538" s="48">
        <f>VLOOKUP(Table311[[#This Row],[Date]],'DB Details'!$A:$L,12)</f>
        <v>55.7</v>
      </c>
      <c r="C538" s="49">
        <f>VLOOKUP(Table311[[#This Row],[Date]],'DB Details'!$A:$T,20)</f>
        <v>0</v>
      </c>
      <c r="D538" s="49">
        <f>VLOOKUP(Table311[[#This Row],[Date]],'DB Details'!$A:$T,18)</f>
        <v>0</v>
      </c>
      <c r="E538" s="49">
        <f>VLOOKUP(Table311[[#This Row],[Date]],'DB Details'!$A:$T,19)</f>
        <v>0</v>
      </c>
    </row>
    <row r="539" spans="1:5" x14ac:dyDescent="0.35">
      <c r="A539" s="38">
        <v>33756</v>
      </c>
      <c r="B539" s="48">
        <f>VLOOKUP(Table311[[#This Row],[Date]],'DB Details'!$A:$L,12)</f>
        <v>53.6</v>
      </c>
      <c r="C539" s="49">
        <f>VLOOKUP(Table311[[#This Row],[Date]],'DB Details'!$A:$T,20)</f>
        <v>0</v>
      </c>
      <c r="D539" s="49">
        <f>VLOOKUP(Table311[[#This Row],[Date]],'DB Details'!$A:$T,18)</f>
        <v>0</v>
      </c>
      <c r="E539" s="49">
        <f>VLOOKUP(Table311[[#This Row],[Date]],'DB Details'!$A:$T,19)</f>
        <v>0</v>
      </c>
    </row>
    <row r="540" spans="1:5" x14ac:dyDescent="0.35">
      <c r="A540" s="38">
        <v>33786</v>
      </c>
      <c r="B540" s="48">
        <f>VLOOKUP(Table311[[#This Row],[Date]],'DB Details'!$A:$L,12)</f>
        <v>53.9</v>
      </c>
      <c r="C540" s="49">
        <f>VLOOKUP(Table311[[#This Row],[Date]],'DB Details'!$A:$T,20)</f>
        <v>3.6653228785096012E-2</v>
      </c>
      <c r="D540" s="49">
        <f>VLOOKUP(Table311[[#This Row],[Date]],'DB Details'!$A:$T,18)</f>
        <v>9.8810718866332772E-3</v>
      </c>
      <c r="E540" s="49">
        <f>VLOOKUP(Table311[[#This Row],[Date]],'DB Details'!$A:$T,19)</f>
        <v>4.0113969545816142E-2</v>
      </c>
    </row>
    <row r="541" spans="1:5" x14ac:dyDescent="0.35">
      <c r="A541" s="38">
        <v>33817</v>
      </c>
      <c r="B541" s="48">
        <f>VLOOKUP(Table311[[#This Row],[Date]],'DB Details'!$A:$L,12)</f>
        <v>53.4</v>
      </c>
      <c r="C541" s="49">
        <f>VLOOKUP(Table311[[#This Row],[Date]],'DB Details'!$A:$T,20)</f>
        <v>0</v>
      </c>
      <c r="D541" s="49">
        <f>VLOOKUP(Table311[[#This Row],[Date]],'DB Details'!$A:$T,18)</f>
        <v>0</v>
      </c>
      <c r="E541" s="49">
        <f>VLOOKUP(Table311[[#This Row],[Date]],'DB Details'!$A:$T,19)</f>
        <v>0</v>
      </c>
    </row>
    <row r="542" spans="1:5" x14ac:dyDescent="0.35">
      <c r="A542" s="38">
        <v>33848</v>
      </c>
      <c r="B542" s="48">
        <f>VLOOKUP(Table311[[#This Row],[Date]],'DB Details'!$A:$L,12)</f>
        <v>49.7</v>
      </c>
      <c r="C542" s="49">
        <f>VLOOKUP(Table311[[#This Row],[Date]],'DB Details'!$A:$T,20)</f>
        <v>0</v>
      </c>
      <c r="D542" s="49">
        <f>VLOOKUP(Table311[[#This Row],[Date]],'DB Details'!$A:$T,18)</f>
        <v>0</v>
      </c>
      <c r="E542" s="49">
        <f>VLOOKUP(Table311[[#This Row],[Date]],'DB Details'!$A:$T,19)</f>
        <v>0</v>
      </c>
    </row>
    <row r="543" spans="1:5" x14ac:dyDescent="0.35">
      <c r="A543" s="38">
        <v>33878</v>
      </c>
      <c r="B543" s="48">
        <f>VLOOKUP(Table311[[#This Row],[Date]],'DB Details'!$A:$L,12)</f>
        <v>50.3</v>
      </c>
      <c r="C543" s="49">
        <f>VLOOKUP(Table311[[#This Row],[Date]],'DB Details'!$A:$T,20)</f>
        <v>4.3825876436383887E-2</v>
      </c>
      <c r="D543" s="49">
        <f>VLOOKUP(Table311[[#This Row],[Date]],'DB Details'!$A:$T,18)</f>
        <v>1.042879871365018E-2</v>
      </c>
      <c r="E543" s="49">
        <f>VLOOKUP(Table311[[#This Row],[Date]],'DB Details'!$A:$T,19)</f>
        <v>4.2372302676989992E-2</v>
      </c>
    </row>
    <row r="544" spans="1:5" x14ac:dyDescent="0.35">
      <c r="A544" s="38">
        <v>33909</v>
      </c>
      <c r="B544" s="48">
        <f>VLOOKUP(Table311[[#This Row],[Date]],'DB Details'!$A:$L,12)</f>
        <v>53.6</v>
      </c>
      <c r="C544" s="49">
        <f>VLOOKUP(Table311[[#This Row],[Date]],'DB Details'!$A:$T,20)</f>
        <v>0</v>
      </c>
      <c r="D544" s="49">
        <f>VLOOKUP(Table311[[#This Row],[Date]],'DB Details'!$A:$T,18)</f>
        <v>0</v>
      </c>
      <c r="E544" s="49">
        <f>VLOOKUP(Table311[[#This Row],[Date]],'DB Details'!$A:$T,19)</f>
        <v>0</v>
      </c>
    </row>
    <row r="545" spans="1:5" x14ac:dyDescent="0.35">
      <c r="A545" s="38">
        <v>33939</v>
      </c>
      <c r="B545" s="48">
        <f>VLOOKUP(Table311[[#This Row],[Date]],'DB Details'!$A:$L,12)</f>
        <v>54.2</v>
      </c>
      <c r="C545" s="49">
        <f>VLOOKUP(Table311[[#This Row],[Date]],'DB Details'!$A:$T,20)</f>
        <v>0</v>
      </c>
      <c r="D545" s="49">
        <f>VLOOKUP(Table311[[#This Row],[Date]],'DB Details'!$A:$T,18)</f>
        <v>0</v>
      </c>
      <c r="E545" s="49">
        <f>VLOOKUP(Table311[[#This Row],[Date]],'DB Details'!$A:$T,19)</f>
        <v>0</v>
      </c>
    </row>
    <row r="546" spans="1:5" x14ac:dyDescent="0.35">
      <c r="A546" s="38">
        <v>33970</v>
      </c>
      <c r="B546" s="48">
        <f>VLOOKUP(Table311[[#This Row],[Date]],'DB Details'!$A:$L,12)</f>
        <v>55.8</v>
      </c>
      <c r="C546" s="49">
        <f>VLOOKUP(Table311[[#This Row],[Date]],'DB Details'!$A:$T,20)</f>
        <v>3.319981753469755E-2</v>
      </c>
      <c r="D546" s="49">
        <f>VLOOKUP(Table311[[#This Row],[Date]],'DB Details'!$A:$T,18)</f>
        <v>1.6697909194549321E-3</v>
      </c>
      <c r="E546" s="49">
        <f>VLOOKUP(Table311[[#This Row],[Date]],'DB Details'!$A:$T,19)</f>
        <v>6.6959115187377183E-3</v>
      </c>
    </row>
    <row r="547" spans="1:5" x14ac:dyDescent="0.35">
      <c r="A547" s="38">
        <v>34001</v>
      </c>
      <c r="B547" s="48">
        <f>VLOOKUP(Table311[[#This Row],[Date]],'DB Details'!$A:$L,12)</f>
        <v>55.2</v>
      </c>
      <c r="C547" s="49">
        <f>VLOOKUP(Table311[[#This Row],[Date]],'DB Details'!$A:$T,20)</f>
        <v>0</v>
      </c>
      <c r="D547" s="49">
        <f>VLOOKUP(Table311[[#This Row],[Date]],'DB Details'!$A:$T,18)</f>
        <v>0</v>
      </c>
      <c r="E547" s="49">
        <f>VLOOKUP(Table311[[#This Row],[Date]],'DB Details'!$A:$T,19)</f>
        <v>0</v>
      </c>
    </row>
    <row r="548" spans="1:5" x14ac:dyDescent="0.35">
      <c r="A548" s="38">
        <v>34029</v>
      </c>
      <c r="B548" s="48">
        <f>VLOOKUP(Table311[[#This Row],[Date]],'DB Details'!$A:$L,12)</f>
        <v>53.5</v>
      </c>
      <c r="C548" s="49">
        <f>VLOOKUP(Table311[[#This Row],[Date]],'DB Details'!$A:$T,20)</f>
        <v>0</v>
      </c>
      <c r="D548" s="49">
        <f>VLOOKUP(Table311[[#This Row],[Date]],'DB Details'!$A:$T,18)</f>
        <v>0</v>
      </c>
      <c r="E548" s="49">
        <f>VLOOKUP(Table311[[#This Row],[Date]],'DB Details'!$A:$T,19)</f>
        <v>0</v>
      </c>
    </row>
    <row r="549" spans="1:5" x14ac:dyDescent="0.35">
      <c r="A549" s="38">
        <v>34060</v>
      </c>
      <c r="B549" s="48">
        <f>VLOOKUP(Table311[[#This Row],[Date]],'DB Details'!$A:$L,12)</f>
        <v>50.2</v>
      </c>
      <c r="C549" s="49">
        <f>VLOOKUP(Table311[[#This Row],[Date]],'DB Details'!$A:$T,20)</f>
        <v>2.806667390440774E-2</v>
      </c>
      <c r="D549" s="49">
        <f>VLOOKUP(Table311[[#This Row],[Date]],'DB Details'!$A:$T,18)</f>
        <v>5.8211345328307244E-3</v>
      </c>
      <c r="E549" s="49">
        <f>VLOOKUP(Table311[[#This Row],[Date]],'DB Details'!$A:$T,19)</f>
        <v>2.348864193376721E-2</v>
      </c>
    </row>
    <row r="550" spans="1:5" x14ac:dyDescent="0.35">
      <c r="A550" s="38">
        <v>34090</v>
      </c>
      <c r="B550" s="48">
        <f>VLOOKUP(Table311[[#This Row],[Date]],'DB Details'!$A:$L,12)</f>
        <v>51.2</v>
      </c>
      <c r="C550" s="49">
        <f>VLOOKUP(Table311[[#This Row],[Date]],'DB Details'!$A:$T,20)</f>
        <v>0</v>
      </c>
      <c r="D550" s="49">
        <f>VLOOKUP(Table311[[#This Row],[Date]],'DB Details'!$A:$T,18)</f>
        <v>0</v>
      </c>
      <c r="E550" s="49">
        <f>VLOOKUP(Table311[[#This Row],[Date]],'DB Details'!$A:$T,19)</f>
        <v>0</v>
      </c>
    </row>
    <row r="551" spans="1:5" x14ac:dyDescent="0.35">
      <c r="A551" s="38">
        <v>34121</v>
      </c>
      <c r="B551" s="48">
        <f>VLOOKUP(Table311[[#This Row],[Date]],'DB Details'!$A:$L,12)</f>
        <v>49.6</v>
      </c>
      <c r="C551" s="49">
        <f>VLOOKUP(Table311[[#This Row],[Date]],'DB Details'!$A:$T,20)</f>
        <v>0</v>
      </c>
      <c r="D551" s="49">
        <f>VLOOKUP(Table311[[#This Row],[Date]],'DB Details'!$A:$T,18)</f>
        <v>0</v>
      </c>
      <c r="E551" s="49">
        <f>VLOOKUP(Table311[[#This Row],[Date]],'DB Details'!$A:$T,19)</f>
        <v>0</v>
      </c>
    </row>
    <row r="552" spans="1:5" x14ac:dyDescent="0.35">
      <c r="A552" s="38">
        <v>34151</v>
      </c>
      <c r="B552" s="48">
        <f>VLOOKUP(Table311[[#This Row],[Date]],'DB Details'!$A:$L,12)</f>
        <v>50.2</v>
      </c>
      <c r="C552" s="49">
        <f>VLOOKUP(Table311[[#This Row],[Date]],'DB Details'!$A:$T,20)</f>
        <v>2.2865157608157161E-2</v>
      </c>
      <c r="D552" s="49">
        <f>VLOOKUP(Table311[[#This Row],[Date]],'DB Details'!$A:$T,18)</f>
        <v>4.771565873036193E-3</v>
      </c>
      <c r="E552" s="49">
        <f>VLOOKUP(Table311[[#This Row],[Date]],'DB Details'!$A:$T,19)</f>
        <v>1.9223305608814249E-2</v>
      </c>
    </row>
    <row r="553" spans="1:5" x14ac:dyDescent="0.35">
      <c r="A553" s="38">
        <v>34182</v>
      </c>
      <c r="B553" s="48">
        <f>VLOOKUP(Table311[[#This Row],[Date]],'DB Details'!$A:$L,12)</f>
        <v>50.7</v>
      </c>
      <c r="C553" s="49">
        <f>VLOOKUP(Table311[[#This Row],[Date]],'DB Details'!$A:$T,20)</f>
        <v>0</v>
      </c>
      <c r="D553" s="49">
        <f>VLOOKUP(Table311[[#This Row],[Date]],'DB Details'!$A:$T,18)</f>
        <v>0</v>
      </c>
      <c r="E553" s="49">
        <f>VLOOKUP(Table311[[#This Row],[Date]],'DB Details'!$A:$T,19)</f>
        <v>0</v>
      </c>
    </row>
    <row r="554" spans="1:5" x14ac:dyDescent="0.35">
      <c r="A554" s="38">
        <v>34213</v>
      </c>
      <c r="B554" s="48">
        <f>VLOOKUP(Table311[[#This Row],[Date]],'DB Details'!$A:$L,12)</f>
        <v>50.8</v>
      </c>
      <c r="C554" s="49">
        <f>VLOOKUP(Table311[[#This Row],[Date]],'DB Details'!$A:$T,20)</f>
        <v>0</v>
      </c>
      <c r="D554" s="49">
        <f>VLOOKUP(Table311[[#This Row],[Date]],'DB Details'!$A:$T,18)</f>
        <v>0</v>
      </c>
      <c r="E554" s="49">
        <f>VLOOKUP(Table311[[#This Row],[Date]],'DB Details'!$A:$T,19)</f>
        <v>0</v>
      </c>
    </row>
    <row r="555" spans="1:5" x14ac:dyDescent="0.35">
      <c r="A555" s="38">
        <v>34243</v>
      </c>
      <c r="B555" s="48">
        <f>VLOOKUP(Table311[[#This Row],[Date]],'DB Details'!$A:$L,12)</f>
        <v>53.4</v>
      </c>
      <c r="C555" s="49">
        <f>VLOOKUP(Table311[[#This Row],[Date]],'DB Details'!$A:$T,20)</f>
        <v>2.6076154944646868E-2</v>
      </c>
      <c r="D555" s="49">
        <f>VLOOKUP(Table311[[#This Row],[Date]],'DB Details'!$A:$T,18)</f>
        <v>1.360075560087943E-2</v>
      </c>
      <c r="E555" s="49">
        <f>VLOOKUP(Table311[[#This Row],[Date]],'DB Details'!$A:$T,19)</f>
        <v>5.5523003439976508E-2</v>
      </c>
    </row>
    <row r="556" spans="1:5" x14ac:dyDescent="0.35">
      <c r="A556" s="38">
        <v>34274</v>
      </c>
      <c r="B556" s="48">
        <f>VLOOKUP(Table311[[#This Row],[Date]],'DB Details'!$A:$L,12)</f>
        <v>53.8</v>
      </c>
      <c r="C556" s="49">
        <f>VLOOKUP(Table311[[#This Row],[Date]],'DB Details'!$A:$T,20)</f>
        <v>0</v>
      </c>
      <c r="D556" s="49">
        <f>VLOOKUP(Table311[[#This Row],[Date]],'DB Details'!$A:$T,18)</f>
        <v>0</v>
      </c>
      <c r="E556" s="49">
        <f>VLOOKUP(Table311[[#This Row],[Date]],'DB Details'!$A:$T,19)</f>
        <v>0</v>
      </c>
    </row>
    <row r="557" spans="1:5" x14ac:dyDescent="0.35">
      <c r="A557" s="38">
        <v>34304</v>
      </c>
      <c r="B557" s="48">
        <f>VLOOKUP(Table311[[#This Row],[Date]],'DB Details'!$A:$L,12)</f>
        <v>55.6</v>
      </c>
      <c r="C557" s="49">
        <f>VLOOKUP(Table311[[#This Row],[Date]],'DB Details'!$A:$T,20)</f>
        <v>0</v>
      </c>
      <c r="D557" s="49">
        <f>VLOOKUP(Table311[[#This Row],[Date]],'DB Details'!$A:$T,18)</f>
        <v>0</v>
      </c>
      <c r="E557" s="49">
        <f>VLOOKUP(Table311[[#This Row],[Date]],'DB Details'!$A:$T,19)</f>
        <v>0</v>
      </c>
    </row>
    <row r="558" spans="1:5" x14ac:dyDescent="0.35">
      <c r="A558" s="38">
        <v>34335</v>
      </c>
      <c r="B558" s="48">
        <f>VLOOKUP(Table311[[#This Row],[Date]],'DB Details'!$A:$L,12)</f>
        <v>56</v>
      </c>
      <c r="C558" s="49">
        <f>VLOOKUP(Table311[[#This Row],[Date]],'DB Details'!$A:$T,20)</f>
        <v>3.4305230144305927E-2</v>
      </c>
      <c r="D558" s="49">
        <f>VLOOKUP(Table311[[#This Row],[Date]],'DB Details'!$A:$T,18)</f>
        <v>9.7031284012597131E-3</v>
      </c>
      <c r="E558" s="49">
        <f>VLOOKUP(Table311[[#This Row],[Date]],'DB Details'!$A:$T,19)</f>
        <v>3.9381080899375531E-2</v>
      </c>
    </row>
    <row r="559" spans="1:5" x14ac:dyDescent="0.35">
      <c r="A559" s="38">
        <v>34366</v>
      </c>
      <c r="B559" s="48">
        <f>VLOOKUP(Table311[[#This Row],[Date]],'DB Details'!$A:$L,12)</f>
        <v>56.5</v>
      </c>
      <c r="C559" s="49">
        <f>VLOOKUP(Table311[[#This Row],[Date]],'DB Details'!$A:$T,20)</f>
        <v>0</v>
      </c>
      <c r="D559" s="49">
        <f>VLOOKUP(Table311[[#This Row],[Date]],'DB Details'!$A:$T,18)</f>
        <v>0</v>
      </c>
      <c r="E559" s="49">
        <f>VLOOKUP(Table311[[#This Row],[Date]],'DB Details'!$A:$T,19)</f>
        <v>0</v>
      </c>
    </row>
    <row r="560" spans="1:5" x14ac:dyDescent="0.35">
      <c r="A560" s="38">
        <v>34394</v>
      </c>
      <c r="B560" s="48">
        <f>VLOOKUP(Table311[[#This Row],[Date]],'DB Details'!$A:$L,12)</f>
        <v>56.9</v>
      </c>
      <c r="C560" s="49">
        <f>VLOOKUP(Table311[[#This Row],[Date]],'DB Details'!$A:$T,20)</f>
        <v>0</v>
      </c>
      <c r="D560" s="49">
        <f>VLOOKUP(Table311[[#This Row],[Date]],'DB Details'!$A:$T,18)</f>
        <v>0</v>
      </c>
      <c r="E560" s="49">
        <f>VLOOKUP(Table311[[#This Row],[Date]],'DB Details'!$A:$T,19)</f>
        <v>0</v>
      </c>
    </row>
    <row r="561" spans="1:5" x14ac:dyDescent="0.35">
      <c r="A561" s="38">
        <v>34425</v>
      </c>
      <c r="B561" s="48">
        <f>VLOOKUP(Table311[[#This Row],[Date]],'DB Details'!$A:$L,12)</f>
        <v>57.4</v>
      </c>
      <c r="C561" s="49">
        <f>VLOOKUP(Table311[[#This Row],[Date]],'DB Details'!$A:$T,20)</f>
        <v>4.2253997023570897E-2</v>
      </c>
      <c r="D561" s="49">
        <f>VLOOKUP(Table311[[#This Row],[Date]],'DB Details'!$A:$T,18)</f>
        <v>1.3550997524554961E-2</v>
      </c>
      <c r="E561" s="49">
        <f>VLOOKUP(Table311[[#This Row],[Date]],'DB Details'!$A:$T,19)</f>
        <v>5.5315754474926093E-2</v>
      </c>
    </row>
    <row r="562" spans="1:5" x14ac:dyDescent="0.35">
      <c r="A562" s="38">
        <v>34455</v>
      </c>
      <c r="B562" s="48">
        <f>VLOOKUP(Table311[[#This Row],[Date]],'DB Details'!$A:$L,12)</f>
        <v>58.2</v>
      </c>
      <c r="C562" s="49">
        <f>VLOOKUP(Table311[[#This Row],[Date]],'DB Details'!$A:$T,20)</f>
        <v>0</v>
      </c>
      <c r="D562" s="49">
        <f>VLOOKUP(Table311[[#This Row],[Date]],'DB Details'!$A:$T,18)</f>
        <v>0</v>
      </c>
      <c r="E562" s="49">
        <f>VLOOKUP(Table311[[#This Row],[Date]],'DB Details'!$A:$T,19)</f>
        <v>0</v>
      </c>
    </row>
    <row r="563" spans="1:5" x14ac:dyDescent="0.35">
      <c r="A563" s="38">
        <v>34486</v>
      </c>
      <c r="B563" s="48">
        <f>VLOOKUP(Table311[[#This Row],[Date]],'DB Details'!$A:$L,12)</f>
        <v>58.8</v>
      </c>
      <c r="C563" s="49">
        <f>VLOOKUP(Table311[[#This Row],[Date]],'DB Details'!$A:$T,20)</f>
        <v>0</v>
      </c>
      <c r="D563" s="49">
        <f>VLOOKUP(Table311[[#This Row],[Date]],'DB Details'!$A:$T,18)</f>
        <v>0</v>
      </c>
      <c r="E563" s="49">
        <f>VLOOKUP(Table311[[#This Row],[Date]],'DB Details'!$A:$T,19)</f>
        <v>0</v>
      </c>
    </row>
    <row r="564" spans="1:5" x14ac:dyDescent="0.35">
      <c r="A564" s="38">
        <v>34516</v>
      </c>
      <c r="B564" s="48">
        <f>VLOOKUP(Table311[[#This Row],[Date]],'DB Details'!$A:$L,12)</f>
        <v>58.5</v>
      </c>
      <c r="C564" s="49">
        <f>VLOOKUP(Table311[[#This Row],[Date]],'DB Details'!$A:$T,20)</f>
        <v>4.3367848596343253E-2</v>
      </c>
      <c r="D564" s="49">
        <f>VLOOKUP(Table311[[#This Row],[Date]],'DB Details'!$A:$T,18)</f>
        <v>5.8453601613005493E-3</v>
      </c>
      <c r="E564" s="49">
        <f>VLOOKUP(Table311[[#This Row],[Date]],'DB Details'!$A:$T,19)</f>
        <v>2.358725012773033E-2</v>
      </c>
    </row>
    <row r="565" spans="1:5" x14ac:dyDescent="0.35">
      <c r="A565" s="38">
        <v>34547</v>
      </c>
      <c r="B565" s="48">
        <f>VLOOKUP(Table311[[#This Row],[Date]],'DB Details'!$A:$L,12)</f>
        <v>58</v>
      </c>
      <c r="C565" s="49">
        <f>VLOOKUP(Table311[[#This Row],[Date]],'DB Details'!$A:$T,20)</f>
        <v>0</v>
      </c>
      <c r="D565" s="49">
        <f>VLOOKUP(Table311[[#This Row],[Date]],'DB Details'!$A:$T,18)</f>
        <v>0</v>
      </c>
      <c r="E565" s="49">
        <f>VLOOKUP(Table311[[#This Row],[Date]],'DB Details'!$A:$T,19)</f>
        <v>0</v>
      </c>
    </row>
    <row r="566" spans="1:5" x14ac:dyDescent="0.35">
      <c r="A566" s="38">
        <v>34578</v>
      </c>
      <c r="B566" s="48">
        <f>VLOOKUP(Table311[[#This Row],[Date]],'DB Details'!$A:$L,12)</f>
        <v>59</v>
      </c>
      <c r="C566" s="49">
        <f>VLOOKUP(Table311[[#This Row],[Date]],'DB Details'!$A:$T,20)</f>
        <v>0</v>
      </c>
      <c r="D566" s="49">
        <f>VLOOKUP(Table311[[#This Row],[Date]],'DB Details'!$A:$T,18)</f>
        <v>0</v>
      </c>
      <c r="E566" s="49">
        <f>VLOOKUP(Table311[[#This Row],[Date]],'DB Details'!$A:$T,19)</f>
        <v>0</v>
      </c>
    </row>
    <row r="567" spans="1:5" x14ac:dyDescent="0.35">
      <c r="A567" s="38">
        <v>34608</v>
      </c>
      <c r="B567" s="48">
        <f>VLOOKUP(Table311[[#This Row],[Date]],'DB Details'!$A:$L,12)</f>
        <v>59.4</v>
      </c>
      <c r="C567" s="49">
        <f>VLOOKUP(Table311[[#This Row],[Date]],'DB Details'!$A:$T,20)</f>
        <v>4.1159265162524668E-2</v>
      </c>
      <c r="D567" s="49">
        <f>VLOOKUP(Table311[[#This Row],[Date]],'DB Details'!$A:$T,18)</f>
        <v>1.1455182646587479E-2</v>
      </c>
      <c r="E567" s="49">
        <f>VLOOKUP(Table311[[#This Row],[Date]],'DB Details'!$A:$T,19)</f>
        <v>4.6614087713841679E-2</v>
      </c>
    </row>
    <row r="568" spans="1:5" x14ac:dyDescent="0.35">
      <c r="A568" s="38">
        <v>34639</v>
      </c>
      <c r="B568" s="48">
        <f>VLOOKUP(Table311[[#This Row],[Date]],'DB Details'!$A:$L,12)</f>
        <v>59.2</v>
      </c>
      <c r="C568" s="49">
        <f>VLOOKUP(Table311[[#This Row],[Date]],'DB Details'!$A:$T,20)</f>
        <v>0</v>
      </c>
      <c r="D568" s="49">
        <f>VLOOKUP(Table311[[#This Row],[Date]],'DB Details'!$A:$T,18)</f>
        <v>0</v>
      </c>
      <c r="E568" s="49">
        <f>VLOOKUP(Table311[[#This Row],[Date]],'DB Details'!$A:$T,19)</f>
        <v>0</v>
      </c>
    </row>
    <row r="569" spans="1:5" x14ac:dyDescent="0.35">
      <c r="A569" s="38">
        <v>34669</v>
      </c>
      <c r="B569" s="48">
        <f>VLOOKUP(Table311[[#This Row],[Date]],'DB Details'!$A:$L,12)</f>
        <v>56.1</v>
      </c>
      <c r="C569" s="49">
        <f>VLOOKUP(Table311[[#This Row],[Date]],'DB Details'!$A:$T,20)</f>
        <v>0</v>
      </c>
      <c r="D569" s="49">
        <f>VLOOKUP(Table311[[#This Row],[Date]],'DB Details'!$A:$T,18)</f>
        <v>0</v>
      </c>
      <c r="E569" s="49">
        <f>VLOOKUP(Table311[[#This Row],[Date]],'DB Details'!$A:$T,19)</f>
        <v>0</v>
      </c>
    </row>
    <row r="570" spans="1:5" x14ac:dyDescent="0.35">
      <c r="A570" s="38">
        <v>34700</v>
      </c>
      <c r="B570" s="48">
        <f>VLOOKUP(Table311[[#This Row],[Date]],'DB Details'!$A:$L,12)</f>
        <v>57.4</v>
      </c>
      <c r="C570" s="49">
        <f>VLOOKUP(Table311[[#This Row],[Date]],'DB Details'!$A:$T,20)</f>
        <v>3.4811302970043798E-2</v>
      </c>
      <c r="D570" s="49">
        <f>VLOOKUP(Table311[[#This Row],[Date]],'DB Details'!$A:$T,18)</f>
        <v>3.5469547022048279E-3</v>
      </c>
      <c r="E570" s="49">
        <f>VLOOKUP(Table311[[#This Row],[Date]],'DB Details'!$A:$T,19)</f>
        <v>1.426348278840983E-2</v>
      </c>
    </row>
    <row r="571" spans="1:5" x14ac:dyDescent="0.35">
      <c r="A571" s="38">
        <v>34731</v>
      </c>
      <c r="B571" s="48">
        <f>VLOOKUP(Table311[[#This Row],[Date]],'DB Details'!$A:$L,12)</f>
        <v>55.1</v>
      </c>
      <c r="C571" s="49">
        <f>VLOOKUP(Table311[[#This Row],[Date]],'DB Details'!$A:$T,20)</f>
        <v>0</v>
      </c>
      <c r="D571" s="49">
        <f>VLOOKUP(Table311[[#This Row],[Date]],'DB Details'!$A:$T,18)</f>
        <v>0</v>
      </c>
      <c r="E571" s="49">
        <f>VLOOKUP(Table311[[#This Row],[Date]],'DB Details'!$A:$T,19)</f>
        <v>0</v>
      </c>
    </row>
    <row r="572" spans="1:5" x14ac:dyDescent="0.35">
      <c r="A572" s="38">
        <v>34759</v>
      </c>
      <c r="B572" s="48">
        <f>VLOOKUP(Table311[[#This Row],[Date]],'DB Details'!$A:$L,12)</f>
        <v>52.1</v>
      </c>
      <c r="C572" s="49">
        <f>VLOOKUP(Table311[[#This Row],[Date]],'DB Details'!$A:$T,20)</f>
        <v>0</v>
      </c>
      <c r="D572" s="49">
        <f>VLOOKUP(Table311[[#This Row],[Date]],'DB Details'!$A:$T,18)</f>
        <v>0</v>
      </c>
      <c r="E572" s="49">
        <f>VLOOKUP(Table311[[#This Row],[Date]],'DB Details'!$A:$T,19)</f>
        <v>0</v>
      </c>
    </row>
    <row r="573" spans="1:5" x14ac:dyDescent="0.35">
      <c r="A573" s="38">
        <v>34790</v>
      </c>
      <c r="B573" s="48">
        <f>VLOOKUP(Table311[[#This Row],[Date]],'DB Details'!$A:$L,12)</f>
        <v>51.5</v>
      </c>
      <c r="C573" s="49">
        <f>VLOOKUP(Table311[[#This Row],[Date]],'DB Details'!$A:$T,20)</f>
        <v>2.4021688692934879E-2</v>
      </c>
      <c r="D573" s="49">
        <f>VLOOKUP(Table311[[#This Row],[Date]],'DB Details'!$A:$T,18)</f>
        <v>2.983056990776784E-3</v>
      </c>
      <c r="E573" s="49">
        <f>VLOOKUP(Table311[[#This Row],[Date]],'DB Details'!$A:$T,19)</f>
        <v>1.198572599682368E-2</v>
      </c>
    </row>
    <row r="574" spans="1:5" x14ac:dyDescent="0.35">
      <c r="A574" s="38">
        <v>34820</v>
      </c>
      <c r="B574" s="48">
        <f>VLOOKUP(Table311[[#This Row],[Date]],'DB Details'!$A:$L,12)</f>
        <v>46.7</v>
      </c>
      <c r="C574" s="49">
        <f>VLOOKUP(Table311[[#This Row],[Date]],'DB Details'!$A:$T,20)</f>
        <v>0</v>
      </c>
      <c r="D574" s="49">
        <f>VLOOKUP(Table311[[#This Row],[Date]],'DB Details'!$A:$T,18)</f>
        <v>0</v>
      </c>
      <c r="E574" s="49">
        <f>VLOOKUP(Table311[[#This Row],[Date]],'DB Details'!$A:$T,19)</f>
        <v>0</v>
      </c>
    </row>
    <row r="575" spans="1:5" x14ac:dyDescent="0.35">
      <c r="A575" s="38">
        <v>34851</v>
      </c>
      <c r="B575" s="48">
        <f>VLOOKUP(Table311[[#This Row],[Date]],'DB Details'!$A:$L,12)</f>
        <v>45.9</v>
      </c>
      <c r="C575" s="49">
        <f>VLOOKUP(Table311[[#This Row],[Date]],'DB Details'!$A:$T,20)</f>
        <v>0</v>
      </c>
      <c r="D575" s="49">
        <f>VLOOKUP(Table311[[#This Row],[Date]],'DB Details'!$A:$T,18)</f>
        <v>0</v>
      </c>
      <c r="E575" s="49">
        <f>VLOOKUP(Table311[[#This Row],[Date]],'DB Details'!$A:$T,19)</f>
        <v>0</v>
      </c>
    </row>
    <row r="576" spans="1:5" x14ac:dyDescent="0.35">
      <c r="A576" s="38">
        <v>34881</v>
      </c>
      <c r="B576" s="48">
        <f>VLOOKUP(Table311[[#This Row],[Date]],'DB Details'!$A:$L,12)</f>
        <v>50.7</v>
      </c>
      <c r="C576" s="49">
        <f>VLOOKUP(Table311[[#This Row],[Date]],'DB Details'!$A:$T,20)</f>
        <v>2.6731068555800739E-2</v>
      </c>
      <c r="D576" s="49">
        <f>VLOOKUP(Table311[[#This Row],[Date]],'DB Details'!$A:$T,18)</f>
        <v>8.5066486809378221E-3</v>
      </c>
      <c r="E576" s="49">
        <f>VLOOKUP(Table311[[#This Row],[Date]],'DB Details'!$A:$T,19)</f>
        <v>3.4463240659767143E-2</v>
      </c>
    </row>
    <row r="577" spans="1:5" x14ac:dyDescent="0.35">
      <c r="A577" s="38">
        <v>34912</v>
      </c>
      <c r="B577" s="48">
        <f>VLOOKUP(Table311[[#This Row],[Date]],'DB Details'!$A:$L,12)</f>
        <v>47.1</v>
      </c>
      <c r="C577" s="49">
        <f>VLOOKUP(Table311[[#This Row],[Date]],'DB Details'!$A:$T,20)</f>
        <v>0</v>
      </c>
      <c r="D577" s="49">
        <f>VLOOKUP(Table311[[#This Row],[Date]],'DB Details'!$A:$T,18)</f>
        <v>0</v>
      </c>
      <c r="E577" s="49">
        <f>VLOOKUP(Table311[[#This Row],[Date]],'DB Details'!$A:$T,19)</f>
        <v>0</v>
      </c>
    </row>
    <row r="578" spans="1:5" x14ac:dyDescent="0.35">
      <c r="A578" s="38">
        <v>34943</v>
      </c>
      <c r="B578" s="48">
        <f>VLOOKUP(Table311[[#This Row],[Date]],'DB Details'!$A:$L,12)</f>
        <v>48.1</v>
      </c>
      <c r="C578" s="49">
        <f>VLOOKUP(Table311[[#This Row],[Date]],'DB Details'!$A:$T,20)</f>
        <v>0</v>
      </c>
      <c r="D578" s="49">
        <f>VLOOKUP(Table311[[#This Row],[Date]],'DB Details'!$A:$T,18)</f>
        <v>0</v>
      </c>
      <c r="E578" s="49">
        <f>VLOOKUP(Table311[[#This Row],[Date]],'DB Details'!$A:$T,19)</f>
        <v>0</v>
      </c>
    </row>
    <row r="579" spans="1:5" x14ac:dyDescent="0.35">
      <c r="A579" s="38">
        <v>34973</v>
      </c>
      <c r="B579" s="48">
        <f>VLOOKUP(Table311[[#This Row],[Date]],'DB Details'!$A:$L,12)</f>
        <v>46.7</v>
      </c>
      <c r="C579" s="49">
        <f>VLOOKUP(Table311[[#This Row],[Date]],'DB Details'!$A:$T,20)</f>
        <v>2.1995799090684429E-2</v>
      </c>
      <c r="D579" s="49">
        <f>VLOOKUP(Table311[[#This Row],[Date]],'DB Details'!$A:$T,18)</f>
        <v>6.7903653556712273E-3</v>
      </c>
      <c r="E579" s="49">
        <f>VLOOKUP(Table311[[#This Row],[Date]],'DB Details'!$A:$T,19)</f>
        <v>2.743937030821075E-2</v>
      </c>
    </row>
    <row r="580" spans="1:5" x14ac:dyDescent="0.35">
      <c r="A580" s="38">
        <v>35004</v>
      </c>
      <c r="B580" s="48">
        <f>VLOOKUP(Table311[[#This Row],[Date]],'DB Details'!$A:$L,12)</f>
        <v>45.9</v>
      </c>
      <c r="C580" s="49">
        <f>VLOOKUP(Table311[[#This Row],[Date]],'DB Details'!$A:$T,20)</f>
        <v>0</v>
      </c>
      <c r="D580" s="49">
        <f>VLOOKUP(Table311[[#This Row],[Date]],'DB Details'!$A:$T,18)</f>
        <v>0</v>
      </c>
      <c r="E580" s="49">
        <f>VLOOKUP(Table311[[#This Row],[Date]],'DB Details'!$A:$T,19)</f>
        <v>0</v>
      </c>
    </row>
    <row r="581" spans="1:5" x14ac:dyDescent="0.35">
      <c r="A581" s="38">
        <v>35034</v>
      </c>
      <c r="B581" s="48">
        <f>VLOOKUP(Table311[[#This Row],[Date]],'DB Details'!$A:$L,12)</f>
        <v>46.2</v>
      </c>
      <c r="C581" s="49">
        <f>VLOOKUP(Table311[[#This Row],[Date]],'DB Details'!$A:$T,20)</f>
        <v>0</v>
      </c>
      <c r="D581" s="49">
        <f>VLOOKUP(Table311[[#This Row],[Date]],'DB Details'!$A:$T,18)</f>
        <v>0</v>
      </c>
      <c r="E581" s="49">
        <f>VLOOKUP(Table311[[#This Row],[Date]],'DB Details'!$A:$T,19)</f>
        <v>0</v>
      </c>
    </row>
    <row r="582" spans="1:5" x14ac:dyDescent="0.35">
      <c r="A582" s="38">
        <v>35065</v>
      </c>
      <c r="B582" s="48">
        <f>VLOOKUP(Table311[[#This Row],[Date]],'DB Details'!$A:$L,12)</f>
        <v>45.5</v>
      </c>
      <c r="C582" s="49">
        <f>VLOOKUP(Table311[[#This Row],[Date]],'DB Details'!$A:$T,20)</f>
        <v>2.6011039926917438E-2</v>
      </c>
      <c r="D582" s="49">
        <f>VLOOKUP(Table311[[#This Row],[Date]],'DB Details'!$A:$T,18)</f>
        <v>7.4897132900412786E-3</v>
      </c>
      <c r="E582" s="49">
        <f>VLOOKUP(Table311[[#This Row],[Date]],'DB Details'!$A:$T,19)</f>
        <v>3.0297111703896821E-2</v>
      </c>
    </row>
    <row r="583" spans="1:5" x14ac:dyDescent="0.35">
      <c r="A583" s="38">
        <v>35096</v>
      </c>
      <c r="B583" s="48">
        <f>VLOOKUP(Table311[[#This Row],[Date]],'DB Details'!$A:$L,12)</f>
        <v>45.9</v>
      </c>
      <c r="C583" s="49">
        <f>VLOOKUP(Table311[[#This Row],[Date]],'DB Details'!$A:$T,20)</f>
        <v>0</v>
      </c>
      <c r="D583" s="49">
        <f>VLOOKUP(Table311[[#This Row],[Date]],'DB Details'!$A:$T,18)</f>
        <v>0</v>
      </c>
      <c r="E583" s="49">
        <f>VLOOKUP(Table311[[#This Row],[Date]],'DB Details'!$A:$T,19)</f>
        <v>0</v>
      </c>
    </row>
    <row r="584" spans="1:5" x14ac:dyDescent="0.35">
      <c r="A584" s="38">
        <v>35125</v>
      </c>
      <c r="B584" s="48">
        <f>VLOOKUP(Table311[[#This Row],[Date]],'DB Details'!$A:$L,12)</f>
        <v>46.9</v>
      </c>
      <c r="C584" s="49">
        <f>VLOOKUP(Table311[[#This Row],[Date]],'DB Details'!$A:$T,20)</f>
        <v>0</v>
      </c>
      <c r="D584" s="49">
        <f>VLOOKUP(Table311[[#This Row],[Date]],'DB Details'!$A:$T,18)</f>
        <v>0</v>
      </c>
      <c r="E584" s="49">
        <f>VLOOKUP(Table311[[#This Row],[Date]],'DB Details'!$A:$T,19)</f>
        <v>0</v>
      </c>
    </row>
    <row r="585" spans="1:5" x14ac:dyDescent="0.35">
      <c r="A585" s="38">
        <v>35156</v>
      </c>
      <c r="B585" s="48">
        <f>VLOOKUP(Table311[[#This Row],[Date]],'DB Details'!$A:$L,12)</f>
        <v>49.3</v>
      </c>
      <c r="C585" s="49">
        <f>VLOOKUP(Table311[[#This Row],[Date]],'DB Details'!$A:$T,20)</f>
        <v>4.0021270638061553E-2</v>
      </c>
      <c r="D585" s="49">
        <f>VLOOKUP(Table311[[#This Row],[Date]],'DB Details'!$A:$T,18)</f>
        <v>1.6678839473595199E-2</v>
      </c>
      <c r="E585" s="49">
        <f>VLOOKUP(Table311[[#This Row],[Date]],'DB Details'!$A:$T,19)</f>
        <v>6.8403096521844287E-2</v>
      </c>
    </row>
    <row r="586" spans="1:5" x14ac:dyDescent="0.35">
      <c r="A586" s="38">
        <v>35186</v>
      </c>
      <c r="B586" s="48">
        <f>VLOOKUP(Table311[[#This Row],[Date]],'DB Details'!$A:$L,12)</f>
        <v>49.1</v>
      </c>
      <c r="C586" s="49">
        <f>VLOOKUP(Table311[[#This Row],[Date]],'DB Details'!$A:$T,20)</f>
        <v>0</v>
      </c>
      <c r="D586" s="49">
        <f>VLOOKUP(Table311[[#This Row],[Date]],'DB Details'!$A:$T,18)</f>
        <v>0</v>
      </c>
      <c r="E586" s="49">
        <f>VLOOKUP(Table311[[#This Row],[Date]],'DB Details'!$A:$T,19)</f>
        <v>0</v>
      </c>
    </row>
    <row r="587" spans="1:5" x14ac:dyDescent="0.35">
      <c r="A587" s="38">
        <v>35217</v>
      </c>
      <c r="B587" s="48">
        <f>VLOOKUP(Table311[[#This Row],[Date]],'DB Details'!$A:$L,12)</f>
        <v>53.6</v>
      </c>
      <c r="C587" s="49">
        <f>VLOOKUP(Table311[[#This Row],[Date]],'DB Details'!$A:$T,20)</f>
        <v>0</v>
      </c>
      <c r="D587" s="49">
        <f>VLOOKUP(Table311[[#This Row],[Date]],'DB Details'!$A:$T,18)</f>
        <v>0</v>
      </c>
      <c r="E587" s="49">
        <f>VLOOKUP(Table311[[#This Row],[Date]],'DB Details'!$A:$T,19)</f>
        <v>0</v>
      </c>
    </row>
    <row r="588" spans="1:5" x14ac:dyDescent="0.35">
      <c r="A588" s="38">
        <v>35247</v>
      </c>
      <c r="B588" s="48">
        <f>VLOOKUP(Table311[[#This Row],[Date]],'DB Details'!$A:$L,12)</f>
        <v>49.7</v>
      </c>
      <c r="C588" s="49">
        <f>VLOOKUP(Table311[[#This Row],[Date]],'DB Details'!$A:$T,20)</f>
        <v>4.0499213904989062E-2</v>
      </c>
      <c r="D588" s="49">
        <f>VLOOKUP(Table311[[#This Row],[Date]],'DB Details'!$A:$T,18)</f>
        <v>8.970109358134323E-3</v>
      </c>
      <c r="E588" s="49">
        <f>VLOOKUP(Table311[[#This Row],[Date]],'DB Details'!$A:$T,19)</f>
        <v>3.6366108120872383E-2</v>
      </c>
    </row>
    <row r="589" spans="1:5" x14ac:dyDescent="0.35">
      <c r="A589" s="38">
        <v>35278</v>
      </c>
      <c r="B589" s="48">
        <f>VLOOKUP(Table311[[#This Row],[Date]],'DB Details'!$A:$L,12)</f>
        <v>51.6</v>
      </c>
      <c r="C589" s="49">
        <f>VLOOKUP(Table311[[#This Row],[Date]],'DB Details'!$A:$T,20)</f>
        <v>0</v>
      </c>
      <c r="D589" s="49">
        <f>VLOOKUP(Table311[[#This Row],[Date]],'DB Details'!$A:$T,18)</f>
        <v>0</v>
      </c>
      <c r="E589" s="49">
        <f>VLOOKUP(Table311[[#This Row],[Date]],'DB Details'!$A:$T,19)</f>
        <v>0</v>
      </c>
    </row>
    <row r="590" spans="1:5" x14ac:dyDescent="0.35">
      <c r="A590" s="38">
        <v>35309</v>
      </c>
      <c r="B590" s="48">
        <f>VLOOKUP(Table311[[#This Row],[Date]],'DB Details'!$A:$L,12)</f>
        <v>51.1</v>
      </c>
      <c r="C590" s="49">
        <f>VLOOKUP(Table311[[#This Row],[Date]],'DB Details'!$A:$T,20)</f>
        <v>0</v>
      </c>
      <c r="D590" s="49">
        <f>VLOOKUP(Table311[[#This Row],[Date]],'DB Details'!$A:$T,18)</f>
        <v>0</v>
      </c>
      <c r="E590" s="49">
        <f>VLOOKUP(Table311[[#This Row],[Date]],'DB Details'!$A:$T,19)</f>
        <v>0</v>
      </c>
    </row>
    <row r="591" spans="1:5" x14ac:dyDescent="0.35">
      <c r="A591" s="38">
        <v>35339</v>
      </c>
      <c r="B591" s="48">
        <f>VLOOKUP(Table311[[#This Row],[Date]],'DB Details'!$A:$L,12)</f>
        <v>50.5</v>
      </c>
      <c r="C591" s="49">
        <f>VLOOKUP(Table311[[#This Row],[Date]],'DB Details'!$A:$T,20)</f>
        <v>4.4213144520817399E-2</v>
      </c>
      <c r="D591" s="49">
        <f>VLOOKUP(Table311[[#This Row],[Date]],'DB Details'!$A:$T,18)</f>
        <v>1.0383976491216839E-2</v>
      </c>
      <c r="E591" s="49">
        <f>VLOOKUP(Table311[[#This Row],[Date]],'DB Details'!$A:$T,19)</f>
        <v>4.2187358088936922E-2</v>
      </c>
    </row>
    <row r="592" spans="1:5" x14ac:dyDescent="0.35">
      <c r="A592" s="38">
        <v>35370</v>
      </c>
      <c r="B592" s="48">
        <f>VLOOKUP(Table311[[#This Row],[Date]],'DB Details'!$A:$L,12)</f>
        <v>53</v>
      </c>
      <c r="C592" s="49">
        <f>VLOOKUP(Table311[[#This Row],[Date]],'DB Details'!$A:$T,20)</f>
        <v>0</v>
      </c>
      <c r="D592" s="49">
        <f>VLOOKUP(Table311[[#This Row],[Date]],'DB Details'!$A:$T,18)</f>
        <v>0</v>
      </c>
      <c r="E592" s="49">
        <f>VLOOKUP(Table311[[#This Row],[Date]],'DB Details'!$A:$T,19)</f>
        <v>0</v>
      </c>
    </row>
    <row r="593" spans="1:5" x14ac:dyDescent="0.35">
      <c r="A593" s="38">
        <v>35400</v>
      </c>
      <c r="B593" s="48">
        <f>VLOOKUP(Table311[[#This Row],[Date]],'DB Details'!$A:$L,12)</f>
        <v>55.2</v>
      </c>
      <c r="C593" s="49">
        <f>VLOOKUP(Table311[[#This Row],[Date]],'DB Details'!$A:$T,20)</f>
        <v>0</v>
      </c>
      <c r="D593" s="49">
        <f>VLOOKUP(Table311[[#This Row],[Date]],'DB Details'!$A:$T,18)</f>
        <v>0</v>
      </c>
      <c r="E593" s="49">
        <f>VLOOKUP(Table311[[#This Row],[Date]],'DB Details'!$A:$T,19)</f>
        <v>0</v>
      </c>
    </row>
    <row r="594" spans="1:5" x14ac:dyDescent="0.35">
      <c r="A594" s="38">
        <v>35431</v>
      </c>
      <c r="B594" s="48">
        <f>VLOOKUP(Table311[[#This Row],[Date]],'DB Details'!$A:$L,12)</f>
        <v>53.8</v>
      </c>
      <c r="C594" s="49">
        <f>VLOOKUP(Table311[[#This Row],[Date]],'DB Details'!$A:$T,20)</f>
        <v>4.314134541141839E-2</v>
      </c>
      <c r="D594" s="49">
        <f>VLOOKUP(Table311[[#This Row],[Date]],'DB Details'!$A:$T,18)</f>
        <v>6.4556077694404466E-3</v>
      </c>
      <c r="E594" s="49">
        <f>VLOOKUP(Table311[[#This Row],[Date]],'DB Details'!$A:$T,19)</f>
        <v>2.6073558191095358E-2</v>
      </c>
    </row>
    <row r="595" spans="1:5" x14ac:dyDescent="0.35">
      <c r="A595" s="38">
        <v>35462</v>
      </c>
      <c r="B595" s="48">
        <f>VLOOKUP(Table311[[#This Row],[Date]],'DB Details'!$A:$L,12)</f>
        <v>53.1</v>
      </c>
      <c r="C595" s="49">
        <f>VLOOKUP(Table311[[#This Row],[Date]],'DB Details'!$A:$T,20)</f>
        <v>0</v>
      </c>
      <c r="D595" s="49">
        <f>VLOOKUP(Table311[[#This Row],[Date]],'DB Details'!$A:$T,18)</f>
        <v>0</v>
      </c>
      <c r="E595" s="49">
        <f>VLOOKUP(Table311[[#This Row],[Date]],'DB Details'!$A:$T,19)</f>
        <v>0</v>
      </c>
    </row>
    <row r="596" spans="1:5" x14ac:dyDescent="0.35">
      <c r="A596" s="38">
        <v>35490</v>
      </c>
      <c r="B596" s="48">
        <f>VLOOKUP(Table311[[#This Row],[Date]],'DB Details'!$A:$L,12)</f>
        <v>53.8</v>
      </c>
      <c r="C596" s="49">
        <f>VLOOKUP(Table311[[#This Row],[Date]],'DB Details'!$A:$T,20)</f>
        <v>0</v>
      </c>
      <c r="D596" s="49">
        <f>VLOOKUP(Table311[[#This Row],[Date]],'DB Details'!$A:$T,18)</f>
        <v>0</v>
      </c>
      <c r="E596" s="49">
        <f>VLOOKUP(Table311[[#This Row],[Date]],'DB Details'!$A:$T,19)</f>
        <v>0</v>
      </c>
    </row>
    <row r="597" spans="1:5" x14ac:dyDescent="0.35">
      <c r="A597" s="38">
        <v>35521</v>
      </c>
      <c r="B597" s="48">
        <f>VLOOKUP(Table311[[#This Row],[Date]],'DB Details'!$A:$L,12)</f>
        <v>53.7</v>
      </c>
      <c r="C597" s="49">
        <f>VLOOKUP(Table311[[#This Row],[Date]],'DB Details'!$A:$T,20)</f>
        <v>4.3080749793484252E-2</v>
      </c>
      <c r="D597" s="49">
        <f>VLOOKUP(Table311[[#This Row],[Date]],'DB Details'!$A:$T,18)</f>
        <v>1.6619781050890112E-2</v>
      </c>
      <c r="E597" s="49">
        <f>VLOOKUP(Table311[[#This Row],[Date]],'DB Details'!$A:$T,19)</f>
        <v>6.8154865904908712E-2</v>
      </c>
    </row>
    <row r="598" spans="1:5" x14ac:dyDescent="0.35">
      <c r="A598" s="38">
        <v>35551</v>
      </c>
      <c r="B598" s="48">
        <f>VLOOKUP(Table311[[#This Row],[Date]],'DB Details'!$A:$L,12)</f>
        <v>56.1</v>
      </c>
      <c r="C598" s="49">
        <f>VLOOKUP(Table311[[#This Row],[Date]],'DB Details'!$A:$T,20)</f>
        <v>0</v>
      </c>
      <c r="D598" s="49">
        <f>VLOOKUP(Table311[[#This Row],[Date]],'DB Details'!$A:$T,18)</f>
        <v>0</v>
      </c>
      <c r="E598" s="49">
        <f>VLOOKUP(Table311[[#This Row],[Date]],'DB Details'!$A:$T,19)</f>
        <v>0</v>
      </c>
    </row>
    <row r="599" spans="1:5" x14ac:dyDescent="0.35">
      <c r="A599" s="38">
        <v>35582</v>
      </c>
      <c r="B599" s="48">
        <f>VLOOKUP(Table311[[#This Row],[Date]],'DB Details'!$A:$L,12)</f>
        <v>54.9</v>
      </c>
      <c r="C599" s="49">
        <f>VLOOKUP(Table311[[#This Row],[Date]],'DB Details'!$A:$T,20)</f>
        <v>0</v>
      </c>
      <c r="D599" s="49">
        <f>VLOOKUP(Table311[[#This Row],[Date]],'DB Details'!$A:$T,18)</f>
        <v>0</v>
      </c>
      <c r="E599" s="49">
        <f>VLOOKUP(Table311[[#This Row],[Date]],'DB Details'!$A:$T,19)</f>
        <v>0</v>
      </c>
    </row>
    <row r="600" spans="1:5" x14ac:dyDescent="0.35">
      <c r="A600" s="38">
        <v>35612</v>
      </c>
      <c r="B600" s="48">
        <f>VLOOKUP(Table311[[#This Row],[Date]],'DB Details'!$A:$L,12)</f>
        <v>57.7</v>
      </c>
      <c r="C600" s="49">
        <f>VLOOKUP(Table311[[#This Row],[Date]],'DB Details'!$A:$T,20)</f>
        <v>4.6738025753933231E-2</v>
      </c>
      <c r="D600" s="49">
        <f>VLOOKUP(Table311[[#This Row],[Date]],'DB Details'!$A:$T,18)</f>
        <v>1.2507785733139491E-2</v>
      </c>
      <c r="E600" s="49">
        <f>VLOOKUP(Table311[[#This Row],[Date]],'DB Details'!$A:$T,19)</f>
        <v>5.0977662738524332E-2</v>
      </c>
    </row>
    <row r="601" spans="1:5" x14ac:dyDescent="0.35">
      <c r="A601" s="38">
        <v>35643</v>
      </c>
      <c r="B601" s="48">
        <f>VLOOKUP(Table311[[#This Row],[Date]],'DB Details'!$A:$L,12)</f>
        <v>56.3</v>
      </c>
      <c r="C601" s="49">
        <f>VLOOKUP(Table311[[#This Row],[Date]],'DB Details'!$A:$T,20)</f>
        <v>0</v>
      </c>
      <c r="D601" s="49">
        <f>VLOOKUP(Table311[[#This Row],[Date]],'DB Details'!$A:$T,18)</f>
        <v>0</v>
      </c>
      <c r="E601" s="49">
        <f>VLOOKUP(Table311[[#This Row],[Date]],'DB Details'!$A:$T,19)</f>
        <v>0</v>
      </c>
    </row>
    <row r="602" spans="1:5" x14ac:dyDescent="0.35">
      <c r="A602" s="38">
        <v>35674</v>
      </c>
      <c r="B602" s="48">
        <f>VLOOKUP(Table311[[#This Row],[Date]],'DB Details'!$A:$L,12)</f>
        <v>53.9</v>
      </c>
      <c r="C602" s="49">
        <f>VLOOKUP(Table311[[#This Row],[Date]],'DB Details'!$A:$T,20)</f>
        <v>0</v>
      </c>
      <c r="D602" s="49">
        <f>VLOOKUP(Table311[[#This Row],[Date]],'DB Details'!$A:$T,18)</f>
        <v>0</v>
      </c>
      <c r="E602" s="49">
        <f>VLOOKUP(Table311[[#This Row],[Date]],'DB Details'!$A:$T,19)</f>
        <v>0</v>
      </c>
    </row>
    <row r="603" spans="1:5" x14ac:dyDescent="0.35">
      <c r="A603" s="38">
        <v>35704</v>
      </c>
      <c r="B603" s="48">
        <f>VLOOKUP(Table311[[#This Row],[Date]],'DB Details'!$A:$L,12)</f>
        <v>56.4</v>
      </c>
      <c r="C603" s="49">
        <f>VLOOKUP(Table311[[#This Row],[Date]],'DB Details'!$A:$T,20)</f>
        <v>4.4876844577145122E-2</v>
      </c>
      <c r="D603" s="49">
        <f>VLOOKUP(Table311[[#This Row],[Date]],'DB Details'!$A:$T,18)</f>
        <v>8.5874356260664548E-3</v>
      </c>
      <c r="E603" s="49">
        <f>VLOOKUP(Table311[[#This Row],[Date]],'DB Details'!$A:$T,19)</f>
        <v>3.4794745335392292E-2</v>
      </c>
    </row>
    <row r="604" spans="1:5" x14ac:dyDescent="0.35">
      <c r="A604" s="38">
        <v>35735</v>
      </c>
      <c r="B604" s="48">
        <f>VLOOKUP(Table311[[#This Row],[Date]],'DB Details'!$A:$L,12)</f>
        <v>55.7</v>
      </c>
      <c r="C604" s="49">
        <f>VLOOKUP(Table311[[#This Row],[Date]],'DB Details'!$A:$T,20)</f>
        <v>0</v>
      </c>
      <c r="D604" s="49">
        <f>VLOOKUP(Table311[[#This Row],[Date]],'DB Details'!$A:$T,18)</f>
        <v>0</v>
      </c>
      <c r="E604" s="49">
        <f>VLOOKUP(Table311[[#This Row],[Date]],'DB Details'!$A:$T,19)</f>
        <v>0</v>
      </c>
    </row>
    <row r="605" spans="1:5" x14ac:dyDescent="0.35">
      <c r="A605" s="38">
        <v>35765</v>
      </c>
      <c r="B605" s="48">
        <f>VLOOKUP(Table311[[#This Row],[Date]],'DB Details'!$A:$L,12)</f>
        <v>54.5</v>
      </c>
      <c r="C605" s="49">
        <f>VLOOKUP(Table311[[#This Row],[Date]],'DB Details'!$A:$T,20)</f>
        <v>0</v>
      </c>
      <c r="D605" s="49">
        <f>VLOOKUP(Table311[[#This Row],[Date]],'DB Details'!$A:$T,18)</f>
        <v>0</v>
      </c>
      <c r="E605" s="49">
        <f>VLOOKUP(Table311[[#This Row],[Date]],'DB Details'!$A:$T,19)</f>
        <v>0</v>
      </c>
    </row>
    <row r="606" spans="1:5" x14ac:dyDescent="0.35">
      <c r="A606" s="38">
        <v>35796</v>
      </c>
      <c r="B606" s="48">
        <f>VLOOKUP(Table311[[#This Row],[Date]],'DB Details'!$A:$L,12)</f>
        <v>53.8</v>
      </c>
      <c r="C606" s="49">
        <f>VLOOKUP(Table311[[#This Row],[Date]],'DB Details'!$A:$T,20)</f>
        <v>4.8550058826576883E-2</v>
      </c>
      <c r="D606" s="49">
        <f>VLOOKUP(Table311[[#This Row],[Date]],'DB Details'!$A:$T,18)</f>
        <v>9.9937540103740806E-3</v>
      </c>
      <c r="E606" s="49">
        <f>VLOOKUP(Table311[[#This Row],[Date]],'DB Details'!$A:$T,19)</f>
        <v>4.0578269241347893E-2</v>
      </c>
    </row>
    <row r="607" spans="1:5" x14ac:dyDescent="0.35">
      <c r="A607" s="38">
        <v>35827</v>
      </c>
      <c r="B607" s="48">
        <f>VLOOKUP(Table311[[#This Row],[Date]],'DB Details'!$A:$L,12)</f>
        <v>52.9</v>
      </c>
      <c r="C607" s="49">
        <f>VLOOKUP(Table311[[#This Row],[Date]],'DB Details'!$A:$T,20)</f>
        <v>0</v>
      </c>
      <c r="D607" s="49">
        <f>VLOOKUP(Table311[[#This Row],[Date]],'DB Details'!$A:$T,18)</f>
        <v>0</v>
      </c>
      <c r="E607" s="49">
        <f>VLOOKUP(Table311[[#This Row],[Date]],'DB Details'!$A:$T,19)</f>
        <v>0</v>
      </c>
    </row>
    <row r="608" spans="1:5" x14ac:dyDescent="0.35">
      <c r="A608" s="38">
        <v>35855</v>
      </c>
      <c r="B608" s="48">
        <f>VLOOKUP(Table311[[#This Row],[Date]],'DB Details'!$A:$L,12)</f>
        <v>52.9</v>
      </c>
      <c r="C608" s="49">
        <f>VLOOKUP(Table311[[#This Row],[Date]],'DB Details'!$A:$T,20)</f>
        <v>0</v>
      </c>
      <c r="D608" s="49">
        <f>VLOOKUP(Table311[[#This Row],[Date]],'DB Details'!$A:$T,18)</f>
        <v>0</v>
      </c>
      <c r="E608" s="49">
        <f>VLOOKUP(Table311[[#This Row],[Date]],'DB Details'!$A:$T,19)</f>
        <v>0</v>
      </c>
    </row>
    <row r="609" spans="1:5" x14ac:dyDescent="0.35">
      <c r="A609" s="38">
        <v>35886</v>
      </c>
      <c r="B609" s="48">
        <f>VLOOKUP(Table311[[#This Row],[Date]],'DB Details'!$A:$L,12)</f>
        <v>52.2</v>
      </c>
      <c r="C609" s="49">
        <f>VLOOKUP(Table311[[#This Row],[Date]],'DB Details'!$A:$T,20)</f>
        <v>4.0957268412006649E-2</v>
      </c>
      <c r="D609" s="49">
        <f>VLOOKUP(Table311[[#This Row],[Date]],'DB Details'!$A:$T,18)</f>
        <v>9.2582050690395729E-3</v>
      </c>
      <c r="E609" s="49">
        <f>VLOOKUP(Table311[[#This Row],[Date]],'DB Details'!$A:$T,19)</f>
        <v>3.7550288034241763E-2</v>
      </c>
    </row>
    <row r="610" spans="1:5" x14ac:dyDescent="0.35">
      <c r="A610" s="38">
        <v>35916</v>
      </c>
      <c r="B610" s="48">
        <f>VLOOKUP(Table311[[#This Row],[Date]],'DB Details'!$A:$L,12)</f>
        <v>50.9</v>
      </c>
      <c r="C610" s="49">
        <f>VLOOKUP(Table311[[#This Row],[Date]],'DB Details'!$A:$T,20)</f>
        <v>0</v>
      </c>
      <c r="D610" s="49">
        <f>VLOOKUP(Table311[[#This Row],[Date]],'DB Details'!$A:$T,18)</f>
        <v>0</v>
      </c>
      <c r="E610" s="49">
        <f>VLOOKUP(Table311[[#This Row],[Date]],'DB Details'!$A:$T,19)</f>
        <v>0</v>
      </c>
    </row>
    <row r="611" spans="1:5" x14ac:dyDescent="0.35">
      <c r="A611" s="38">
        <v>35947</v>
      </c>
      <c r="B611" s="48">
        <f>VLOOKUP(Table311[[#This Row],[Date]],'DB Details'!$A:$L,12)</f>
        <v>48.9</v>
      </c>
      <c r="C611" s="49">
        <f>VLOOKUP(Table311[[#This Row],[Date]],'DB Details'!$A:$T,20)</f>
        <v>0</v>
      </c>
      <c r="D611" s="49">
        <f>VLOOKUP(Table311[[#This Row],[Date]],'DB Details'!$A:$T,18)</f>
        <v>0</v>
      </c>
      <c r="E611" s="49">
        <f>VLOOKUP(Table311[[#This Row],[Date]],'DB Details'!$A:$T,19)</f>
        <v>0</v>
      </c>
    </row>
    <row r="612" spans="1:5" x14ac:dyDescent="0.35">
      <c r="A612" s="38">
        <v>35977</v>
      </c>
      <c r="B612" s="48">
        <f>VLOOKUP(Table311[[#This Row],[Date]],'DB Details'!$A:$L,12)</f>
        <v>49.2</v>
      </c>
      <c r="C612" s="49">
        <f>VLOOKUP(Table311[[#This Row],[Date]],'DB Details'!$A:$T,20)</f>
        <v>4.0977686226798142E-2</v>
      </c>
      <c r="D612" s="49">
        <f>VLOOKUP(Table311[[#This Row],[Date]],'DB Details'!$A:$T,18)</f>
        <v>1.252764552668854E-2</v>
      </c>
      <c r="E612" s="49">
        <f>VLOOKUP(Table311[[#This Row],[Date]],'DB Details'!$A:$T,19)</f>
        <v>5.1060122602257341E-2</v>
      </c>
    </row>
    <row r="613" spans="1:5" x14ac:dyDescent="0.35">
      <c r="A613" s="38">
        <v>36008</v>
      </c>
      <c r="B613" s="48">
        <f>VLOOKUP(Table311[[#This Row],[Date]],'DB Details'!$A:$L,12)</f>
        <v>49.3</v>
      </c>
      <c r="C613" s="49">
        <f>VLOOKUP(Table311[[#This Row],[Date]],'DB Details'!$A:$T,20)</f>
        <v>0</v>
      </c>
      <c r="D613" s="49">
        <f>VLOOKUP(Table311[[#This Row],[Date]],'DB Details'!$A:$T,18)</f>
        <v>0</v>
      </c>
      <c r="E613" s="49">
        <f>VLOOKUP(Table311[[#This Row],[Date]],'DB Details'!$A:$T,19)</f>
        <v>0</v>
      </c>
    </row>
    <row r="614" spans="1:5" x14ac:dyDescent="0.35">
      <c r="A614" s="38">
        <v>36039</v>
      </c>
      <c r="B614" s="48">
        <f>VLOOKUP(Table311[[#This Row],[Date]],'DB Details'!$A:$L,12)</f>
        <v>48.7</v>
      </c>
      <c r="C614" s="49">
        <f>VLOOKUP(Table311[[#This Row],[Date]],'DB Details'!$A:$T,20)</f>
        <v>0</v>
      </c>
      <c r="D614" s="49">
        <f>VLOOKUP(Table311[[#This Row],[Date]],'DB Details'!$A:$T,18)</f>
        <v>0</v>
      </c>
      <c r="E614" s="49">
        <f>VLOOKUP(Table311[[#This Row],[Date]],'DB Details'!$A:$T,19)</f>
        <v>0</v>
      </c>
    </row>
    <row r="615" spans="1:5" x14ac:dyDescent="0.35">
      <c r="A615" s="38">
        <v>36069</v>
      </c>
      <c r="B615" s="48">
        <f>VLOOKUP(Table311[[#This Row],[Date]],'DB Details'!$A:$L,12)</f>
        <v>48.7</v>
      </c>
      <c r="C615" s="49">
        <f>VLOOKUP(Table311[[#This Row],[Date]],'DB Details'!$A:$T,20)</f>
        <v>4.8795407755980173E-2</v>
      </c>
      <c r="D615" s="49">
        <f>VLOOKUP(Table311[[#This Row],[Date]],'DB Details'!$A:$T,18)</f>
        <v>1.6161907023370281E-2</v>
      </c>
      <c r="E615" s="49">
        <f>VLOOKUP(Table311[[#This Row],[Date]],'DB Details'!$A:$T,19)</f>
        <v>6.6231826182913345E-2</v>
      </c>
    </row>
    <row r="616" spans="1:5" x14ac:dyDescent="0.35">
      <c r="A616" s="38">
        <v>36100</v>
      </c>
      <c r="B616" s="48">
        <f>VLOOKUP(Table311[[#This Row],[Date]],'DB Details'!$A:$L,12)</f>
        <v>48.2</v>
      </c>
      <c r="C616" s="49">
        <f>VLOOKUP(Table311[[#This Row],[Date]],'DB Details'!$A:$T,20)</f>
        <v>0</v>
      </c>
      <c r="D616" s="49">
        <f>VLOOKUP(Table311[[#This Row],[Date]],'DB Details'!$A:$T,18)</f>
        <v>0</v>
      </c>
      <c r="E616" s="49">
        <f>VLOOKUP(Table311[[#This Row],[Date]],'DB Details'!$A:$T,19)</f>
        <v>0</v>
      </c>
    </row>
    <row r="617" spans="1:5" x14ac:dyDescent="0.35">
      <c r="A617" s="38">
        <v>36130</v>
      </c>
      <c r="B617" s="48">
        <f>VLOOKUP(Table311[[#This Row],[Date]],'DB Details'!$A:$L,12)</f>
        <v>46.8</v>
      </c>
      <c r="C617" s="49">
        <f>VLOOKUP(Table311[[#This Row],[Date]],'DB Details'!$A:$T,20)</f>
        <v>0</v>
      </c>
      <c r="D617" s="49">
        <f>VLOOKUP(Table311[[#This Row],[Date]],'DB Details'!$A:$T,18)</f>
        <v>0</v>
      </c>
      <c r="E617" s="49">
        <f>VLOOKUP(Table311[[#This Row],[Date]],'DB Details'!$A:$T,19)</f>
        <v>0</v>
      </c>
    </row>
    <row r="618" spans="1:5" x14ac:dyDescent="0.35">
      <c r="A618" s="38">
        <v>36161</v>
      </c>
      <c r="B618" s="48">
        <f>VLOOKUP(Table311[[#This Row],[Date]],'DB Details'!$A:$L,12)</f>
        <v>50.6</v>
      </c>
      <c r="C618" s="49">
        <f>VLOOKUP(Table311[[#This Row],[Date]],'DB Details'!$A:$T,20)</f>
        <v>4.8218579316202298E-2</v>
      </c>
      <c r="D618" s="49">
        <f>VLOOKUP(Table311[[#This Row],[Date]],'DB Details'!$A:$T,18)</f>
        <v>9.438266145912767E-3</v>
      </c>
      <c r="E618" s="49">
        <f>VLOOKUP(Table311[[#This Row],[Date]],'DB Details'!$A:$T,19)</f>
        <v>3.8290920801855137E-2</v>
      </c>
    </row>
    <row r="619" spans="1:5" x14ac:dyDescent="0.35">
      <c r="A619" s="38">
        <v>36192</v>
      </c>
      <c r="B619" s="48">
        <f>VLOOKUP(Table311[[#This Row],[Date]],'DB Details'!$A:$L,12)</f>
        <v>51.7</v>
      </c>
      <c r="C619" s="49">
        <f>VLOOKUP(Table311[[#This Row],[Date]],'DB Details'!$A:$T,20)</f>
        <v>0</v>
      </c>
      <c r="D619" s="49">
        <f>VLOOKUP(Table311[[#This Row],[Date]],'DB Details'!$A:$T,18)</f>
        <v>0</v>
      </c>
      <c r="E619" s="49">
        <f>VLOOKUP(Table311[[#This Row],[Date]],'DB Details'!$A:$T,19)</f>
        <v>0</v>
      </c>
    </row>
    <row r="620" spans="1:5" x14ac:dyDescent="0.35">
      <c r="A620" s="38">
        <v>36220</v>
      </c>
      <c r="B620" s="48">
        <f>VLOOKUP(Table311[[#This Row],[Date]],'DB Details'!$A:$L,12)</f>
        <v>52.4</v>
      </c>
      <c r="C620" s="49">
        <f>VLOOKUP(Table311[[#This Row],[Date]],'DB Details'!$A:$T,20)</f>
        <v>0</v>
      </c>
      <c r="D620" s="49">
        <f>VLOOKUP(Table311[[#This Row],[Date]],'DB Details'!$A:$T,18)</f>
        <v>0</v>
      </c>
      <c r="E620" s="49">
        <f>VLOOKUP(Table311[[#This Row],[Date]],'DB Details'!$A:$T,19)</f>
        <v>0</v>
      </c>
    </row>
    <row r="621" spans="1:5" x14ac:dyDescent="0.35">
      <c r="A621" s="38">
        <v>36251</v>
      </c>
      <c r="B621" s="48">
        <f>VLOOKUP(Table311[[#This Row],[Date]],'DB Details'!$A:$L,12)</f>
        <v>52.3</v>
      </c>
      <c r="C621" s="49">
        <f>VLOOKUP(Table311[[#This Row],[Date]],'DB Details'!$A:$T,20)</f>
        <v>4.7275315134735367E-2</v>
      </c>
      <c r="D621" s="49">
        <f>VLOOKUP(Table311[[#This Row],[Date]],'DB Details'!$A:$T,18)</f>
        <v>8.3500002981279006E-3</v>
      </c>
      <c r="E621" s="49">
        <f>VLOOKUP(Table311[[#This Row],[Date]],'DB Details'!$A:$T,19)</f>
        <v>3.3820669815360922E-2</v>
      </c>
    </row>
    <row r="622" spans="1:5" x14ac:dyDescent="0.35">
      <c r="A622" s="38">
        <v>36281</v>
      </c>
      <c r="B622" s="48">
        <f>VLOOKUP(Table311[[#This Row],[Date]],'DB Details'!$A:$L,12)</f>
        <v>54.3</v>
      </c>
      <c r="C622" s="49">
        <f>VLOOKUP(Table311[[#This Row],[Date]],'DB Details'!$A:$T,20)</f>
        <v>0</v>
      </c>
      <c r="D622" s="49">
        <f>VLOOKUP(Table311[[#This Row],[Date]],'DB Details'!$A:$T,18)</f>
        <v>0</v>
      </c>
      <c r="E622" s="49">
        <f>VLOOKUP(Table311[[#This Row],[Date]],'DB Details'!$A:$T,19)</f>
        <v>0</v>
      </c>
    </row>
    <row r="623" spans="1:5" x14ac:dyDescent="0.35">
      <c r="A623" s="38">
        <v>36312</v>
      </c>
      <c r="B623" s="48">
        <f>VLOOKUP(Table311[[#This Row],[Date]],'DB Details'!$A:$L,12)</f>
        <v>55.8</v>
      </c>
      <c r="C623" s="49">
        <f>VLOOKUP(Table311[[#This Row],[Date]],'DB Details'!$A:$T,20)</f>
        <v>0</v>
      </c>
      <c r="D623" s="49">
        <f>VLOOKUP(Table311[[#This Row],[Date]],'DB Details'!$A:$T,18)</f>
        <v>0</v>
      </c>
      <c r="E623" s="49">
        <f>VLOOKUP(Table311[[#This Row],[Date]],'DB Details'!$A:$T,19)</f>
        <v>0</v>
      </c>
    </row>
    <row r="624" spans="1:5" x14ac:dyDescent="0.35">
      <c r="A624" s="38">
        <v>36342</v>
      </c>
      <c r="B624" s="48">
        <f>VLOOKUP(Table311[[#This Row],[Date]],'DB Details'!$A:$L,12)</f>
        <v>53.6</v>
      </c>
      <c r="C624" s="49">
        <f>VLOOKUP(Table311[[#This Row],[Date]],'DB Details'!$A:$T,20)</f>
        <v>4.8002052368625307E-2</v>
      </c>
      <c r="D624" s="49">
        <f>VLOOKUP(Table311[[#This Row],[Date]],'DB Details'!$A:$T,18)</f>
        <v>1.3230270261286141E-2</v>
      </c>
      <c r="E624" s="49">
        <f>VLOOKUP(Table311[[#This Row],[Date]],'DB Details'!$A:$T,19)</f>
        <v>5.3980615300018853E-2</v>
      </c>
    </row>
    <row r="625" spans="1:5" x14ac:dyDescent="0.35">
      <c r="A625" s="38">
        <v>36373</v>
      </c>
      <c r="B625" s="48">
        <f>VLOOKUP(Table311[[#This Row],[Date]],'DB Details'!$A:$L,12)</f>
        <v>54.8</v>
      </c>
      <c r="C625" s="49">
        <f>VLOOKUP(Table311[[#This Row],[Date]],'DB Details'!$A:$T,20)</f>
        <v>0</v>
      </c>
      <c r="D625" s="49">
        <f>VLOOKUP(Table311[[#This Row],[Date]],'DB Details'!$A:$T,18)</f>
        <v>0</v>
      </c>
      <c r="E625" s="49">
        <f>VLOOKUP(Table311[[#This Row],[Date]],'DB Details'!$A:$T,19)</f>
        <v>0</v>
      </c>
    </row>
    <row r="626" spans="1:5" x14ac:dyDescent="0.35">
      <c r="A626" s="38">
        <v>36404</v>
      </c>
      <c r="B626" s="48">
        <f>VLOOKUP(Table311[[#This Row],[Date]],'DB Details'!$A:$L,12)</f>
        <v>57</v>
      </c>
      <c r="C626" s="49">
        <f>VLOOKUP(Table311[[#This Row],[Date]],'DB Details'!$A:$T,20)</f>
        <v>0</v>
      </c>
      <c r="D626" s="49">
        <f>VLOOKUP(Table311[[#This Row],[Date]],'DB Details'!$A:$T,18)</f>
        <v>0</v>
      </c>
      <c r="E626" s="49">
        <f>VLOOKUP(Table311[[#This Row],[Date]],'DB Details'!$A:$T,19)</f>
        <v>0</v>
      </c>
    </row>
    <row r="627" spans="1:5" x14ac:dyDescent="0.35">
      <c r="A627" s="38">
        <v>36434</v>
      </c>
      <c r="B627" s="48">
        <f>VLOOKUP(Table311[[#This Row],[Date]],'DB Details'!$A:$L,12)</f>
        <v>57.2</v>
      </c>
      <c r="C627" s="49">
        <f>VLOOKUP(Table311[[#This Row],[Date]],'DB Details'!$A:$T,20)</f>
        <v>4.827626650330151E-2</v>
      </c>
      <c r="D627" s="49">
        <f>VLOOKUP(Table311[[#This Row],[Date]],'DB Details'!$A:$T,18)</f>
        <v>1.6427790050407821E-2</v>
      </c>
      <c r="E627" s="49">
        <f>VLOOKUP(Table311[[#This Row],[Date]],'DB Details'!$A:$T,19)</f>
        <v>6.734820036933864E-2</v>
      </c>
    </row>
    <row r="628" spans="1:5" x14ac:dyDescent="0.35">
      <c r="A628" s="38">
        <v>36465</v>
      </c>
      <c r="B628" s="48">
        <f>VLOOKUP(Table311[[#This Row],[Date]],'DB Details'!$A:$L,12)</f>
        <v>58.1</v>
      </c>
      <c r="C628" s="49">
        <f>VLOOKUP(Table311[[#This Row],[Date]],'DB Details'!$A:$T,20)</f>
        <v>0</v>
      </c>
      <c r="D628" s="49">
        <f>VLOOKUP(Table311[[#This Row],[Date]],'DB Details'!$A:$T,18)</f>
        <v>0</v>
      </c>
      <c r="E628" s="49">
        <f>VLOOKUP(Table311[[#This Row],[Date]],'DB Details'!$A:$T,19)</f>
        <v>0</v>
      </c>
    </row>
    <row r="629" spans="1:5" x14ac:dyDescent="0.35">
      <c r="A629" s="38">
        <v>36495</v>
      </c>
      <c r="B629" s="48">
        <f>VLOOKUP(Table311[[#This Row],[Date]],'DB Details'!$A:$L,12)</f>
        <v>57.8</v>
      </c>
      <c r="C629" s="49">
        <f>VLOOKUP(Table311[[#This Row],[Date]],'DB Details'!$A:$T,20)</f>
        <v>0</v>
      </c>
      <c r="D629" s="49">
        <f>VLOOKUP(Table311[[#This Row],[Date]],'DB Details'!$A:$T,18)</f>
        <v>0</v>
      </c>
      <c r="E629" s="49">
        <f>VLOOKUP(Table311[[#This Row],[Date]],'DB Details'!$A:$T,19)</f>
        <v>0</v>
      </c>
    </row>
    <row r="630" spans="1:5" x14ac:dyDescent="0.35">
      <c r="A630" s="38">
        <v>36526</v>
      </c>
      <c r="B630" s="48">
        <f>VLOOKUP(Table311[[#This Row],[Date]],'DB Details'!$A:$L,12)</f>
        <v>56.7</v>
      </c>
      <c r="C630" s="49">
        <f>VLOOKUP(Table311[[#This Row],[Date]],'DB Details'!$A:$T,20)</f>
        <v>4.225955858689924E-2</v>
      </c>
      <c r="D630" s="49">
        <f>VLOOKUP(Table311[[#This Row],[Date]],'DB Details'!$A:$T,18)</f>
        <v>3.6444736113372721E-3</v>
      </c>
      <c r="E630" s="49">
        <f>VLOOKUP(Table311[[#This Row],[Date]],'DB Details'!$A:$T,19)</f>
        <v>1.46577813755211E-2</v>
      </c>
    </row>
    <row r="631" spans="1:5" x14ac:dyDescent="0.35">
      <c r="A631" s="38">
        <v>36557</v>
      </c>
      <c r="B631" s="48">
        <f>VLOOKUP(Table311[[#This Row],[Date]],'DB Details'!$A:$L,12)</f>
        <v>55.8</v>
      </c>
      <c r="C631" s="49">
        <f>VLOOKUP(Table311[[#This Row],[Date]],'DB Details'!$A:$T,20)</f>
        <v>0</v>
      </c>
      <c r="D631" s="49">
        <f>VLOOKUP(Table311[[#This Row],[Date]],'DB Details'!$A:$T,18)</f>
        <v>0</v>
      </c>
      <c r="E631" s="49">
        <f>VLOOKUP(Table311[[#This Row],[Date]],'DB Details'!$A:$T,19)</f>
        <v>0</v>
      </c>
    </row>
    <row r="632" spans="1:5" x14ac:dyDescent="0.35">
      <c r="A632" s="38">
        <v>36586</v>
      </c>
      <c r="B632" s="48">
        <f>VLOOKUP(Table311[[#This Row],[Date]],'DB Details'!$A:$L,12)</f>
        <v>54.9</v>
      </c>
      <c r="C632" s="49">
        <f>VLOOKUP(Table311[[#This Row],[Date]],'DB Details'!$A:$T,20)</f>
        <v>0</v>
      </c>
      <c r="D632" s="49">
        <f>VLOOKUP(Table311[[#This Row],[Date]],'DB Details'!$A:$T,18)</f>
        <v>0</v>
      </c>
      <c r="E632" s="49">
        <f>VLOOKUP(Table311[[#This Row],[Date]],'DB Details'!$A:$T,19)</f>
        <v>0</v>
      </c>
    </row>
    <row r="633" spans="1:5" x14ac:dyDescent="0.35">
      <c r="A633" s="38">
        <v>36617</v>
      </c>
      <c r="B633" s="48">
        <f>VLOOKUP(Table311[[#This Row],[Date]],'DB Details'!$A:$L,12)</f>
        <v>54.7</v>
      </c>
      <c r="C633" s="49">
        <f>VLOOKUP(Table311[[#This Row],[Date]],'DB Details'!$A:$T,20)</f>
        <v>5.2446827688533121E-2</v>
      </c>
      <c r="D633" s="49">
        <f>VLOOKUP(Table311[[#This Row],[Date]],'DB Details'!$A:$T,18)</f>
        <v>1.820583008355766E-2</v>
      </c>
      <c r="E633" s="49">
        <f>VLOOKUP(Table311[[#This Row],[Date]],'DB Details'!$A:$T,19)</f>
        <v>7.4836281142319105E-2</v>
      </c>
    </row>
    <row r="634" spans="1:5" x14ac:dyDescent="0.35">
      <c r="A634" s="38">
        <v>36647</v>
      </c>
      <c r="B634" s="48">
        <f>VLOOKUP(Table311[[#This Row],[Date]],'DB Details'!$A:$L,12)</f>
        <v>53.2</v>
      </c>
      <c r="C634" s="49">
        <f>VLOOKUP(Table311[[#This Row],[Date]],'DB Details'!$A:$T,20)</f>
        <v>0</v>
      </c>
      <c r="D634" s="49">
        <f>VLOOKUP(Table311[[#This Row],[Date]],'DB Details'!$A:$T,18)</f>
        <v>0</v>
      </c>
      <c r="E634" s="49">
        <f>VLOOKUP(Table311[[#This Row],[Date]],'DB Details'!$A:$T,19)</f>
        <v>0</v>
      </c>
    </row>
    <row r="635" spans="1:5" x14ac:dyDescent="0.35">
      <c r="A635" s="38">
        <v>36678</v>
      </c>
      <c r="B635" s="48">
        <f>VLOOKUP(Table311[[#This Row],[Date]],'DB Details'!$A:$L,12)</f>
        <v>51.4</v>
      </c>
      <c r="C635" s="49">
        <f>VLOOKUP(Table311[[#This Row],[Date]],'DB Details'!$A:$T,20)</f>
        <v>0</v>
      </c>
      <c r="D635" s="49">
        <f>VLOOKUP(Table311[[#This Row],[Date]],'DB Details'!$A:$T,18)</f>
        <v>0</v>
      </c>
      <c r="E635" s="49">
        <f>VLOOKUP(Table311[[#This Row],[Date]],'DB Details'!$A:$T,19)</f>
        <v>0</v>
      </c>
    </row>
    <row r="636" spans="1:5" x14ac:dyDescent="0.35">
      <c r="A636" s="38">
        <v>36708</v>
      </c>
      <c r="B636" s="48">
        <f>VLOOKUP(Table311[[#This Row],[Date]],'DB Details'!$A:$L,12)</f>
        <v>52.5</v>
      </c>
      <c r="C636" s="49">
        <f>VLOOKUP(Table311[[#This Row],[Date]],'DB Details'!$A:$T,20)</f>
        <v>3.9740844955791207E-2</v>
      </c>
      <c r="D636" s="49">
        <f>VLOOKUP(Table311[[#This Row],[Date]],'DB Details'!$A:$T,18)</f>
        <v>9.9774128259521319E-4</v>
      </c>
      <c r="E636" s="49">
        <f>VLOOKUP(Table311[[#This Row],[Date]],'DB Details'!$A:$T,19)</f>
        <v>3.9969420303305192E-3</v>
      </c>
    </row>
    <row r="637" spans="1:5" x14ac:dyDescent="0.35">
      <c r="A637" s="38">
        <v>36739</v>
      </c>
      <c r="B637" s="48">
        <f>VLOOKUP(Table311[[#This Row],[Date]],'DB Details'!$A:$L,12)</f>
        <v>49.9</v>
      </c>
      <c r="C637" s="49">
        <f>VLOOKUP(Table311[[#This Row],[Date]],'DB Details'!$A:$T,20)</f>
        <v>0</v>
      </c>
      <c r="D637" s="49">
        <f>VLOOKUP(Table311[[#This Row],[Date]],'DB Details'!$A:$T,18)</f>
        <v>0</v>
      </c>
      <c r="E637" s="49">
        <f>VLOOKUP(Table311[[#This Row],[Date]],'DB Details'!$A:$T,19)</f>
        <v>0</v>
      </c>
    </row>
    <row r="638" spans="1:5" x14ac:dyDescent="0.35">
      <c r="A638" s="38">
        <v>36770</v>
      </c>
      <c r="B638" s="48">
        <f>VLOOKUP(Table311[[#This Row],[Date]],'DB Details'!$A:$L,12)</f>
        <v>49.7</v>
      </c>
      <c r="C638" s="49">
        <f>VLOOKUP(Table311[[#This Row],[Date]],'DB Details'!$A:$T,20)</f>
        <v>0</v>
      </c>
      <c r="D638" s="49">
        <f>VLOOKUP(Table311[[#This Row],[Date]],'DB Details'!$A:$T,18)</f>
        <v>0</v>
      </c>
      <c r="E638" s="49">
        <f>VLOOKUP(Table311[[#This Row],[Date]],'DB Details'!$A:$T,19)</f>
        <v>0</v>
      </c>
    </row>
    <row r="639" spans="1:5" x14ac:dyDescent="0.35">
      <c r="A639" s="38">
        <v>36800</v>
      </c>
      <c r="B639" s="48">
        <f>VLOOKUP(Table311[[#This Row],[Date]],'DB Details'!$A:$L,12)</f>
        <v>48.7</v>
      </c>
      <c r="C639" s="49">
        <f>VLOOKUP(Table311[[#This Row],[Date]],'DB Details'!$A:$T,20)</f>
        <v>2.9016204721172601E-2</v>
      </c>
      <c r="D639" s="49">
        <f>VLOOKUP(Table311[[#This Row],[Date]],'DB Details'!$A:$T,18)</f>
        <v>5.9436175514207554E-3</v>
      </c>
      <c r="E639" s="49">
        <f>VLOOKUP(Table311[[#This Row],[Date]],'DB Details'!$A:$T,19)</f>
        <v>2.3987270862187989E-2</v>
      </c>
    </row>
    <row r="640" spans="1:5" x14ac:dyDescent="0.35">
      <c r="A640" s="38">
        <v>36831</v>
      </c>
      <c r="B640" s="48">
        <f>VLOOKUP(Table311[[#This Row],[Date]],'DB Details'!$A:$L,12)</f>
        <v>48.5</v>
      </c>
      <c r="C640" s="49">
        <f>VLOOKUP(Table311[[#This Row],[Date]],'DB Details'!$A:$T,20)</f>
        <v>0</v>
      </c>
      <c r="D640" s="49">
        <f>VLOOKUP(Table311[[#This Row],[Date]],'DB Details'!$A:$T,18)</f>
        <v>0</v>
      </c>
      <c r="E640" s="49">
        <f>VLOOKUP(Table311[[#This Row],[Date]],'DB Details'!$A:$T,19)</f>
        <v>0</v>
      </c>
    </row>
    <row r="641" spans="1:5" x14ac:dyDescent="0.35">
      <c r="A641" s="38">
        <v>36861</v>
      </c>
      <c r="B641" s="48">
        <f>VLOOKUP(Table311[[#This Row],[Date]],'DB Details'!$A:$L,12)</f>
        <v>43.9</v>
      </c>
      <c r="C641" s="49">
        <f>VLOOKUP(Table311[[#This Row],[Date]],'DB Details'!$A:$T,20)</f>
        <v>0</v>
      </c>
      <c r="D641" s="49">
        <f>VLOOKUP(Table311[[#This Row],[Date]],'DB Details'!$A:$T,18)</f>
        <v>0</v>
      </c>
      <c r="E641" s="49">
        <f>VLOOKUP(Table311[[#This Row],[Date]],'DB Details'!$A:$T,19)</f>
        <v>0</v>
      </c>
    </row>
    <row r="642" spans="1:5" x14ac:dyDescent="0.35">
      <c r="A642" s="38">
        <v>36892</v>
      </c>
      <c r="B642" s="48">
        <f>VLOOKUP(Table311[[#This Row],[Date]],'DB Details'!$A:$L,12)</f>
        <v>42.3</v>
      </c>
      <c r="C642" s="49">
        <f>VLOOKUP(Table311[[#This Row],[Date]],'DB Details'!$A:$T,20)</f>
        <v>2.1955428467879849E-2</v>
      </c>
      <c r="D642" s="49">
        <f>VLOOKUP(Table311[[#This Row],[Date]],'DB Details'!$A:$T,18)</f>
        <v>-3.2422100322343338E-3</v>
      </c>
      <c r="E642" s="49">
        <f>VLOOKUP(Table311[[#This Row],[Date]],'DB Details'!$A:$T,19)</f>
        <v>-1.2905904790564421E-2</v>
      </c>
    </row>
    <row r="643" spans="1:5" x14ac:dyDescent="0.35">
      <c r="A643" s="38">
        <v>36923</v>
      </c>
      <c r="B643" s="48">
        <f>VLOOKUP(Table311[[#This Row],[Date]],'DB Details'!$A:$L,12)</f>
        <v>42.1</v>
      </c>
      <c r="C643" s="49">
        <f>VLOOKUP(Table311[[#This Row],[Date]],'DB Details'!$A:$T,20)</f>
        <v>0</v>
      </c>
      <c r="D643" s="49">
        <f>VLOOKUP(Table311[[#This Row],[Date]],'DB Details'!$A:$T,18)</f>
        <v>0</v>
      </c>
      <c r="E643" s="49">
        <f>VLOOKUP(Table311[[#This Row],[Date]],'DB Details'!$A:$T,19)</f>
        <v>0</v>
      </c>
    </row>
    <row r="644" spans="1:5" x14ac:dyDescent="0.35">
      <c r="A644" s="38">
        <v>36951</v>
      </c>
      <c r="B644" s="48">
        <f>VLOOKUP(Table311[[#This Row],[Date]],'DB Details'!$A:$L,12)</f>
        <v>43.1</v>
      </c>
      <c r="C644" s="49">
        <f>VLOOKUP(Table311[[#This Row],[Date]],'DB Details'!$A:$T,20)</f>
        <v>0</v>
      </c>
      <c r="D644" s="49">
        <f>VLOOKUP(Table311[[#This Row],[Date]],'DB Details'!$A:$T,18)</f>
        <v>0</v>
      </c>
      <c r="E644" s="49">
        <f>VLOOKUP(Table311[[#This Row],[Date]],'DB Details'!$A:$T,19)</f>
        <v>0</v>
      </c>
    </row>
    <row r="645" spans="1:5" x14ac:dyDescent="0.35">
      <c r="A645" s="38">
        <v>36982</v>
      </c>
      <c r="B645" s="48">
        <f>VLOOKUP(Table311[[#This Row],[Date]],'DB Details'!$A:$L,12)</f>
        <v>42.7</v>
      </c>
      <c r="C645" s="49">
        <f>VLOOKUP(Table311[[#This Row],[Date]],'DB Details'!$A:$T,20)</f>
        <v>9.9193295688802842E-3</v>
      </c>
      <c r="D645" s="49">
        <f>VLOOKUP(Table311[[#This Row],[Date]],'DB Details'!$A:$T,18)</f>
        <v>6.2138921486550201E-3</v>
      </c>
      <c r="E645" s="49">
        <f>VLOOKUP(Table311[[#This Row],[Date]],'DB Details'!$A:$T,19)</f>
        <v>2.508820455389205E-2</v>
      </c>
    </row>
    <row r="646" spans="1:5" x14ac:dyDescent="0.35">
      <c r="A646" s="38">
        <v>37012</v>
      </c>
      <c r="B646" s="48">
        <f>VLOOKUP(Table311[[#This Row],[Date]],'DB Details'!$A:$L,12)</f>
        <v>41.3</v>
      </c>
      <c r="C646" s="49">
        <f>VLOOKUP(Table311[[#This Row],[Date]],'DB Details'!$A:$T,20)</f>
        <v>0</v>
      </c>
      <c r="D646" s="49">
        <f>VLOOKUP(Table311[[#This Row],[Date]],'DB Details'!$A:$T,18)</f>
        <v>0</v>
      </c>
      <c r="E646" s="49">
        <f>VLOOKUP(Table311[[#This Row],[Date]],'DB Details'!$A:$T,19)</f>
        <v>0</v>
      </c>
    </row>
    <row r="647" spans="1:5" x14ac:dyDescent="0.35">
      <c r="A647" s="38">
        <v>37043</v>
      </c>
      <c r="B647" s="48">
        <f>VLOOKUP(Table311[[#This Row],[Date]],'DB Details'!$A:$L,12)</f>
        <v>43.2</v>
      </c>
      <c r="C647" s="49">
        <f>VLOOKUP(Table311[[#This Row],[Date]],'DB Details'!$A:$T,20)</f>
        <v>0</v>
      </c>
      <c r="D647" s="49">
        <f>VLOOKUP(Table311[[#This Row],[Date]],'DB Details'!$A:$T,18)</f>
        <v>0</v>
      </c>
      <c r="E647" s="49">
        <f>VLOOKUP(Table311[[#This Row],[Date]],'DB Details'!$A:$T,19)</f>
        <v>0</v>
      </c>
    </row>
    <row r="648" spans="1:5" x14ac:dyDescent="0.35">
      <c r="A648" s="38">
        <v>37073</v>
      </c>
      <c r="B648" s="48">
        <f>VLOOKUP(Table311[[#This Row],[Date]],'DB Details'!$A:$L,12)</f>
        <v>43.5</v>
      </c>
      <c r="C648" s="49">
        <f>VLOOKUP(Table311[[#This Row],[Date]],'DB Details'!$A:$T,20)</f>
        <v>4.8735236716932872E-3</v>
      </c>
      <c r="D648" s="49">
        <f>VLOOKUP(Table311[[#This Row],[Date]],'DB Details'!$A:$T,18)</f>
        <v>-4.0034901605050122E-3</v>
      </c>
      <c r="E648" s="49">
        <f>VLOOKUP(Table311[[#This Row],[Date]],'DB Details'!$A:$T,19)</f>
        <v>-1.5918049455029729E-2</v>
      </c>
    </row>
    <row r="649" spans="1:5" x14ac:dyDescent="0.35">
      <c r="A649" s="38">
        <v>37104</v>
      </c>
      <c r="B649" s="48">
        <f>VLOOKUP(Table311[[#This Row],[Date]],'DB Details'!$A:$L,12)</f>
        <v>46.3</v>
      </c>
      <c r="C649" s="49">
        <f>VLOOKUP(Table311[[#This Row],[Date]],'DB Details'!$A:$T,20)</f>
        <v>0</v>
      </c>
      <c r="D649" s="49">
        <f>VLOOKUP(Table311[[#This Row],[Date]],'DB Details'!$A:$T,18)</f>
        <v>0</v>
      </c>
      <c r="E649" s="49">
        <f>VLOOKUP(Table311[[#This Row],[Date]],'DB Details'!$A:$T,19)</f>
        <v>0</v>
      </c>
    </row>
    <row r="650" spans="1:5" x14ac:dyDescent="0.35">
      <c r="A650" s="38">
        <v>37135</v>
      </c>
      <c r="B650" s="48">
        <f>VLOOKUP(Table311[[#This Row],[Date]],'DB Details'!$A:$L,12)</f>
        <v>46.2</v>
      </c>
      <c r="C650" s="49">
        <f>VLOOKUP(Table311[[#This Row],[Date]],'DB Details'!$A:$T,20)</f>
        <v>0</v>
      </c>
      <c r="D650" s="49">
        <f>VLOOKUP(Table311[[#This Row],[Date]],'DB Details'!$A:$T,18)</f>
        <v>0</v>
      </c>
      <c r="E650" s="49">
        <f>VLOOKUP(Table311[[#This Row],[Date]],'DB Details'!$A:$T,19)</f>
        <v>0</v>
      </c>
    </row>
    <row r="651" spans="1:5" x14ac:dyDescent="0.35">
      <c r="A651" s="38">
        <v>37165</v>
      </c>
      <c r="B651" s="48">
        <f>VLOOKUP(Table311[[#This Row],[Date]],'DB Details'!$A:$L,12)</f>
        <v>40.799999999999997</v>
      </c>
      <c r="C651" s="49">
        <f>VLOOKUP(Table311[[#This Row],[Date]],'DB Details'!$A:$T,20)</f>
        <v>1.706422364229252E-3</v>
      </c>
      <c r="D651" s="49">
        <f>VLOOKUP(Table311[[#This Row],[Date]],'DB Details'!$A:$T,18)</f>
        <v>2.7731435849645621E-3</v>
      </c>
      <c r="E651" s="49">
        <f>VLOOKUP(Table311[[#This Row],[Date]],'DB Details'!$A:$T,19)</f>
        <v>1.113880165656167E-2</v>
      </c>
    </row>
    <row r="652" spans="1:5" x14ac:dyDescent="0.35">
      <c r="A652" s="38">
        <v>37196</v>
      </c>
      <c r="B652" s="48">
        <f>VLOOKUP(Table311[[#This Row],[Date]],'DB Details'!$A:$L,12)</f>
        <v>44.1</v>
      </c>
      <c r="C652" s="49">
        <f>VLOOKUP(Table311[[#This Row],[Date]],'DB Details'!$A:$T,20)</f>
        <v>0</v>
      </c>
      <c r="D652" s="49">
        <f>VLOOKUP(Table311[[#This Row],[Date]],'DB Details'!$A:$T,18)</f>
        <v>0</v>
      </c>
      <c r="E652" s="49">
        <f>VLOOKUP(Table311[[#This Row],[Date]],'DB Details'!$A:$T,19)</f>
        <v>0</v>
      </c>
    </row>
    <row r="653" spans="1:5" x14ac:dyDescent="0.35">
      <c r="A653" s="38">
        <v>37226</v>
      </c>
      <c r="B653" s="48">
        <f>VLOOKUP(Table311[[#This Row],[Date]],'DB Details'!$A:$L,12)</f>
        <v>45.3</v>
      </c>
      <c r="C653" s="49">
        <f>VLOOKUP(Table311[[#This Row],[Date]],'DB Details'!$A:$T,20)</f>
        <v>0</v>
      </c>
      <c r="D653" s="49">
        <f>VLOOKUP(Table311[[#This Row],[Date]],'DB Details'!$A:$T,18)</f>
        <v>0</v>
      </c>
      <c r="E653" s="49">
        <f>VLOOKUP(Table311[[#This Row],[Date]],'DB Details'!$A:$T,19)</f>
        <v>0</v>
      </c>
    </row>
    <row r="654" spans="1:5" x14ac:dyDescent="0.35">
      <c r="A654" s="38">
        <v>37257</v>
      </c>
      <c r="B654" s="48">
        <f>VLOOKUP(Table311[[#This Row],[Date]],'DB Details'!$A:$L,12)</f>
        <v>47.5</v>
      </c>
      <c r="C654" s="49">
        <f>VLOOKUP(Table311[[#This Row],[Date]],'DB Details'!$A:$T,20)</f>
        <v>1.3288120484284601E-2</v>
      </c>
      <c r="D654" s="49">
        <f>VLOOKUP(Table311[[#This Row],[Date]],'DB Details'!$A:$T,18)</f>
        <v>8.2822721558439595E-3</v>
      </c>
      <c r="E654" s="49">
        <f>VLOOKUP(Table311[[#This Row],[Date]],'DB Details'!$A:$T,19)</f>
        <v>3.354294204519781E-2</v>
      </c>
    </row>
    <row r="655" spans="1:5" x14ac:dyDescent="0.35">
      <c r="A655" s="38">
        <v>37288</v>
      </c>
      <c r="B655" s="48">
        <f>VLOOKUP(Table311[[#This Row],[Date]],'DB Details'!$A:$L,12)</f>
        <v>50.7</v>
      </c>
      <c r="C655" s="49">
        <f>VLOOKUP(Table311[[#This Row],[Date]],'DB Details'!$A:$T,20)</f>
        <v>0</v>
      </c>
      <c r="D655" s="49">
        <f>VLOOKUP(Table311[[#This Row],[Date]],'DB Details'!$A:$T,18)</f>
        <v>0</v>
      </c>
      <c r="E655" s="49">
        <f>VLOOKUP(Table311[[#This Row],[Date]],'DB Details'!$A:$T,19)</f>
        <v>0</v>
      </c>
    </row>
    <row r="656" spans="1:5" x14ac:dyDescent="0.35">
      <c r="A656" s="38">
        <v>37316</v>
      </c>
      <c r="B656" s="48">
        <f>VLOOKUP(Table311[[#This Row],[Date]],'DB Details'!$A:$L,12)</f>
        <v>52.4</v>
      </c>
      <c r="C656" s="49">
        <f>VLOOKUP(Table311[[#This Row],[Date]],'DB Details'!$A:$T,20)</f>
        <v>0</v>
      </c>
      <c r="D656" s="49">
        <f>VLOOKUP(Table311[[#This Row],[Date]],'DB Details'!$A:$T,18)</f>
        <v>0</v>
      </c>
      <c r="E656" s="49">
        <f>VLOOKUP(Table311[[#This Row],[Date]],'DB Details'!$A:$T,19)</f>
        <v>0</v>
      </c>
    </row>
    <row r="657" spans="1:5" x14ac:dyDescent="0.35">
      <c r="A657" s="38">
        <v>37347</v>
      </c>
      <c r="B657" s="48">
        <f>VLOOKUP(Table311[[#This Row],[Date]],'DB Details'!$A:$L,12)</f>
        <v>52.4</v>
      </c>
      <c r="C657" s="49">
        <f>VLOOKUP(Table311[[#This Row],[Date]],'DB Details'!$A:$T,20)</f>
        <v>1.322883902243626E-2</v>
      </c>
      <c r="D657" s="49">
        <f>VLOOKUP(Table311[[#This Row],[Date]],'DB Details'!$A:$T,18)</f>
        <v>6.1550245578357683E-3</v>
      </c>
      <c r="E657" s="49">
        <f>VLOOKUP(Table311[[#This Row],[Date]],'DB Details'!$A:$T,19)</f>
        <v>2.484833834627009E-2</v>
      </c>
    </row>
    <row r="658" spans="1:5" x14ac:dyDescent="0.35">
      <c r="A658" s="38">
        <v>37377</v>
      </c>
      <c r="B658" s="48">
        <f>VLOOKUP(Table311[[#This Row],[Date]],'DB Details'!$A:$L,12)</f>
        <v>53.1</v>
      </c>
      <c r="C658" s="49">
        <f>VLOOKUP(Table311[[#This Row],[Date]],'DB Details'!$A:$T,20)</f>
        <v>0</v>
      </c>
      <c r="D658" s="49">
        <f>VLOOKUP(Table311[[#This Row],[Date]],'DB Details'!$A:$T,18)</f>
        <v>0</v>
      </c>
      <c r="E658" s="49">
        <f>VLOOKUP(Table311[[#This Row],[Date]],'DB Details'!$A:$T,19)</f>
        <v>0</v>
      </c>
    </row>
    <row r="659" spans="1:5" x14ac:dyDescent="0.35">
      <c r="A659" s="38">
        <v>37408</v>
      </c>
      <c r="B659" s="48">
        <f>VLOOKUP(Table311[[#This Row],[Date]],'DB Details'!$A:$L,12)</f>
        <v>53.6</v>
      </c>
      <c r="C659" s="49">
        <f>VLOOKUP(Table311[[#This Row],[Date]],'DB Details'!$A:$T,20)</f>
        <v>0</v>
      </c>
      <c r="D659" s="49">
        <f>VLOOKUP(Table311[[#This Row],[Date]],'DB Details'!$A:$T,18)</f>
        <v>0</v>
      </c>
      <c r="E659" s="49">
        <f>VLOOKUP(Table311[[#This Row],[Date]],'DB Details'!$A:$T,19)</f>
        <v>0</v>
      </c>
    </row>
    <row r="660" spans="1:5" x14ac:dyDescent="0.35">
      <c r="A660" s="38">
        <v>37438</v>
      </c>
      <c r="B660" s="48">
        <f>VLOOKUP(Table311[[#This Row],[Date]],'DB Details'!$A:$L,12)</f>
        <v>50.2</v>
      </c>
      <c r="C660" s="49">
        <f>VLOOKUP(Table311[[#This Row],[Date]],'DB Details'!$A:$T,20)</f>
        <v>2.140669989799325E-2</v>
      </c>
      <c r="D660" s="49">
        <f>VLOOKUP(Table311[[#This Row],[Date]],'DB Details'!$A:$T,18)</f>
        <v>4.0352870399802624E-3</v>
      </c>
      <c r="E660" s="49">
        <f>VLOOKUP(Table311[[#This Row],[Date]],'DB Details'!$A:$T,19)</f>
        <v>1.6239112509100821E-2</v>
      </c>
    </row>
    <row r="661" spans="1:5" x14ac:dyDescent="0.35">
      <c r="A661" s="38">
        <v>37469</v>
      </c>
      <c r="B661" s="48">
        <f>VLOOKUP(Table311[[#This Row],[Date]],'DB Details'!$A:$L,12)</f>
        <v>50.3</v>
      </c>
      <c r="C661" s="49">
        <f>VLOOKUP(Table311[[#This Row],[Date]],'DB Details'!$A:$T,20)</f>
        <v>0</v>
      </c>
      <c r="D661" s="49">
        <f>VLOOKUP(Table311[[#This Row],[Date]],'DB Details'!$A:$T,18)</f>
        <v>0</v>
      </c>
      <c r="E661" s="49">
        <f>VLOOKUP(Table311[[#This Row],[Date]],'DB Details'!$A:$T,19)</f>
        <v>0</v>
      </c>
    </row>
    <row r="662" spans="1:5" x14ac:dyDescent="0.35">
      <c r="A662" s="38">
        <v>37500</v>
      </c>
      <c r="B662" s="48">
        <f>VLOOKUP(Table311[[#This Row],[Date]],'DB Details'!$A:$L,12)</f>
        <v>50.5</v>
      </c>
      <c r="C662" s="49">
        <f>VLOOKUP(Table311[[#This Row],[Date]],'DB Details'!$A:$T,20)</f>
        <v>0</v>
      </c>
      <c r="D662" s="49">
        <f>VLOOKUP(Table311[[#This Row],[Date]],'DB Details'!$A:$T,18)</f>
        <v>0</v>
      </c>
      <c r="E662" s="49">
        <f>VLOOKUP(Table311[[#This Row],[Date]],'DB Details'!$A:$T,19)</f>
        <v>0</v>
      </c>
    </row>
    <row r="663" spans="1:5" x14ac:dyDescent="0.35">
      <c r="A663" s="38">
        <v>37530</v>
      </c>
      <c r="B663" s="48">
        <f>VLOOKUP(Table311[[#This Row],[Date]],'DB Details'!$A:$L,12)</f>
        <v>49</v>
      </c>
      <c r="C663" s="49">
        <f>VLOOKUP(Table311[[#This Row],[Date]],'DB Details'!$A:$T,20)</f>
        <v>1.9912861846485559E-2</v>
      </c>
      <c r="D663" s="49">
        <f>VLOOKUP(Table311[[#This Row],[Date]],'DB Details'!$A:$T,18)</f>
        <v>1.306557670590968E-3</v>
      </c>
      <c r="E663" s="49">
        <f>VLOOKUP(Table311[[#This Row],[Date]],'DB Details'!$A:$T,19)</f>
        <v>5.2364821646193596E-3</v>
      </c>
    </row>
    <row r="664" spans="1:5" x14ac:dyDescent="0.35">
      <c r="A664" s="38">
        <v>37561</v>
      </c>
      <c r="B664" s="48">
        <f>VLOOKUP(Table311[[#This Row],[Date]],'DB Details'!$A:$L,12)</f>
        <v>48.5</v>
      </c>
      <c r="C664" s="49">
        <f>VLOOKUP(Table311[[#This Row],[Date]],'DB Details'!$A:$T,20)</f>
        <v>0</v>
      </c>
      <c r="D664" s="49">
        <f>VLOOKUP(Table311[[#This Row],[Date]],'DB Details'!$A:$T,18)</f>
        <v>0</v>
      </c>
      <c r="E664" s="49">
        <f>VLOOKUP(Table311[[#This Row],[Date]],'DB Details'!$A:$T,19)</f>
        <v>0</v>
      </c>
    </row>
    <row r="665" spans="1:5" x14ac:dyDescent="0.35">
      <c r="A665" s="38">
        <v>37591</v>
      </c>
      <c r="B665" s="48">
        <f>VLOOKUP(Table311[[#This Row],[Date]],'DB Details'!$A:$L,12)</f>
        <v>51.6</v>
      </c>
      <c r="C665" s="49">
        <f>VLOOKUP(Table311[[#This Row],[Date]],'DB Details'!$A:$T,20)</f>
        <v>0</v>
      </c>
      <c r="D665" s="49">
        <f>VLOOKUP(Table311[[#This Row],[Date]],'DB Details'!$A:$T,18)</f>
        <v>0</v>
      </c>
      <c r="E665" s="49">
        <f>VLOOKUP(Table311[[#This Row],[Date]],'DB Details'!$A:$T,19)</f>
        <v>0</v>
      </c>
    </row>
    <row r="666" spans="1:5" x14ac:dyDescent="0.35">
      <c r="A666" s="38">
        <v>37622</v>
      </c>
      <c r="B666" s="48">
        <f>VLOOKUP(Table311[[#This Row],[Date]],'DB Details'!$A:$L,12)</f>
        <v>51.3</v>
      </c>
      <c r="C666" s="49">
        <f>VLOOKUP(Table311[[#This Row],[Date]],'DB Details'!$A:$T,20)</f>
        <v>1.676188940425874E-2</v>
      </c>
      <c r="D666" s="49">
        <f>VLOOKUP(Table311[[#This Row],[Date]],'DB Details'!$A:$T,18)</f>
        <v>5.1672318691698346E-3</v>
      </c>
      <c r="E666" s="49">
        <f>VLOOKUP(Table311[[#This Row],[Date]],'DB Details'!$A:$T,19)</f>
        <v>2.0829681766981079E-2</v>
      </c>
    </row>
    <row r="667" spans="1:5" x14ac:dyDescent="0.35">
      <c r="A667" s="38">
        <v>37653</v>
      </c>
      <c r="B667" s="48">
        <f>VLOOKUP(Table311[[#This Row],[Date]],'DB Details'!$A:$L,12)</f>
        <v>48.8</v>
      </c>
      <c r="C667" s="49">
        <f>VLOOKUP(Table311[[#This Row],[Date]],'DB Details'!$A:$T,20)</f>
        <v>0</v>
      </c>
      <c r="D667" s="49">
        <f>VLOOKUP(Table311[[#This Row],[Date]],'DB Details'!$A:$T,18)</f>
        <v>0</v>
      </c>
      <c r="E667" s="49">
        <f>VLOOKUP(Table311[[#This Row],[Date]],'DB Details'!$A:$T,19)</f>
        <v>0</v>
      </c>
    </row>
    <row r="668" spans="1:5" x14ac:dyDescent="0.35">
      <c r="A668" s="38">
        <v>37681</v>
      </c>
      <c r="B668" s="48">
        <f>VLOOKUP(Table311[[#This Row],[Date]],'DB Details'!$A:$L,12)</f>
        <v>46.3</v>
      </c>
      <c r="C668" s="49">
        <f>VLOOKUP(Table311[[#This Row],[Date]],'DB Details'!$A:$T,20)</f>
        <v>0</v>
      </c>
      <c r="D668" s="49">
        <f>VLOOKUP(Table311[[#This Row],[Date]],'DB Details'!$A:$T,18)</f>
        <v>0</v>
      </c>
      <c r="E668" s="49">
        <f>VLOOKUP(Table311[[#This Row],[Date]],'DB Details'!$A:$T,19)</f>
        <v>0</v>
      </c>
    </row>
    <row r="669" spans="1:5" x14ac:dyDescent="0.35">
      <c r="A669" s="38">
        <v>37712</v>
      </c>
      <c r="B669" s="48">
        <f>VLOOKUP(Table311[[#This Row],[Date]],'DB Details'!$A:$L,12)</f>
        <v>46.1</v>
      </c>
      <c r="C669" s="49">
        <f>VLOOKUP(Table311[[#This Row],[Date]],'DB Details'!$A:$T,20)</f>
        <v>1.9569936417795909E-2</v>
      </c>
      <c r="D669" s="49">
        <f>VLOOKUP(Table311[[#This Row],[Date]],'DB Details'!$A:$T,18)</f>
        <v>8.9337780116266717E-3</v>
      </c>
      <c r="E669" s="49">
        <f>VLOOKUP(Table311[[#This Row],[Date]],'DB Details'!$A:$T,19)</f>
        <v>3.621684485857446E-2</v>
      </c>
    </row>
    <row r="670" spans="1:5" x14ac:dyDescent="0.35">
      <c r="A670" s="38">
        <v>37742</v>
      </c>
      <c r="B670" s="48">
        <f>VLOOKUP(Table311[[#This Row],[Date]],'DB Details'!$A:$L,12)</f>
        <v>49</v>
      </c>
      <c r="C670" s="49">
        <f>VLOOKUP(Table311[[#This Row],[Date]],'DB Details'!$A:$T,20)</f>
        <v>0</v>
      </c>
      <c r="D670" s="49">
        <f>VLOOKUP(Table311[[#This Row],[Date]],'DB Details'!$A:$T,18)</f>
        <v>0</v>
      </c>
      <c r="E670" s="49">
        <f>VLOOKUP(Table311[[#This Row],[Date]],'DB Details'!$A:$T,19)</f>
        <v>0</v>
      </c>
    </row>
    <row r="671" spans="1:5" x14ac:dyDescent="0.35">
      <c r="A671" s="38">
        <v>37773</v>
      </c>
      <c r="B671" s="48">
        <f>VLOOKUP(Table311[[#This Row],[Date]],'DB Details'!$A:$L,12)</f>
        <v>49</v>
      </c>
      <c r="C671" s="49">
        <f>VLOOKUP(Table311[[#This Row],[Date]],'DB Details'!$A:$T,20)</f>
        <v>0</v>
      </c>
      <c r="D671" s="49">
        <f>VLOOKUP(Table311[[#This Row],[Date]],'DB Details'!$A:$T,18)</f>
        <v>0</v>
      </c>
      <c r="E671" s="49">
        <f>VLOOKUP(Table311[[#This Row],[Date]],'DB Details'!$A:$T,19)</f>
        <v>0</v>
      </c>
    </row>
    <row r="672" spans="1:5" x14ac:dyDescent="0.35">
      <c r="A672" s="38">
        <v>37803</v>
      </c>
      <c r="B672" s="48">
        <f>VLOOKUP(Table311[[#This Row],[Date]],'DB Details'!$A:$L,12)</f>
        <v>51</v>
      </c>
      <c r="C672" s="49">
        <f>VLOOKUP(Table311[[#This Row],[Date]],'DB Details'!$A:$T,20)</f>
        <v>3.2399083015260143E-2</v>
      </c>
      <c r="D672" s="49">
        <f>VLOOKUP(Table311[[#This Row],[Date]],'DB Details'!$A:$T,18)</f>
        <v>1.666896269711016E-2</v>
      </c>
      <c r="E672" s="49">
        <f>VLOOKUP(Table311[[#This Row],[Date]],'DB Details'!$A:$T,19)</f>
        <v>6.8361580068855954E-2</v>
      </c>
    </row>
    <row r="673" spans="1:5" x14ac:dyDescent="0.35">
      <c r="A673" s="38">
        <v>37834</v>
      </c>
      <c r="B673" s="48">
        <f>VLOOKUP(Table311[[#This Row],[Date]],'DB Details'!$A:$L,12)</f>
        <v>53.2</v>
      </c>
      <c r="C673" s="49">
        <f>VLOOKUP(Table311[[#This Row],[Date]],'DB Details'!$A:$T,20)</f>
        <v>0</v>
      </c>
      <c r="D673" s="49">
        <f>VLOOKUP(Table311[[#This Row],[Date]],'DB Details'!$A:$T,18)</f>
        <v>0</v>
      </c>
      <c r="E673" s="49">
        <f>VLOOKUP(Table311[[#This Row],[Date]],'DB Details'!$A:$T,19)</f>
        <v>0</v>
      </c>
    </row>
    <row r="674" spans="1:5" x14ac:dyDescent="0.35">
      <c r="A674" s="38">
        <v>37865</v>
      </c>
      <c r="B674" s="48">
        <f>VLOOKUP(Table311[[#This Row],[Date]],'DB Details'!$A:$L,12)</f>
        <v>52.4</v>
      </c>
      <c r="C674" s="49">
        <f>VLOOKUP(Table311[[#This Row],[Date]],'DB Details'!$A:$T,20)</f>
        <v>0</v>
      </c>
      <c r="D674" s="49">
        <f>VLOOKUP(Table311[[#This Row],[Date]],'DB Details'!$A:$T,18)</f>
        <v>0</v>
      </c>
      <c r="E674" s="49">
        <f>VLOOKUP(Table311[[#This Row],[Date]],'DB Details'!$A:$T,19)</f>
        <v>0</v>
      </c>
    </row>
    <row r="675" spans="1:5" x14ac:dyDescent="0.35">
      <c r="A675" s="38">
        <v>37895</v>
      </c>
      <c r="B675" s="48">
        <f>VLOOKUP(Table311[[#This Row],[Date]],'DB Details'!$A:$L,12)</f>
        <v>55.2</v>
      </c>
      <c r="C675" s="49">
        <f>VLOOKUP(Table311[[#This Row],[Date]],'DB Details'!$A:$T,20)</f>
        <v>4.2950765202439317E-2</v>
      </c>
      <c r="D675" s="49">
        <f>VLOOKUP(Table311[[#This Row],[Date]],'DB Details'!$A:$T,18)</f>
        <v>1.154045727617818E-2</v>
      </c>
      <c r="E675" s="49">
        <f>VLOOKUP(Table311[[#This Row],[Date]],'DB Details'!$A:$T,19)</f>
        <v>4.6967087698897902E-2</v>
      </c>
    </row>
    <row r="676" spans="1:5" x14ac:dyDescent="0.35">
      <c r="A676" s="38">
        <v>37926</v>
      </c>
      <c r="B676" s="48">
        <f>VLOOKUP(Table311[[#This Row],[Date]],'DB Details'!$A:$L,12)</f>
        <v>58.4</v>
      </c>
      <c r="C676" s="49">
        <f>VLOOKUP(Table311[[#This Row],[Date]],'DB Details'!$A:$T,20)</f>
        <v>0</v>
      </c>
      <c r="D676" s="49">
        <f>VLOOKUP(Table311[[#This Row],[Date]],'DB Details'!$A:$T,18)</f>
        <v>0</v>
      </c>
      <c r="E676" s="49">
        <f>VLOOKUP(Table311[[#This Row],[Date]],'DB Details'!$A:$T,19)</f>
        <v>0</v>
      </c>
    </row>
    <row r="677" spans="1:5" x14ac:dyDescent="0.35">
      <c r="A677" s="38">
        <v>37956</v>
      </c>
      <c r="B677" s="48">
        <f>VLOOKUP(Table311[[#This Row],[Date]],'DB Details'!$A:$L,12)</f>
        <v>60.1</v>
      </c>
      <c r="C677" s="49">
        <f>VLOOKUP(Table311[[#This Row],[Date]],'DB Details'!$A:$T,20)</f>
        <v>0</v>
      </c>
      <c r="D677" s="49">
        <f>VLOOKUP(Table311[[#This Row],[Date]],'DB Details'!$A:$T,18)</f>
        <v>0</v>
      </c>
      <c r="E677" s="49">
        <f>VLOOKUP(Table311[[#This Row],[Date]],'DB Details'!$A:$T,19)</f>
        <v>0</v>
      </c>
    </row>
    <row r="678" spans="1:5" x14ac:dyDescent="0.35">
      <c r="A678" s="38">
        <v>37987</v>
      </c>
      <c r="B678" s="48">
        <f>VLOOKUP(Table311[[#This Row],[Date]],'DB Details'!$A:$L,12)</f>
        <v>60.8</v>
      </c>
      <c r="C678" s="49">
        <f>VLOOKUP(Table311[[#This Row],[Date]],'DB Details'!$A:$T,20)</f>
        <v>4.3533820862159241E-2</v>
      </c>
      <c r="D678" s="49">
        <f>VLOOKUP(Table311[[#This Row],[Date]],'DB Details'!$A:$T,18)</f>
        <v>5.7291648606975533E-3</v>
      </c>
      <c r="E678" s="49">
        <f>VLOOKUP(Table311[[#This Row],[Date]],'DB Details'!$A:$T,19)</f>
        <v>2.3114352701243179E-2</v>
      </c>
    </row>
    <row r="679" spans="1:5" x14ac:dyDescent="0.35">
      <c r="A679" s="38">
        <v>38018</v>
      </c>
      <c r="B679" s="48">
        <f>VLOOKUP(Table311[[#This Row],[Date]],'DB Details'!$A:$L,12)</f>
        <v>59.9</v>
      </c>
      <c r="C679" s="49">
        <f>VLOOKUP(Table311[[#This Row],[Date]],'DB Details'!$A:$T,20)</f>
        <v>0</v>
      </c>
      <c r="D679" s="49">
        <f>VLOOKUP(Table311[[#This Row],[Date]],'DB Details'!$A:$T,18)</f>
        <v>0</v>
      </c>
      <c r="E679" s="49">
        <f>VLOOKUP(Table311[[#This Row],[Date]],'DB Details'!$A:$T,19)</f>
        <v>0</v>
      </c>
    </row>
    <row r="680" spans="1:5" x14ac:dyDescent="0.35">
      <c r="A680" s="38">
        <v>38047</v>
      </c>
      <c r="B680" s="48">
        <f>VLOOKUP(Table311[[#This Row],[Date]],'DB Details'!$A:$L,12)</f>
        <v>60.6</v>
      </c>
      <c r="C680" s="49">
        <f>VLOOKUP(Table311[[#This Row],[Date]],'DB Details'!$A:$T,20)</f>
        <v>0</v>
      </c>
      <c r="D680" s="49">
        <f>VLOOKUP(Table311[[#This Row],[Date]],'DB Details'!$A:$T,18)</f>
        <v>0</v>
      </c>
      <c r="E680" s="49">
        <f>VLOOKUP(Table311[[#This Row],[Date]],'DB Details'!$A:$T,19)</f>
        <v>0</v>
      </c>
    </row>
    <row r="681" spans="1:5" x14ac:dyDescent="0.35">
      <c r="A681" s="38">
        <v>38078</v>
      </c>
      <c r="B681" s="48">
        <f>VLOOKUP(Table311[[#This Row],[Date]],'DB Details'!$A:$L,12)</f>
        <v>60.6</v>
      </c>
      <c r="C681" s="49">
        <f>VLOOKUP(Table311[[#This Row],[Date]],'DB Details'!$A:$T,20)</f>
        <v>4.2348116494544417E-2</v>
      </c>
      <c r="D681" s="49">
        <f>VLOOKUP(Table311[[#This Row],[Date]],'DB Details'!$A:$T,18)</f>
        <v>7.7873875800888301E-3</v>
      </c>
      <c r="E681" s="49">
        <f>VLOOKUP(Table311[[#This Row],[Date]],'DB Details'!$A:$T,19)</f>
        <v>3.1515303444719089E-2</v>
      </c>
    </row>
    <row r="682" spans="1:5" x14ac:dyDescent="0.35">
      <c r="A682" s="38">
        <v>38108</v>
      </c>
      <c r="B682" s="48">
        <f>VLOOKUP(Table311[[#This Row],[Date]],'DB Details'!$A:$L,12)</f>
        <v>61.4</v>
      </c>
      <c r="C682" s="49">
        <f>VLOOKUP(Table311[[#This Row],[Date]],'DB Details'!$A:$T,20)</f>
        <v>0</v>
      </c>
      <c r="D682" s="49">
        <f>VLOOKUP(Table311[[#This Row],[Date]],'DB Details'!$A:$T,18)</f>
        <v>0</v>
      </c>
      <c r="E682" s="49">
        <f>VLOOKUP(Table311[[#This Row],[Date]],'DB Details'!$A:$T,19)</f>
        <v>0</v>
      </c>
    </row>
    <row r="683" spans="1:5" x14ac:dyDescent="0.35">
      <c r="A683" s="38">
        <v>38139</v>
      </c>
      <c r="B683" s="48">
        <f>VLOOKUP(Table311[[#This Row],[Date]],'DB Details'!$A:$L,12)</f>
        <v>60.5</v>
      </c>
      <c r="C683" s="49">
        <f>VLOOKUP(Table311[[#This Row],[Date]],'DB Details'!$A:$T,20)</f>
        <v>0</v>
      </c>
      <c r="D683" s="49">
        <f>VLOOKUP(Table311[[#This Row],[Date]],'DB Details'!$A:$T,18)</f>
        <v>0</v>
      </c>
      <c r="E683" s="49">
        <f>VLOOKUP(Table311[[#This Row],[Date]],'DB Details'!$A:$T,19)</f>
        <v>0</v>
      </c>
    </row>
    <row r="684" spans="1:5" x14ac:dyDescent="0.35">
      <c r="A684" s="38">
        <v>38169</v>
      </c>
      <c r="B684" s="48">
        <f>VLOOKUP(Table311[[#This Row],[Date]],'DB Details'!$A:$L,12)</f>
        <v>59.9</v>
      </c>
      <c r="C684" s="49">
        <f>VLOOKUP(Table311[[#This Row],[Date]],'DB Details'!$A:$T,20)</f>
        <v>3.4908340686507763E-2</v>
      </c>
      <c r="D684" s="49">
        <f>VLOOKUP(Table311[[#This Row],[Date]],'DB Details'!$A:$T,18)</f>
        <v>9.4124722465944513E-3</v>
      </c>
      <c r="E684" s="49">
        <f>VLOOKUP(Table311[[#This Row],[Date]],'DB Details'!$A:$T,19)</f>
        <v>3.8184800216271693E-2</v>
      </c>
    </row>
    <row r="685" spans="1:5" x14ac:dyDescent="0.35">
      <c r="A685" s="38">
        <v>38200</v>
      </c>
      <c r="B685" s="48">
        <f>VLOOKUP(Table311[[#This Row],[Date]],'DB Details'!$A:$L,12)</f>
        <v>58.5</v>
      </c>
      <c r="C685" s="49">
        <f>VLOOKUP(Table311[[#This Row],[Date]],'DB Details'!$A:$T,20)</f>
        <v>0</v>
      </c>
      <c r="D685" s="49">
        <f>VLOOKUP(Table311[[#This Row],[Date]],'DB Details'!$A:$T,18)</f>
        <v>0</v>
      </c>
      <c r="E685" s="49">
        <f>VLOOKUP(Table311[[#This Row],[Date]],'DB Details'!$A:$T,19)</f>
        <v>0</v>
      </c>
    </row>
    <row r="686" spans="1:5" x14ac:dyDescent="0.35">
      <c r="A686" s="38">
        <v>38231</v>
      </c>
      <c r="B686" s="48">
        <f>VLOOKUP(Table311[[#This Row],[Date]],'DB Details'!$A:$L,12)</f>
        <v>57.4</v>
      </c>
      <c r="C686" s="49">
        <f>VLOOKUP(Table311[[#This Row],[Date]],'DB Details'!$A:$T,20)</f>
        <v>0</v>
      </c>
      <c r="D686" s="49">
        <f>VLOOKUP(Table311[[#This Row],[Date]],'DB Details'!$A:$T,18)</f>
        <v>0</v>
      </c>
      <c r="E686" s="49">
        <f>VLOOKUP(Table311[[#This Row],[Date]],'DB Details'!$A:$T,19)</f>
        <v>0</v>
      </c>
    </row>
    <row r="687" spans="1:5" x14ac:dyDescent="0.35">
      <c r="A687" s="38">
        <v>38261</v>
      </c>
      <c r="B687" s="48">
        <f>VLOOKUP(Table311[[#This Row],[Date]],'DB Details'!$A:$L,12)</f>
        <v>56.3</v>
      </c>
      <c r="C687" s="49">
        <f>VLOOKUP(Table311[[#This Row],[Date]],'DB Details'!$A:$T,20)</f>
        <v>3.3557659164048917E-2</v>
      </c>
      <c r="D687" s="49">
        <f>VLOOKUP(Table311[[#This Row],[Date]],'DB Details'!$A:$T,18)</f>
        <v>1.0220273689720489E-2</v>
      </c>
      <c r="E687" s="49">
        <f>VLOOKUP(Table311[[#This Row],[Date]],'DB Details'!$A:$T,19)</f>
        <v>4.1512099828914462E-2</v>
      </c>
    </row>
    <row r="688" spans="1:5" x14ac:dyDescent="0.35">
      <c r="A688" s="38">
        <v>38292</v>
      </c>
      <c r="B688" s="48">
        <f>VLOOKUP(Table311[[#This Row],[Date]],'DB Details'!$A:$L,12)</f>
        <v>56.2</v>
      </c>
      <c r="C688" s="49">
        <f>VLOOKUP(Table311[[#This Row],[Date]],'DB Details'!$A:$T,20)</f>
        <v>0</v>
      </c>
      <c r="D688" s="49">
        <f>VLOOKUP(Table311[[#This Row],[Date]],'DB Details'!$A:$T,18)</f>
        <v>0</v>
      </c>
      <c r="E688" s="49">
        <f>VLOOKUP(Table311[[#This Row],[Date]],'DB Details'!$A:$T,19)</f>
        <v>0</v>
      </c>
    </row>
    <row r="689" spans="1:5" x14ac:dyDescent="0.35">
      <c r="A689" s="38">
        <v>38322</v>
      </c>
      <c r="B689" s="48">
        <f>VLOOKUP(Table311[[#This Row],[Date]],'DB Details'!$A:$L,12)</f>
        <v>57.2</v>
      </c>
      <c r="C689" s="49">
        <f>VLOOKUP(Table311[[#This Row],[Date]],'DB Details'!$A:$T,20)</f>
        <v>0</v>
      </c>
      <c r="D689" s="49">
        <f>VLOOKUP(Table311[[#This Row],[Date]],'DB Details'!$A:$T,18)</f>
        <v>0</v>
      </c>
      <c r="E689" s="49">
        <f>VLOOKUP(Table311[[#This Row],[Date]],'DB Details'!$A:$T,19)</f>
        <v>0</v>
      </c>
    </row>
    <row r="690" spans="1:5" x14ac:dyDescent="0.35">
      <c r="A690" s="38">
        <v>38353</v>
      </c>
      <c r="B690" s="48">
        <f>VLOOKUP(Table311[[#This Row],[Date]],'DB Details'!$A:$L,12)</f>
        <v>56.8</v>
      </c>
      <c r="C690" s="49">
        <f>VLOOKUP(Table311[[#This Row],[Date]],'DB Details'!$A:$T,20)</f>
        <v>3.9086174408999461E-2</v>
      </c>
      <c r="D690" s="49">
        <f>VLOOKUP(Table311[[#This Row],[Date]],'DB Details'!$A:$T,18)</f>
        <v>1.110882507696538E-2</v>
      </c>
      <c r="E690" s="49">
        <f>VLOOKUP(Table311[[#This Row],[Date]],'DB Details'!$A:$T,19)</f>
        <v>4.5181235086873883E-2</v>
      </c>
    </row>
    <row r="691" spans="1:5" x14ac:dyDescent="0.35">
      <c r="A691" s="38">
        <v>38384</v>
      </c>
      <c r="B691" s="48">
        <f>VLOOKUP(Table311[[#This Row],[Date]],'DB Details'!$A:$L,12)</f>
        <v>55.5</v>
      </c>
      <c r="C691" s="49">
        <f>VLOOKUP(Table311[[#This Row],[Date]],'DB Details'!$A:$T,20)</f>
        <v>0</v>
      </c>
      <c r="D691" s="49">
        <f>VLOOKUP(Table311[[#This Row],[Date]],'DB Details'!$A:$T,18)</f>
        <v>0</v>
      </c>
      <c r="E691" s="49">
        <f>VLOOKUP(Table311[[#This Row],[Date]],'DB Details'!$A:$T,19)</f>
        <v>0</v>
      </c>
    </row>
    <row r="692" spans="1:5" x14ac:dyDescent="0.35">
      <c r="A692" s="38">
        <v>38412</v>
      </c>
      <c r="B692" s="48">
        <f>VLOOKUP(Table311[[#This Row],[Date]],'DB Details'!$A:$L,12)</f>
        <v>55.2</v>
      </c>
      <c r="C692" s="49">
        <f>VLOOKUP(Table311[[#This Row],[Date]],'DB Details'!$A:$T,20)</f>
        <v>0</v>
      </c>
      <c r="D692" s="49">
        <f>VLOOKUP(Table311[[#This Row],[Date]],'DB Details'!$A:$T,18)</f>
        <v>0</v>
      </c>
      <c r="E692" s="49">
        <f>VLOOKUP(Table311[[#This Row],[Date]],'DB Details'!$A:$T,19)</f>
        <v>0</v>
      </c>
    </row>
    <row r="693" spans="1:5" x14ac:dyDescent="0.35">
      <c r="A693" s="38">
        <v>38443</v>
      </c>
      <c r="B693" s="48">
        <f>VLOOKUP(Table311[[#This Row],[Date]],'DB Details'!$A:$L,12)</f>
        <v>52.2</v>
      </c>
      <c r="C693" s="49">
        <f>VLOOKUP(Table311[[#This Row],[Date]],'DB Details'!$A:$T,20)</f>
        <v>3.6074103661260792E-2</v>
      </c>
      <c r="D693" s="49">
        <f>VLOOKUP(Table311[[#This Row],[Date]],'DB Details'!$A:$T,18)</f>
        <v>4.8660447840531912E-3</v>
      </c>
      <c r="E693" s="49">
        <f>VLOOKUP(Table311[[#This Row],[Date]],'DB Details'!$A:$T,19)</f>
        <v>1.9606710928381729E-2</v>
      </c>
    </row>
    <row r="694" spans="1:5" x14ac:dyDescent="0.35">
      <c r="A694" s="38">
        <v>38473</v>
      </c>
      <c r="B694" s="48">
        <f>VLOOKUP(Table311[[#This Row],[Date]],'DB Details'!$A:$L,12)</f>
        <v>50.8</v>
      </c>
      <c r="C694" s="49">
        <f>VLOOKUP(Table311[[#This Row],[Date]],'DB Details'!$A:$T,20)</f>
        <v>0</v>
      </c>
      <c r="D694" s="49">
        <f>VLOOKUP(Table311[[#This Row],[Date]],'DB Details'!$A:$T,18)</f>
        <v>0</v>
      </c>
      <c r="E694" s="49">
        <f>VLOOKUP(Table311[[#This Row],[Date]],'DB Details'!$A:$T,19)</f>
        <v>0</v>
      </c>
    </row>
    <row r="695" spans="1:5" x14ac:dyDescent="0.35">
      <c r="A695" s="38">
        <v>38504</v>
      </c>
      <c r="B695" s="48">
        <f>VLOOKUP(Table311[[#This Row],[Date]],'DB Details'!$A:$L,12)</f>
        <v>52.4</v>
      </c>
      <c r="C695" s="49">
        <f>VLOOKUP(Table311[[#This Row],[Date]],'DB Details'!$A:$T,20)</f>
        <v>0</v>
      </c>
      <c r="D695" s="49">
        <f>VLOOKUP(Table311[[#This Row],[Date]],'DB Details'!$A:$T,18)</f>
        <v>0</v>
      </c>
      <c r="E695" s="49">
        <f>VLOOKUP(Table311[[#This Row],[Date]],'DB Details'!$A:$T,19)</f>
        <v>0</v>
      </c>
    </row>
    <row r="696" spans="1:5" x14ac:dyDescent="0.35">
      <c r="A696" s="38">
        <v>38534</v>
      </c>
      <c r="B696" s="48">
        <f>VLOOKUP(Table311[[#This Row],[Date]],'DB Details'!$A:$L,12)</f>
        <v>52.8</v>
      </c>
      <c r="C696" s="49">
        <f>VLOOKUP(Table311[[#This Row],[Date]],'DB Details'!$A:$T,20)</f>
        <v>3.4476745891085119E-2</v>
      </c>
      <c r="D696" s="49">
        <f>VLOOKUP(Table311[[#This Row],[Date]],'DB Details'!$A:$T,18)</f>
        <v>7.8562198027224469E-3</v>
      </c>
      <c r="E696" s="49">
        <f>VLOOKUP(Table311[[#This Row],[Date]],'DB Details'!$A:$T,19)</f>
        <v>3.1797143707306803E-2</v>
      </c>
    </row>
    <row r="697" spans="1:5" x14ac:dyDescent="0.35">
      <c r="A697" s="38">
        <v>38565</v>
      </c>
      <c r="B697" s="48">
        <f>VLOOKUP(Table311[[#This Row],[Date]],'DB Details'!$A:$L,12)</f>
        <v>52.4</v>
      </c>
      <c r="C697" s="49">
        <f>VLOOKUP(Table311[[#This Row],[Date]],'DB Details'!$A:$T,20)</f>
        <v>0</v>
      </c>
      <c r="D697" s="49">
        <f>VLOOKUP(Table311[[#This Row],[Date]],'DB Details'!$A:$T,18)</f>
        <v>0</v>
      </c>
      <c r="E697" s="49">
        <f>VLOOKUP(Table311[[#This Row],[Date]],'DB Details'!$A:$T,19)</f>
        <v>0</v>
      </c>
    </row>
    <row r="698" spans="1:5" x14ac:dyDescent="0.35">
      <c r="A698" s="38">
        <v>38596</v>
      </c>
      <c r="B698" s="48">
        <f>VLOOKUP(Table311[[#This Row],[Date]],'DB Details'!$A:$L,12)</f>
        <v>56.8</v>
      </c>
      <c r="C698" s="49">
        <f>VLOOKUP(Table311[[#This Row],[Date]],'DB Details'!$A:$T,20)</f>
        <v>0</v>
      </c>
      <c r="D698" s="49">
        <f>VLOOKUP(Table311[[#This Row],[Date]],'DB Details'!$A:$T,18)</f>
        <v>0</v>
      </c>
      <c r="E698" s="49">
        <f>VLOOKUP(Table311[[#This Row],[Date]],'DB Details'!$A:$T,19)</f>
        <v>0</v>
      </c>
    </row>
    <row r="699" spans="1:5" x14ac:dyDescent="0.35">
      <c r="A699" s="38">
        <v>38626</v>
      </c>
      <c r="B699" s="48">
        <f>VLOOKUP(Table311[[#This Row],[Date]],'DB Details'!$A:$L,12)</f>
        <v>57.2</v>
      </c>
      <c r="C699" s="49">
        <f>VLOOKUP(Table311[[#This Row],[Date]],'DB Details'!$A:$T,20)</f>
        <v>2.9826720513611439E-2</v>
      </c>
      <c r="D699" s="49">
        <f>VLOOKUP(Table311[[#This Row],[Date]],'DB Details'!$A:$T,18)</f>
        <v>5.6792823835803089E-3</v>
      </c>
      <c r="E699" s="49">
        <f>VLOOKUP(Table311[[#This Row],[Date]],'DB Details'!$A:$T,19)</f>
        <v>2.2911388788951159E-2</v>
      </c>
    </row>
    <row r="700" spans="1:5" x14ac:dyDescent="0.35">
      <c r="A700" s="38">
        <v>38657</v>
      </c>
      <c r="B700" s="48">
        <f>VLOOKUP(Table311[[#This Row],[Date]],'DB Details'!$A:$L,12)</f>
        <v>56.7</v>
      </c>
      <c r="C700" s="49">
        <f>VLOOKUP(Table311[[#This Row],[Date]],'DB Details'!$A:$T,20)</f>
        <v>0</v>
      </c>
      <c r="D700" s="49">
        <f>VLOOKUP(Table311[[#This Row],[Date]],'DB Details'!$A:$T,18)</f>
        <v>0</v>
      </c>
      <c r="E700" s="49">
        <f>VLOOKUP(Table311[[#This Row],[Date]],'DB Details'!$A:$T,19)</f>
        <v>0</v>
      </c>
    </row>
    <row r="701" spans="1:5" x14ac:dyDescent="0.35">
      <c r="A701" s="38">
        <v>38687</v>
      </c>
      <c r="B701" s="48">
        <f>VLOOKUP(Table311[[#This Row],[Date]],'DB Details'!$A:$L,12)</f>
        <v>55.1</v>
      </c>
      <c r="C701" s="49">
        <f>VLOOKUP(Table311[[#This Row],[Date]],'DB Details'!$A:$T,20)</f>
        <v>0</v>
      </c>
      <c r="D701" s="49">
        <f>VLOOKUP(Table311[[#This Row],[Date]],'DB Details'!$A:$T,18)</f>
        <v>0</v>
      </c>
      <c r="E701" s="49">
        <f>VLOOKUP(Table311[[#This Row],[Date]],'DB Details'!$A:$T,19)</f>
        <v>0</v>
      </c>
    </row>
    <row r="702" spans="1:5" x14ac:dyDescent="0.35">
      <c r="A702" s="38">
        <v>38718</v>
      </c>
      <c r="B702" s="48">
        <f>VLOOKUP(Table311[[#This Row],[Date]],'DB Details'!$A:$L,12)</f>
        <v>55</v>
      </c>
      <c r="C702" s="49">
        <f>VLOOKUP(Table311[[#This Row],[Date]],'DB Details'!$A:$T,20)</f>
        <v>3.2248575723230061E-2</v>
      </c>
      <c r="D702" s="49">
        <f>VLOOKUP(Table311[[#This Row],[Date]],'DB Details'!$A:$T,18)</f>
        <v>1.3486661199029431E-2</v>
      </c>
      <c r="E702" s="49">
        <f>VLOOKUP(Table311[[#This Row],[Date]],'DB Details'!$A:$T,19)</f>
        <v>5.5047830418741617E-2</v>
      </c>
    </row>
    <row r="703" spans="1:5" x14ac:dyDescent="0.35">
      <c r="A703" s="38">
        <v>38749</v>
      </c>
      <c r="B703" s="48">
        <f>VLOOKUP(Table311[[#This Row],[Date]],'DB Details'!$A:$L,12)</f>
        <v>55.8</v>
      </c>
      <c r="C703" s="49">
        <f>VLOOKUP(Table311[[#This Row],[Date]],'DB Details'!$A:$T,20)</f>
        <v>0</v>
      </c>
      <c r="D703" s="49">
        <f>VLOOKUP(Table311[[#This Row],[Date]],'DB Details'!$A:$T,18)</f>
        <v>0</v>
      </c>
      <c r="E703" s="49">
        <f>VLOOKUP(Table311[[#This Row],[Date]],'DB Details'!$A:$T,19)</f>
        <v>0</v>
      </c>
    </row>
    <row r="704" spans="1:5" x14ac:dyDescent="0.35">
      <c r="A704" s="38">
        <v>38777</v>
      </c>
      <c r="B704" s="48">
        <f>VLOOKUP(Table311[[#This Row],[Date]],'DB Details'!$A:$L,12)</f>
        <v>54.3</v>
      </c>
      <c r="C704" s="49">
        <f>VLOOKUP(Table311[[#This Row],[Date]],'DB Details'!$A:$T,20)</f>
        <v>0</v>
      </c>
      <c r="D704" s="49">
        <f>VLOOKUP(Table311[[#This Row],[Date]],'DB Details'!$A:$T,18)</f>
        <v>0</v>
      </c>
      <c r="E704" s="49">
        <f>VLOOKUP(Table311[[#This Row],[Date]],'DB Details'!$A:$T,19)</f>
        <v>0</v>
      </c>
    </row>
    <row r="705" spans="1:5" x14ac:dyDescent="0.35">
      <c r="A705" s="38">
        <v>38808</v>
      </c>
      <c r="B705" s="48">
        <f>VLOOKUP(Table311[[#This Row],[Date]],'DB Details'!$A:$L,12)</f>
        <v>55.2</v>
      </c>
      <c r="C705" s="49">
        <f>VLOOKUP(Table311[[#This Row],[Date]],'DB Details'!$A:$T,20)</f>
        <v>2.977269025594638E-2</v>
      </c>
      <c r="D705" s="49">
        <f>VLOOKUP(Table311[[#This Row],[Date]],'DB Details'!$A:$T,18)</f>
        <v>2.4558373055836402E-3</v>
      </c>
      <c r="E705" s="49">
        <f>VLOOKUP(Table311[[#This Row],[Date]],'DB Details'!$A:$T,19)</f>
        <v>9.8595953259017488E-3</v>
      </c>
    </row>
    <row r="706" spans="1:5" x14ac:dyDescent="0.35">
      <c r="A706" s="38">
        <v>38838</v>
      </c>
      <c r="B706" s="48">
        <f>VLOOKUP(Table311[[#This Row],[Date]],'DB Details'!$A:$L,12)</f>
        <v>53.7</v>
      </c>
      <c r="C706" s="49">
        <f>VLOOKUP(Table311[[#This Row],[Date]],'DB Details'!$A:$T,20)</f>
        <v>0</v>
      </c>
      <c r="D706" s="49">
        <f>VLOOKUP(Table311[[#This Row],[Date]],'DB Details'!$A:$T,18)</f>
        <v>0</v>
      </c>
      <c r="E706" s="49">
        <f>VLOOKUP(Table311[[#This Row],[Date]],'DB Details'!$A:$T,19)</f>
        <v>0</v>
      </c>
    </row>
    <row r="707" spans="1:5" x14ac:dyDescent="0.35">
      <c r="A707" s="38">
        <v>38869</v>
      </c>
      <c r="B707" s="48">
        <f>VLOOKUP(Table311[[#This Row],[Date]],'DB Details'!$A:$L,12)</f>
        <v>52</v>
      </c>
      <c r="C707" s="49">
        <f>VLOOKUP(Table311[[#This Row],[Date]],'DB Details'!$A:$T,20)</f>
        <v>0</v>
      </c>
      <c r="D707" s="49">
        <f>VLOOKUP(Table311[[#This Row],[Date]],'DB Details'!$A:$T,18)</f>
        <v>0</v>
      </c>
      <c r="E707" s="49">
        <f>VLOOKUP(Table311[[#This Row],[Date]],'DB Details'!$A:$T,19)</f>
        <v>0</v>
      </c>
    </row>
    <row r="708" spans="1:5" x14ac:dyDescent="0.35">
      <c r="A708" s="38">
        <v>38899</v>
      </c>
      <c r="B708" s="48">
        <f>VLOOKUP(Table311[[#This Row],[Date]],'DB Details'!$A:$L,12)</f>
        <v>53</v>
      </c>
      <c r="C708" s="49">
        <f>VLOOKUP(Table311[[#This Row],[Date]],'DB Details'!$A:$T,20)</f>
        <v>2.328291151863791E-2</v>
      </c>
      <c r="D708" s="49">
        <f>VLOOKUP(Table311[[#This Row],[Date]],'DB Details'!$A:$T,18)</f>
        <v>1.5045618810949951E-3</v>
      </c>
      <c r="E708" s="49">
        <f>VLOOKUP(Table311[[#This Row],[Date]],'DB Details'!$A:$T,19)</f>
        <v>6.0318433917740943E-3</v>
      </c>
    </row>
    <row r="709" spans="1:5" x14ac:dyDescent="0.35">
      <c r="A709" s="38">
        <v>38930</v>
      </c>
      <c r="B709" s="48">
        <f>VLOOKUP(Table311[[#This Row],[Date]],'DB Details'!$A:$L,12)</f>
        <v>53.7</v>
      </c>
      <c r="C709" s="49">
        <f>VLOOKUP(Table311[[#This Row],[Date]],'DB Details'!$A:$T,20)</f>
        <v>0</v>
      </c>
      <c r="D709" s="49">
        <f>VLOOKUP(Table311[[#This Row],[Date]],'DB Details'!$A:$T,18)</f>
        <v>0</v>
      </c>
      <c r="E709" s="49">
        <f>VLOOKUP(Table311[[#This Row],[Date]],'DB Details'!$A:$T,19)</f>
        <v>0</v>
      </c>
    </row>
    <row r="710" spans="1:5" x14ac:dyDescent="0.35">
      <c r="A710" s="38">
        <v>38961</v>
      </c>
      <c r="B710" s="48">
        <f>VLOOKUP(Table311[[#This Row],[Date]],'DB Details'!$A:$L,12)</f>
        <v>52.2</v>
      </c>
      <c r="C710" s="49">
        <f>VLOOKUP(Table311[[#This Row],[Date]],'DB Details'!$A:$T,20)</f>
        <v>0</v>
      </c>
      <c r="D710" s="49">
        <f>VLOOKUP(Table311[[#This Row],[Date]],'DB Details'!$A:$T,18)</f>
        <v>0</v>
      </c>
      <c r="E710" s="49">
        <f>VLOOKUP(Table311[[#This Row],[Date]],'DB Details'!$A:$T,19)</f>
        <v>0</v>
      </c>
    </row>
    <row r="711" spans="1:5" x14ac:dyDescent="0.35">
      <c r="A711" s="38">
        <v>38991</v>
      </c>
      <c r="B711" s="48">
        <f>VLOOKUP(Table311[[#This Row],[Date]],'DB Details'!$A:$L,12)</f>
        <v>51.4</v>
      </c>
      <c r="C711" s="49">
        <f>VLOOKUP(Table311[[#This Row],[Date]],'DB Details'!$A:$T,20)</f>
        <v>2.6089019835609219E-2</v>
      </c>
      <c r="D711" s="49">
        <f>VLOOKUP(Table311[[#This Row],[Date]],'DB Details'!$A:$T,18)</f>
        <v>8.4371169635735783E-3</v>
      </c>
      <c r="E711" s="49">
        <f>VLOOKUP(Table311[[#This Row],[Date]],'DB Details'!$A:$T,19)</f>
        <v>3.4177984960281238E-2</v>
      </c>
    </row>
    <row r="712" spans="1:5" x14ac:dyDescent="0.35">
      <c r="A712" s="38">
        <v>39022</v>
      </c>
      <c r="B712" s="48">
        <f>VLOOKUP(Table311[[#This Row],[Date]],'DB Details'!$A:$L,12)</f>
        <v>50.3</v>
      </c>
      <c r="C712" s="49">
        <f>VLOOKUP(Table311[[#This Row],[Date]],'DB Details'!$A:$T,20)</f>
        <v>0</v>
      </c>
      <c r="D712" s="49">
        <f>VLOOKUP(Table311[[#This Row],[Date]],'DB Details'!$A:$T,18)</f>
        <v>0</v>
      </c>
      <c r="E712" s="49">
        <f>VLOOKUP(Table311[[#This Row],[Date]],'DB Details'!$A:$T,19)</f>
        <v>0</v>
      </c>
    </row>
    <row r="713" spans="1:5" x14ac:dyDescent="0.35">
      <c r="A713" s="38">
        <v>39052</v>
      </c>
      <c r="B713" s="48">
        <f>VLOOKUP(Table311[[#This Row],[Date]],'DB Details'!$A:$L,12)</f>
        <v>51.4</v>
      </c>
      <c r="C713" s="49">
        <f>VLOOKUP(Table311[[#This Row],[Date]],'DB Details'!$A:$T,20)</f>
        <v>0</v>
      </c>
      <c r="D713" s="49">
        <f>VLOOKUP(Table311[[#This Row],[Date]],'DB Details'!$A:$T,18)</f>
        <v>0</v>
      </c>
      <c r="E713" s="49">
        <f>VLOOKUP(Table311[[#This Row],[Date]],'DB Details'!$A:$T,19)</f>
        <v>0</v>
      </c>
    </row>
    <row r="714" spans="1:5" x14ac:dyDescent="0.35">
      <c r="A714" s="38">
        <v>39083</v>
      </c>
      <c r="B714" s="48">
        <f>VLOOKUP(Table311[[#This Row],[Date]],'DB Details'!$A:$L,12)</f>
        <v>50.4</v>
      </c>
      <c r="C714" s="49">
        <f>VLOOKUP(Table311[[#This Row],[Date]],'DB Details'!$A:$T,20)</f>
        <v>1.540715325180492E-2</v>
      </c>
      <c r="D714" s="49">
        <f>VLOOKUP(Table311[[#This Row],[Date]],'DB Details'!$A:$T,18)</f>
        <v>2.9359886061897439E-3</v>
      </c>
      <c r="E714" s="49">
        <f>VLOOKUP(Table311[[#This Row],[Date]],'DB Details'!$A:$T,19)</f>
        <v>1.1795775906866529E-2</v>
      </c>
    </row>
    <row r="715" spans="1:5" x14ac:dyDescent="0.35">
      <c r="A715" s="38">
        <v>39114</v>
      </c>
      <c r="B715" s="48">
        <f>VLOOKUP(Table311[[#This Row],[Date]],'DB Details'!$A:$L,12)</f>
        <v>54.1</v>
      </c>
      <c r="C715" s="49">
        <f>VLOOKUP(Table311[[#This Row],[Date]],'DB Details'!$A:$T,20)</f>
        <v>0</v>
      </c>
      <c r="D715" s="49">
        <f>VLOOKUP(Table311[[#This Row],[Date]],'DB Details'!$A:$T,18)</f>
        <v>0</v>
      </c>
      <c r="E715" s="49">
        <f>VLOOKUP(Table311[[#This Row],[Date]],'DB Details'!$A:$T,19)</f>
        <v>0</v>
      </c>
    </row>
    <row r="716" spans="1:5" x14ac:dyDescent="0.35">
      <c r="A716" s="38">
        <v>39142</v>
      </c>
      <c r="B716" s="48">
        <f>VLOOKUP(Table311[[#This Row],[Date]],'DB Details'!$A:$L,12)</f>
        <v>52.8</v>
      </c>
      <c r="C716" s="49">
        <f>VLOOKUP(Table311[[#This Row],[Date]],'DB Details'!$A:$T,20)</f>
        <v>0</v>
      </c>
      <c r="D716" s="49">
        <f>VLOOKUP(Table311[[#This Row],[Date]],'DB Details'!$A:$T,18)</f>
        <v>0</v>
      </c>
      <c r="E716" s="49">
        <f>VLOOKUP(Table311[[#This Row],[Date]],'DB Details'!$A:$T,19)</f>
        <v>0</v>
      </c>
    </row>
    <row r="717" spans="1:5" x14ac:dyDescent="0.35">
      <c r="A717" s="38">
        <v>39173</v>
      </c>
      <c r="B717" s="48">
        <f>VLOOKUP(Table311[[#This Row],[Date]],'DB Details'!$A:$L,12)</f>
        <v>52.7</v>
      </c>
      <c r="C717" s="49">
        <f>VLOOKUP(Table311[[#This Row],[Date]],'DB Details'!$A:$T,20)</f>
        <v>1.938641594997887E-2</v>
      </c>
      <c r="D717" s="49">
        <f>VLOOKUP(Table311[[#This Row],[Date]],'DB Details'!$A:$T,18)</f>
        <v>6.3843453008071297E-3</v>
      </c>
      <c r="E717" s="49">
        <f>VLOOKUP(Table311[[#This Row],[Date]],'DB Details'!$A:$T,19)</f>
        <v>2.578298295432346E-2</v>
      </c>
    </row>
    <row r="718" spans="1:5" x14ac:dyDescent="0.35">
      <c r="A718" s="38">
        <v>39203</v>
      </c>
      <c r="B718" s="48">
        <f>VLOOKUP(Table311[[#This Row],[Date]],'DB Details'!$A:$L,12)</f>
        <v>53.1</v>
      </c>
      <c r="C718" s="49">
        <f>VLOOKUP(Table311[[#This Row],[Date]],'DB Details'!$A:$T,20)</f>
        <v>0</v>
      </c>
      <c r="D718" s="49">
        <f>VLOOKUP(Table311[[#This Row],[Date]],'DB Details'!$A:$T,18)</f>
        <v>0</v>
      </c>
      <c r="E718" s="49">
        <f>VLOOKUP(Table311[[#This Row],[Date]],'DB Details'!$A:$T,19)</f>
        <v>0</v>
      </c>
    </row>
    <row r="719" spans="1:5" x14ac:dyDescent="0.35">
      <c r="A719" s="38">
        <v>39234</v>
      </c>
      <c r="B719" s="48">
        <f>VLOOKUP(Table311[[#This Row],[Date]],'DB Details'!$A:$L,12)</f>
        <v>54</v>
      </c>
      <c r="C719" s="49">
        <f>VLOOKUP(Table311[[#This Row],[Date]],'DB Details'!$A:$T,20)</f>
        <v>0</v>
      </c>
      <c r="D719" s="49">
        <f>VLOOKUP(Table311[[#This Row],[Date]],'DB Details'!$A:$T,18)</f>
        <v>0</v>
      </c>
      <c r="E719" s="49">
        <f>VLOOKUP(Table311[[#This Row],[Date]],'DB Details'!$A:$T,19)</f>
        <v>0</v>
      </c>
    </row>
    <row r="720" spans="1:5" x14ac:dyDescent="0.35">
      <c r="A720" s="38">
        <v>39264</v>
      </c>
      <c r="B720" s="48">
        <f>VLOOKUP(Table311[[#This Row],[Date]],'DB Details'!$A:$L,12)</f>
        <v>51.8</v>
      </c>
      <c r="C720" s="49">
        <f>VLOOKUP(Table311[[#This Row],[Date]],'DB Details'!$A:$T,20)</f>
        <v>2.3985598500102932E-2</v>
      </c>
      <c r="D720" s="49">
        <f>VLOOKUP(Table311[[#This Row],[Date]],'DB Details'!$A:$T,18)</f>
        <v>6.0230665745096982E-3</v>
      </c>
      <c r="E720" s="49">
        <f>VLOOKUP(Table311[[#This Row],[Date]],'DB Details'!$A:$T,19)</f>
        <v>2.4310805602967941E-2</v>
      </c>
    </row>
    <row r="721" spans="1:5" x14ac:dyDescent="0.35">
      <c r="A721" s="38">
        <v>39295</v>
      </c>
      <c r="B721" s="48">
        <f>VLOOKUP(Table311[[#This Row],[Date]],'DB Details'!$A:$L,12)</f>
        <v>52.2</v>
      </c>
      <c r="C721" s="49">
        <f>VLOOKUP(Table311[[#This Row],[Date]],'DB Details'!$A:$T,20)</f>
        <v>0</v>
      </c>
      <c r="D721" s="49">
        <f>VLOOKUP(Table311[[#This Row],[Date]],'DB Details'!$A:$T,18)</f>
        <v>0</v>
      </c>
      <c r="E721" s="49">
        <f>VLOOKUP(Table311[[#This Row],[Date]],'DB Details'!$A:$T,19)</f>
        <v>0</v>
      </c>
    </row>
    <row r="722" spans="1:5" x14ac:dyDescent="0.35">
      <c r="A722" s="38">
        <v>39326</v>
      </c>
      <c r="B722" s="48">
        <f>VLOOKUP(Table311[[#This Row],[Date]],'DB Details'!$A:$L,12)</f>
        <v>53.8</v>
      </c>
      <c r="C722" s="49">
        <f>VLOOKUP(Table311[[#This Row],[Date]],'DB Details'!$A:$T,20)</f>
        <v>0</v>
      </c>
      <c r="D722" s="49">
        <f>VLOOKUP(Table311[[#This Row],[Date]],'DB Details'!$A:$T,18)</f>
        <v>0</v>
      </c>
      <c r="E722" s="49">
        <f>VLOOKUP(Table311[[#This Row],[Date]],'DB Details'!$A:$T,19)</f>
        <v>0</v>
      </c>
    </row>
    <row r="723" spans="1:5" x14ac:dyDescent="0.35">
      <c r="A723" s="38">
        <v>39356</v>
      </c>
      <c r="B723" s="48">
        <f>VLOOKUP(Table311[[#This Row],[Date]],'DB Details'!$A:$L,12)</f>
        <v>52.8</v>
      </c>
      <c r="C723" s="49">
        <f>VLOOKUP(Table311[[#This Row],[Date]],'DB Details'!$A:$T,20)</f>
        <v>2.1608832081965391E-2</v>
      </c>
      <c r="D723" s="49">
        <f>VLOOKUP(Table311[[#This Row],[Date]],'DB Details'!$A:$T,18)</f>
        <v>6.0964400264045121E-3</v>
      </c>
      <c r="E723" s="49">
        <f>VLOOKUP(Table311[[#This Row],[Date]],'DB Details'!$A:$T,19)</f>
        <v>2.46096673082743E-2</v>
      </c>
    </row>
    <row r="724" spans="1:5" x14ac:dyDescent="0.35">
      <c r="A724" s="38">
        <v>39387</v>
      </c>
      <c r="B724" s="48">
        <f>VLOOKUP(Table311[[#This Row],[Date]],'DB Details'!$A:$L,12)</f>
        <v>51.5</v>
      </c>
      <c r="C724" s="49">
        <f>VLOOKUP(Table311[[#This Row],[Date]],'DB Details'!$A:$T,20)</f>
        <v>0</v>
      </c>
      <c r="D724" s="49">
        <f>VLOOKUP(Table311[[#This Row],[Date]],'DB Details'!$A:$T,18)</f>
        <v>0</v>
      </c>
      <c r="E724" s="49">
        <f>VLOOKUP(Table311[[#This Row],[Date]],'DB Details'!$A:$T,19)</f>
        <v>0</v>
      </c>
    </row>
    <row r="725" spans="1:5" x14ac:dyDescent="0.35">
      <c r="A725" s="38">
        <v>39417</v>
      </c>
      <c r="B725" s="48">
        <f>VLOOKUP(Table311[[#This Row],[Date]],'DB Details'!$A:$L,12)</f>
        <v>50.1</v>
      </c>
      <c r="C725" s="49">
        <f>VLOOKUP(Table311[[#This Row],[Date]],'DB Details'!$A:$T,20)</f>
        <v>0</v>
      </c>
      <c r="D725" s="49">
        <f>VLOOKUP(Table311[[#This Row],[Date]],'DB Details'!$A:$T,18)</f>
        <v>0</v>
      </c>
      <c r="E725" s="49">
        <f>VLOOKUP(Table311[[#This Row],[Date]],'DB Details'!$A:$T,19)</f>
        <v>0</v>
      </c>
    </row>
    <row r="726" spans="1:5" x14ac:dyDescent="0.35">
      <c r="A726" s="38">
        <v>39448</v>
      </c>
      <c r="B726" s="48">
        <f>VLOOKUP(Table311[[#This Row],[Date]],'DB Details'!$A:$L,12)</f>
        <v>50.9</v>
      </c>
      <c r="C726" s="49">
        <f>VLOOKUP(Table311[[#This Row],[Date]],'DB Details'!$A:$T,20)</f>
        <v>1.4468030014427379E-2</v>
      </c>
      <c r="D726" s="49">
        <f>VLOOKUP(Table311[[#This Row],[Date]],'DB Details'!$A:$T,18)</f>
        <v>-4.0742947392000926E-3</v>
      </c>
      <c r="E726" s="49">
        <f>VLOOKUP(Table311[[#This Row],[Date]],'DB Details'!$A:$T,19)</f>
        <v>-1.619784994668938E-2</v>
      </c>
    </row>
    <row r="727" spans="1:5" x14ac:dyDescent="0.35">
      <c r="A727" s="38">
        <v>39479</v>
      </c>
      <c r="B727" s="48">
        <f>VLOOKUP(Table311[[#This Row],[Date]],'DB Details'!$A:$L,12)</f>
        <v>48.8</v>
      </c>
      <c r="C727" s="49">
        <f>VLOOKUP(Table311[[#This Row],[Date]],'DB Details'!$A:$T,20)</f>
        <v>0</v>
      </c>
      <c r="D727" s="49">
        <f>VLOOKUP(Table311[[#This Row],[Date]],'DB Details'!$A:$T,18)</f>
        <v>0</v>
      </c>
      <c r="E727" s="49">
        <f>VLOOKUP(Table311[[#This Row],[Date]],'DB Details'!$A:$T,19)</f>
        <v>0</v>
      </c>
    </row>
    <row r="728" spans="1:5" x14ac:dyDescent="0.35">
      <c r="A728" s="38">
        <v>39508</v>
      </c>
      <c r="B728" s="48">
        <f>VLOOKUP(Table311[[#This Row],[Date]],'DB Details'!$A:$L,12)</f>
        <v>49.7</v>
      </c>
      <c r="C728" s="49">
        <f>VLOOKUP(Table311[[#This Row],[Date]],'DB Details'!$A:$T,20)</f>
        <v>0</v>
      </c>
      <c r="D728" s="49">
        <f>VLOOKUP(Table311[[#This Row],[Date]],'DB Details'!$A:$T,18)</f>
        <v>0</v>
      </c>
      <c r="E728" s="49">
        <f>VLOOKUP(Table311[[#This Row],[Date]],'DB Details'!$A:$T,19)</f>
        <v>0</v>
      </c>
    </row>
    <row r="729" spans="1:5" x14ac:dyDescent="0.35">
      <c r="A729" s="38">
        <v>39539</v>
      </c>
      <c r="B729" s="48">
        <f>VLOOKUP(Table311[[#This Row],[Date]],'DB Details'!$A:$L,12)</f>
        <v>48.5</v>
      </c>
      <c r="C729" s="49">
        <f>VLOOKUP(Table311[[#This Row],[Date]],'DB Details'!$A:$T,20)</f>
        <v>1.3801325593333859E-2</v>
      </c>
      <c r="D729" s="49">
        <f>VLOOKUP(Table311[[#This Row],[Date]],'DB Details'!$A:$T,18)</f>
        <v>5.7229534456869546E-3</v>
      </c>
      <c r="E729" s="49">
        <f>VLOOKUP(Table311[[#This Row],[Date]],'DB Details'!$A:$T,19)</f>
        <v>2.3089077789477889E-2</v>
      </c>
    </row>
    <row r="730" spans="1:5" x14ac:dyDescent="0.35">
      <c r="A730" s="38">
        <v>39569</v>
      </c>
      <c r="B730" s="48">
        <f>VLOOKUP(Table311[[#This Row],[Date]],'DB Details'!$A:$L,12)</f>
        <v>48.9</v>
      </c>
      <c r="C730" s="49">
        <f>VLOOKUP(Table311[[#This Row],[Date]],'DB Details'!$A:$T,20)</f>
        <v>0</v>
      </c>
      <c r="D730" s="49">
        <f>VLOOKUP(Table311[[#This Row],[Date]],'DB Details'!$A:$T,18)</f>
        <v>0</v>
      </c>
      <c r="E730" s="49">
        <f>VLOOKUP(Table311[[#This Row],[Date]],'DB Details'!$A:$T,19)</f>
        <v>0</v>
      </c>
    </row>
    <row r="731" spans="1:5" x14ac:dyDescent="0.35">
      <c r="A731" s="38">
        <v>39600</v>
      </c>
      <c r="B731" s="48">
        <f>VLOOKUP(Table311[[#This Row],[Date]],'DB Details'!$A:$L,12)</f>
        <v>49.9</v>
      </c>
      <c r="C731" s="49">
        <f>VLOOKUP(Table311[[#This Row],[Date]],'DB Details'!$A:$T,20)</f>
        <v>0</v>
      </c>
      <c r="D731" s="49">
        <f>VLOOKUP(Table311[[#This Row],[Date]],'DB Details'!$A:$T,18)</f>
        <v>0</v>
      </c>
      <c r="E731" s="49">
        <f>VLOOKUP(Table311[[#This Row],[Date]],'DB Details'!$A:$T,19)</f>
        <v>0</v>
      </c>
    </row>
    <row r="732" spans="1:5" x14ac:dyDescent="0.35">
      <c r="A732" s="38">
        <v>39630</v>
      </c>
      <c r="B732" s="48">
        <f>VLOOKUP(Table311[[#This Row],[Date]],'DB Details'!$A:$L,12)</f>
        <v>50.8</v>
      </c>
      <c r="C732" s="49">
        <f>VLOOKUP(Table311[[#This Row],[Date]],'DB Details'!$A:$T,20)</f>
        <v>2.4220237812272792E-3</v>
      </c>
      <c r="D732" s="49">
        <f>VLOOKUP(Table311[[#This Row],[Date]],'DB Details'!$A:$T,18)</f>
        <v>-5.2689290221545849E-3</v>
      </c>
      <c r="E732" s="49">
        <f>VLOOKUP(Table311[[#This Row],[Date]],'DB Details'!$A:$T,19)</f>
        <v>-2.0909730735542809E-2</v>
      </c>
    </row>
    <row r="733" spans="1:5" x14ac:dyDescent="0.35">
      <c r="A733" s="38">
        <v>39661</v>
      </c>
      <c r="B733" s="48">
        <f>VLOOKUP(Table311[[#This Row],[Date]],'DB Details'!$A:$L,12)</f>
        <v>50.1</v>
      </c>
      <c r="C733" s="49">
        <f>VLOOKUP(Table311[[#This Row],[Date]],'DB Details'!$A:$T,20)</f>
        <v>0</v>
      </c>
      <c r="D733" s="49">
        <f>VLOOKUP(Table311[[#This Row],[Date]],'DB Details'!$A:$T,18)</f>
        <v>0</v>
      </c>
      <c r="E733" s="49">
        <f>VLOOKUP(Table311[[#This Row],[Date]],'DB Details'!$A:$T,19)</f>
        <v>0</v>
      </c>
    </row>
    <row r="734" spans="1:5" x14ac:dyDescent="0.35">
      <c r="A734" s="38">
        <v>39692</v>
      </c>
      <c r="B734" s="48">
        <f>VLOOKUP(Table311[[#This Row],[Date]],'DB Details'!$A:$L,12)</f>
        <v>47.2</v>
      </c>
      <c r="C734" s="49">
        <f>VLOOKUP(Table311[[#This Row],[Date]],'DB Details'!$A:$T,20)</f>
        <v>0</v>
      </c>
      <c r="D734" s="49">
        <f>VLOOKUP(Table311[[#This Row],[Date]],'DB Details'!$A:$T,18)</f>
        <v>0</v>
      </c>
      <c r="E734" s="49">
        <f>VLOOKUP(Table311[[#This Row],[Date]],'DB Details'!$A:$T,19)</f>
        <v>0</v>
      </c>
    </row>
    <row r="735" spans="1:5" x14ac:dyDescent="0.35">
      <c r="A735" s="38">
        <v>39722</v>
      </c>
      <c r="B735" s="48">
        <f>VLOOKUP(Table311[[#This Row],[Date]],'DB Details'!$A:$L,12)</f>
        <v>38.200000000000003</v>
      </c>
      <c r="C735" s="49">
        <f>VLOOKUP(Table311[[#This Row],[Date]],'DB Details'!$A:$T,20)</f>
        <v>-2.5403392598762051E-2</v>
      </c>
      <c r="D735" s="49">
        <f>VLOOKUP(Table311[[#This Row],[Date]],'DB Details'!$A:$T,18)</f>
        <v>-2.1830971480936261E-2</v>
      </c>
      <c r="E735" s="49">
        <f>VLOOKUP(Table311[[#This Row],[Date]],'DB Details'!$A:$T,19)</f>
        <v>-8.4505728695347337E-2</v>
      </c>
    </row>
    <row r="736" spans="1:5" x14ac:dyDescent="0.35">
      <c r="A736" s="38">
        <v>39753</v>
      </c>
      <c r="B736" s="48">
        <f>VLOOKUP(Table311[[#This Row],[Date]],'DB Details'!$A:$L,12)</f>
        <v>39</v>
      </c>
      <c r="C736" s="49">
        <f>VLOOKUP(Table311[[#This Row],[Date]],'DB Details'!$A:$T,20)</f>
        <v>0</v>
      </c>
      <c r="D736" s="49">
        <f>VLOOKUP(Table311[[#This Row],[Date]],'DB Details'!$A:$T,18)</f>
        <v>0</v>
      </c>
      <c r="E736" s="49">
        <f>VLOOKUP(Table311[[#This Row],[Date]],'DB Details'!$A:$T,19)</f>
        <v>0</v>
      </c>
    </row>
    <row r="737" spans="1:5" x14ac:dyDescent="0.35">
      <c r="A737" s="38">
        <v>39783</v>
      </c>
      <c r="B737" s="48">
        <f>VLOOKUP(Table311[[#This Row],[Date]],'DB Details'!$A:$L,12)</f>
        <v>34.5</v>
      </c>
      <c r="C737" s="49">
        <f>VLOOKUP(Table311[[#This Row],[Date]],'DB Details'!$A:$T,20)</f>
        <v>0</v>
      </c>
      <c r="D737" s="49">
        <f>VLOOKUP(Table311[[#This Row],[Date]],'DB Details'!$A:$T,18)</f>
        <v>0</v>
      </c>
      <c r="E737" s="49">
        <f>VLOOKUP(Table311[[#This Row],[Date]],'DB Details'!$A:$T,19)</f>
        <v>0</v>
      </c>
    </row>
    <row r="738" spans="1:5" x14ac:dyDescent="0.35">
      <c r="A738" s="38">
        <v>39814</v>
      </c>
      <c r="B738" s="48">
        <f>VLOOKUP(Table311[[#This Row],[Date]],'DB Details'!$A:$L,12)</f>
        <v>36.4</v>
      </c>
      <c r="C738" s="49">
        <f>VLOOKUP(Table311[[#This Row],[Date]],'DB Details'!$A:$T,20)</f>
        <v>-3.2823924437935283E-2</v>
      </c>
      <c r="D738" s="49">
        <f>VLOOKUP(Table311[[#This Row],[Date]],'DB Details'!$A:$T,18)</f>
        <v>-1.165722530679672E-2</v>
      </c>
      <c r="E738" s="49">
        <f>VLOOKUP(Table311[[#This Row],[Date]],'DB Details'!$A:$T,19)</f>
        <v>-4.5819873793169208E-2</v>
      </c>
    </row>
    <row r="739" spans="1:5" x14ac:dyDescent="0.35">
      <c r="A739" s="38">
        <v>39845</v>
      </c>
      <c r="B739" s="48">
        <f>VLOOKUP(Table311[[#This Row],[Date]],'DB Details'!$A:$L,12)</f>
        <v>36.6</v>
      </c>
      <c r="C739" s="49">
        <f>VLOOKUP(Table311[[#This Row],[Date]],'DB Details'!$A:$T,20)</f>
        <v>0</v>
      </c>
      <c r="D739" s="49">
        <f>VLOOKUP(Table311[[#This Row],[Date]],'DB Details'!$A:$T,18)</f>
        <v>0</v>
      </c>
      <c r="E739" s="49">
        <f>VLOOKUP(Table311[[#This Row],[Date]],'DB Details'!$A:$T,19)</f>
        <v>0</v>
      </c>
    </row>
    <row r="740" spans="1:5" x14ac:dyDescent="0.35">
      <c r="A740" s="38">
        <v>39873</v>
      </c>
      <c r="B740" s="48">
        <f>VLOOKUP(Table311[[#This Row],[Date]],'DB Details'!$A:$L,12)</f>
        <v>37.200000000000003</v>
      </c>
      <c r="C740" s="49">
        <f>VLOOKUP(Table311[[#This Row],[Date]],'DB Details'!$A:$T,20)</f>
        <v>0</v>
      </c>
      <c r="D740" s="49">
        <f>VLOOKUP(Table311[[#This Row],[Date]],'DB Details'!$A:$T,18)</f>
        <v>0</v>
      </c>
      <c r="E740" s="49">
        <f>VLOOKUP(Table311[[#This Row],[Date]],'DB Details'!$A:$T,19)</f>
        <v>0</v>
      </c>
    </row>
    <row r="741" spans="1:5" x14ac:dyDescent="0.35">
      <c r="A741" s="38">
        <v>39904</v>
      </c>
      <c r="B741" s="48">
        <f>VLOOKUP(Table311[[#This Row],[Date]],'DB Details'!$A:$L,12)</f>
        <v>39.9</v>
      </c>
      <c r="C741" s="49">
        <f>VLOOKUP(Table311[[#This Row],[Date]],'DB Details'!$A:$T,20)</f>
        <v>-3.995504779306322E-2</v>
      </c>
      <c r="D741" s="49">
        <f>VLOOKUP(Table311[[#This Row],[Date]],'DB Details'!$A:$T,18)</f>
        <v>-1.692381386635996E-3</v>
      </c>
      <c r="E741" s="49">
        <f>VLOOKUP(Table311[[#This Row],[Date]],'DB Details'!$A:$T,19)</f>
        <v>-6.7523599987623362E-3</v>
      </c>
    </row>
    <row r="742" spans="1:5" x14ac:dyDescent="0.35">
      <c r="A742" s="38">
        <v>39934</v>
      </c>
      <c r="B742" s="48">
        <f>VLOOKUP(Table311[[#This Row],[Date]],'DB Details'!$A:$L,12)</f>
        <v>44.1</v>
      </c>
      <c r="C742" s="49">
        <f>VLOOKUP(Table311[[#This Row],[Date]],'DB Details'!$A:$T,20)</f>
        <v>0</v>
      </c>
      <c r="D742" s="49">
        <f>VLOOKUP(Table311[[#This Row],[Date]],'DB Details'!$A:$T,18)</f>
        <v>0</v>
      </c>
      <c r="E742" s="49">
        <f>VLOOKUP(Table311[[#This Row],[Date]],'DB Details'!$A:$T,19)</f>
        <v>0</v>
      </c>
    </row>
    <row r="743" spans="1:5" x14ac:dyDescent="0.35">
      <c r="A743" s="38">
        <v>39965</v>
      </c>
      <c r="B743" s="48">
        <f>VLOOKUP(Table311[[#This Row],[Date]],'DB Details'!$A:$L,12)</f>
        <v>46.3</v>
      </c>
      <c r="C743" s="49">
        <f>VLOOKUP(Table311[[#This Row],[Date]],'DB Details'!$A:$T,20)</f>
        <v>0</v>
      </c>
      <c r="D743" s="49">
        <f>VLOOKUP(Table311[[#This Row],[Date]],'DB Details'!$A:$T,18)</f>
        <v>0</v>
      </c>
      <c r="E743" s="49">
        <f>VLOOKUP(Table311[[#This Row],[Date]],'DB Details'!$A:$T,19)</f>
        <v>0</v>
      </c>
    </row>
    <row r="744" spans="1:5" x14ac:dyDescent="0.35">
      <c r="A744" s="38">
        <v>39995</v>
      </c>
      <c r="B744" s="48">
        <f>VLOOKUP(Table311[[#This Row],[Date]],'DB Details'!$A:$L,12)</f>
        <v>49.7</v>
      </c>
      <c r="C744" s="49">
        <f>VLOOKUP(Table311[[#This Row],[Date]],'DB Details'!$A:$T,20)</f>
        <v>-3.1376750032878008E-2</v>
      </c>
      <c r="D744" s="49">
        <f>VLOOKUP(Table311[[#This Row],[Date]],'DB Details'!$A:$T,18)</f>
        <v>3.6192999076888901E-3</v>
      </c>
      <c r="E744" s="49">
        <f>VLOOKUP(Table311[[#This Row],[Date]],'DB Details'!$A:$T,19)</f>
        <v>1.4555985434920871E-2</v>
      </c>
    </row>
    <row r="745" spans="1:5" x14ac:dyDescent="0.35">
      <c r="A745" s="38">
        <v>40026</v>
      </c>
      <c r="B745" s="48">
        <f>VLOOKUP(Table311[[#This Row],[Date]],'DB Details'!$A:$L,12)</f>
        <v>53.4</v>
      </c>
      <c r="C745" s="49">
        <f>VLOOKUP(Table311[[#This Row],[Date]],'DB Details'!$A:$T,20)</f>
        <v>0</v>
      </c>
      <c r="D745" s="49">
        <f>VLOOKUP(Table311[[#This Row],[Date]],'DB Details'!$A:$T,18)</f>
        <v>0</v>
      </c>
      <c r="E745" s="49">
        <f>VLOOKUP(Table311[[#This Row],[Date]],'DB Details'!$A:$T,19)</f>
        <v>0</v>
      </c>
    </row>
    <row r="746" spans="1:5" x14ac:dyDescent="0.35">
      <c r="A746" s="38">
        <v>40057</v>
      </c>
      <c r="B746" s="48">
        <f>VLOOKUP(Table311[[#This Row],[Date]],'DB Details'!$A:$L,12)</f>
        <v>54.9</v>
      </c>
      <c r="C746" s="49">
        <f>VLOOKUP(Table311[[#This Row],[Date]],'DB Details'!$A:$T,20)</f>
        <v>0</v>
      </c>
      <c r="D746" s="49">
        <f>VLOOKUP(Table311[[#This Row],[Date]],'DB Details'!$A:$T,18)</f>
        <v>0</v>
      </c>
      <c r="E746" s="49">
        <f>VLOOKUP(Table311[[#This Row],[Date]],'DB Details'!$A:$T,19)</f>
        <v>0</v>
      </c>
    </row>
    <row r="747" spans="1:5" x14ac:dyDescent="0.35">
      <c r="A747" s="38">
        <v>40087</v>
      </c>
      <c r="B747" s="48">
        <f>VLOOKUP(Table311[[#This Row],[Date]],'DB Details'!$A:$L,12)</f>
        <v>57.6</v>
      </c>
      <c r="C747" s="49">
        <f>VLOOKUP(Table311[[#This Row],[Date]],'DB Details'!$A:$T,20)</f>
        <v>8.1657583876523191E-4</v>
      </c>
      <c r="D747" s="49">
        <f>VLOOKUP(Table311[[#This Row],[Date]],'DB Details'!$A:$T,18)</f>
        <v>1.0679619498303389E-2</v>
      </c>
      <c r="E747" s="49">
        <f>VLOOKUP(Table311[[#This Row],[Date]],'DB Details'!$A:$T,19)</f>
        <v>4.34076888622974E-2</v>
      </c>
    </row>
    <row r="748" spans="1:5" x14ac:dyDescent="0.35">
      <c r="A748" s="38">
        <v>40118</v>
      </c>
      <c r="B748" s="48">
        <f>VLOOKUP(Table311[[#This Row],[Date]],'DB Details'!$A:$L,12)</f>
        <v>55.4</v>
      </c>
      <c r="C748" s="49">
        <f>VLOOKUP(Table311[[#This Row],[Date]],'DB Details'!$A:$T,20)</f>
        <v>0</v>
      </c>
      <c r="D748" s="49">
        <f>VLOOKUP(Table311[[#This Row],[Date]],'DB Details'!$A:$T,18)</f>
        <v>0</v>
      </c>
      <c r="E748" s="49">
        <f>VLOOKUP(Table311[[#This Row],[Date]],'DB Details'!$A:$T,19)</f>
        <v>0</v>
      </c>
    </row>
    <row r="749" spans="1:5" x14ac:dyDescent="0.35">
      <c r="A749" s="38">
        <v>40148</v>
      </c>
      <c r="B749" s="48">
        <f>VLOOKUP(Table311[[#This Row],[Date]],'DB Details'!$A:$L,12)</f>
        <v>55.8</v>
      </c>
      <c r="C749" s="49">
        <f>VLOOKUP(Table311[[#This Row],[Date]],'DB Details'!$A:$T,20)</f>
        <v>0</v>
      </c>
      <c r="D749" s="49">
        <f>VLOOKUP(Table311[[#This Row],[Date]],'DB Details'!$A:$T,18)</f>
        <v>0</v>
      </c>
      <c r="E749" s="49">
        <f>VLOOKUP(Table311[[#This Row],[Date]],'DB Details'!$A:$T,19)</f>
        <v>0</v>
      </c>
    </row>
    <row r="750" spans="1:5" x14ac:dyDescent="0.35">
      <c r="A750" s="38">
        <v>40179</v>
      </c>
      <c r="B750" s="48">
        <f>VLOOKUP(Table311[[#This Row],[Date]],'DB Details'!$A:$L,12)</f>
        <v>56.3</v>
      </c>
      <c r="C750" s="49">
        <f>VLOOKUP(Table311[[#This Row],[Date]],'DB Details'!$A:$T,20)</f>
        <v>1.768457232028358E-2</v>
      </c>
      <c r="D750" s="49">
        <f>VLOOKUP(Table311[[#This Row],[Date]],'DB Details'!$A:$T,18)</f>
        <v>5.0005348148190604E-3</v>
      </c>
      <c r="E750" s="49">
        <f>VLOOKUP(Table311[[#This Row],[Date]],'DB Details'!$A:$T,19)</f>
        <v>2.0152672135610231E-2</v>
      </c>
    </row>
    <row r="751" spans="1:5" x14ac:dyDescent="0.35">
      <c r="A751" s="38">
        <v>40210</v>
      </c>
      <c r="B751" s="48">
        <f>VLOOKUP(Table311[[#This Row],[Date]],'DB Details'!$A:$L,12)</f>
        <v>55.5</v>
      </c>
      <c r="C751" s="49">
        <f>VLOOKUP(Table311[[#This Row],[Date]],'DB Details'!$A:$T,20)</f>
        <v>0</v>
      </c>
      <c r="D751" s="49">
        <f>VLOOKUP(Table311[[#This Row],[Date]],'DB Details'!$A:$T,18)</f>
        <v>0</v>
      </c>
      <c r="E751" s="49">
        <f>VLOOKUP(Table311[[#This Row],[Date]],'DB Details'!$A:$T,19)</f>
        <v>0</v>
      </c>
    </row>
    <row r="752" spans="1:5" x14ac:dyDescent="0.35">
      <c r="A752" s="38">
        <v>40238</v>
      </c>
      <c r="B752" s="48">
        <f>VLOOKUP(Table311[[#This Row],[Date]],'DB Details'!$A:$L,12)</f>
        <v>58.8</v>
      </c>
      <c r="C752" s="49">
        <f>VLOOKUP(Table311[[#This Row],[Date]],'DB Details'!$A:$T,20)</f>
        <v>0</v>
      </c>
      <c r="D752" s="49">
        <f>VLOOKUP(Table311[[#This Row],[Date]],'DB Details'!$A:$T,18)</f>
        <v>0</v>
      </c>
      <c r="E752" s="49">
        <f>VLOOKUP(Table311[[#This Row],[Date]],'DB Details'!$A:$T,19)</f>
        <v>0</v>
      </c>
    </row>
    <row r="753" spans="1:5" x14ac:dyDescent="0.35">
      <c r="A753" s="38">
        <v>40269</v>
      </c>
      <c r="B753" s="48">
        <f>VLOOKUP(Table311[[#This Row],[Date]],'DB Details'!$A:$L,12)</f>
        <v>58.1</v>
      </c>
      <c r="C753" s="49">
        <f>VLOOKUP(Table311[[#This Row],[Date]],'DB Details'!$A:$T,20)</f>
        <v>2.9274678447875339E-2</v>
      </c>
      <c r="D753" s="49">
        <f>VLOOKUP(Table311[[#This Row],[Date]],'DB Details'!$A:$T,18)</f>
        <v>9.6770463932624312E-3</v>
      </c>
      <c r="E753" s="49">
        <f>VLOOKUP(Table311[[#This Row],[Date]],'DB Details'!$A:$T,19)</f>
        <v>3.9273690540683408E-2</v>
      </c>
    </row>
    <row r="754" spans="1:5" x14ac:dyDescent="0.35">
      <c r="A754" s="38">
        <v>40299</v>
      </c>
      <c r="B754" s="48">
        <f>VLOOKUP(Table311[[#This Row],[Date]],'DB Details'!$A:$L,12)</f>
        <v>57.4</v>
      </c>
      <c r="C754" s="49">
        <f>VLOOKUP(Table311[[#This Row],[Date]],'DB Details'!$A:$T,20)</f>
        <v>0</v>
      </c>
      <c r="D754" s="49">
        <f>VLOOKUP(Table311[[#This Row],[Date]],'DB Details'!$A:$T,18)</f>
        <v>0</v>
      </c>
      <c r="E754" s="49">
        <f>VLOOKUP(Table311[[#This Row],[Date]],'DB Details'!$A:$T,19)</f>
        <v>0</v>
      </c>
    </row>
    <row r="755" spans="1:5" x14ac:dyDescent="0.35">
      <c r="A755" s="38">
        <v>40330</v>
      </c>
      <c r="B755" s="48">
        <f>VLOOKUP(Table311[[#This Row],[Date]],'DB Details'!$A:$L,12)</f>
        <v>56.5</v>
      </c>
      <c r="C755" s="49">
        <f>VLOOKUP(Table311[[#This Row],[Date]],'DB Details'!$A:$T,20)</f>
        <v>0</v>
      </c>
      <c r="D755" s="49">
        <f>VLOOKUP(Table311[[#This Row],[Date]],'DB Details'!$A:$T,18)</f>
        <v>0</v>
      </c>
      <c r="E755" s="49">
        <f>VLOOKUP(Table311[[#This Row],[Date]],'DB Details'!$A:$T,19)</f>
        <v>0</v>
      </c>
    </row>
    <row r="756" spans="1:5" x14ac:dyDescent="0.35">
      <c r="A756" s="38">
        <v>40360</v>
      </c>
      <c r="B756" s="48">
        <f>VLOOKUP(Table311[[#This Row],[Date]],'DB Details'!$A:$L,12)</f>
        <v>56.1</v>
      </c>
      <c r="C756" s="49">
        <f>VLOOKUP(Table311[[#This Row],[Date]],'DB Details'!$A:$T,20)</f>
        <v>3.3491938138539873E-2</v>
      </c>
      <c r="D756" s="49">
        <f>VLOOKUP(Table311[[#This Row],[Date]],'DB Details'!$A:$T,18)</f>
        <v>7.7314415030268974E-3</v>
      </c>
      <c r="E756" s="49">
        <f>VLOOKUP(Table311[[#This Row],[Date]],'DB Details'!$A:$T,19)</f>
        <v>3.128626930493783E-2</v>
      </c>
    </row>
    <row r="757" spans="1:5" x14ac:dyDescent="0.35">
      <c r="A757" s="38">
        <v>40391</v>
      </c>
      <c r="B757" s="48">
        <f>VLOOKUP(Table311[[#This Row],[Date]],'DB Details'!$A:$L,12)</f>
        <v>56.4</v>
      </c>
      <c r="C757" s="49">
        <f>VLOOKUP(Table311[[#This Row],[Date]],'DB Details'!$A:$T,20)</f>
        <v>0</v>
      </c>
      <c r="D757" s="49">
        <f>VLOOKUP(Table311[[#This Row],[Date]],'DB Details'!$A:$T,18)</f>
        <v>0</v>
      </c>
      <c r="E757" s="49">
        <f>VLOOKUP(Table311[[#This Row],[Date]],'DB Details'!$A:$T,19)</f>
        <v>0</v>
      </c>
    </row>
    <row r="758" spans="1:5" x14ac:dyDescent="0.35">
      <c r="A758" s="38">
        <v>40422</v>
      </c>
      <c r="B758" s="48">
        <f>VLOOKUP(Table311[[#This Row],[Date]],'DB Details'!$A:$L,12)</f>
        <v>55.3</v>
      </c>
      <c r="C758" s="49">
        <f>VLOOKUP(Table311[[#This Row],[Date]],'DB Details'!$A:$T,20)</f>
        <v>0</v>
      </c>
      <c r="D758" s="49">
        <f>VLOOKUP(Table311[[#This Row],[Date]],'DB Details'!$A:$T,18)</f>
        <v>0</v>
      </c>
      <c r="E758" s="49">
        <f>VLOOKUP(Table311[[#This Row],[Date]],'DB Details'!$A:$T,19)</f>
        <v>0</v>
      </c>
    </row>
    <row r="759" spans="1:5" x14ac:dyDescent="0.35">
      <c r="A759" s="38">
        <v>40452</v>
      </c>
      <c r="B759" s="48">
        <f>VLOOKUP(Table311[[#This Row],[Date]],'DB Details'!$A:$L,12)</f>
        <v>56.9</v>
      </c>
      <c r="C759" s="49">
        <f>VLOOKUP(Table311[[#This Row],[Date]],'DB Details'!$A:$T,20)</f>
        <v>2.7884496905064039E-2</v>
      </c>
      <c r="D759" s="49">
        <f>VLOOKUP(Table311[[#This Row],[Date]],'DB Details'!$A:$T,18)</f>
        <v>5.1959515923726638E-3</v>
      </c>
      <c r="E759" s="49">
        <f>VLOOKUP(Table311[[#This Row],[Date]],'DB Details'!$A:$T,19)</f>
        <v>2.094635569547498E-2</v>
      </c>
    </row>
    <row r="760" spans="1:5" x14ac:dyDescent="0.35">
      <c r="A760" s="38">
        <v>40483</v>
      </c>
      <c r="B760" s="48">
        <f>VLOOKUP(Table311[[#This Row],[Date]],'DB Details'!$A:$L,12)</f>
        <v>57.3</v>
      </c>
      <c r="C760" s="49">
        <f>VLOOKUP(Table311[[#This Row],[Date]],'DB Details'!$A:$T,20)</f>
        <v>0</v>
      </c>
      <c r="D760" s="49">
        <f>VLOOKUP(Table311[[#This Row],[Date]],'DB Details'!$A:$T,18)</f>
        <v>0</v>
      </c>
      <c r="E760" s="49">
        <f>VLOOKUP(Table311[[#This Row],[Date]],'DB Details'!$A:$T,19)</f>
        <v>0</v>
      </c>
    </row>
    <row r="761" spans="1:5" x14ac:dyDescent="0.35">
      <c r="A761" s="38">
        <v>40513</v>
      </c>
      <c r="B761" s="48">
        <f>VLOOKUP(Table311[[#This Row],[Date]],'DB Details'!$A:$L,12)</f>
        <v>56.6</v>
      </c>
      <c r="C761" s="49">
        <f>VLOOKUP(Table311[[#This Row],[Date]],'DB Details'!$A:$T,20)</f>
        <v>0</v>
      </c>
      <c r="D761" s="49">
        <f>VLOOKUP(Table311[[#This Row],[Date]],'DB Details'!$A:$T,18)</f>
        <v>0</v>
      </c>
      <c r="E761" s="49">
        <f>VLOOKUP(Table311[[#This Row],[Date]],'DB Details'!$A:$T,19)</f>
        <v>0</v>
      </c>
    </row>
    <row r="762" spans="1:5" x14ac:dyDescent="0.35">
      <c r="A762" s="38">
        <v>40544</v>
      </c>
      <c r="B762" s="48">
        <f>VLOOKUP(Table311[[#This Row],[Date]],'DB Details'!$A:$L,12)</f>
        <v>59.1</v>
      </c>
      <c r="C762" s="49">
        <f>VLOOKUP(Table311[[#This Row],[Date]],'DB Details'!$A:$T,20)</f>
        <v>2.0306081906131489E-2</v>
      </c>
      <c r="D762" s="49">
        <f>VLOOKUP(Table311[[#This Row],[Date]],'DB Details'!$A:$T,18)</f>
        <v>-2.409160681035181E-3</v>
      </c>
      <c r="E762" s="49">
        <f>VLOOKUP(Table311[[#This Row],[Date]],'DB Details'!$A:$T,19)</f>
        <v>-9.6018742909373955E-3</v>
      </c>
    </row>
    <row r="763" spans="1:5" x14ac:dyDescent="0.35">
      <c r="A763" s="38">
        <v>40575</v>
      </c>
      <c r="B763" s="48">
        <f>VLOOKUP(Table311[[#This Row],[Date]],'DB Details'!$A:$L,12)</f>
        <v>59.2</v>
      </c>
      <c r="C763" s="49">
        <f>VLOOKUP(Table311[[#This Row],[Date]],'DB Details'!$A:$T,20)</f>
        <v>0</v>
      </c>
      <c r="D763" s="49">
        <f>VLOOKUP(Table311[[#This Row],[Date]],'DB Details'!$A:$T,18)</f>
        <v>0</v>
      </c>
      <c r="E763" s="49">
        <f>VLOOKUP(Table311[[#This Row],[Date]],'DB Details'!$A:$T,19)</f>
        <v>0</v>
      </c>
    </row>
    <row r="764" spans="1:5" x14ac:dyDescent="0.35">
      <c r="A764" s="38">
        <v>40603</v>
      </c>
      <c r="B764" s="48">
        <f>VLOOKUP(Table311[[#This Row],[Date]],'DB Details'!$A:$L,12)</f>
        <v>58.4</v>
      </c>
      <c r="C764" s="49">
        <f>VLOOKUP(Table311[[#This Row],[Date]],'DB Details'!$A:$T,20)</f>
        <v>0</v>
      </c>
      <c r="D764" s="49">
        <f>VLOOKUP(Table311[[#This Row],[Date]],'DB Details'!$A:$T,18)</f>
        <v>0</v>
      </c>
      <c r="E764" s="49">
        <f>VLOOKUP(Table311[[#This Row],[Date]],'DB Details'!$A:$T,19)</f>
        <v>0</v>
      </c>
    </row>
    <row r="765" spans="1:5" x14ac:dyDescent="0.35">
      <c r="A765" s="38">
        <v>40634</v>
      </c>
      <c r="B765" s="48">
        <f>VLOOKUP(Table311[[#This Row],[Date]],'DB Details'!$A:$L,12)</f>
        <v>57.9</v>
      </c>
      <c r="C765" s="49">
        <f>VLOOKUP(Table311[[#This Row],[Date]],'DB Details'!$A:$T,20)</f>
        <v>1.7379050686072959E-2</v>
      </c>
      <c r="D765" s="49">
        <f>VLOOKUP(Table311[[#This Row],[Date]],'DB Details'!$A:$T,18)</f>
        <v>6.7805075120588752E-3</v>
      </c>
      <c r="E765" s="49">
        <f>VLOOKUP(Table311[[#This Row],[Date]],'DB Details'!$A:$T,19)</f>
        <v>2.739913079767153E-2</v>
      </c>
    </row>
    <row r="766" spans="1:5" x14ac:dyDescent="0.35">
      <c r="A766" s="38">
        <v>40664</v>
      </c>
      <c r="B766" s="48">
        <f>VLOOKUP(Table311[[#This Row],[Date]],'DB Details'!$A:$L,12)</f>
        <v>54.8</v>
      </c>
      <c r="C766" s="49">
        <f>VLOOKUP(Table311[[#This Row],[Date]],'DB Details'!$A:$T,20)</f>
        <v>0</v>
      </c>
      <c r="D766" s="49">
        <f>VLOOKUP(Table311[[#This Row],[Date]],'DB Details'!$A:$T,18)</f>
        <v>0</v>
      </c>
      <c r="E766" s="49">
        <f>VLOOKUP(Table311[[#This Row],[Date]],'DB Details'!$A:$T,19)</f>
        <v>0</v>
      </c>
    </row>
    <row r="767" spans="1:5" x14ac:dyDescent="0.35">
      <c r="A767" s="38">
        <v>40695</v>
      </c>
      <c r="B767" s="48">
        <f>VLOOKUP(Table311[[#This Row],[Date]],'DB Details'!$A:$L,12)</f>
        <v>55.8</v>
      </c>
      <c r="C767" s="49">
        <f>VLOOKUP(Table311[[#This Row],[Date]],'DB Details'!$A:$T,20)</f>
        <v>0</v>
      </c>
      <c r="D767" s="49">
        <f>VLOOKUP(Table311[[#This Row],[Date]],'DB Details'!$A:$T,18)</f>
        <v>0</v>
      </c>
      <c r="E767" s="49">
        <f>VLOOKUP(Table311[[#This Row],[Date]],'DB Details'!$A:$T,19)</f>
        <v>0</v>
      </c>
    </row>
    <row r="768" spans="1:5" x14ac:dyDescent="0.35">
      <c r="A768" s="38">
        <v>40725</v>
      </c>
      <c r="B768" s="48">
        <f>VLOOKUP(Table311[[#This Row],[Date]],'DB Details'!$A:$L,12)</f>
        <v>52.9</v>
      </c>
      <c r="C768" s="49">
        <f>VLOOKUP(Table311[[#This Row],[Date]],'DB Details'!$A:$T,20)</f>
        <v>9.1822084838616043E-3</v>
      </c>
      <c r="D768" s="49">
        <f>VLOOKUP(Table311[[#This Row],[Date]],'DB Details'!$A:$T,18)</f>
        <v>-3.8767162657507928E-4</v>
      </c>
      <c r="E768" s="49">
        <f>VLOOKUP(Table311[[#This Row],[Date]],'DB Details'!$A:$T,19)</f>
        <v>-1.5497850035888221E-3</v>
      </c>
    </row>
    <row r="769" spans="1:5" x14ac:dyDescent="0.35">
      <c r="A769" s="38">
        <v>40756</v>
      </c>
      <c r="B769" s="48">
        <f>VLOOKUP(Table311[[#This Row],[Date]],'DB Details'!$A:$L,12)</f>
        <v>52.6</v>
      </c>
      <c r="C769" s="49">
        <f>VLOOKUP(Table311[[#This Row],[Date]],'DB Details'!$A:$T,20)</f>
        <v>0</v>
      </c>
      <c r="D769" s="49">
        <f>VLOOKUP(Table311[[#This Row],[Date]],'DB Details'!$A:$T,18)</f>
        <v>0</v>
      </c>
      <c r="E769" s="49">
        <f>VLOOKUP(Table311[[#This Row],[Date]],'DB Details'!$A:$T,19)</f>
        <v>0</v>
      </c>
    </row>
    <row r="770" spans="1:5" x14ac:dyDescent="0.35">
      <c r="A770" s="38">
        <v>40787</v>
      </c>
      <c r="B770" s="48">
        <f>VLOOKUP(Table311[[#This Row],[Date]],'DB Details'!$A:$L,12)</f>
        <v>53.7</v>
      </c>
      <c r="C770" s="49">
        <f>VLOOKUP(Table311[[#This Row],[Date]],'DB Details'!$A:$T,20)</f>
        <v>0</v>
      </c>
      <c r="D770" s="49">
        <f>VLOOKUP(Table311[[#This Row],[Date]],'DB Details'!$A:$T,18)</f>
        <v>0</v>
      </c>
      <c r="E770" s="49">
        <f>VLOOKUP(Table311[[#This Row],[Date]],'DB Details'!$A:$T,19)</f>
        <v>0</v>
      </c>
    </row>
    <row r="771" spans="1:5" x14ac:dyDescent="0.35">
      <c r="A771" s="38">
        <v>40817</v>
      </c>
      <c r="B771" s="48">
        <f>VLOOKUP(Table311[[#This Row],[Date]],'DB Details'!$A:$L,12)</f>
        <v>51.4</v>
      </c>
      <c r="C771" s="49">
        <f>VLOOKUP(Table311[[#This Row],[Date]],'DB Details'!$A:$T,20)</f>
        <v>1.52269152413066E-2</v>
      </c>
      <c r="D771" s="49">
        <f>VLOOKUP(Table311[[#This Row],[Date]],'DB Details'!$A:$T,18)</f>
        <v>1.121678183498582E-2</v>
      </c>
      <c r="E771" s="49">
        <f>VLOOKUP(Table311[[#This Row],[Date]],'DB Details'!$A:$T,19)</f>
        <v>4.5627685349290507E-2</v>
      </c>
    </row>
    <row r="772" spans="1:5" x14ac:dyDescent="0.35">
      <c r="A772" s="38">
        <v>40848</v>
      </c>
      <c r="B772" s="48">
        <f>VLOOKUP(Table311[[#This Row],[Date]],'DB Details'!$A:$L,12)</f>
        <v>51.8</v>
      </c>
      <c r="C772" s="49">
        <f>VLOOKUP(Table311[[#This Row],[Date]],'DB Details'!$A:$T,20)</f>
        <v>0</v>
      </c>
      <c r="D772" s="49">
        <f>VLOOKUP(Table311[[#This Row],[Date]],'DB Details'!$A:$T,18)</f>
        <v>0</v>
      </c>
      <c r="E772" s="49">
        <f>VLOOKUP(Table311[[#This Row],[Date]],'DB Details'!$A:$T,19)</f>
        <v>0</v>
      </c>
    </row>
    <row r="773" spans="1:5" x14ac:dyDescent="0.35">
      <c r="A773" s="38">
        <v>40878</v>
      </c>
      <c r="B773" s="48">
        <f>VLOOKUP(Table311[[#This Row],[Date]],'DB Details'!$A:$L,12)</f>
        <v>53</v>
      </c>
      <c r="C773" s="49">
        <f>VLOOKUP(Table311[[#This Row],[Date]],'DB Details'!$A:$T,20)</f>
        <v>0</v>
      </c>
      <c r="D773" s="49">
        <f>VLOOKUP(Table311[[#This Row],[Date]],'DB Details'!$A:$T,18)</f>
        <v>0</v>
      </c>
      <c r="E773" s="49">
        <f>VLOOKUP(Table311[[#This Row],[Date]],'DB Details'!$A:$T,19)</f>
        <v>0</v>
      </c>
    </row>
    <row r="774" spans="1:5" x14ac:dyDescent="0.35">
      <c r="A774" s="38">
        <v>40909</v>
      </c>
      <c r="B774" s="48">
        <f>VLOOKUP(Table311[[#This Row],[Date]],'DB Details'!$A:$L,12)</f>
        <v>52.6</v>
      </c>
      <c r="C774" s="49">
        <f>VLOOKUP(Table311[[#This Row],[Date]],'DB Details'!$A:$T,20)</f>
        <v>2.6002492975388428E-2</v>
      </c>
      <c r="D774" s="49">
        <f>VLOOKUP(Table311[[#This Row],[Date]],'DB Details'!$A:$T,18)</f>
        <v>8.1792284509988062E-3</v>
      </c>
      <c r="E774" s="49">
        <f>VLOOKUP(Table311[[#This Row],[Date]],'DB Details'!$A:$T,19)</f>
        <v>3.3120505702169067E-2</v>
      </c>
    </row>
    <row r="775" spans="1:5" x14ac:dyDescent="0.35">
      <c r="A775" s="38">
        <v>40940</v>
      </c>
      <c r="B775" s="48">
        <f>VLOOKUP(Table311[[#This Row],[Date]],'DB Details'!$A:$L,12)</f>
        <v>53.1</v>
      </c>
      <c r="C775" s="49">
        <f>VLOOKUP(Table311[[#This Row],[Date]],'DB Details'!$A:$T,20)</f>
        <v>0</v>
      </c>
      <c r="D775" s="49">
        <f>VLOOKUP(Table311[[#This Row],[Date]],'DB Details'!$A:$T,18)</f>
        <v>0</v>
      </c>
      <c r="E775" s="49">
        <f>VLOOKUP(Table311[[#This Row],[Date]],'DB Details'!$A:$T,19)</f>
        <v>0</v>
      </c>
    </row>
    <row r="776" spans="1:5" x14ac:dyDescent="0.35">
      <c r="A776" s="38">
        <v>40969</v>
      </c>
      <c r="B776" s="48">
        <f>VLOOKUP(Table311[[#This Row],[Date]],'DB Details'!$A:$L,12)</f>
        <v>53.5</v>
      </c>
      <c r="C776" s="49">
        <f>VLOOKUP(Table311[[#This Row],[Date]],'DB Details'!$A:$T,20)</f>
        <v>0</v>
      </c>
      <c r="D776" s="49">
        <f>VLOOKUP(Table311[[#This Row],[Date]],'DB Details'!$A:$T,18)</f>
        <v>0</v>
      </c>
      <c r="E776" s="49">
        <f>VLOOKUP(Table311[[#This Row],[Date]],'DB Details'!$A:$T,19)</f>
        <v>0</v>
      </c>
    </row>
    <row r="777" spans="1:5" x14ac:dyDescent="0.35">
      <c r="A777" s="38">
        <v>41000</v>
      </c>
      <c r="B777" s="48">
        <f>VLOOKUP(Table311[[#This Row],[Date]],'DB Details'!$A:$L,12)</f>
        <v>53.5</v>
      </c>
      <c r="C777" s="49">
        <f>VLOOKUP(Table311[[#This Row],[Date]],'DB Details'!$A:$T,20)</f>
        <v>2.3738163497154609E-2</v>
      </c>
      <c r="D777" s="49">
        <f>VLOOKUP(Table311[[#This Row],[Date]],'DB Details'!$A:$T,18)</f>
        <v>4.5585998686771077E-3</v>
      </c>
      <c r="E777" s="49">
        <f>VLOOKUP(Table311[[#This Row],[Date]],'DB Details'!$A:$T,19)</f>
        <v>1.8359463829133341E-2</v>
      </c>
    </row>
    <row r="778" spans="1:5" x14ac:dyDescent="0.35">
      <c r="A778" s="38">
        <v>41030</v>
      </c>
      <c r="B778" s="48">
        <f>VLOOKUP(Table311[[#This Row],[Date]],'DB Details'!$A:$L,12)</f>
        <v>52.6</v>
      </c>
      <c r="C778" s="49">
        <f>VLOOKUP(Table311[[#This Row],[Date]],'DB Details'!$A:$T,20)</f>
        <v>0</v>
      </c>
      <c r="D778" s="49">
        <f>VLOOKUP(Table311[[#This Row],[Date]],'DB Details'!$A:$T,18)</f>
        <v>0</v>
      </c>
      <c r="E778" s="49">
        <f>VLOOKUP(Table311[[#This Row],[Date]],'DB Details'!$A:$T,19)</f>
        <v>0</v>
      </c>
    </row>
    <row r="779" spans="1:5" x14ac:dyDescent="0.35">
      <c r="A779" s="38">
        <v>41061</v>
      </c>
      <c r="B779" s="48">
        <f>VLOOKUP(Table311[[#This Row],[Date]],'DB Details'!$A:$L,12)</f>
        <v>49.7</v>
      </c>
      <c r="C779" s="49">
        <f>VLOOKUP(Table311[[#This Row],[Date]],'DB Details'!$A:$T,20)</f>
        <v>0</v>
      </c>
      <c r="D779" s="49">
        <f>VLOOKUP(Table311[[#This Row],[Date]],'DB Details'!$A:$T,18)</f>
        <v>0</v>
      </c>
      <c r="E779" s="49">
        <f>VLOOKUP(Table311[[#This Row],[Date]],'DB Details'!$A:$T,19)</f>
        <v>0</v>
      </c>
    </row>
    <row r="780" spans="1:5" x14ac:dyDescent="0.35">
      <c r="A780" s="38">
        <v>41091</v>
      </c>
      <c r="B780" s="48">
        <f>VLOOKUP(Table311[[#This Row],[Date]],'DB Details'!$A:$L,12)</f>
        <v>50</v>
      </c>
      <c r="C780" s="49">
        <f>VLOOKUP(Table311[[#This Row],[Date]],'DB Details'!$A:$T,20)</f>
        <v>2.5926229770563171E-2</v>
      </c>
      <c r="D780" s="49">
        <f>VLOOKUP(Table311[[#This Row],[Date]],'DB Details'!$A:$T,18)</f>
        <v>1.748829776015621E-3</v>
      </c>
      <c r="E780" s="49">
        <f>VLOOKUP(Table311[[#This Row],[Date]],'DB Details'!$A:$T,19)</f>
        <v>7.0136909414519888E-3</v>
      </c>
    </row>
    <row r="781" spans="1:5" x14ac:dyDescent="0.35">
      <c r="A781" s="38">
        <v>41122</v>
      </c>
      <c r="B781" s="48">
        <f>VLOOKUP(Table311[[#This Row],[Date]],'DB Details'!$A:$L,12)</f>
        <v>50.2</v>
      </c>
      <c r="C781" s="49">
        <f>VLOOKUP(Table311[[#This Row],[Date]],'DB Details'!$A:$T,20)</f>
        <v>0</v>
      </c>
      <c r="D781" s="49">
        <f>VLOOKUP(Table311[[#This Row],[Date]],'DB Details'!$A:$T,18)</f>
        <v>0</v>
      </c>
      <c r="E781" s="49">
        <f>VLOOKUP(Table311[[#This Row],[Date]],'DB Details'!$A:$T,19)</f>
        <v>0</v>
      </c>
    </row>
    <row r="782" spans="1:5" x14ac:dyDescent="0.35">
      <c r="A782" s="38">
        <v>41153</v>
      </c>
      <c r="B782" s="48">
        <f>VLOOKUP(Table311[[#This Row],[Date]],'DB Details'!$A:$L,12)</f>
        <v>51.8</v>
      </c>
      <c r="C782" s="49">
        <f>VLOOKUP(Table311[[#This Row],[Date]],'DB Details'!$A:$T,20)</f>
        <v>0</v>
      </c>
      <c r="D782" s="49">
        <f>VLOOKUP(Table311[[#This Row],[Date]],'DB Details'!$A:$T,18)</f>
        <v>0</v>
      </c>
      <c r="E782" s="49">
        <f>VLOOKUP(Table311[[#This Row],[Date]],'DB Details'!$A:$T,19)</f>
        <v>0</v>
      </c>
    </row>
    <row r="783" spans="1:5" x14ac:dyDescent="0.35">
      <c r="A783" s="38">
        <v>41183</v>
      </c>
      <c r="B783" s="48">
        <f>VLOOKUP(Table311[[#This Row],[Date]],'DB Details'!$A:$L,12)</f>
        <v>50.7</v>
      </c>
      <c r="C783" s="49">
        <f>VLOOKUP(Table311[[#This Row],[Date]],'DB Details'!$A:$T,20)</f>
        <v>1.56606434588916E-2</v>
      </c>
      <c r="D783" s="49">
        <f>VLOOKUP(Table311[[#This Row],[Date]],'DB Details'!$A:$T,18)</f>
        <v>1.0983806746418219E-3</v>
      </c>
      <c r="E783" s="49">
        <f>VLOOKUP(Table311[[#This Row],[Date]],'DB Details'!$A:$T,19)</f>
        <v>4.4007666411833854E-3</v>
      </c>
    </row>
    <row r="784" spans="1:5" x14ac:dyDescent="0.35">
      <c r="A784" s="38">
        <v>41214</v>
      </c>
      <c r="B784" s="48">
        <f>VLOOKUP(Table311[[#This Row],[Date]],'DB Details'!$A:$L,12)</f>
        <v>48.9</v>
      </c>
      <c r="C784" s="49">
        <f>VLOOKUP(Table311[[#This Row],[Date]],'DB Details'!$A:$T,20)</f>
        <v>0</v>
      </c>
      <c r="D784" s="49">
        <f>VLOOKUP(Table311[[#This Row],[Date]],'DB Details'!$A:$T,18)</f>
        <v>0</v>
      </c>
      <c r="E784" s="49">
        <f>VLOOKUP(Table311[[#This Row],[Date]],'DB Details'!$A:$T,19)</f>
        <v>0</v>
      </c>
    </row>
    <row r="785" spans="1:5" x14ac:dyDescent="0.35">
      <c r="A785" s="38">
        <v>41244</v>
      </c>
      <c r="B785" s="48">
        <f>VLOOKUP(Table311[[#This Row],[Date]],'DB Details'!$A:$L,12)</f>
        <v>49.8</v>
      </c>
      <c r="C785" s="49">
        <f>VLOOKUP(Table311[[#This Row],[Date]],'DB Details'!$A:$T,20)</f>
        <v>0</v>
      </c>
      <c r="D785" s="49">
        <f>VLOOKUP(Table311[[#This Row],[Date]],'DB Details'!$A:$T,18)</f>
        <v>0</v>
      </c>
      <c r="E785" s="49">
        <f>VLOOKUP(Table311[[#This Row],[Date]],'DB Details'!$A:$T,19)</f>
        <v>0</v>
      </c>
    </row>
    <row r="786" spans="1:5" x14ac:dyDescent="0.35">
      <c r="A786" s="38">
        <v>41275</v>
      </c>
      <c r="B786" s="48">
        <f>VLOOKUP(Table311[[#This Row],[Date]],'DB Details'!$A:$L,12)</f>
        <v>52</v>
      </c>
      <c r="C786" s="49">
        <f>VLOOKUP(Table311[[#This Row],[Date]],'DB Details'!$A:$T,20)</f>
        <v>1.6163010952802859E-2</v>
      </c>
      <c r="D786" s="49">
        <f>VLOOKUP(Table311[[#This Row],[Date]],'DB Details'!$A:$T,18)</f>
        <v>8.6778954769115967E-3</v>
      </c>
      <c r="E786" s="49">
        <f>VLOOKUP(Table311[[#This Row],[Date]],'DB Details'!$A:$T,19)</f>
        <v>3.5166036783941028E-2</v>
      </c>
    </row>
    <row r="787" spans="1:5" x14ac:dyDescent="0.35">
      <c r="A787" s="38">
        <v>41306</v>
      </c>
      <c r="B787" s="48">
        <f>VLOOKUP(Table311[[#This Row],[Date]],'DB Details'!$A:$L,12)</f>
        <v>53.6</v>
      </c>
      <c r="C787" s="49">
        <f>VLOOKUP(Table311[[#This Row],[Date]],'DB Details'!$A:$T,20)</f>
        <v>0</v>
      </c>
      <c r="D787" s="49">
        <f>VLOOKUP(Table311[[#This Row],[Date]],'DB Details'!$A:$T,18)</f>
        <v>0</v>
      </c>
      <c r="E787" s="49">
        <f>VLOOKUP(Table311[[#This Row],[Date]],'DB Details'!$A:$T,19)</f>
        <v>0</v>
      </c>
    </row>
    <row r="788" spans="1:5" x14ac:dyDescent="0.35">
      <c r="A788" s="38">
        <v>41334</v>
      </c>
      <c r="B788" s="48">
        <f>VLOOKUP(Table311[[#This Row],[Date]],'DB Details'!$A:$L,12)</f>
        <v>52</v>
      </c>
      <c r="C788" s="49">
        <f>VLOOKUP(Table311[[#This Row],[Date]],'DB Details'!$A:$T,20)</f>
        <v>0</v>
      </c>
      <c r="D788" s="49">
        <f>VLOOKUP(Table311[[#This Row],[Date]],'DB Details'!$A:$T,18)</f>
        <v>0</v>
      </c>
      <c r="E788" s="49">
        <f>VLOOKUP(Table311[[#This Row],[Date]],'DB Details'!$A:$T,19)</f>
        <v>0</v>
      </c>
    </row>
    <row r="789" spans="1:5" x14ac:dyDescent="0.35">
      <c r="A789" s="38">
        <v>41365</v>
      </c>
      <c r="B789" s="48">
        <f>VLOOKUP(Table311[[#This Row],[Date]],'DB Details'!$A:$L,12)</f>
        <v>49.7</v>
      </c>
      <c r="C789" s="49">
        <f>VLOOKUP(Table311[[#This Row],[Date]],'DB Details'!$A:$T,20)</f>
        <v>1.2961704903847749E-2</v>
      </c>
      <c r="D789" s="49">
        <f>VLOOKUP(Table311[[#This Row],[Date]],'DB Details'!$A:$T,18)</f>
        <v>1.393852197657185E-3</v>
      </c>
      <c r="E789" s="49">
        <f>VLOOKUP(Table311[[#This Row],[Date]],'DB Details'!$A:$T,19)</f>
        <v>5.5870765701340197E-3</v>
      </c>
    </row>
    <row r="790" spans="1:5" x14ac:dyDescent="0.35">
      <c r="A790" s="38">
        <v>41395</v>
      </c>
      <c r="B790" s="48">
        <f>VLOOKUP(Table311[[#This Row],[Date]],'DB Details'!$A:$L,12)</f>
        <v>50.5</v>
      </c>
      <c r="C790" s="49">
        <f>VLOOKUP(Table311[[#This Row],[Date]],'DB Details'!$A:$T,20)</f>
        <v>0</v>
      </c>
      <c r="D790" s="49">
        <f>VLOOKUP(Table311[[#This Row],[Date]],'DB Details'!$A:$T,18)</f>
        <v>0</v>
      </c>
      <c r="E790" s="49">
        <f>VLOOKUP(Table311[[#This Row],[Date]],'DB Details'!$A:$T,19)</f>
        <v>0</v>
      </c>
    </row>
    <row r="791" spans="1:5" x14ac:dyDescent="0.35">
      <c r="A791" s="38">
        <v>41426</v>
      </c>
      <c r="B791" s="48">
        <f>VLOOKUP(Table311[[#This Row],[Date]],'DB Details'!$A:$L,12)</f>
        <v>51.5</v>
      </c>
      <c r="C791" s="49">
        <f>VLOOKUP(Table311[[#This Row],[Date]],'DB Details'!$A:$T,20)</f>
        <v>0</v>
      </c>
      <c r="D791" s="49">
        <f>VLOOKUP(Table311[[#This Row],[Date]],'DB Details'!$A:$T,18)</f>
        <v>0</v>
      </c>
      <c r="E791" s="49">
        <f>VLOOKUP(Table311[[#This Row],[Date]],'DB Details'!$A:$T,19)</f>
        <v>0</v>
      </c>
    </row>
    <row r="792" spans="1:5" x14ac:dyDescent="0.35">
      <c r="A792" s="38">
        <v>41456</v>
      </c>
      <c r="B792" s="48">
        <f>VLOOKUP(Table311[[#This Row],[Date]],'DB Details'!$A:$L,12)</f>
        <v>53.5</v>
      </c>
      <c r="C792" s="49">
        <f>VLOOKUP(Table311[[#This Row],[Date]],'DB Details'!$A:$T,20)</f>
        <v>1.919844620038217E-2</v>
      </c>
      <c r="D792" s="49">
        <f>VLOOKUP(Table311[[#This Row],[Date]],'DB Details'!$A:$T,18)</f>
        <v>7.9165341079500094E-3</v>
      </c>
      <c r="E792" s="49">
        <f>VLOOKUP(Table311[[#This Row],[Date]],'DB Details'!$A:$T,19)</f>
        <v>3.2044153997870417E-2</v>
      </c>
    </row>
    <row r="793" spans="1:5" x14ac:dyDescent="0.35">
      <c r="A793" s="38">
        <v>41487</v>
      </c>
      <c r="B793" s="48">
        <f>VLOOKUP(Table311[[#This Row],[Date]],'DB Details'!$A:$L,12)</f>
        <v>55.9</v>
      </c>
      <c r="C793" s="49">
        <f>VLOOKUP(Table311[[#This Row],[Date]],'DB Details'!$A:$T,20)</f>
        <v>0</v>
      </c>
      <c r="D793" s="49">
        <f>VLOOKUP(Table311[[#This Row],[Date]],'DB Details'!$A:$T,18)</f>
        <v>0</v>
      </c>
      <c r="E793" s="49">
        <f>VLOOKUP(Table311[[#This Row],[Date]],'DB Details'!$A:$T,19)</f>
        <v>0</v>
      </c>
    </row>
    <row r="794" spans="1:5" x14ac:dyDescent="0.35">
      <c r="A794" s="38">
        <v>41518</v>
      </c>
      <c r="B794" s="48">
        <f>VLOOKUP(Table311[[#This Row],[Date]],'DB Details'!$A:$L,12)</f>
        <v>54.8</v>
      </c>
      <c r="C794" s="49">
        <f>VLOOKUP(Table311[[#This Row],[Date]],'DB Details'!$A:$T,20)</f>
        <v>0</v>
      </c>
      <c r="D794" s="49">
        <f>VLOOKUP(Table311[[#This Row],[Date]],'DB Details'!$A:$T,18)</f>
        <v>0</v>
      </c>
      <c r="E794" s="49">
        <f>VLOOKUP(Table311[[#This Row],[Date]],'DB Details'!$A:$T,19)</f>
        <v>0</v>
      </c>
    </row>
    <row r="795" spans="1:5" x14ac:dyDescent="0.35">
      <c r="A795" s="38">
        <v>41548</v>
      </c>
      <c r="B795" s="48">
        <f>VLOOKUP(Table311[[#This Row],[Date]],'DB Details'!$A:$L,12)</f>
        <v>55.3</v>
      </c>
      <c r="C795" s="49">
        <f>VLOOKUP(Table311[[#This Row],[Date]],'DB Details'!$A:$T,20)</f>
        <v>2.532049777807217E-2</v>
      </c>
      <c r="D795" s="49">
        <f>VLOOKUP(Table311[[#This Row],[Date]],'DB Details'!$A:$T,18)</f>
        <v>7.1117100156356649E-3</v>
      </c>
      <c r="E795" s="49">
        <f>VLOOKUP(Table311[[#This Row],[Date]],'DB Details'!$A:$T,19)</f>
        <v>2.875173987590807E-2</v>
      </c>
    </row>
    <row r="796" spans="1:5" x14ac:dyDescent="0.35">
      <c r="A796" s="38">
        <v>41579</v>
      </c>
      <c r="B796" s="48">
        <f>VLOOKUP(Table311[[#This Row],[Date]],'DB Details'!$A:$L,12)</f>
        <v>56.3</v>
      </c>
      <c r="C796" s="49">
        <f>VLOOKUP(Table311[[#This Row],[Date]],'DB Details'!$A:$T,20)</f>
        <v>0</v>
      </c>
      <c r="D796" s="49">
        <f>VLOOKUP(Table311[[#This Row],[Date]],'DB Details'!$A:$T,18)</f>
        <v>0</v>
      </c>
      <c r="E796" s="49">
        <f>VLOOKUP(Table311[[#This Row],[Date]],'DB Details'!$A:$T,19)</f>
        <v>0</v>
      </c>
    </row>
    <row r="797" spans="1:5" x14ac:dyDescent="0.35">
      <c r="A797" s="38">
        <v>41609</v>
      </c>
      <c r="B797" s="48">
        <f>VLOOKUP(Table311[[#This Row],[Date]],'DB Details'!$A:$L,12)</f>
        <v>55.9</v>
      </c>
      <c r="C797" s="49">
        <f>VLOOKUP(Table311[[#This Row],[Date]],'DB Details'!$A:$T,20)</f>
        <v>0</v>
      </c>
      <c r="D797" s="49">
        <f>VLOOKUP(Table311[[#This Row],[Date]],'DB Details'!$A:$T,18)</f>
        <v>0</v>
      </c>
      <c r="E797" s="49">
        <f>VLOOKUP(Table311[[#This Row],[Date]],'DB Details'!$A:$T,19)</f>
        <v>0</v>
      </c>
    </row>
    <row r="798" spans="1:5" x14ac:dyDescent="0.35">
      <c r="A798" s="38">
        <v>41640</v>
      </c>
      <c r="B798" s="48">
        <f>VLOOKUP(Table311[[#This Row],[Date]],'DB Details'!$A:$L,12)</f>
        <v>51.7</v>
      </c>
      <c r="C798" s="49">
        <f>VLOOKUP(Table311[[#This Row],[Date]],'DB Details'!$A:$T,20)</f>
        <v>1.294055859309538E-2</v>
      </c>
      <c r="D798" s="49">
        <f>VLOOKUP(Table311[[#This Row],[Date]],'DB Details'!$A:$T,18)</f>
        <v>-3.5010973651269459E-3</v>
      </c>
      <c r="E798" s="49">
        <f>VLOOKUP(Table311[[#This Row],[Date]],'DB Details'!$A:$T,19)</f>
        <v>-1.393101487505966E-2</v>
      </c>
    </row>
    <row r="799" spans="1:5" x14ac:dyDescent="0.35">
      <c r="A799" s="38">
        <v>41671</v>
      </c>
      <c r="B799" s="48">
        <f>VLOOKUP(Table311[[#This Row],[Date]],'DB Details'!$A:$L,12)</f>
        <v>54.6</v>
      </c>
      <c r="C799" s="49">
        <f>VLOOKUP(Table311[[#This Row],[Date]],'DB Details'!$A:$T,20)</f>
        <v>0</v>
      </c>
      <c r="D799" s="49">
        <f>VLOOKUP(Table311[[#This Row],[Date]],'DB Details'!$A:$T,18)</f>
        <v>0</v>
      </c>
      <c r="E799" s="49">
        <f>VLOOKUP(Table311[[#This Row],[Date]],'DB Details'!$A:$T,19)</f>
        <v>0</v>
      </c>
    </row>
    <row r="800" spans="1:5" x14ac:dyDescent="0.35">
      <c r="A800" s="38">
        <v>41699</v>
      </c>
      <c r="B800" s="48">
        <f>VLOOKUP(Table311[[#This Row],[Date]],'DB Details'!$A:$L,12)</f>
        <v>55.3</v>
      </c>
      <c r="C800" s="49">
        <f>VLOOKUP(Table311[[#This Row],[Date]],'DB Details'!$A:$T,20)</f>
        <v>0</v>
      </c>
      <c r="D800" s="49">
        <f>VLOOKUP(Table311[[#This Row],[Date]],'DB Details'!$A:$T,18)</f>
        <v>0</v>
      </c>
      <c r="E800" s="49">
        <f>VLOOKUP(Table311[[#This Row],[Date]],'DB Details'!$A:$T,19)</f>
        <v>0</v>
      </c>
    </row>
    <row r="801" spans="1:5" x14ac:dyDescent="0.35">
      <c r="A801" s="38">
        <v>41730</v>
      </c>
      <c r="B801" s="48">
        <f>VLOOKUP(Table311[[#This Row],[Date]],'DB Details'!$A:$L,12)</f>
        <v>55.7</v>
      </c>
      <c r="C801" s="49">
        <f>VLOOKUP(Table311[[#This Row],[Date]],'DB Details'!$A:$T,20)</f>
        <v>2.45199916765882E-2</v>
      </c>
      <c r="D801" s="49">
        <f>VLOOKUP(Table311[[#This Row],[Date]],'DB Details'!$A:$T,18)</f>
        <v>1.2841289071790579E-2</v>
      </c>
      <c r="E801" s="49">
        <f>VLOOKUP(Table311[[#This Row],[Date]],'DB Details'!$A:$T,19)</f>
        <v>5.2363045756652182E-2</v>
      </c>
    </row>
    <row r="802" spans="1:5" x14ac:dyDescent="0.35">
      <c r="A802" s="38">
        <v>41760</v>
      </c>
      <c r="B802" s="48">
        <f>VLOOKUP(Table311[[#This Row],[Date]],'DB Details'!$A:$L,12)</f>
        <v>55.8</v>
      </c>
      <c r="C802" s="49">
        <f>VLOOKUP(Table311[[#This Row],[Date]],'DB Details'!$A:$T,20)</f>
        <v>0</v>
      </c>
      <c r="D802" s="49">
        <f>VLOOKUP(Table311[[#This Row],[Date]],'DB Details'!$A:$T,18)</f>
        <v>0</v>
      </c>
      <c r="E802" s="49">
        <f>VLOOKUP(Table311[[#This Row],[Date]],'DB Details'!$A:$T,19)</f>
        <v>0</v>
      </c>
    </row>
    <row r="803" spans="1:5" x14ac:dyDescent="0.35">
      <c r="A803" s="38">
        <v>41791</v>
      </c>
      <c r="B803" s="48">
        <f>VLOOKUP(Table311[[#This Row],[Date]],'DB Details'!$A:$L,12)</f>
        <v>54.9</v>
      </c>
      <c r="C803" s="49">
        <f>VLOOKUP(Table311[[#This Row],[Date]],'DB Details'!$A:$T,20)</f>
        <v>0</v>
      </c>
      <c r="D803" s="49">
        <f>VLOOKUP(Table311[[#This Row],[Date]],'DB Details'!$A:$T,18)</f>
        <v>0</v>
      </c>
      <c r="E803" s="49">
        <f>VLOOKUP(Table311[[#This Row],[Date]],'DB Details'!$A:$T,19)</f>
        <v>0</v>
      </c>
    </row>
    <row r="804" spans="1:5" x14ac:dyDescent="0.35">
      <c r="A804" s="38">
        <v>41821</v>
      </c>
      <c r="B804" s="48">
        <f>VLOOKUP(Table311[[#This Row],[Date]],'DB Details'!$A:$L,12)</f>
        <v>55.3</v>
      </c>
      <c r="C804" s="49">
        <f>VLOOKUP(Table311[[#This Row],[Date]],'DB Details'!$A:$T,20)</f>
        <v>2.831456925846958E-2</v>
      </c>
      <c r="D804" s="49">
        <f>VLOOKUP(Table311[[#This Row],[Date]],'DB Details'!$A:$T,18)</f>
        <v>1.1649616444854689E-2</v>
      </c>
      <c r="E804" s="49">
        <f>VLOOKUP(Table311[[#This Row],[Date]],'DB Details'!$A:$T,19)</f>
        <v>4.7419089621299371E-2</v>
      </c>
    </row>
    <row r="805" spans="1:5" x14ac:dyDescent="0.35">
      <c r="A805" s="38">
        <v>41852</v>
      </c>
      <c r="B805" s="48">
        <f>VLOOKUP(Table311[[#This Row],[Date]],'DB Details'!$A:$L,12)</f>
        <v>58.2</v>
      </c>
      <c r="C805" s="49">
        <f>VLOOKUP(Table311[[#This Row],[Date]],'DB Details'!$A:$T,20)</f>
        <v>0</v>
      </c>
      <c r="D805" s="49">
        <f>VLOOKUP(Table311[[#This Row],[Date]],'DB Details'!$A:$T,18)</f>
        <v>0</v>
      </c>
      <c r="E805" s="49">
        <f>VLOOKUP(Table311[[#This Row],[Date]],'DB Details'!$A:$T,19)</f>
        <v>0</v>
      </c>
    </row>
    <row r="806" spans="1:5" x14ac:dyDescent="0.35">
      <c r="A806" s="38">
        <v>41883</v>
      </c>
      <c r="B806" s="48">
        <f>VLOOKUP(Table311[[#This Row],[Date]],'DB Details'!$A:$L,12)</f>
        <v>55.5</v>
      </c>
      <c r="C806" s="49">
        <f>VLOOKUP(Table311[[#This Row],[Date]],'DB Details'!$A:$T,20)</f>
        <v>0</v>
      </c>
      <c r="D806" s="49">
        <f>VLOOKUP(Table311[[#This Row],[Date]],'DB Details'!$A:$T,18)</f>
        <v>0</v>
      </c>
      <c r="E806" s="49">
        <f>VLOOKUP(Table311[[#This Row],[Date]],'DB Details'!$A:$T,19)</f>
        <v>0</v>
      </c>
    </row>
    <row r="807" spans="1:5" x14ac:dyDescent="0.35">
      <c r="A807" s="38">
        <v>41913</v>
      </c>
      <c r="B807" s="48">
        <f>VLOOKUP(Table311[[#This Row],[Date]],'DB Details'!$A:$L,12)</f>
        <v>56.8</v>
      </c>
      <c r="C807" s="49">
        <f>VLOOKUP(Table311[[#This Row],[Date]],'DB Details'!$A:$T,20)</f>
        <v>2.5637596662669859E-2</v>
      </c>
      <c r="D807" s="49">
        <f>VLOOKUP(Table311[[#This Row],[Date]],'DB Details'!$A:$T,18)</f>
        <v>4.4899340248851054E-3</v>
      </c>
      <c r="E807" s="49">
        <f>VLOOKUP(Table311[[#This Row],[Date]],'DB Details'!$A:$T,19)</f>
        <v>1.808105561066875E-2</v>
      </c>
    </row>
    <row r="808" spans="1:5" x14ac:dyDescent="0.35">
      <c r="A808" s="38">
        <v>41944</v>
      </c>
      <c r="B808" s="48">
        <f>VLOOKUP(Table311[[#This Row],[Date]],'DB Details'!$A:$L,12)</f>
        <v>57</v>
      </c>
      <c r="C808" s="49">
        <f>VLOOKUP(Table311[[#This Row],[Date]],'DB Details'!$A:$T,20)</f>
        <v>0</v>
      </c>
      <c r="D808" s="49">
        <f>VLOOKUP(Table311[[#This Row],[Date]],'DB Details'!$A:$T,18)</f>
        <v>0</v>
      </c>
      <c r="E808" s="49">
        <f>VLOOKUP(Table311[[#This Row],[Date]],'DB Details'!$A:$T,19)</f>
        <v>0</v>
      </c>
    </row>
    <row r="809" spans="1:5" x14ac:dyDescent="0.35">
      <c r="A809" s="38">
        <v>41974</v>
      </c>
      <c r="B809" s="48">
        <f>VLOOKUP(Table311[[#This Row],[Date]],'DB Details'!$A:$L,12)</f>
        <v>54.7</v>
      </c>
      <c r="C809" s="49">
        <f>VLOOKUP(Table311[[#This Row],[Date]],'DB Details'!$A:$T,20)</f>
        <v>0</v>
      </c>
      <c r="D809" s="49">
        <f>VLOOKUP(Table311[[#This Row],[Date]],'DB Details'!$A:$T,18)</f>
        <v>0</v>
      </c>
      <c r="E809" s="49">
        <f>VLOOKUP(Table311[[#This Row],[Date]],'DB Details'!$A:$T,19)</f>
        <v>0</v>
      </c>
    </row>
    <row r="810" spans="1:5" x14ac:dyDescent="0.35">
      <c r="A810" s="38">
        <v>42005</v>
      </c>
      <c r="B810" s="48">
        <f>VLOOKUP(Table311[[#This Row],[Date]],'DB Details'!$A:$L,12)</f>
        <v>53.9</v>
      </c>
      <c r="C810" s="49">
        <f>VLOOKUP(Table311[[#This Row],[Date]],'DB Details'!$A:$T,20)</f>
        <v>3.7612027730824553E-2</v>
      </c>
      <c r="D810" s="49">
        <f>VLOOKUP(Table311[[#This Row],[Date]],'DB Details'!$A:$T,18)</f>
        <v>8.1331362646857273E-3</v>
      </c>
      <c r="E810" s="49">
        <f>VLOOKUP(Table311[[#This Row],[Date]],'DB Details'!$A:$T,19)</f>
        <v>3.2931588827004088E-2</v>
      </c>
    </row>
    <row r="811" spans="1:5" x14ac:dyDescent="0.35">
      <c r="A811" s="38">
        <v>42036</v>
      </c>
      <c r="B811" s="48">
        <f>VLOOKUP(Table311[[#This Row],[Date]],'DB Details'!$A:$L,12)</f>
        <v>53</v>
      </c>
      <c r="C811" s="49">
        <f>VLOOKUP(Table311[[#This Row],[Date]],'DB Details'!$A:$T,20)</f>
        <v>0</v>
      </c>
      <c r="D811" s="49">
        <f>VLOOKUP(Table311[[#This Row],[Date]],'DB Details'!$A:$T,18)</f>
        <v>0</v>
      </c>
      <c r="E811" s="49">
        <f>VLOOKUP(Table311[[#This Row],[Date]],'DB Details'!$A:$T,19)</f>
        <v>0</v>
      </c>
    </row>
    <row r="812" spans="1:5" x14ac:dyDescent="0.35">
      <c r="A812" s="38">
        <v>42064</v>
      </c>
      <c r="B812" s="48">
        <f>VLOOKUP(Table311[[#This Row],[Date]],'DB Details'!$A:$L,12)</f>
        <v>51.8</v>
      </c>
      <c r="C812" s="49">
        <f>VLOOKUP(Table311[[#This Row],[Date]],'DB Details'!$A:$T,20)</f>
        <v>0</v>
      </c>
      <c r="D812" s="49">
        <f>VLOOKUP(Table311[[#This Row],[Date]],'DB Details'!$A:$T,18)</f>
        <v>0</v>
      </c>
      <c r="E812" s="49">
        <f>VLOOKUP(Table311[[#This Row],[Date]],'DB Details'!$A:$T,19)</f>
        <v>0</v>
      </c>
    </row>
    <row r="813" spans="1:5" x14ac:dyDescent="0.35">
      <c r="A813" s="38">
        <v>42095</v>
      </c>
      <c r="B813" s="48">
        <f>VLOOKUP(Table311[[#This Row],[Date]],'DB Details'!$A:$L,12)</f>
        <v>51.6</v>
      </c>
      <c r="C813" s="49">
        <f>VLOOKUP(Table311[[#This Row],[Date]],'DB Details'!$A:$T,20)</f>
        <v>3.0398546748778989E-2</v>
      </c>
      <c r="D813" s="49">
        <f>VLOOKUP(Table311[[#This Row],[Date]],'DB Details'!$A:$T,18)</f>
        <v>5.800014316593537E-3</v>
      </c>
      <c r="E813" s="49">
        <f>VLOOKUP(Table311[[#This Row],[Date]],'DB Details'!$A:$T,19)</f>
        <v>2.3402679848250289E-2</v>
      </c>
    </row>
    <row r="814" spans="1:5" x14ac:dyDescent="0.35">
      <c r="A814" s="38">
        <v>42125</v>
      </c>
      <c r="B814" s="48">
        <f>VLOOKUP(Table311[[#This Row],[Date]],'DB Details'!$A:$L,12)</f>
        <v>52.9</v>
      </c>
      <c r="C814" s="49">
        <f>VLOOKUP(Table311[[#This Row],[Date]],'DB Details'!$A:$T,20)</f>
        <v>0</v>
      </c>
      <c r="D814" s="49">
        <f>VLOOKUP(Table311[[#This Row],[Date]],'DB Details'!$A:$T,18)</f>
        <v>0</v>
      </c>
      <c r="E814" s="49">
        <f>VLOOKUP(Table311[[#This Row],[Date]],'DB Details'!$A:$T,19)</f>
        <v>0</v>
      </c>
    </row>
    <row r="815" spans="1:5" x14ac:dyDescent="0.35">
      <c r="A815" s="38">
        <v>42156</v>
      </c>
      <c r="B815" s="48">
        <f>VLOOKUP(Table311[[#This Row],[Date]],'DB Details'!$A:$L,12)</f>
        <v>52.3</v>
      </c>
      <c r="C815" s="49">
        <f>VLOOKUP(Table311[[#This Row],[Date]],'DB Details'!$A:$T,20)</f>
        <v>0</v>
      </c>
      <c r="D815" s="49">
        <f>VLOOKUP(Table311[[#This Row],[Date]],'DB Details'!$A:$T,18)</f>
        <v>0</v>
      </c>
      <c r="E815" s="49">
        <f>VLOOKUP(Table311[[#This Row],[Date]],'DB Details'!$A:$T,19)</f>
        <v>0</v>
      </c>
    </row>
    <row r="816" spans="1:5" x14ac:dyDescent="0.35">
      <c r="A816" s="38">
        <v>42186</v>
      </c>
      <c r="B816" s="48">
        <f>VLOOKUP(Table311[[#This Row],[Date]],'DB Details'!$A:$L,12)</f>
        <v>51.9</v>
      </c>
      <c r="C816" s="49">
        <f>VLOOKUP(Table311[[#This Row],[Date]],'DB Details'!$A:$T,20)</f>
        <v>2.1826685112633061E-2</v>
      </c>
      <c r="D816" s="49">
        <f>VLOOKUP(Table311[[#This Row],[Date]],'DB Details'!$A:$T,18)</f>
        <v>3.233726725495796E-3</v>
      </c>
      <c r="E816" s="49">
        <f>VLOOKUP(Table311[[#This Row],[Date]],'DB Details'!$A:$T,19)</f>
        <v>1.299778420271624E-2</v>
      </c>
    </row>
    <row r="817" spans="1:5" x14ac:dyDescent="0.35">
      <c r="A817" s="38">
        <v>42217</v>
      </c>
      <c r="B817" s="48">
        <f>VLOOKUP(Table311[[#This Row],[Date]],'DB Details'!$A:$L,12)</f>
        <v>50.8</v>
      </c>
      <c r="C817" s="49">
        <f>VLOOKUP(Table311[[#This Row],[Date]],'DB Details'!$A:$T,20)</f>
        <v>0</v>
      </c>
      <c r="D817" s="49">
        <f>VLOOKUP(Table311[[#This Row],[Date]],'DB Details'!$A:$T,18)</f>
        <v>0</v>
      </c>
      <c r="E817" s="49">
        <f>VLOOKUP(Table311[[#This Row],[Date]],'DB Details'!$A:$T,19)</f>
        <v>0</v>
      </c>
    </row>
    <row r="818" spans="1:5" x14ac:dyDescent="0.35">
      <c r="A818" s="38">
        <v>42248</v>
      </c>
      <c r="B818" s="48">
        <f>VLOOKUP(Table311[[#This Row],[Date]],'DB Details'!$A:$L,12)</f>
        <v>50.1</v>
      </c>
      <c r="C818" s="49">
        <f>VLOOKUP(Table311[[#This Row],[Date]],'DB Details'!$A:$T,20)</f>
        <v>0</v>
      </c>
      <c r="D818" s="49">
        <f>VLOOKUP(Table311[[#This Row],[Date]],'DB Details'!$A:$T,18)</f>
        <v>0</v>
      </c>
      <c r="E818" s="49">
        <f>VLOOKUP(Table311[[#This Row],[Date]],'DB Details'!$A:$T,19)</f>
        <v>0</v>
      </c>
    </row>
    <row r="819" spans="1:5" x14ac:dyDescent="0.35">
      <c r="A819" s="38">
        <v>42278</v>
      </c>
      <c r="B819" s="48">
        <f>VLOOKUP(Table311[[#This Row],[Date]],'DB Details'!$A:$L,12)</f>
        <v>49.6</v>
      </c>
      <c r="C819" s="49">
        <f>VLOOKUP(Table311[[#This Row],[Date]],'DB Details'!$A:$T,20)</f>
        <v>1.874684058645722E-2</v>
      </c>
      <c r="D819" s="49">
        <f>VLOOKUP(Table311[[#This Row],[Date]],'DB Details'!$A:$T,18)</f>
        <v>1.462343465763751E-3</v>
      </c>
      <c r="E819" s="49">
        <f>VLOOKUP(Table311[[#This Row],[Date]],'DB Details'!$A:$T,19)</f>
        <v>5.8622170666831064E-3</v>
      </c>
    </row>
    <row r="820" spans="1:5" x14ac:dyDescent="0.35">
      <c r="A820" s="38">
        <v>42309</v>
      </c>
      <c r="B820" s="48">
        <f>VLOOKUP(Table311[[#This Row],[Date]],'DB Details'!$A:$L,12)</f>
        <v>49.1</v>
      </c>
      <c r="C820" s="49">
        <f>VLOOKUP(Table311[[#This Row],[Date]],'DB Details'!$A:$T,20)</f>
        <v>0</v>
      </c>
      <c r="D820" s="49">
        <f>VLOOKUP(Table311[[#This Row],[Date]],'DB Details'!$A:$T,18)</f>
        <v>0</v>
      </c>
      <c r="E820" s="49">
        <f>VLOOKUP(Table311[[#This Row],[Date]],'DB Details'!$A:$T,19)</f>
        <v>0</v>
      </c>
    </row>
    <row r="821" spans="1:5" x14ac:dyDescent="0.35">
      <c r="A821" s="38">
        <v>42339</v>
      </c>
      <c r="B821" s="48">
        <f>VLOOKUP(Table311[[#This Row],[Date]],'DB Details'!$A:$L,12)</f>
        <v>48.4</v>
      </c>
      <c r="C821" s="49">
        <f>VLOOKUP(Table311[[#This Row],[Date]],'DB Details'!$A:$T,20)</f>
        <v>0</v>
      </c>
      <c r="D821" s="49">
        <f>VLOOKUP(Table311[[#This Row],[Date]],'DB Details'!$A:$T,18)</f>
        <v>0</v>
      </c>
      <c r="E821" s="49">
        <f>VLOOKUP(Table311[[#This Row],[Date]],'DB Details'!$A:$T,19)</f>
        <v>0</v>
      </c>
    </row>
    <row r="822" spans="1:5" x14ac:dyDescent="0.35">
      <c r="A822" s="38">
        <v>42370</v>
      </c>
      <c r="B822" s="48">
        <f>VLOOKUP(Table311[[#This Row],[Date]],'DB Details'!$A:$L,12)</f>
        <v>47.8</v>
      </c>
      <c r="C822" s="49">
        <f>VLOOKUP(Table311[[#This Row],[Date]],'DB Details'!$A:$T,20)</f>
        <v>1.6481906030485969E-2</v>
      </c>
      <c r="D822" s="49">
        <f>VLOOKUP(Table311[[#This Row],[Date]],'DB Details'!$A:$T,18)</f>
        <v>5.8917986856350706E-3</v>
      </c>
      <c r="E822" s="49">
        <f>VLOOKUP(Table311[[#This Row],[Date]],'DB Details'!$A:$T,19)</f>
        <v>2.377629379297197E-2</v>
      </c>
    </row>
    <row r="823" spans="1:5" x14ac:dyDescent="0.35">
      <c r="A823" s="38">
        <v>42401</v>
      </c>
      <c r="B823" s="48">
        <f>VLOOKUP(Table311[[#This Row],[Date]],'DB Details'!$A:$L,12)</f>
        <v>49.4</v>
      </c>
      <c r="C823" s="49">
        <f>VLOOKUP(Table311[[#This Row],[Date]],'DB Details'!$A:$T,20)</f>
        <v>0</v>
      </c>
      <c r="D823" s="49">
        <f>VLOOKUP(Table311[[#This Row],[Date]],'DB Details'!$A:$T,18)</f>
        <v>0</v>
      </c>
      <c r="E823" s="49">
        <f>VLOOKUP(Table311[[#This Row],[Date]],'DB Details'!$A:$T,19)</f>
        <v>0</v>
      </c>
    </row>
    <row r="824" spans="1:5" x14ac:dyDescent="0.35">
      <c r="A824" s="38">
        <v>42430</v>
      </c>
      <c r="B824" s="48">
        <f>VLOOKUP(Table311[[#This Row],[Date]],'DB Details'!$A:$L,12)</f>
        <v>51.2</v>
      </c>
      <c r="C824" s="49">
        <f>VLOOKUP(Table311[[#This Row],[Date]],'DB Details'!$A:$T,20)</f>
        <v>0</v>
      </c>
      <c r="D824" s="49">
        <f>VLOOKUP(Table311[[#This Row],[Date]],'DB Details'!$A:$T,18)</f>
        <v>0</v>
      </c>
      <c r="E824" s="49">
        <f>VLOOKUP(Table311[[#This Row],[Date]],'DB Details'!$A:$T,19)</f>
        <v>0</v>
      </c>
    </row>
    <row r="825" spans="1:5" x14ac:dyDescent="0.35">
      <c r="A825" s="38">
        <v>42461</v>
      </c>
      <c r="B825" s="48">
        <f>VLOOKUP(Table311[[#This Row],[Date]],'DB Details'!$A:$L,12)</f>
        <v>50.8</v>
      </c>
      <c r="C825" s="49">
        <f>VLOOKUP(Table311[[#This Row],[Date]],'DB Details'!$A:$T,20)</f>
        <v>1.367629650405968E-2</v>
      </c>
      <c r="D825" s="49">
        <f>VLOOKUP(Table311[[#This Row],[Date]],'DB Details'!$A:$T,18)</f>
        <v>3.0238880667262818E-3</v>
      </c>
      <c r="E825" s="49">
        <f>VLOOKUP(Table311[[#This Row],[Date]],'DB Details'!$A:$T,19)</f>
        <v>1.21505263452657E-2</v>
      </c>
    </row>
    <row r="826" spans="1:5" x14ac:dyDescent="0.35">
      <c r="A826" s="38">
        <v>42491</v>
      </c>
      <c r="B826" s="48">
        <f>VLOOKUP(Table311[[#This Row],[Date]],'DB Details'!$A:$L,12)</f>
        <v>50.9</v>
      </c>
      <c r="C826" s="49">
        <f>VLOOKUP(Table311[[#This Row],[Date]],'DB Details'!$A:$T,20)</f>
        <v>0</v>
      </c>
      <c r="D826" s="49">
        <f>VLOOKUP(Table311[[#This Row],[Date]],'DB Details'!$A:$T,18)</f>
        <v>0</v>
      </c>
      <c r="E826" s="49">
        <f>VLOOKUP(Table311[[#This Row],[Date]],'DB Details'!$A:$T,19)</f>
        <v>0</v>
      </c>
    </row>
    <row r="827" spans="1:5" x14ac:dyDescent="0.35">
      <c r="A827" s="38">
        <v>42522</v>
      </c>
      <c r="B827" s="48">
        <f>VLOOKUP(Table311[[#This Row],[Date]],'DB Details'!$A:$L,12)</f>
        <v>52.5</v>
      </c>
      <c r="C827" s="49">
        <f>VLOOKUP(Table311[[#This Row],[Date]],'DB Details'!$A:$T,20)</f>
        <v>0</v>
      </c>
      <c r="D827" s="49">
        <f>VLOOKUP(Table311[[#This Row],[Date]],'DB Details'!$A:$T,18)</f>
        <v>0</v>
      </c>
      <c r="E827" s="49">
        <f>VLOOKUP(Table311[[#This Row],[Date]],'DB Details'!$A:$T,19)</f>
        <v>0</v>
      </c>
    </row>
    <row r="828" spans="1:5" x14ac:dyDescent="0.35">
      <c r="A828" s="38">
        <v>42552</v>
      </c>
      <c r="B828" s="48">
        <f>VLOOKUP(Table311[[#This Row],[Date]],'DB Details'!$A:$L,12)</f>
        <v>52.9</v>
      </c>
      <c r="C828" s="49">
        <f>VLOOKUP(Table311[[#This Row],[Date]],'DB Details'!$A:$T,20)</f>
        <v>1.6482633560206159E-2</v>
      </c>
      <c r="D828" s="49">
        <f>VLOOKUP(Table311[[#This Row],[Date]],'DB Details'!$A:$T,18)</f>
        <v>6.0111537926921072E-3</v>
      </c>
      <c r="E828" s="49">
        <f>VLOOKUP(Table311[[#This Row],[Date]],'DB Details'!$A:$T,19)</f>
        <v>2.426228912334993E-2</v>
      </c>
    </row>
    <row r="829" spans="1:5" x14ac:dyDescent="0.35">
      <c r="A829" s="38">
        <v>42583</v>
      </c>
      <c r="B829" s="48">
        <f>VLOOKUP(Table311[[#This Row],[Date]],'DB Details'!$A:$L,12)</f>
        <v>49.9</v>
      </c>
      <c r="C829" s="49">
        <f>VLOOKUP(Table311[[#This Row],[Date]],'DB Details'!$A:$T,20)</f>
        <v>0</v>
      </c>
      <c r="D829" s="49">
        <f>VLOOKUP(Table311[[#This Row],[Date]],'DB Details'!$A:$T,18)</f>
        <v>0</v>
      </c>
      <c r="E829" s="49">
        <f>VLOOKUP(Table311[[#This Row],[Date]],'DB Details'!$A:$T,19)</f>
        <v>0</v>
      </c>
    </row>
    <row r="830" spans="1:5" x14ac:dyDescent="0.35">
      <c r="A830" s="38">
        <v>42614</v>
      </c>
      <c r="B830" s="48">
        <f>VLOOKUP(Table311[[#This Row],[Date]],'DB Details'!$A:$L,12)</f>
        <v>51.4</v>
      </c>
      <c r="C830" s="49">
        <f>VLOOKUP(Table311[[#This Row],[Date]],'DB Details'!$A:$T,20)</f>
        <v>0</v>
      </c>
      <c r="D830" s="49">
        <f>VLOOKUP(Table311[[#This Row],[Date]],'DB Details'!$A:$T,18)</f>
        <v>0</v>
      </c>
      <c r="E830" s="49">
        <f>VLOOKUP(Table311[[#This Row],[Date]],'DB Details'!$A:$T,19)</f>
        <v>0</v>
      </c>
    </row>
    <row r="831" spans="1:5" x14ac:dyDescent="0.35">
      <c r="A831" s="38">
        <v>42644</v>
      </c>
      <c r="B831" s="48">
        <f>VLOOKUP(Table311[[#This Row],[Date]],'DB Details'!$A:$L,12)</f>
        <v>51.8</v>
      </c>
      <c r="C831" s="49">
        <f>VLOOKUP(Table311[[#This Row],[Date]],'DB Details'!$A:$T,20)</f>
        <v>2.0041770462427101E-2</v>
      </c>
      <c r="D831" s="49">
        <f>VLOOKUP(Table311[[#This Row],[Date]],'DB Details'!$A:$T,18)</f>
        <v>4.9688879606063626E-3</v>
      </c>
      <c r="E831" s="49">
        <f>VLOOKUP(Table311[[#This Row],[Date]],'DB Details'!$A:$T,19)</f>
        <v>2.002418226174996E-2</v>
      </c>
    </row>
    <row r="832" spans="1:5" x14ac:dyDescent="0.35">
      <c r="A832" s="38">
        <v>42675</v>
      </c>
      <c r="B832" s="48">
        <f>VLOOKUP(Table311[[#This Row],[Date]],'DB Details'!$A:$L,12)</f>
        <v>53.4</v>
      </c>
      <c r="C832" s="49">
        <f>VLOOKUP(Table311[[#This Row],[Date]],'DB Details'!$A:$T,20)</f>
        <v>0</v>
      </c>
      <c r="D832" s="49">
        <f>VLOOKUP(Table311[[#This Row],[Date]],'DB Details'!$A:$T,18)</f>
        <v>0</v>
      </c>
      <c r="E832" s="49">
        <f>VLOOKUP(Table311[[#This Row],[Date]],'DB Details'!$A:$T,19)</f>
        <v>0</v>
      </c>
    </row>
    <row r="833" spans="1:5" x14ac:dyDescent="0.35">
      <c r="A833" s="38">
        <v>42705</v>
      </c>
      <c r="B833" s="48">
        <f>VLOOKUP(Table311[[#This Row],[Date]],'DB Details'!$A:$L,12)</f>
        <v>54.3</v>
      </c>
      <c r="C833" s="49">
        <f>VLOOKUP(Table311[[#This Row],[Date]],'DB Details'!$A:$T,20)</f>
        <v>0</v>
      </c>
      <c r="D833" s="49">
        <f>VLOOKUP(Table311[[#This Row],[Date]],'DB Details'!$A:$T,18)</f>
        <v>0</v>
      </c>
      <c r="E833" s="49">
        <f>VLOOKUP(Table311[[#This Row],[Date]],'DB Details'!$A:$T,19)</f>
        <v>0</v>
      </c>
    </row>
    <row r="834" spans="1:5" x14ac:dyDescent="0.35">
      <c r="A834" s="38">
        <v>42736</v>
      </c>
      <c r="B834" s="48">
        <f>VLOOKUP(Table311[[#This Row],[Date]],'DB Details'!$A:$L,12)</f>
        <v>55.6</v>
      </c>
      <c r="C834" s="49">
        <f>VLOOKUP(Table311[[#This Row],[Date]],'DB Details'!$A:$T,20)</f>
        <v>1.8424163550466829E-2</v>
      </c>
      <c r="D834" s="49">
        <f>VLOOKUP(Table311[[#This Row],[Date]],'DB Details'!$A:$T,18)</f>
        <v>4.2966311411722774E-3</v>
      </c>
      <c r="E834" s="49">
        <f>VLOOKUP(Table311[[#This Row],[Date]],'DB Details'!$A:$T,19)</f>
        <v>1.72976084215819E-2</v>
      </c>
    </row>
    <row r="835" spans="1:5" x14ac:dyDescent="0.35">
      <c r="A835" s="38">
        <v>42767</v>
      </c>
      <c r="B835" s="48">
        <f>VLOOKUP(Table311[[#This Row],[Date]],'DB Details'!$A:$L,12)</f>
        <v>57.6</v>
      </c>
      <c r="C835" s="49">
        <f>VLOOKUP(Table311[[#This Row],[Date]],'DB Details'!$A:$T,20)</f>
        <v>0</v>
      </c>
      <c r="D835" s="49">
        <f>VLOOKUP(Table311[[#This Row],[Date]],'DB Details'!$A:$T,18)</f>
        <v>0</v>
      </c>
      <c r="E835" s="49">
        <f>VLOOKUP(Table311[[#This Row],[Date]],'DB Details'!$A:$T,19)</f>
        <v>0</v>
      </c>
    </row>
    <row r="836" spans="1:5" x14ac:dyDescent="0.35">
      <c r="A836" s="38">
        <v>42795</v>
      </c>
      <c r="B836" s="48">
        <f>VLOOKUP(Table311[[#This Row],[Date]],'DB Details'!$A:$L,12)</f>
        <v>56.6</v>
      </c>
      <c r="C836" s="49">
        <f>VLOOKUP(Table311[[#This Row],[Date]],'DB Details'!$A:$T,20)</f>
        <v>0</v>
      </c>
      <c r="D836" s="49">
        <f>VLOOKUP(Table311[[#This Row],[Date]],'DB Details'!$A:$T,18)</f>
        <v>0</v>
      </c>
      <c r="E836" s="49">
        <f>VLOOKUP(Table311[[#This Row],[Date]],'DB Details'!$A:$T,19)</f>
        <v>0</v>
      </c>
    </row>
    <row r="837" spans="1:5" x14ac:dyDescent="0.35">
      <c r="A837" s="38">
        <v>42826</v>
      </c>
      <c r="B837" s="48">
        <f>VLOOKUP(Table311[[#This Row],[Date]],'DB Details'!$A:$L,12)</f>
        <v>55.5</v>
      </c>
      <c r="C837" s="49">
        <f>VLOOKUP(Table311[[#This Row],[Date]],'DB Details'!$A:$T,20)</f>
        <v>2.0469128586462351E-2</v>
      </c>
      <c r="D837" s="49">
        <f>VLOOKUP(Table311[[#This Row],[Date]],'DB Details'!$A:$T,18)</f>
        <v>5.0379298135500763E-3</v>
      </c>
      <c r="E837" s="49">
        <f>VLOOKUP(Table311[[#This Row],[Date]],'DB Details'!$A:$T,19)</f>
        <v>2.0304515784702382E-2</v>
      </c>
    </row>
    <row r="838" spans="1:5" x14ac:dyDescent="0.35">
      <c r="A838" s="38">
        <v>42856</v>
      </c>
      <c r="B838" s="48">
        <f>VLOOKUP(Table311[[#This Row],[Date]],'DB Details'!$A:$L,12)</f>
        <v>56.7</v>
      </c>
      <c r="C838" s="49">
        <f>VLOOKUP(Table311[[#This Row],[Date]],'DB Details'!$A:$T,20)</f>
        <v>0</v>
      </c>
      <c r="D838" s="49">
        <f>VLOOKUP(Table311[[#This Row],[Date]],'DB Details'!$A:$T,18)</f>
        <v>0</v>
      </c>
      <c r="E838" s="49">
        <f>VLOOKUP(Table311[[#This Row],[Date]],'DB Details'!$A:$T,19)</f>
        <v>0</v>
      </c>
    </row>
    <row r="839" spans="1:5" x14ac:dyDescent="0.35">
      <c r="A839" s="38">
        <v>42887</v>
      </c>
      <c r="B839" s="48">
        <f>VLOOKUP(Table311[[#This Row],[Date]],'DB Details'!$A:$L,12)</f>
        <v>56.5</v>
      </c>
      <c r="C839" s="49">
        <f>VLOOKUP(Table311[[#This Row],[Date]],'DB Details'!$A:$T,20)</f>
        <v>0</v>
      </c>
      <c r="D839" s="49">
        <f>VLOOKUP(Table311[[#This Row],[Date]],'DB Details'!$A:$T,18)</f>
        <v>0</v>
      </c>
      <c r="E839" s="49">
        <f>VLOOKUP(Table311[[#This Row],[Date]],'DB Details'!$A:$T,19)</f>
        <v>0</v>
      </c>
    </row>
    <row r="840" spans="1:5" x14ac:dyDescent="0.35">
      <c r="A840" s="38">
        <v>42917</v>
      </c>
      <c r="B840" s="48">
        <f>VLOOKUP(Table311[[#This Row],[Date]],'DB Details'!$A:$L,12)</f>
        <v>59.3</v>
      </c>
      <c r="C840" s="49">
        <f>VLOOKUP(Table311[[#This Row],[Date]],'DB Details'!$A:$T,20)</f>
        <v>2.2765395380368789E-2</v>
      </c>
      <c r="D840" s="49">
        <f>VLOOKUP(Table311[[#This Row],[Date]],'DB Details'!$A:$T,18)</f>
        <v>8.2748871502641552E-3</v>
      </c>
      <c r="E840" s="49">
        <f>VLOOKUP(Table311[[#This Row],[Date]],'DB Details'!$A:$T,19)</f>
        <v>3.3512662284269412E-2</v>
      </c>
    </row>
    <row r="841" spans="1:5" x14ac:dyDescent="0.35">
      <c r="A841" s="38">
        <v>42948</v>
      </c>
      <c r="B841" s="48">
        <f>VLOOKUP(Table311[[#This Row],[Date]],'DB Details'!$A:$L,12)</f>
        <v>60.2</v>
      </c>
      <c r="C841" s="49">
        <f>VLOOKUP(Table311[[#This Row],[Date]],'DB Details'!$A:$T,20)</f>
        <v>0</v>
      </c>
      <c r="D841" s="49">
        <f>VLOOKUP(Table311[[#This Row],[Date]],'DB Details'!$A:$T,18)</f>
        <v>0</v>
      </c>
      <c r="E841" s="49">
        <f>VLOOKUP(Table311[[#This Row],[Date]],'DB Details'!$A:$T,19)</f>
        <v>0</v>
      </c>
    </row>
    <row r="842" spans="1:5" x14ac:dyDescent="0.35">
      <c r="A842" s="38">
        <v>42979</v>
      </c>
      <c r="B842" s="48">
        <f>VLOOKUP(Table311[[#This Row],[Date]],'DB Details'!$A:$L,12)</f>
        <v>58.5</v>
      </c>
      <c r="C842" s="49">
        <f>VLOOKUP(Table311[[#This Row],[Date]],'DB Details'!$A:$T,20)</f>
        <v>0</v>
      </c>
      <c r="D842" s="49">
        <f>VLOOKUP(Table311[[#This Row],[Date]],'DB Details'!$A:$T,18)</f>
        <v>0</v>
      </c>
      <c r="E842" s="49">
        <f>VLOOKUP(Table311[[#This Row],[Date]],'DB Details'!$A:$T,19)</f>
        <v>0</v>
      </c>
    </row>
    <row r="843" spans="1:5" x14ac:dyDescent="0.35">
      <c r="A843" s="38">
        <v>43009</v>
      </c>
      <c r="B843" s="48">
        <f>VLOOKUP(Table311[[#This Row],[Date]],'DB Details'!$A:$L,12)</f>
        <v>58.2</v>
      </c>
      <c r="C843" s="49">
        <f>VLOOKUP(Table311[[#This Row],[Date]],'DB Details'!$A:$T,20)</f>
        <v>2.7943204121136881E-2</v>
      </c>
      <c r="D843" s="49">
        <f>VLOOKUP(Table311[[#This Row],[Date]],'DB Details'!$A:$T,18)</f>
        <v>1.0056600857215671E-2</v>
      </c>
      <c r="E843" s="49">
        <f>VLOOKUP(Table311[[#This Row],[Date]],'DB Details'!$A:$T,19)</f>
        <v>4.0837293288196193E-2</v>
      </c>
    </row>
    <row r="844" spans="1:5" x14ac:dyDescent="0.35">
      <c r="A844" s="38">
        <v>43040</v>
      </c>
      <c r="B844" s="48">
        <f>VLOOKUP(Table311[[#This Row],[Date]],'DB Details'!$A:$L,12)</f>
        <v>59.3</v>
      </c>
      <c r="C844" s="49">
        <f>VLOOKUP(Table311[[#This Row],[Date]],'DB Details'!$A:$T,20)</f>
        <v>0</v>
      </c>
      <c r="D844" s="49">
        <f>VLOOKUP(Table311[[#This Row],[Date]],'DB Details'!$A:$T,18)</f>
        <v>0</v>
      </c>
      <c r="E844" s="49">
        <f>VLOOKUP(Table311[[#This Row],[Date]],'DB Details'!$A:$T,19)</f>
        <v>0</v>
      </c>
    </row>
    <row r="845" spans="1:5" x14ac:dyDescent="0.35">
      <c r="A845" s="38">
        <v>43070</v>
      </c>
      <c r="B845" s="48">
        <f>VLOOKUP(Table311[[#This Row],[Date]],'DB Details'!$A:$L,12)</f>
        <v>59.1</v>
      </c>
      <c r="C845" s="49">
        <f>VLOOKUP(Table311[[#This Row],[Date]],'DB Details'!$A:$T,20)</f>
        <v>0</v>
      </c>
      <c r="D845" s="49">
        <f>VLOOKUP(Table311[[#This Row],[Date]],'DB Details'!$A:$T,18)</f>
        <v>0</v>
      </c>
      <c r="E845" s="49">
        <f>VLOOKUP(Table311[[#This Row],[Date]],'DB Details'!$A:$T,19)</f>
        <v>0</v>
      </c>
    </row>
    <row r="846" spans="1:5" x14ac:dyDescent="0.35">
      <c r="A846" s="38">
        <v>43101</v>
      </c>
      <c r="B846" s="48">
        <f>VLOOKUP(Table311[[#This Row],[Date]],'DB Details'!$A:$L,12)</f>
        <v>60.8</v>
      </c>
      <c r="C846" s="49">
        <f>VLOOKUP(Table311[[#This Row],[Date]],'DB Details'!$A:$T,20)</f>
        <v>3.0635033836816969E-2</v>
      </c>
      <c r="D846" s="49">
        <f>VLOOKUP(Table311[[#This Row],[Date]],'DB Details'!$A:$T,18)</f>
        <v>6.9265386148780273E-3</v>
      </c>
      <c r="E846" s="49">
        <f>VLOOKUP(Table311[[#This Row],[Date]],'DB Details'!$A:$T,19)</f>
        <v>2.7995347640831E-2</v>
      </c>
    </row>
    <row r="847" spans="1:5" x14ac:dyDescent="0.35">
      <c r="A847" s="38">
        <v>43132</v>
      </c>
      <c r="B847" s="48">
        <f>VLOOKUP(Table311[[#This Row],[Date]],'DB Details'!$A:$L,12)</f>
        <v>59.3</v>
      </c>
      <c r="C847" s="49">
        <f>VLOOKUP(Table311[[#This Row],[Date]],'DB Details'!$A:$T,20)</f>
        <v>0</v>
      </c>
      <c r="D847" s="49">
        <f>VLOOKUP(Table311[[#This Row],[Date]],'DB Details'!$A:$T,18)</f>
        <v>0</v>
      </c>
      <c r="E847" s="49">
        <f>VLOOKUP(Table311[[#This Row],[Date]],'DB Details'!$A:$T,19)</f>
        <v>0</v>
      </c>
    </row>
    <row r="848" spans="1:5" x14ac:dyDescent="0.35">
      <c r="A848" s="38">
        <v>43160</v>
      </c>
      <c r="B848" s="48">
        <f>VLOOKUP(Table311[[#This Row],[Date]],'DB Details'!$A:$L,12)</f>
        <v>57.3</v>
      </c>
      <c r="C848" s="49">
        <f>VLOOKUP(Table311[[#This Row],[Date]],'DB Details'!$A:$T,20)</f>
        <v>0</v>
      </c>
      <c r="D848" s="49">
        <f>VLOOKUP(Table311[[#This Row],[Date]],'DB Details'!$A:$T,18)</f>
        <v>0</v>
      </c>
      <c r="E848" s="49">
        <f>VLOOKUP(Table311[[#This Row],[Date]],'DB Details'!$A:$T,19)</f>
        <v>0</v>
      </c>
    </row>
    <row r="849" spans="1:5" x14ac:dyDescent="0.35">
      <c r="A849" s="38">
        <v>43191</v>
      </c>
      <c r="B849" s="48">
        <f>VLOOKUP(Table311[[#This Row],[Date]],'DB Details'!$A:$L,12)</f>
        <v>57.3</v>
      </c>
      <c r="C849" s="49">
        <f>VLOOKUP(Table311[[#This Row],[Date]],'DB Details'!$A:$T,20)</f>
        <v>3.2619828070386561E-2</v>
      </c>
      <c r="D849" s="49">
        <f>VLOOKUP(Table311[[#This Row],[Date]],'DB Details'!$A:$T,18)</f>
        <v>6.9734292116119664E-3</v>
      </c>
      <c r="E849" s="49">
        <f>VLOOKUP(Table311[[#This Row],[Date]],'DB Details'!$A:$T,19)</f>
        <v>2.8186847936621851E-2</v>
      </c>
    </row>
    <row r="850" spans="1:5" x14ac:dyDescent="0.35">
      <c r="A850" s="38">
        <v>43221</v>
      </c>
      <c r="B850" s="48">
        <f>VLOOKUP(Table311[[#This Row],[Date]],'DB Details'!$A:$L,12)</f>
        <v>58.7</v>
      </c>
      <c r="C850" s="49">
        <f>VLOOKUP(Table311[[#This Row],[Date]],'DB Details'!$A:$T,20)</f>
        <v>0</v>
      </c>
      <c r="D850" s="49">
        <f>VLOOKUP(Table311[[#This Row],[Date]],'DB Details'!$A:$T,18)</f>
        <v>0</v>
      </c>
      <c r="E850" s="49">
        <f>VLOOKUP(Table311[[#This Row],[Date]],'DB Details'!$A:$T,19)</f>
        <v>0</v>
      </c>
    </row>
    <row r="851" spans="1:5" x14ac:dyDescent="0.35">
      <c r="A851" s="38">
        <v>43252</v>
      </c>
      <c r="B851" s="48">
        <f>VLOOKUP(Table311[[#This Row],[Date]],'DB Details'!$A:$L,12)</f>
        <v>60.2</v>
      </c>
      <c r="C851" s="49">
        <f>VLOOKUP(Table311[[#This Row],[Date]],'DB Details'!$A:$T,20)</f>
        <v>0</v>
      </c>
      <c r="D851" s="49">
        <f>VLOOKUP(Table311[[#This Row],[Date]],'DB Details'!$A:$T,18)</f>
        <v>0</v>
      </c>
      <c r="E851" s="49">
        <f>VLOOKUP(Table311[[#This Row],[Date]],'DB Details'!$A:$T,19)</f>
        <v>0</v>
      </c>
    </row>
    <row r="852" spans="1:5" x14ac:dyDescent="0.35">
      <c r="A852" s="38">
        <v>43282</v>
      </c>
      <c r="B852" s="48">
        <f>VLOOKUP(Table311[[#This Row],[Date]],'DB Details'!$A:$L,12)</f>
        <v>58.1</v>
      </c>
      <c r="C852" s="49">
        <f>VLOOKUP(Table311[[#This Row],[Date]],'DB Details'!$A:$T,20)</f>
        <v>3.1539838329602318E-2</v>
      </c>
      <c r="D852" s="49">
        <f>VLOOKUP(Table311[[#This Row],[Date]],'DB Details'!$A:$T,18)</f>
        <v>7.2203591386846124E-3</v>
      </c>
      <c r="E852" s="49">
        <f>VLOOKUP(Table311[[#This Row],[Date]],'DB Details'!$A:$T,19)</f>
        <v>2.9195746482057579E-2</v>
      </c>
    </row>
    <row r="853" spans="1:5" x14ac:dyDescent="0.35">
      <c r="A853" s="38">
        <v>43313</v>
      </c>
      <c r="B853" s="48">
        <f>VLOOKUP(Table311[[#This Row],[Date]],'DB Details'!$A:$L,12)</f>
        <v>61.3</v>
      </c>
      <c r="C853" s="49">
        <f>VLOOKUP(Table311[[#This Row],[Date]],'DB Details'!$A:$T,20)</f>
        <v>0</v>
      </c>
      <c r="D853" s="49">
        <f>VLOOKUP(Table311[[#This Row],[Date]],'DB Details'!$A:$T,18)</f>
        <v>0</v>
      </c>
      <c r="E853" s="49">
        <f>VLOOKUP(Table311[[#This Row],[Date]],'DB Details'!$A:$T,19)</f>
        <v>0</v>
      </c>
    </row>
    <row r="854" spans="1:5" x14ac:dyDescent="0.35">
      <c r="A854" s="38">
        <v>43344</v>
      </c>
      <c r="B854" s="48">
        <f>VLOOKUP(Table311[[#This Row],[Date]],'DB Details'!$A:$L,12)</f>
        <v>59.8</v>
      </c>
      <c r="C854" s="49">
        <f>VLOOKUP(Table311[[#This Row],[Date]],'DB Details'!$A:$T,20)</f>
        <v>0</v>
      </c>
      <c r="D854" s="49">
        <f>VLOOKUP(Table311[[#This Row],[Date]],'DB Details'!$A:$T,18)</f>
        <v>0</v>
      </c>
      <c r="E854" s="49">
        <f>VLOOKUP(Table311[[#This Row],[Date]],'DB Details'!$A:$T,19)</f>
        <v>0</v>
      </c>
    </row>
    <row r="855" spans="1:5" x14ac:dyDescent="0.35">
      <c r="A855" s="38">
        <v>43374</v>
      </c>
      <c r="B855" s="48">
        <f>VLOOKUP(Table311[[#This Row],[Date]],'DB Details'!$A:$L,12)</f>
        <v>57.7</v>
      </c>
      <c r="C855" s="49">
        <f>VLOOKUP(Table311[[#This Row],[Date]],'DB Details'!$A:$T,20)</f>
        <v>2.3125836277942059E-2</v>
      </c>
      <c r="D855" s="49">
        <f>VLOOKUP(Table311[[#This Row],[Date]],'DB Details'!$A:$T,18)</f>
        <v>1.8178319836182929E-3</v>
      </c>
      <c r="E855" s="49">
        <f>VLOOKUP(Table311[[#This Row],[Date]],'DB Details'!$A:$T,19)</f>
        <v>7.2911790523160214E-3</v>
      </c>
    </row>
    <row r="856" spans="1:5" x14ac:dyDescent="0.35">
      <c r="A856" s="38">
        <v>43405</v>
      </c>
      <c r="B856" s="48">
        <f>VLOOKUP(Table311[[#This Row],[Date]],'DB Details'!$A:$L,12)</f>
        <v>59.3</v>
      </c>
      <c r="C856" s="49">
        <f>VLOOKUP(Table311[[#This Row],[Date]],'DB Details'!$A:$T,20)</f>
        <v>0</v>
      </c>
      <c r="D856" s="49">
        <f>VLOOKUP(Table311[[#This Row],[Date]],'DB Details'!$A:$T,18)</f>
        <v>0</v>
      </c>
      <c r="E856" s="49">
        <f>VLOOKUP(Table311[[#This Row],[Date]],'DB Details'!$A:$T,19)</f>
        <v>0</v>
      </c>
    </row>
    <row r="857" spans="1:5" x14ac:dyDescent="0.35">
      <c r="A857" s="38">
        <v>43435</v>
      </c>
      <c r="B857" s="48">
        <f>VLOOKUP(Table311[[#This Row],[Date]],'DB Details'!$A:$L,12)</f>
        <v>54.3</v>
      </c>
      <c r="C857" s="49">
        <f>VLOOKUP(Table311[[#This Row],[Date]],'DB Details'!$A:$T,20)</f>
        <v>0</v>
      </c>
      <c r="D857" s="49">
        <f>VLOOKUP(Table311[[#This Row],[Date]],'DB Details'!$A:$T,18)</f>
        <v>0</v>
      </c>
      <c r="E857" s="49">
        <f>VLOOKUP(Table311[[#This Row],[Date]],'DB Details'!$A:$T,19)</f>
        <v>0</v>
      </c>
    </row>
    <row r="858" spans="1:5" x14ac:dyDescent="0.35">
      <c r="A858" s="38">
        <v>43466</v>
      </c>
      <c r="B858" s="48">
        <f>VLOOKUP(Table311[[#This Row],[Date]],'DB Details'!$A:$L,12)</f>
        <v>56.6</v>
      </c>
      <c r="C858" s="49">
        <f>VLOOKUP(Table311[[#This Row],[Date]],'DB Details'!$A:$T,20)</f>
        <v>2.1602281092927309E-2</v>
      </c>
      <c r="D858" s="49">
        <f>VLOOKUP(Table311[[#This Row],[Date]],'DB Details'!$A:$T,18)</f>
        <v>5.4271060969615327E-3</v>
      </c>
      <c r="E858" s="49">
        <f>VLOOKUP(Table311[[#This Row],[Date]],'DB Details'!$A:$T,19)</f>
        <v>2.1885785527535839E-2</v>
      </c>
    </row>
    <row r="859" spans="1:5" x14ac:dyDescent="0.35">
      <c r="A859" s="38">
        <v>43497</v>
      </c>
      <c r="B859" s="48">
        <f>VLOOKUP(Table311[[#This Row],[Date]],'DB Details'!$A:$L,12)</f>
        <v>54.2</v>
      </c>
      <c r="C859" s="49">
        <f>VLOOKUP(Table311[[#This Row],[Date]],'DB Details'!$A:$T,20)</f>
        <v>0</v>
      </c>
      <c r="D859" s="49">
        <f>VLOOKUP(Table311[[#This Row],[Date]],'DB Details'!$A:$T,18)</f>
        <v>0</v>
      </c>
      <c r="E859" s="49">
        <f>VLOOKUP(Table311[[#This Row],[Date]],'DB Details'!$A:$T,19)</f>
        <v>0</v>
      </c>
    </row>
    <row r="860" spans="1:5" x14ac:dyDescent="0.35">
      <c r="A860" s="38">
        <v>43525</v>
      </c>
      <c r="B860" s="48">
        <f>VLOOKUP(Table311[[#This Row],[Date]],'DB Details'!$A:$L,12)</f>
        <v>55.3</v>
      </c>
      <c r="C860" s="49">
        <f>VLOOKUP(Table311[[#This Row],[Date]],'DB Details'!$A:$T,20)</f>
        <v>0</v>
      </c>
      <c r="D860" s="49">
        <f>VLOOKUP(Table311[[#This Row],[Date]],'DB Details'!$A:$T,18)</f>
        <v>0</v>
      </c>
      <c r="E860" s="49">
        <f>VLOOKUP(Table311[[#This Row],[Date]],'DB Details'!$A:$T,19)</f>
        <v>0</v>
      </c>
    </row>
    <row r="861" spans="1:5" x14ac:dyDescent="0.35">
      <c r="A861" s="38">
        <v>43556</v>
      </c>
      <c r="B861" s="48">
        <f>VLOOKUP(Table311[[#This Row],[Date]],'DB Details'!$A:$L,12)</f>
        <v>52.8</v>
      </c>
      <c r="C861" s="49">
        <f>VLOOKUP(Table311[[#This Row],[Date]],'DB Details'!$A:$T,20)</f>
        <v>2.135540615577208E-2</v>
      </c>
      <c r="D861" s="49">
        <f>VLOOKUP(Table311[[#This Row],[Date]],'DB Details'!$A:$T,18)</f>
        <v>6.7300894044732664E-3</v>
      </c>
      <c r="E861" s="49">
        <f>VLOOKUP(Table311[[#This Row],[Date]],'DB Details'!$A:$T,19)</f>
        <v>2.7193343623263418E-2</v>
      </c>
    </row>
    <row r="862" spans="1:5" x14ac:dyDescent="0.35">
      <c r="A862" s="38">
        <v>43586</v>
      </c>
      <c r="B862" s="48">
        <f>VLOOKUP(Table311[[#This Row],[Date]],'DB Details'!$A:$L,12)</f>
        <v>52.1</v>
      </c>
      <c r="C862" s="49">
        <f>VLOOKUP(Table311[[#This Row],[Date]],'DB Details'!$A:$T,20)</f>
        <v>0</v>
      </c>
      <c r="D862" s="49">
        <f>VLOOKUP(Table311[[#This Row],[Date]],'DB Details'!$A:$T,18)</f>
        <v>0</v>
      </c>
      <c r="E862" s="49">
        <f>VLOOKUP(Table311[[#This Row],[Date]],'DB Details'!$A:$T,19)</f>
        <v>0</v>
      </c>
    </row>
    <row r="863" spans="1:5" x14ac:dyDescent="0.35">
      <c r="A863" s="38">
        <v>43617</v>
      </c>
      <c r="B863" s="48">
        <f>VLOOKUP(Table311[[#This Row],[Date]],'DB Details'!$A:$L,12)</f>
        <v>51.7</v>
      </c>
      <c r="C863" s="49">
        <f>VLOOKUP(Table311[[#This Row],[Date]],'DB Details'!$A:$T,20)</f>
        <v>0</v>
      </c>
      <c r="D863" s="49">
        <f>VLOOKUP(Table311[[#This Row],[Date]],'DB Details'!$A:$T,18)</f>
        <v>0</v>
      </c>
      <c r="E863" s="49">
        <f>VLOOKUP(Table311[[#This Row],[Date]],'DB Details'!$A:$T,19)</f>
        <v>0</v>
      </c>
    </row>
    <row r="864" spans="1:5" x14ac:dyDescent="0.35">
      <c r="A864" s="38">
        <v>43647</v>
      </c>
      <c r="B864" s="48">
        <f>VLOOKUP(Table311[[#This Row],[Date]],'DB Details'!$A:$L,12)</f>
        <v>51.2</v>
      </c>
      <c r="C864" s="49">
        <f>VLOOKUP(Table311[[#This Row],[Date]],'DB Details'!$A:$T,20)</f>
        <v>2.3058278646321921E-2</v>
      </c>
      <c r="D864" s="49">
        <f>VLOOKUP(Table311[[#This Row],[Date]],'DB Details'!$A:$T,18)</f>
        <v>8.8996647272795142E-3</v>
      </c>
      <c r="E864" s="49">
        <f>VLOOKUP(Table311[[#This Row],[Date]],'DB Details'!$A:$T,19)</f>
        <v>3.6076708933272972E-2</v>
      </c>
    </row>
    <row r="865" spans="1:5" x14ac:dyDescent="0.35">
      <c r="A865" s="38">
        <v>43678</v>
      </c>
      <c r="B865" s="48">
        <f>VLOOKUP(Table311[[#This Row],[Date]],'DB Details'!$A:$L,12)</f>
        <v>49.1</v>
      </c>
      <c r="C865" s="49">
        <f>VLOOKUP(Table311[[#This Row],[Date]],'DB Details'!$A:$T,20)</f>
        <v>0</v>
      </c>
      <c r="D865" s="49">
        <f>VLOOKUP(Table311[[#This Row],[Date]],'DB Details'!$A:$T,18)</f>
        <v>0</v>
      </c>
      <c r="E865" s="49">
        <f>VLOOKUP(Table311[[#This Row],[Date]],'DB Details'!$A:$T,19)</f>
        <v>0</v>
      </c>
    </row>
    <row r="866" spans="1:5" x14ac:dyDescent="0.35">
      <c r="A866" s="38">
        <v>43709</v>
      </c>
      <c r="B866" s="48">
        <f>VLOOKUP(Table311[[#This Row],[Date]],'DB Details'!$A:$L,12)</f>
        <v>47.8</v>
      </c>
      <c r="C866" s="49">
        <f>VLOOKUP(Table311[[#This Row],[Date]],'DB Details'!$A:$T,20)</f>
        <v>0</v>
      </c>
      <c r="D866" s="49">
        <f>VLOOKUP(Table311[[#This Row],[Date]],'DB Details'!$A:$T,18)</f>
        <v>0</v>
      </c>
      <c r="E866" s="49">
        <f>VLOOKUP(Table311[[#This Row],[Date]],'DB Details'!$A:$T,19)</f>
        <v>0</v>
      </c>
    </row>
    <row r="867" spans="1:5" x14ac:dyDescent="0.35">
      <c r="A867" s="38">
        <v>43739</v>
      </c>
      <c r="B867" s="48">
        <f>VLOOKUP(Table311[[#This Row],[Date]],'DB Details'!$A:$L,12)</f>
        <v>48.3</v>
      </c>
      <c r="C867" s="49">
        <f>VLOOKUP(Table311[[#This Row],[Date]],'DB Details'!$A:$T,20)</f>
        <v>2.5726308482646211E-2</v>
      </c>
      <c r="D867" s="49">
        <f>VLOOKUP(Table311[[#This Row],[Date]],'DB Details'!$A:$T,18)</f>
        <v>4.4304689389935729E-3</v>
      </c>
      <c r="E867" s="49">
        <f>VLOOKUP(Table311[[#This Row],[Date]],'DB Details'!$A:$T,19)</f>
        <v>1.7839998335064559E-2</v>
      </c>
    </row>
    <row r="868" spans="1:5" x14ac:dyDescent="0.35">
      <c r="A868" s="38">
        <v>43770</v>
      </c>
      <c r="B868" s="48">
        <f>VLOOKUP(Table311[[#This Row],[Date]],'DB Details'!$A:$L,12)</f>
        <v>48.1</v>
      </c>
      <c r="C868" s="49">
        <f>VLOOKUP(Table311[[#This Row],[Date]],'DB Details'!$A:$T,20)</f>
        <v>0</v>
      </c>
      <c r="D868" s="49">
        <f>VLOOKUP(Table311[[#This Row],[Date]],'DB Details'!$A:$T,18)</f>
        <v>0</v>
      </c>
      <c r="E868" s="49">
        <f>VLOOKUP(Table311[[#This Row],[Date]],'DB Details'!$A:$T,19)</f>
        <v>0</v>
      </c>
    </row>
    <row r="869" spans="1:5" x14ac:dyDescent="0.35">
      <c r="A869" s="38">
        <v>43800</v>
      </c>
      <c r="B869" s="48">
        <f>VLOOKUP(Table311[[#This Row],[Date]],'DB Details'!$A:$L,12)</f>
        <v>47.8</v>
      </c>
      <c r="C869" s="49">
        <f>VLOOKUP(Table311[[#This Row],[Date]],'DB Details'!$A:$T,20)</f>
        <v>0</v>
      </c>
      <c r="D869" s="49">
        <f>VLOOKUP(Table311[[#This Row],[Date]],'DB Details'!$A:$T,18)</f>
        <v>0</v>
      </c>
      <c r="E869" s="49">
        <f>VLOOKUP(Table311[[#This Row],[Date]],'DB Details'!$A:$T,19)</f>
        <v>0</v>
      </c>
    </row>
    <row r="870" spans="1:5" x14ac:dyDescent="0.35">
      <c r="A870" s="38">
        <v>43831</v>
      </c>
      <c r="B870" s="48">
        <f>VLOOKUP(Table311[[#This Row],[Date]],'DB Details'!$A:$L,12)</f>
        <v>50.9</v>
      </c>
      <c r="C870" s="49">
        <f>VLOOKUP(Table311[[#This Row],[Date]],'DB Details'!$A:$T,20)</f>
        <v>8.2008298093415831E-3</v>
      </c>
      <c r="D870" s="49">
        <f>VLOOKUP(Table311[[#This Row],[Date]],'DB Details'!$A:$T,18)</f>
        <v>-1.175154200803908E-2</v>
      </c>
      <c r="E870" s="49">
        <f>VLOOKUP(Table311[[#This Row],[Date]],'DB Details'!$A:$T,19)</f>
        <v>-4.6184048016051249E-2</v>
      </c>
    </row>
    <row r="871" spans="1:5" x14ac:dyDescent="0.35">
      <c r="A871" s="38">
        <v>43862</v>
      </c>
      <c r="B871" s="48">
        <f>VLOOKUP(Table311[[#This Row],[Date]],'DB Details'!$A:$L,12)</f>
        <v>50.1</v>
      </c>
      <c r="C871" s="49">
        <f>VLOOKUP(Table311[[#This Row],[Date]],'DB Details'!$A:$T,20)</f>
        <v>0</v>
      </c>
      <c r="D871" s="49">
        <f>VLOOKUP(Table311[[#This Row],[Date]],'DB Details'!$A:$T,18)</f>
        <v>0</v>
      </c>
      <c r="E871" s="49">
        <f>VLOOKUP(Table311[[#This Row],[Date]],'DB Details'!$A:$T,19)</f>
        <v>0</v>
      </c>
    </row>
    <row r="872" spans="1:5" x14ac:dyDescent="0.35">
      <c r="A872" s="38">
        <v>43891</v>
      </c>
      <c r="B872" s="48">
        <f>VLOOKUP(Table311[[#This Row],[Date]],'DB Details'!$A:$L,12)</f>
        <v>49.1</v>
      </c>
      <c r="C872" s="49">
        <f>VLOOKUP(Table311[[#This Row],[Date]],'DB Details'!$A:$T,20)</f>
        <v>0</v>
      </c>
      <c r="D872" s="49">
        <f>VLOOKUP(Table311[[#This Row],[Date]],'DB Details'!$A:$T,18)</f>
        <v>0</v>
      </c>
      <c r="E872" s="49">
        <f>VLOOKUP(Table311[[#This Row],[Date]],'DB Details'!$A:$T,19)</f>
        <v>0</v>
      </c>
    </row>
    <row r="873" spans="1:5" x14ac:dyDescent="0.35">
      <c r="A873" s="38">
        <v>43922</v>
      </c>
      <c r="B873" s="48">
        <f>VLOOKUP(Table311[[#This Row],[Date]],'DB Details'!$A:$L,12)</f>
        <v>41.5</v>
      </c>
      <c r="C873" s="49">
        <f>VLOOKUP(Table311[[#This Row],[Date]],'DB Details'!$A:$T,20)</f>
        <v>-8.3506401559947624E-2</v>
      </c>
      <c r="D873" s="49">
        <f>VLOOKUP(Table311[[#This Row],[Date]],'DB Details'!$A:$T,18)</f>
        <v>-8.4843361544679877E-2</v>
      </c>
      <c r="E873" s="49">
        <f>VLOOKUP(Table311[[#This Row],[Date]],'DB Details'!$A:$T,19)</f>
        <v>-0.29857419774143368</v>
      </c>
    </row>
    <row r="874" spans="1:5" x14ac:dyDescent="0.35">
      <c r="A874" s="38">
        <v>43952</v>
      </c>
      <c r="B874" s="48">
        <f>VLOOKUP(Table311[[#This Row],[Date]],'DB Details'!$A:$L,12)</f>
        <v>43.1</v>
      </c>
      <c r="C874" s="49">
        <f>VLOOKUP(Table311[[#This Row],[Date]],'DB Details'!$A:$T,20)</f>
        <v>0</v>
      </c>
      <c r="D874" s="49">
        <f>VLOOKUP(Table311[[#This Row],[Date]],'DB Details'!$A:$T,18)</f>
        <v>0</v>
      </c>
      <c r="E874" s="49">
        <f>VLOOKUP(Table311[[#This Row],[Date]],'DB Details'!$A:$T,19)</f>
        <v>0</v>
      </c>
    </row>
    <row r="875" spans="1:5" x14ac:dyDescent="0.35">
      <c r="A875" s="38">
        <v>43983</v>
      </c>
      <c r="B875" s="48">
        <f>VLOOKUP(Table311[[#This Row],[Date]],'DB Details'!$A:$L,12)</f>
        <v>52.6</v>
      </c>
      <c r="C875" s="49">
        <f>VLOOKUP(Table311[[#This Row],[Date]],'DB Details'!$A:$T,20)</f>
        <v>0</v>
      </c>
      <c r="D875" s="49">
        <f>VLOOKUP(Table311[[#This Row],[Date]],'DB Details'!$A:$T,18)</f>
        <v>0</v>
      </c>
      <c r="E875" s="49">
        <f>VLOOKUP(Table311[[#This Row],[Date]],'DB Details'!$A:$T,19)</f>
        <v>0</v>
      </c>
    </row>
    <row r="876" spans="1:5" x14ac:dyDescent="0.35">
      <c r="A876" s="38">
        <v>44013</v>
      </c>
      <c r="B876" s="48">
        <f>VLOOKUP(Table311[[#This Row],[Date]],'DB Details'!$A:$L,12)</f>
        <v>54.2</v>
      </c>
      <c r="C876" s="49">
        <f>VLOOKUP(Table311[[#This Row],[Date]],'DB Details'!$A:$T,20)</f>
        <v>-2.0240101214096601E-2</v>
      </c>
      <c r="D876" s="49">
        <f>VLOOKUP(Table311[[#This Row],[Date]],'DB Details'!$A:$T,18)</f>
        <v>7.854483117045738E-2</v>
      </c>
      <c r="E876" s="49">
        <f>VLOOKUP(Table311[[#This Row],[Date]],'DB Details'!$A:$T,19)</f>
        <v>0.35317139137290637</v>
      </c>
    </row>
    <row r="877" spans="1:5" x14ac:dyDescent="0.35">
      <c r="A877" s="38">
        <v>44044</v>
      </c>
      <c r="B877" s="48">
        <f>VLOOKUP(Table311[[#This Row],[Date]],'DB Details'!$A:$L,12)</f>
        <v>56</v>
      </c>
      <c r="C877" s="49">
        <f>VLOOKUP(Table311[[#This Row],[Date]],'DB Details'!$A:$T,20)</f>
        <v>0</v>
      </c>
      <c r="D877" s="49">
        <f>VLOOKUP(Table311[[#This Row],[Date]],'DB Details'!$A:$T,18)</f>
        <v>0</v>
      </c>
      <c r="E877" s="49">
        <f>VLOOKUP(Table311[[#This Row],[Date]],'DB Details'!$A:$T,19)</f>
        <v>0</v>
      </c>
    </row>
    <row r="878" spans="1:5" x14ac:dyDescent="0.35">
      <c r="A878" s="38">
        <v>44075</v>
      </c>
      <c r="B878" s="48">
        <f>VLOOKUP(Table311[[#This Row],[Date]],'DB Details'!$A:$L,12)</f>
        <v>55.4</v>
      </c>
      <c r="C878" s="49">
        <f>VLOOKUP(Table311[[#This Row],[Date]],'DB Details'!$A:$T,20)</f>
        <v>0</v>
      </c>
      <c r="D878" s="49">
        <f>VLOOKUP(Table311[[#This Row],[Date]],'DB Details'!$A:$T,18)</f>
        <v>0</v>
      </c>
      <c r="E878" s="49">
        <f>VLOOKUP(Table311[[#This Row],[Date]],'DB Details'!$A:$T,19)</f>
        <v>0</v>
      </c>
    </row>
    <row r="879" spans="1:5" x14ac:dyDescent="0.35">
      <c r="A879" s="38">
        <v>44105</v>
      </c>
      <c r="B879" s="48">
        <f>VLOOKUP(Table311[[#This Row],[Date]],'DB Details'!$A:$L,12)</f>
        <v>59.3</v>
      </c>
      <c r="C879" s="49">
        <f>VLOOKUP(Table311[[#This Row],[Date]],'DB Details'!$A:$T,20)</f>
        <v>-1.5166199331577521E-2</v>
      </c>
      <c r="D879" s="49">
        <f>VLOOKUP(Table311[[#This Row],[Date]],'DB Details'!$A:$T,18)</f>
        <v>9.6321327890086725E-3</v>
      </c>
      <c r="E879" s="49">
        <f>VLOOKUP(Table311[[#This Row],[Date]],'DB Details'!$A:$T,19)</f>
        <v>3.9088782255552117E-2</v>
      </c>
    </row>
    <row r="880" spans="1:5" x14ac:dyDescent="0.35">
      <c r="A880" s="38">
        <v>44136</v>
      </c>
      <c r="B880" s="48">
        <f>VLOOKUP(Table311[[#This Row],[Date]],'DB Details'!$A:$L,12)</f>
        <v>57.5</v>
      </c>
      <c r="C880" s="49">
        <f>VLOOKUP(Table311[[#This Row],[Date]],'DB Details'!$A:$T,20)</f>
        <v>0</v>
      </c>
      <c r="D880" s="49">
        <f>VLOOKUP(Table311[[#This Row],[Date]],'DB Details'!$A:$T,18)</f>
        <v>0</v>
      </c>
      <c r="E880" s="49">
        <f>VLOOKUP(Table311[[#This Row],[Date]],'DB Details'!$A:$T,19)</f>
        <v>0</v>
      </c>
    </row>
    <row r="881" spans="1:5" x14ac:dyDescent="0.35">
      <c r="A881" s="38">
        <v>44166</v>
      </c>
      <c r="B881" s="48">
        <f>VLOOKUP(Table311[[#This Row],[Date]],'DB Details'!$A:$L,12)</f>
        <v>60.5</v>
      </c>
      <c r="C881" s="49">
        <f>VLOOKUP(Table311[[#This Row],[Date]],'DB Details'!$A:$T,20)</f>
        <v>0</v>
      </c>
      <c r="D881" s="49">
        <f>VLOOKUP(Table311[[#This Row],[Date]],'DB Details'!$A:$T,18)</f>
        <v>0</v>
      </c>
      <c r="E881" s="49">
        <f>VLOOKUP(Table311[[#This Row],[Date]],'DB Details'!$A:$T,19)</f>
        <v>0</v>
      </c>
    </row>
    <row r="882" spans="1:5" x14ac:dyDescent="0.35">
      <c r="A882" s="38">
        <v>44197</v>
      </c>
      <c r="B882" s="48">
        <f>VLOOKUP(Table311[[#This Row],[Date]],'DB Details'!$A:$L,12)</f>
        <v>58.7</v>
      </c>
      <c r="C882" s="49">
        <f>VLOOKUP(Table311[[#This Row],[Date]],'DB Details'!$A:$T,20)</f>
        <v>1.191935050448183E-2</v>
      </c>
      <c r="D882" s="49">
        <f>VLOOKUP(Table311[[#This Row],[Date]],'DB Details'!$A:$T,18)</f>
        <v>1.5427919989693629E-2</v>
      </c>
      <c r="E882" s="49">
        <f>VLOOKUP(Table311[[#This Row],[Date]],'DB Details'!$A:$T,19)</f>
        <v>6.3154549562086215E-2</v>
      </c>
    </row>
    <row r="883" spans="1:5" x14ac:dyDescent="0.35">
      <c r="A883" s="38">
        <v>44228</v>
      </c>
      <c r="B883" s="48">
        <f>VLOOKUP(Table311[[#This Row],[Date]],'DB Details'!$A:$L,12)</f>
        <v>60.8</v>
      </c>
      <c r="C883" s="49">
        <f>VLOOKUP(Table311[[#This Row],[Date]],'DB Details'!$A:$T,20)</f>
        <v>0</v>
      </c>
      <c r="D883" s="49">
        <f>VLOOKUP(Table311[[#This Row],[Date]],'DB Details'!$A:$T,18)</f>
        <v>0</v>
      </c>
      <c r="E883" s="49">
        <f>VLOOKUP(Table311[[#This Row],[Date]],'DB Details'!$A:$T,19)</f>
        <v>0</v>
      </c>
    </row>
    <row r="884" spans="1:5" x14ac:dyDescent="0.35">
      <c r="A884" s="38">
        <v>44256</v>
      </c>
      <c r="B884" s="48">
        <f>VLOOKUP(Table311[[#This Row],[Date]],'DB Details'!$A:$L,12)</f>
        <v>64.7</v>
      </c>
      <c r="C884" s="49">
        <f>VLOOKUP(Table311[[#This Row],[Date]],'DB Details'!$A:$T,20)</f>
        <v>0</v>
      </c>
      <c r="D884" s="49">
        <f>VLOOKUP(Table311[[#This Row],[Date]],'DB Details'!$A:$T,18)</f>
        <v>0</v>
      </c>
      <c r="E884" s="49">
        <f>VLOOKUP(Table311[[#This Row],[Date]],'DB Details'!$A:$T,19)</f>
        <v>0</v>
      </c>
    </row>
    <row r="885" spans="1:5" x14ac:dyDescent="0.35">
      <c r="A885" s="38">
        <v>44287</v>
      </c>
      <c r="B885" s="48">
        <f>VLOOKUP(Table311[[#This Row],[Date]],'DB Details'!$A:$L,12)</f>
        <v>60.7</v>
      </c>
      <c r="C885" s="49">
        <f>VLOOKUP(Table311[[#This Row],[Date]],'DB Details'!$A:$T,20)</f>
        <v>0.1246085440624138</v>
      </c>
      <c r="D885" s="49">
        <f>VLOOKUP(Table311[[#This Row],[Date]],'DB Details'!$A:$T,18)</f>
        <v>1.707015904893705E-2</v>
      </c>
      <c r="E885" s="49">
        <f>VLOOKUP(Table311[[#This Row],[Date]],'DB Details'!$A:$T,19)</f>
        <v>7.0048959400919264E-2</v>
      </c>
    </row>
    <row r="886" spans="1:5" x14ac:dyDescent="0.35">
      <c r="A886" s="38">
        <v>44317</v>
      </c>
      <c r="B886" s="48">
        <f>VLOOKUP(Table311[[#This Row],[Date]],'DB Details'!$A:$L,12)</f>
        <v>61.2</v>
      </c>
      <c r="C886" s="49">
        <f>VLOOKUP(Table311[[#This Row],[Date]],'DB Details'!$A:$T,20)</f>
        <v>0</v>
      </c>
      <c r="D886" s="49">
        <f>VLOOKUP(Table311[[#This Row],[Date]],'DB Details'!$A:$T,18)</f>
        <v>0</v>
      </c>
      <c r="E886" s="49">
        <f>VLOOKUP(Table311[[#This Row],[Date]],'DB Details'!$A:$T,19)</f>
        <v>0</v>
      </c>
    </row>
    <row r="887" spans="1:5" x14ac:dyDescent="0.35">
      <c r="A887" s="38">
        <v>44348</v>
      </c>
      <c r="B887" s="48">
        <f>VLOOKUP(Table311[[#This Row],[Date]],'DB Details'!$A:$L,12)</f>
        <v>60.6</v>
      </c>
      <c r="C887" s="49">
        <f>VLOOKUP(Table311[[#This Row],[Date]],'DB Details'!$A:$T,20)</f>
        <v>0</v>
      </c>
      <c r="D887" s="49">
        <f>VLOOKUP(Table311[[#This Row],[Date]],'DB Details'!$A:$T,18)</f>
        <v>0</v>
      </c>
      <c r="E887" s="49">
        <f>VLOOKUP(Table311[[#This Row],[Date]],'DB Details'!$A:$T,19)</f>
        <v>0</v>
      </c>
    </row>
    <row r="888" spans="1:5" x14ac:dyDescent="0.35">
      <c r="A888" s="38">
        <v>44378</v>
      </c>
      <c r="B888" s="48">
        <f>VLOOKUP(Table311[[#This Row],[Date]],'DB Details'!$A:$L,12)</f>
        <v>59.5</v>
      </c>
      <c r="C888" s="49">
        <f>VLOOKUP(Table311[[#This Row],[Date]],'DB Details'!$A:$T,20)</f>
        <v>4.9556544805406812E-2</v>
      </c>
      <c r="D888" s="49">
        <f>VLOOKUP(Table311[[#This Row],[Date]],'DB Details'!$A:$T,18)</f>
        <v>6.5669449139205242E-3</v>
      </c>
      <c r="E888" s="49">
        <f>VLOOKUP(Table311[[#This Row],[Date]],'DB Details'!$A:$T,19)</f>
        <v>2.6527662900280191E-2</v>
      </c>
    </row>
    <row r="889" spans="1:5" x14ac:dyDescent="0.35">
      <c r="A889" s="38">
        <v>44409</v>
      </c>
      <c r="B889" s="48">
        <f>VLOOKUP(Table311[[#This Row],[Date]],'DB Details'!$A:$L,12)</f>
        <v>59.9</v>
      </c>
      <c r="C889" s="49">
        <f>VLOOKUP(Table311[[#This Row],[Date]],'DB Details'!$A:$T,20)</f>
        <v>0</v>
      </c>
      <c r="D889" s="49">
        <f>VLOOKUP(Table311[[#This Row],[Date]],'DB Details'!$A:$T,18)</f>
        <v>0</v>
      </c>
      <c r="E889" s="49">
        <f>VLOOKUP(Table311[[#This Row],[Date]],'DB Details'!$A:$T,19)</f>
        <v>0</v>
      </c>
    </row>
    <row r="890" spans="1:5" x14ac:dyDescent="0.35">
      <c r="A890" s="38">
        <v>44440</v>
      </c>
      <c r="B890" s="48">
        <f>VLOOKUP(Table311[[#This Row],[Date]],'DB Details'!$A:$L,12)</f>
        <v>61.1</v>
      </c>
      <c r="C890" s="49">
        <f>VLOOKUP(Table311[[#This Row],[Date]],'DB Details'!$A:$T,20)</f>
        <v>0</v>
      </c>
      <c r="D890" s="49">
        <f>VLOOKUP(Table311[[#This Row],[Date]],'DB Details'!$A:$T,18)</f>
        <v>0</v>
      </c>
      <c r="E890" s="49">
        <f>VLOOKUP(Table311[[#This Row],[Date]],'DB Details'!$A:$T,19)</f>
        <v>0</v>
      </c>
    </row>
    <row r="891" spans="1:5" x14ac:dyDescent="0.35">
      <c r="A891" s="38">
        <v>44470</v>
      </c>
      <c r="B891" s="48">
        <f>VLOOKUP(Table311[[#This Row],[Date]],'DB Details'!$A:$L,12)</f>
        <v>60.8</v>
      </c>
      <c r="C891" s="49">
        <f>VLOOKUP(Table311[[#This Row],[Date]],'DB Details'!$A:$T,20)</f>
        <v>5.7171000908780578E-2</v>
      </c>
      <c r="D891" s="49">
        <f>VLOOKUP(Table311[[#This Row],[Date]],'DB Details'!$A:$T,18)</f>
        <v>1.695694019812535E-2</v>
      </c>
      <c r="E891" s="49">
        <f>VLOOKUP(Table311[[#This Row],[Date]],'DB Details'!$A:$T,19)</f>
        <v>6.9572573442330254E-2</v>
      </c>
    </row>
    <row r="892" spans="1:5" x14ac:dyDescent="0.35">
      <c r="A892" s="38">
        <v>44501</v>
      </c>
      <c r="B892" s="48">
        <f>VLOOKUP(Table311[[#This Row],[Date]],'DB Details'!$A:$L,12)</f>
        <v>61.1</v>
      </c>
      <c r="C892" s="49">
        <f>VLOOKUP(Table311[[#This Row],[Date]],'DB Details'!$A:$T,20)</f>
        <v>0</v>
      </c>
      <c r="D892" s="49">
        <f>VLOOKUP(Table311[[#This Row],[Date]],'DB Details'!$A:$T,18)</f>
        <v>0</v>
      </c>
      <c r="E892" s="49">
        <f>VLOOKUP(Table311[[#This Row],[Date]],'DB Details'!$A:$T,19)</f>
        <v>0</v>
      </c>
    </row>
    <row r="893" spans="1:5" x14ac:dyDescent="0.35">
      <c r="A893" s="38">
        <v>44531</v>
      </c>
      <c r="B893" s="48">
        <f>VLOOKUP(Table311[[#This Row],[Date]],'DB Details'!$A:$L,12)</f>
        <v>58.7</v>
      </c>
      <c r="C893" s="49">
        <f>VLOOKUP(Table311[[#This Row],[Date]],'DB Details'!$A:$T,20)</f>
        <v>0</v>
      </c>
      <c r="D893" s="49">
        <f>VLOOKUP(Table311[[#This Row],[Date]],'DB Details'!$A:$T,18)</f>
        <v>0</v>
      </c>
      <c r="E893" s="49">
        <f>VLOOKUP(Table311[[#This Row],[Date]],'DB Details'!$A:$T,19)</f>
        <v>0</v>
      </c>
    </row>
    <row r="894" spans="1:5" x14ac:dyDescent="0.35">
      <c r="A894" s="38">
        <v>44562</v>
      </c>
      <c r="B894" s="48">
        <f>VLOOKUP(Table311[[#This Row],[Date]],'DB Details'!$A:$L,12)</f>
        <v>57.6</v>
      </c>
      <c r="C894" s="49">
        <f>VLOOKUP(Table311[[#This Row],[Date]],'DB Details'!$A:$T,20)</f>
        <v>3.683678957947209E-2</v>
      </c>
      <c r="D894" s="49">
        <f>VLOOKUP(Table311[[#This Row],[Date]],'DB Details'!$A:$T,18)</f>
        <v>-4.1033818498393453E-3</v>
      </c>
      <c r="E894" s="49">
        <f>VLOOKUP(Table311[[#This Row],[Date]],'DB Details'!$A:$T,19)</f>
        <v>-1.6312777026963991E-2</v>
      </c>
    </row>
    <row r="895" spans="1:5" x14ac:dyDescent="0.35">
      <c r="A895" s="38">
        <v>44593</v>
      </c>
      <c r="B895" s="48">
        <f>VLOOKUP(Table311[[#This Row],[Date]],'DB Details'!$A:$L,12)</f>
        <v>58.6</v>
      </c>
      <c r="C895" s="49">
        <f>VLOOKUP(Table311[[#This Row],[Date]],'DB Details'!$A:$T,20)</f>
        <v>0</v>
      </c>
      <c r="D895" s="49">
        <f>VLOOKUP(Table311[[#This Row],[Date]],'DB Details'!$A:$T,18)</f>
        <v>0</v>
      </c>
      <c r="E895" s="49">
        <f>VLOOKUP(Table311[[#This Row],[Date]],'DB Details'!$A:$T,19)</f>
        <v>0</v>
      </c>
    </row>
    <row r="896" spans="1:5" x14ac:dyDescent="0.35">
      <c r="A896" s="38">
        <v>44621</v>
      </c>
      <c r="B896" s="48">
        <f>VLOOKUP(Table311[[#This Row],[Date]],'DB Details'!$A:$L,12)</f>
        <v>57.1</v>
      </c>
      <c r="C896" s="49">
        <f>VLOOKUP(Table311[[#This Row],[Date]],'DB Details'!$A:$T,20)</f>
        <v>0</v>
      </c>
      <c r="D896" s="49">
        <f>VLOOKUP(Table311[[#This Row],[Date]],'DB Details'!$A:$T,18)</f>
        <v>0</v>
      </c>
      <c r="E896" s="49">
        <f>VLOOKUP(Table311[[#This Row],[Date]],'DB Details'!$A:$T,19)</f>
        <v>0</v>
      </c>
    </row>
    <row r="897" spans="1:5" x14ac:dyDescent="0.35">
      <c r="A897" s="38">
        <v>44652</v>
      </c>
      <c r="B897" s="48">
        <f>VLOOKUP(Table311[[#This Row],[Date]],'DB Details'!$A:$L,12)</f>
        <v>55.4</v>
      </c>
      <c r="C897" s="49">
        <f>VLOOKUP(Table311[[#This Row],[Date]],'DB Details'!$A:$T,20)</f>
        <v>1.79604249802807E-2</v>
      </c>
      <c r="D897" s="49">
        <f>VLOOKUP(Table311[[#This Row],[Date]],'DB Details'!$A:$T,18)</f>
        <v>-1.4463397270680139E-3</v>
      </c>
      <c r="E897" s="49">
        <f>VLOOKUP(Table311[[#This Row],[Date]],'DB Details'!$A:$T,19)</f>
        <v>-5.7728196146435984E-3</v>
      </c>
    </row>
    <row r="898" spans="1:5" x14ac:dyDescent="0.35">
      <c r="A898" s="38">
        <v>44682</v>
      </c>
      <c r="B898" s="48">
        <f>VLOOKUP(Table311[[#This Row],[Date]],'DB Details'!$A:$L,12)</f>
        <v>56.1</v>
      </c>
      <c r="C898" s="49">
        <f>VLOOKUP(Table311[[#This Row],[Date]],'DB Details'!$A:$T,20)</f>
        <v>0</v>
      </c>
      <c r="D898" s="49">
        <f>VLOOKUP(Table311[[#This Row],[Date]],'DB Details'!$A:$T,18)</f>
        <v>0</v>
      </c>
      <c r="E898" s="49">
        <f>VLOOKUP(Table311[[#This Row],[Date]],'DB Details'!$A:$T,19)</f>
        <v>0</v>
      </c>
    </row>
    <row r="899" spans="1:5" x14ac:dyDescent="0.35">
      <c r="A899" s="38">
        <v>44713</v>
      </c>
      <c r="B899" s="48">
        <f>VLOOKUP(Table311[[#This Row],[Date]],'DB Details'!$A:$L,12)</f>
        <v>53</v>
      </c>
      <c r="C899" s="49">
        <f>VLOOKUP(Table311[[#This Row],[Date]],'DB Details'!$A:$T,20)</f>
        <v>0</v>
      </c>
      <c r="D899" s="49">
        <f>VLOOKUP(Table311[[#This Row],[Date]],'DB Details'!$A:$T,18)</f>
        <v>0</v>
      </c>
      <c r="E899" s="49">
        <f>VLOOKUP(Table311[[#This Row],[Date]],'DB Details'!$A:$T,19)</f>
        <v>0</v>
      </c>
    </row>
    <row r="900" spans="1:5" x14ac:dyDescent="0.35">
      <c r="A900" s="38">
        <v>44743</v>
      </c>
      <c r="B900" s="48">
        <f>VLOOKUP(Table311[[#This Row],[Date]],'DB Details'!$A:$L,12)</f>
        <v>52.8</v>
      </c>
      <c r="C900" s="49">
        <f>VLOOKUP(Table311[[#This Row],[Date]],'DB Details'!$A:$T,20)</f>
        <v>1.9421383880539569E-2</v>
      </c>
      <c r="D900" s="49">
        <f>VLOOKUP(Table311[[#This Row],[Date]],'DB Details'!$A:$T,18)</f>
        <v>8.0115520919518922E-3</v>
      </c>
      <c r="E900" s="49">
        <f>VLOOKUP(Table311[[#This Row],[Date]],'DB Details'!$A:$T,19)</f>
        <v>3.2433379173874011E-2</v>
      </c>
    </row>
    <row r="901" spans="1:5" x14ac:dyDescent="0.35">
      <c r="A901" s="38">
        <v>44774</v>
      </c>
      <c r="B901" s="48">
        <f>VLOOKUP(Table311[[#This Row],[Date]],'DB Details'!$A:$L,12)</f>
        <v>52.8</v>
      </c>
      <c r="C901" s="49">
        <f>VLOOKUP(Table311[[#This Row],[Date]],'DB Details'!$A:$T,20)</f>
        <v>0</v>
      </c>
      <c r="D901" s="49">
        <f>VLOOKUP(Table311[[#This Row],[Date]],'DB Details'!$A:$T,18)</f>
        <v>0</v>
      </c>
      <c r="E901" s="49">
        <f>VLOOKUP(Table311[[#This Row],[Date]],'DB Details'!$A:$T,19)</f>
        <v>0</v>
      </c>
    </row>
    <row r="902" spans="1:5" x14ac:dyDescent="0.35">
      <c r="A902" s="38">
        <v>44805</v>
      </c>
      <c r="B902" s="48">
        <f>VLOOKUP(Table311[[#This Row],[Date]],'DB Details'!$A:$L,12)</f>
        <v>50.9</v>
      </c>
      <c r="C902" s="49">
        <f>VLOOKUP(Table311[[#This Row],[Date]],'DB Details'!$A:$T,20)</f>
        <v>0</v>
      </c>
      <c r="D902" s="49">
        <f>VLOOKUP(Table311[[#This Row],[Date]],'DB Details'!$A:$T,18)</f>
        <v>0</v>
      </c>
      <c r="E902" s="49">
        <f>VLOOKUP(Table311[[#This Row],[Date]],'DB Details'!$A:$T,19)</f>
        <v>0</v>
      </c>
    </row>
    <row r="903" spans="1:5" x14ac:dyDescent="0.35">
      <c r="A903" s="38">
        <v>44835</v>
      </c>
      <c r="B903" s="48">
        <f>VLOOKUP(Table311[[#This Row],[Date]],'DB Details'!$A:$L,12)</f>
        <v>50.2</v>
      </c>
      <c r="C903" s="49">
        <f>VLOOKUP(Table311[[#This Row],[Date]],'DB Details'!$A:$T,20)</f>
        <v>9.5925354269263009E-3</v>
      </c>
      <c r="D903" s="49">
        <f>VLOOKUP(Table311[[#This Row],[Date]],'DB Details'!$A:$T,18)</f>
        <v>7.1518529132102533E-3</v>
      </c>
      <c r="E903" s="49">
        <f>VLOOKUP(Table311[[#This Row],[Date]],'DB Details'!$A:$T,19)</f>
        <v>2.891577151011537E-2</v>
      </c>
    </row>
    <row r="904" spans="1:5" x14ac:dyDescent="0.35">
      <c r="A904" s="38">
        <v>44866</v>
      </c>
      <c r="B904" s="48">
        <f>VLOOKUP(Table311[[#This Row],[Date]],'DB Details'!$A:$L,12)</f>
        <v>49</v>
      </c>
      <c r="C904" s="49">
        <f>VLOOKUP(Table311[[#This Row],[Date]],'DB Details'!$A:$T,20)</f>
        <v>0</v>
      </c>
      <c r="D904" s="49">
        <f>VLOOKUP(Table311[[#This Row],[Date]],'DB Details'!$A:$T,18)</f>
        <v>0</v>
      </c>
      <c r="E904" s="49">
        <f>VLOOKUP(Table311[[#This Row],[Date]],'DB Details'!$A:$T,19)</f>
        <v>0</v>
      </c>
    </row>
    <row r="905" spans="1:5" x14ac:dyDescent="0.35">
      <c r="A905" s="38">
        <v>44896</v>
      </c>
      <c r="B905" s="48">
        <f>VLOOKUP(Table311[[#This Row],[Date]],'DB Details'!$A:$L,12)</f>
        <v>48.4</v>
      </c>
      <c r="C905" s="49">
        <f>VLOOKUP(Table311[[#This Row],[Date]],'DB Details'!$A:$T,20)</f>
        <v>0</v>
      </c>
      <c r="D905" s="49">
        <f>VLOOKUP(Table311[[#This Row],[Date]],'DB Details'!$A:$T,18)</f>
        <v>0</v>
      </c>
      <c r="E905" s="49">
        <f>VLOOKUP(Table311[[#This Row],[Date]],'DB Details'!$A:$T,19)</f>
        <v>0</v>
      </c>
    </row>
    <row r="906" spans="1:5" x14ac:dyDescent="0.35">
      <c r="A906" s="38">
        <v>44927</v>
      </c>
      <c r="B906" s="48">
        <f>VLOOKUP(Table311[[#This Row],[Date]],'DB Details'!$A:$L,12)</f>
        <v>47.4</v>
      </c>
      <c r="C906" s="49">
        <f>VLOOKUP(Table311[[#This Row],[Date]],'DB Details'!$A:$T,20)</f>
        <v>0</v>
      </c>
      <c r="D906" s="49">
        <f>VLOOKUP(Table311[[#This Row],[Date]],'DB Details'!$A:$T,18)</f>
        <v>0</v>
      </c>
      <c r="E906" s="49">
        <f>VLOOKUP(Table311[[#This Row],[Date]],'DB Details'!$A:$T,19)</f>
        <v>0</v>
      </c>
    </row>
  </sheetData>
  <conditionalFormatting sqref="B750:B906">
    <cfRule type="colorScale" priority="2">
      <colorScale>
        <cfvo type="min"/>
        <cfvo type="percentile" val="50"/>
        <cfvo type="max"/>
        <color rgb="FFF8696B"/>
        <color rgb="FFFFEB84"/>
        <color rgb="FF63BE7B"/>
      </colorScale>
    </cfRule>
  </conditionalFormatting>
  <conditionalFormatting sqref="E750:E9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906"/>
  <sheetViews>
    <sheetView zoomScale="110" zoomScaleNormal="110" workbookViewId="0">
      <pane ySplit="5" topLeftCell="A867" activePane="bottomLeft" state="frozen"/>
      <selection pane="bottomLeft" activeCell="A896" sqref="A896:D906"/>
    </sheetView>
  </sheetViews>
  <sheetFormatPr defaultColWidth="9.1796875" defaultRowHeight="14.5" x14ac:dyDescent="0.35"/>
  <cols>
    <col min="1" max="1" width="12.1796875" style="90" customWidth="1"/>
    <col min="2" max="2" width="11" style="90" customWidth="1"/>
    <col min="3" max="3" width="11" style="10" customWidth="1"/>
    <col min="4" max="4" width="10.36328125" style="8" customWidth="1"/>
    <col min="5" max="5" width="6.1796875" style="90" customWidth="1"/>
    <col min="6" max="8" width="2.6328125" style="90" customWidth="1"/>
    <col min="9" max="10" width="2.6328125" style="2" customWidth="1"/>
    <col min="11" max="11" width="2.6328125" style="90" customWidth="1"/>
    <col min="12" max="13" width="3.1796875" style="90" customWidth="1"/>
    <col min="14" max="54" width="9.1796875" style="90" customWidth="1"/>
    <col min="55" max="16384" width="9.1796875" style="90"/>
  </cols>
  <sheetData>
    <row r="4" spans="1:11" ht="16" customHeight="1" thickBot="1" x14ac:dyDescent="0.4"/>
    <row r="5" spans="1:11" s="91" customFormat="1" x14ac:dyDescent="0.35">
      <c r="A5" s="35" t="s">
        <v>82</v>
      </c>
      <c r="B5" s="36" t="s">
        <v>84</v>
      </c>
      <c r="C5" s="36" t="s">
        <v>88</v>
      </c>
      <c r="D5" s="37" t="s">
        <v>89</v>
      </c>
      <c r="I5" s="9"/>
      <c r="J5" s="9"/>
    </row>
    <row r="6" spans="1:11" x14ac:dyDescent="0.35">
      <c r="A6" s="39">
        <v>17533</v>
      </c>
      <c r="B6" s="40">
        <f>VLOOKUP(Table7[[#This Row],[Date]],'DB Details'!$A:$L,12)</f>
        <v>51.7</v>
      </c>
      <c r="C6" s="41">
        <v>14.68</v>
      </c>
      <c r="D6" s="46"/>
      <c r="F6" s="3"/>
      <c r="K6" s="2"/>
    </row>
    <row r="7" spans="1:11" x14ac:dyDescent="0.35">
      <c r="A7" s="39">
        <v>17564</v>
      </c>
      <c r="B7" s="40">
        <f>VLOOKUP(Table7[[#This Row],[Date]],'DB Details'!$A:$L,12)</f>
        <v>50.2</v>
      </c>
      <c r="C7" s="41">
        <v>13.93</v>
      </c>
      <c r="D7" s="46"/>
      <c r="F7" s="3"/>
      <c r="K7" s="2"/>
    </row>
    <row r="8" spans="1:11" x14ac:dyDescent="0.35">
      <c r="A8" s="39">
        <v>17593</v>
      </c>
      <c r="B8" s="40">
        <f>VLOOKUP(Table7[[#This Row],[Date]],'DB Details'!$A:$L,12)</f>
        <v>43.3</v>
      </c>
      <c r="C8" s="41">
        <v>15.08</v>
      </c>
      <c r="D8" s="46"/>
      <c r="F8" s="3"/>
      <c r="K8" s="2"/>
    </row>
    <row r="9" spans="1:11" x14ac:dyDescent="0.35">
      <c r="A9" s="39">
        <v>17624</v>
      </c>
      <c r="B9" s="40">
        <f>VLOOKUP(Table7[[#This Row],[Date]],'DB Details'!$A:$L,12)</f>
        <v>45.4</v>
      </c>
      <c r="C9" s="41">
        <v>15.48</v>
      </c>
      <c r="D9" s="46"/>
      <c r="F9" s="3"/>
      <c r="K9" s="2"/>
    </row>
    <row r="10" spans="1:11" x14ac:dyDescent="0.35">
      <c r="A10" s="39">
        <v>17654</v>
      </c>
      <c r="B10" s="40">
        <f>VLOOKUP(Table7[[#This Row],[Date]],'DB Details'!$A:$L,12)</f>
        <v>49.5</v>
      </c>
      <c r="C10" s="41">
        <v>16.690000000000001</v>
      </c>
      <c r="D10" s="46"/>
      <c r="F10" s="3"/>
      <c r="K10" s="2"/>
    </row>
    <row r="11" spans="1:11" x14ac:dyDescent="0.35">
      <c r="A11" s="39">
        <v>17685</v>
      </c>
      <c r="B11" s="40">
        <f>VLOOKUP(Table7[[#This Row],[Date]],'DB Details'!$A:$L,12)</f>
        <v>53</v>
      </c>
      <c r="C11" s="41">
        <v>16.739999999999998</v>
      </c>
      <c r="D11" s="46"/>
      <c r="F11" s="3"/>
      <c r="K11" s="2"/>
    </row>
    <row r="12" spans="1:11" x14ac:dyDescent="0.35">
      <c r="A12" s="39">
        <v>17715</v>
      </c>
      <c r="B12" s="40">
        <f>VLOOKUP(Table7[[#This Row],[Date]],'DB Details'!$A:$L,12)</f>
        <v>48.4</v>
      </c>
      <c r="C12" s="41">
        <v>15.85</v>
      </c>
      <c r="D12" s="46"/>
      <c r="F12" s="3"/>
      <c r="K12" s="2"/>
    </row>
    <row r="13" spans="1:11" x14ac:dyDescent="0.35">
      <c r="A13" s="39">
        <v>17746</v>
      </c>
      <c r="B13" s="40">
        <f>VLOOKUP(Table7[[#This Row],[Date]],'DB Details'!$A:$L,12)</f>
        <v>45.1</v>
      </c>
      <c r="C13" s="41">
        <v>15.97</v>
      </c>
      <c r="D13" s="46"/>
      <c r="F13" s="3"/>
      <c r="K13" s="2"/>
    </row>
    <row r="14" spans="1:11" x14ac:dyDescent="0.35">
      <c r="A14" s="39">
        <v>17777</v>
      </c>
      <c r="B14" s="40">
        <f>VLOOKUP(Table7[[#This Row],[Date]],'DB Details'!$A:$L,12)</f>
        <v>42.1</v>
      </c>
      <c r="C14" s="41">
        <v>15.49</v>
      </c>
      <c r="D14" s="46"/>
      <c r="F14" s="3"/>
      <c r="K14" s="2"/>
    </row>
    <row r="15" spans="1:11" x14ac:dyDescent="0.35">
      <c r="A15" s="39">
        <v>17807</v>
      </c>
      <c r="B15" s="40">
        <f>VLOOKUP(Table7[[#This Row],[Date]],'DB Details'!$A:$L,12)</f>
        <v>47.2</v>
      </c>
      <c r="C15" s="41">
        <v>16.5</v>
      </c>
      <c r="D15" s="46"/>
      <c r="F15" s="3"/>
      <c r="K15" s="2"/>
    </row>
    <row r="16" spans="1:11" x14ac:dyDescent="0.35">
      <c r="A16" s="39">
        <v>17838</v>
      </c>
      <c r="B16" s="40">
        <f>VLOOKUP(Table7[[#This Row],[Date]],'DB Details'!$A:$L,12)</f>
        <v>42.4</v>
      </c>
      <c r="C16" s="41">
        <v>14.75</v>
      </c>
      <c r="D16" s="46"/>
      <c r="F16" s="3"/>
      <c r="K16" s="2"/>
    </row>
    <row r="17" spans="1:11" x14ac:dyDescent="0.35">
      <c r="A17" s="39">
        <v>17868</v>
      </c>
      <c r="B17" s="40">
        <f>VLOOKUP(Table7[[#This Row],[Date]],'DB Details'!$A:$L,12)</f>
        <v>35</v>
      </c>
      <c r="C17" s="41">
        <v>15.2</v>
      </c>
      <c r="D17" s="46"/>
      <c r="F17" s="3"/>
      <c r="K17" s="2"/>
    </row>
    <row r="18" spans="1:11" x14ac:dyDescent="0.35">
      <c r="A18" s="39">
        <v>17899</v>
      </c>
      <c r="B18" s="40">
        <f>VLOOKUP(Table7[[#This Row],[Date]],'DB Details'!$A:$L,12)</f>
        <v>32.9</v>
      </c>
      <c r="C18" s="41">
        <v>15.22</v>
      </c>
      <c r="D18" s="46">
        <f>(Table7[[#This Row],[S&amp;P]]-C6)/C6</f>
        <v>3.6784741144414233E-2</v>
      </c>
      <c r="F18" s="3"/>
      <c r="K18" s="2"/>
    </row>
    <row r="19" spans="1:11" x14ac:dyDescent="0.35">
      <c r="A19" s="39">
        <v>17930</v>
      </c>
      <c r="B19" s="40">
        <f>VLOOKUP(Table7[[#This Row],[Date]],'DB Details'!$A:$L,12)</f>
        <v>31.3</v>
      </c>
      <c r="C19" s="41">
        <v>14.62</v>
      </c>
      <c r="D19" s="46">
        <f>(Table7[[#This Row],[S&amp;P]]-C7)/C7</f>
        <v>4.9533381191672617E-2</v>
      </c>
      <c r="F19" s="3"/>
      <c r="K19" s="2"/>
    </row>
    <row r="20" spans="1:11" x14ac:dyDescent="0.35">
      <c r="A20" s="39">
        <v>17958</v>
      </c>
      <c r="B20" s="40">
        <f>VLOOKUP(Table7[[#This Row],[Date]],'DB Details'!$A:$L,12)</f>
        <v>34.5</v>
      </c>
      <c r="C20" s="41">
        <v>15.06</v>
      </c>
      <c r="D20" s="46">
        <f>(Table7[[#This Row],[S&amp;P]]-C8)/C8</f>
        <v>-1.3262599469495739E-3</v>
      </c>
      <c r="F20" s="3"/>
      <c r="K20" s="2"/>
    </row>
    <row r="21" spans="1:11" x14ac:dyDescent="0.35">
      <c r="A21" s="39">
        <v>17989</v>
      </c>
      <c r="B21" s="40">
        <f>VLOOKUP(Table7[[#This Row],[Date]],'DB Details'!$A:$L,12)</f>
        <v>35.5</v>
      </c>
      <c r="C21" s="41">
        <v>14.71</v>
      </c>
      <c r="D21" s="46">
        <f>(Table7[[#This Row],[S&amp;P]]-C9)/C9</f>
        <v>-4.9741602067183435E-2</v>
      </c>
      <c r="F21" s="3"/>
      <c r="K21" s="2"/>
    </row>
    <row r="22" spans="1:11" x14ac:dyDescent="0.35">
      <c r="A22" s="39">
        <v>18019</v>
      </c>
      <c r="B22" s="40">
        <f>VLOOKUP(Table7[[#This Row],[Date]],'DB Details'!$A:$L,12)</f>
        <v>32.6</v>
      </c>
      <c r="C22" s="41">
        <v>14.19</v>
      </c>
      <c r="D22" s="46">
        <f>(Table7[[#This Row],[S&amp;P]]-C10)/C10</f>
        <v>-0.14979029358897553</v>
      </c>
      <c r="F22" s="3"/>
      <c r="K22" s="2"/>
    </row>
    <row r="23" spans="1:11" x14ac:dyDescent="0.35">
      <c r="A23" s="39">
        <v>18050</v>
      </c>
      <c r="B23" s="40">
        <f>VLOOKUP(Table7[[#This Row],[Date]],'DB Details'!$A:$L,12)</f>
        <v>31.6</v>
      </c>
      <c r="C23" s="41">
        <v>14.16</v>
      </c>
      <c r="D23" s="46">
        <f>(Table7[[#This Row],[S&amp;P]]-C11)/C11</f>
        <v>-0.15412186379928305</v>
      </c>
      <c r="F23" s="3"/>
      <c r="K23" s="2"/>
    </row>
    <row r="24" spans="1:11" x14ac:dyDescent="0.35">
      <c r="A24" s="39">
        <v>18080</v>
      </c>
      <c r="B24" s="40">
        <f>VLOOKUP(Table7[[#This Row],[Date]],'DB Details'!$A:$L,12)</f>
        <v>39</v>
      </c>
      <c r="C24" s="41">
        <v>15.04</v>
      </c>
      <c r="D24" s="46">
        <f>(Table7[[#This Row],[S&amp;P]]-C12)/C12</f>
        <v>-5.1104100946372272E-2</v>
      </c>
      <c r="F24" s="3"/>
      <c r="K24" s="2"/>
    </row>
    <row r="25" spans="1:11" x14ac:dyDescent="0.35">
      <c r="A25" s="39">
        <v>18111</v>
      </c>
      <c r="B25" s="40">
        <f>VLOOKUP(Table7[[#This Row],[Date]],'DB Details'!$A:$L,12)</f>
        <v>47</v>
      </c>
      <c r="C25" s="41">
        <v>15.22</v>
      </c>
      <c r="D25" s="46">
        <f>(Table7[[#This Row],[S&amp;P]]-C13)/C13</f>
        <v>-4.6963055729492796E-2</v>
      </c>
      <c r="F25" s="3"/>
      <c r="K25" s="2"/>
    </row>
    <row r="26" spans="1:11" x14ac:dyDescent="0.35">
      <c r="A26" s="39">
        <v>18142</v>
      </c>
      <c r="B26" s="40">
        <f>VLOOKUP(Table7[[#This Row],[Date]],'DB Details'!$A:$L,12)</f>
        <v>52.3</v>
      </c>
      <c r="C26" s="41">
        <v>15.58</v>
      </c>
      <c r="D26" s="46">
        <f>(Table7[[#This Row],[S&amp;P]]-C14)/C14</f>
        <v>5.8102001291155496E-3</v>
      </c>
      <c r="F26" s="3"/>
      <c r="K26" s="2"/>
    </row>
    <row r="27" spans="1:11" x14ac:dyDescent="0.35">
      <c r="A27" s="39">
        <v>18172</v>
      </c>
      <c r="B27" s="40">
        <f>VLOOKUP(Table7[[#This Row],[Date]],'DB Details'!$A:$L,12)</f>
        <v>51</v>
      </c>
      <c r="C27" s="41">
        <v>16.04</v>
      </c>
      <c r="D27" s="46">
        <f>(Table7[[#This Row],[S&amp;P]]-C15)/C15</f>
        <v>-2.787878787878793E-2</v>
      </c>
      <c r="F27" s="3"/>
      <c r="K27" s="2"/>
    </row>
    <row r="28" spans="1:11" x14ac:dyDescent="0.35">
      <c r="A28" s="39">
        <v>18203</v>
      </c>
      <c r="B28" s="40">
        <f>VLOOKUP(Table7[[#This Row],[Date]],'DB Details'!$A:$L,12)</f>
        <v>51</v>
      </c>
      <c r="C28" s="41">
        <v>16.059999999999999</v>
      </c>
      <c r="D28" s="46">
        <f>(Table7[[#This Row],[S&amp;P]]-C16)/C16</f>
        <v>8.8813559322033817E-2</v>
      </c>
      <c r="F28" s="3"/>
      <c r="K28" s="2"/>
    </row>
    <row r="29" spans="1:11" x14ac:dyDescent="0.35">
      <c r="A29" s="39">
        <v>18233</v>
      </c>
      <c r="B29" s="40">
        <f>VLOOKUP(Table7[[#This Row],[Date]],'DB Details'!$A:$L,12)</f>
        <v>57.3</v>
      </c>
      <c r="C29" s="41">
        <v>16.79</v>
      </c>
      <c r="D29" s="46">
        <f>(Table7[[#This Row],[S&amp;P]]-C17)/C17</f>
        <v>0.10460526315789473</v>
      </c>
      <c r="F29" s="3"/>
      <c r="K29" s="2"/>
    </row>
    <row r="30" spans="1:11" x14ac:dyDescent="0.35">
      <c r="A30" s="39">
        <v>18264</v>
      </c>
      <c r="B30" s="40">
        <f>VLOOKUP(Table7[[#This Row],[Date]],'DB Details'!$A:$L,12)</f>
        <v>59.1</v>
      </c>
      <c r="C30" s="41">
        <v>17.049999</v>
      </c>
      <c r="D30" s="46">
        <f>(Table7[[#This Row],[S&amp;P]]-C18)/C18</f>
        <v>0.1202364651773981</v>
      </c>
      <c r="F30" s="3"/>
      <c r="K30" s="2"/>
    </row>
    <row r="31" spans="1:11" x14ac:dyDescent="0.35">
      <c r="A31" s="39">
        <v>18295</v>
      </c>
      <c r="B31" s="40">
        <f>VLOOKUP(Table7[[#This Row],[Date]],'DB Details'!$A:$L,12)</f>
        <v>60.5</v>
      </c>
      <c r="C31" s="41">
        <v>17.219999000000001</v>
      </c>
      <c r="D31" s="46">
        <f>(Table7[[#This Row],[S&amp;P]]-C19)/C19</f>
        <v>0.17783850889192901</v>
      </c>
      <c r="F31" s="3"/>
      <c r="K31" s="2"/>
    </row>
    <row r="32" spans="1:11" x14ac:dyDescent="0.35">
      <c r="A32" s="39">
        <v>18323</v>
      </c>
      <c r="B32" s="40">
        <f>VLOOKUP(Table7[[#This Row],[Date]],'DB Details'!$A:$L,12)</f>
        <v>62.1</v>
      </c>
      <c r="C32" s="41">
        <v>17.290001</v>
      </c>
      <c r="D32" s="46">
        <f>(Table7[[#This Row],[S&amp;P]]-C20)/C20</f>
        <v>0.14807443559096942</v>
      </c>
      <c r="F32" s="3"/>
      <c r="K32" s="2"/>
    </row>
    <row r="33" spans="1:11" x14ac:dyDescent="0.35">
      <c r="A33" s="39">
        <v>18354</v>
      </c>
      <c r="B33" s="40">
        <f>VLOOKUP(Table7[[#This Row],[Date]],'DB Details'!$A:$L,12)</f>
        <v>68.099999999999994</v>
      </c>
      <c r="C33" s="41">
        <v>18.07</v>
      </c>
      <c r="D33" s="46">
        <f>(Table7[[#This Row],[S&amp;P]]-C21)/C21</f>
        <v>0.22841604350781775</v>
      </c>
      <c r="F33" s="3"/>
      <c r="K33" s="2"/>
    </row>
    <row r="34" spans="1:11" x14ac:dyDescent="0.35">
      <c r="A34" s="39">
        <v>18384</v>
      </c>
      <c r="B34" s="40">
        <f>VLOOKUP(Table7[[#This Row],[Date]],'DB Details'!$A:$L,12)</f>
        <v>74.7</v>
      </c>
      <c r="C34" s="41">
        <v>18.780000999999999</v>
      </c>
      <c r="D34" s="46">
        <f>(Table7[[#This Row],[S&amp;P]]-C22)/C22</f>
        <v>0.32346730091613807</v>
      </c>
      <c r="F34" s="3"/>
      <c r="K34" s="2"/>
    </row>
    <row r="35" spans="1:11" x14ac:dyDescent="0.35">
      <c r="A35" s="39">
        <v>18415</v>
      </c>
      <c r="B35" s="40">
        <f>VLOOKUP(Table7[[#This Row],[Date]],'DB Details'!$A:$L,12)</f>
        <v>76.599999999999994</v>
      </c>
      <c r="C35" s="41">
        <v>17.690000999999999</v>
      </c>
      <c r="D35" s="46">
        <f>(Table7[[#This Row],[S&amp;P]]-C23)/C23</f>
        <v>0.2492938559322033</v>
      </c>
      <c r="F35" s="3"/>
      <c r="K35" s="2"/>
    </row>
    <row r="36" spans="1:11" x14ac:dyDescent="0.35">
      <c r="A36" s="39">
        <v>18445</v>
      </c>
      <c r="B36" s="40">
        <f>VLOOKUP(Table7[[#This Row],[Date]],'DB Details'!$A:$L,12)</f>
        <v>77.5</v>
      </c>
      <c r="C36" s="41">
        <v>17.84</v>
      </c>
      <c r="D36" s="46">
        <f>(Table7[[#This Row],[S&amp;P]]-C24)/C24</f>
        <v>0.18617021276595749</v>
      </c>
      <c r="F36" s="3"/>
      <c r="K36" s="2"/>
    </row>
    <row r="37" spans="1:11" x14ac:dyDescent="0.35">
      <c r="A37" s="39">
        <v>18476</v>
      </c>
      <c r="B37" s="40">
        <f>VLOOKUP(Table7[[#This Row],[Date]],'DB Details'!$A:$L,12)</f>
        <v>75.8</v>
      </c>
      <c r="C37" s="41">
        <v>18.420000000000002</v>
      </c>
      <c r="D37" s="46">
        <f>(Table7[[#This Row],[S&amp;P]]-C25)/C25</f>
        <v>0.21024967148488838</v>
      </c>
      <c r="F37" s="3"/>
      <c r="K37" s="2"/>
    </row>
    <row r="38" spans="1:11" x14ac:dyDescent="0.35">
      <c r="A38" s="39">
        <v>18507</v>
      </c>
      <c r="B38" s="40">
        <f>VLOOKUP(Table7[[#This Row],[Date]],'DB Details'!$A:$L,12)</f>
        <v>68.099999999999994</v>
      </c>
      <c r="C38" s="41">
        <v>19.450001</v>
      </c>
      <c r="D38" s="46">
        <f>(Table7[[#This Row],[S&amp;P]]-C26)/C26</f>
        <v>0.2483954428754814</v>
      </c>
      <c r="F38" s="3"/>
      <c r="K38" s="2"/>
    </row>
    <row r="39" spans="1:11" x14ac:dyDescent="0.35">
      <c r="A39" s="39">
        <v>18537</v>
      </c>
      <c r="B39" s="40">
        <f>VLOOKUP(Table7[[#This Row],[Date]],'DB Details'!$A:$L,12)</f>
        <v>59.2</v>
      </c>
      <c r="C39" s="41">
        <v>19.530000999999999</v>
      </c>
      <c r="D39" s="46">
        <f>(Table7[[#This Row],[S&amp;P]]-C27)/C27</f>
        <v>0.21758110972568576</v>
      </c>
      <c r="F39" s="3"/>
      <c r="K39" s="2"/>
    </row>
    <row r="40" spans="1:11" x14ac:dyDescent="0.35">
      <c r="A40" s="39">
        <v>18568</v>
      </c>
      <c r="B40" s="40">
        <f>VLOOKUP(Table7[[#This Row],[Date]],'DB Details'!$A:$L,12)</f>
        <v>63.1</v>
      </c>
      <c r="C40" s="41">
        <v>19.510000000000002</v>
      </c>
      <c r="D40" s="46">
        <f>(Table7[[#This Row],[S&amp;P]]-C28)/C28</f>
        <v>0.21481942714819446</v>
      </c>
      <c r="F40" s="3"/>
      <c r="K40" s="2"/>
    </row>
    <row r="41" spans="1:11" x14ac:dyDescent="0.35">
      <c r="A41" s="39">
        <v>18598</v>
      </c>
      <c r="B41" s="40">
        <f>VLOOKUP(Table7[[#This Row],[Date]],'DB Details'!$A:$L,12)</f>
        <v>67.099999999999994</v>
      </c>
      <c r="C41" s="41">
        <v>20.41</v>
      </c>
      <c r="D41" s="46">
        <f>(Table7[[#This Row],[S&amp;P]]-C29)/C29</f>
        <v>0.21560452650387144</v>
      </c>
      <c r="F41" s="3"/>
      <c r="K41" s="2"/>
    </row>
    <row r="42" spans="1:11" x14ac:dyDescent="0.35">
      <c r="A42" s="39">
        <v>18629</v>
      </c>
      <c r="B42" s="40">
        <f>VLOOKUP(Table7[[#This Row],[Date]],'DB Details'!$A:$L,12)</f>
        <v>67.8</v>
      </c>
      <c r="C42" s="41">
        <v>21.66</v>
      </c>
      <c r="D42" s="46">
        <f>(Table7[[#This Row],[S&amp;P]]-C30)/C30</f>
        <v>0.27038130618072181</v>
      </c>
      <c r="F42" s="3"/>
      <c r="K42" s="2"/>
    </row>
    <row r="43" spans="1:11" x14ac:dyDescent="0.35">
      <c r="A43" s="39">
        <v>18660</v>
      </c>
      <c r="B43" s="40">
        <f>VLOOKUP(Table7[[#This Row],[Date]],'DB Details'!$A:$L,12)</f>
        <v>69.3</v>
      </c>
      <c r="C43" s="41">
        <v>21.799999</v>
      </c>
      <c r="D43" s="46">
        <f>(Table7[[#This Row],[S&amp;P]]-C31)/C31</f>
        <v>0.26596981800057001</v>
      </c>
      <c r="F43" s="3"/>
      <c r="K43" s="2"/>
    </row>
    <row r="44" spans="1:11" x14ac:dyDescent="0.35">
      <c r="A44" s="39">
        <v>18688</v>
      </c>
      <c r="B44" s="40">
        <f>VLOOKUP(Table7[[#This Row],[Date]],'DB Details'!$A:$L,12)</f>
        <v>65.5</v>
      </c>
      <c r="C44" s="41">
        <v>21.4</v>
      </c>
      <c r="D44" s="46">
        <f>(Table7[[#This Row],[S&amp;P]]-C32)/C32</f>
        <v>0.23770958717700469</v>
      </c>
      <c r="F44" s="3"/>
      <c r="K44" s="2"/>
    </row>
    <row r="45" spans="1:11" x14ac:dyDescent="0.35">
      <c r="A45" s="39">
        <v>18719</v>
      </c>
      <c r="B45" s="40">
        <f>VLOOKUP(Table7[[#This Row],[Date]],'DB Details'!$A:$L,12)</f>
        <v>53.5</v>
      </c>
      <c r="C45" s="41">
        <v>22.43</v>
      </c>
      <c r="D45" s="46">
        <f>(Table7[[#This Row],[S&amp;P]]-C33)/C33</f>
        <v>0.24128389596015493</v>
      </c>
      <c r="F45" s="3"/>
      <c r="K45" s="2"/>
    </row>
    <row r="46" spans="1:11" x14ac:dyDescent="0.35">
      <c r="A46" s="39">
        <v>18749</v>
      </c>
      <c r="B46" s="40">
        <f>VLOOKUP(Table7[[#This Row],[Date]],'DB Details'!$A:$L,12)</f>
        <v>50.7</v>
      </c>
      <c r="C46" s="41">
        <v>21.52</v>
      </c>
      <c r="D46" s="46">
        <f>(Table7[[#This Row],[S&amp;P]]-C34)/C34</f>
        <v>0.14589983248669694</v>
      </c>
      <c r="F46" s="3"/>
      <c r="K46" s="2"/>
    </row>
    <row r="47" spans="1:11" x14ac:dyDescent="0.35">
      <c r="A47" s="39">
        <v>18780</v>
      </c>
      <c r="B47" s="40">
        <f>VLOOKUP(Table7[[#This Row],[Date]],'DB Details'!$A:$L,12)</f>
        <v>45.5</v>
      </c>
      <c r="C47" s="41">
        <v>20.959999</v>
      </c>
      <c r="D47" s="46">
        <f>(Table7[[#This Row],[S&amp;P]]-C35)/C35</f>
        <v>0.18485007434425815</v>
      </c>
      <c r="F47" s="3"/>
      <c r="K47" s="2"/>
    </row>
    <row r="48" spans="1:11" x14ac:dyDescent="0.35">
      <c r="A48" s="39">
        <v>18810</v>
      </c>
      <c r="B48" s="40">
        <f>VLOOKUP(Table7[[#This Row],[Date]],'DB Details'!$A:$L,12)</f>
        <v>42.1</v>
      </c>
      <c r="C48" s="41">
        <v>22.4</v>
      </c>
      <c r="D48" s="46">
        <f>(Table7[[#This Row],[S&amp;P]]-C36)/C36</f>
        <v>0.25560538116591919</v>
      </c>
      <c r="F48" s="3"/>
      <c r="K48" s="2"/>
    </row>
    <row r="49" spans="1:11" x14ac:dyDescent="0.35">
      <c r="A49" s="39">
        <v>18841</v>
      </c>
      <c r="B49" s="40">
        <f>VLOOKUP(Table7[[#This Row],[Date]],'DB Details'!$A:$L,12)</f>
        <v>43.6</v>
      </c>
      <c r="C49" s="41">
        <v>23.280000999999999</v>
      </c>
      <c r="D49" s="46">
        <f>(Table7[[#This Row],[S&amp;P]]-C37)/C37</f>
        <v>0.26384370249728539</v>
      </c>
      <c r="F49" s="3"/>
      <c r="K49" s="2"/>
    </row>
    <row r="50" spans="1:11" x14ac:dyDescent="0.35">
      <c r="A50" s="39">
        <v>18872</v>
      </c>
      <c r="B50" s="40">
        <f>VLOOKUP(Table7[[#This Row],[Date]],'DB Details'!$A:$L,12)</f>
        <v>48.1</v>
      </c>
      <c r="C50" s="41">
        <v>23.26</v>
      </c>
      <c r="D50" s="46">
        <f>(Table7[[#This Row],[S&amp;P]]-C38)/C38</f>
        <v>0.19588682797497034</v>
      </c>
      <c r="F50" s="3"/>
      <c r="K50" s="2"/>
    </row>
    <row r="51" spans="1:11" x14ac:dyDescent="0.35">
      <c r="A51" s="39">
        <v>18902</v>
      </c>
      <c r="B51" s="40">
        <f>VLOOKUP(Table7[[#This Row],[Date]],'DB Details'!$A:$L,12)</f>
        <v>49.6</v>
      </c>
      <c r="C51" s="41">
        <v>22.940000999999999</v>
      </c>
      <c r="D51" s="46">
        <f>(Table7[[#This Row],[S&amp;P]]-C39)/C39</f>
        <v>0.17460316566292036</v>
      </c>
      <c r="F51" s="3"/>
      <c r="K51" s="2"/>
    </row>
    <row r="52" spans="1:11" x14ac:dyDescent="0.35">
      <c r="A52" s="39">
        <v>18933</v>
      </c>
      <c r="B52" s="40">
        <f>VLOOKUP(Table7[[#This Row],[Date]],'DB Details'!$A:$L,12)</f>
        <v>47.2</v>
      </c>
      <c r="C52" s="41">
        <v>22.879999000000002</v>
      </c>
      <c r="D52" s="46">
        <f>(Table7[[#This Row],[S&amp;P]]-C40)/C40</f>
        <v>0.17273188108662224</v>
      </c>
      <c r="F52" s="3"/>
      <c r="K52" s="2"/>
    </row>
    <row r="53" spans="1:11" x14ac:dyDescent="0.35">
      <c r="A53" s="39">
        <v>18963</v>
      </c>
      <c r="B53" s="40">
        <f>VLOOKUP(Table7[[#This Row],[Date]],'DB Details'!$A:$L,12)</f>
        <v>46.5</v>
      </c>
      <c r="C53" s="41">
        <v>23.77</v>
      </c>
      <c r="D53" s="46">
        <f>(Table7[[#This Row],[S&amp;P]]-C41)/C41</f>
        <v>0.16462518373346396</v>
      </c>
      <c r="F53" s="3"/>
      <c r="K53" s="2"/>
    </row>
    <row r="54" spans="1:11" x14ac:dyDescent="0.35">
      <c r="A54" s="39">
        <v>18994</v>
      </c>
      <c r="B54" s="40">
        <f>VLOOKUP(Table7[[#This Row],[Date]],'DB Details'!$A:$L,12)</f>
        <v>44.7</v>
      </c>
      <c r="C54" s="41">
        <v>24.139999</v>
      </c>
      <c r="D54" s="46">
        <f>(Table7[[#This Row],[S&amp;P]]-C42)/C42</f>
        <v>0.11449672206832869</v>
      </c>
      <c r="F54" s="3"/>
      <c r="K54" s="2"/>
    </row>
    <row r="55" spans="1:11" x14ac:dyDescent="0.35">
      <c r="A55" s="39">
        <v>19025</v>
      </c>
      <c r="B55" s="40">
        <f>VLOOKUP(Table7[[#This Row],[Date]],'DB Details'!$A:$L,12)</f>
        <v>41.8</v>
      </c>
      <c r="C55" s="41">
        <v>23.26</v>
      </c>
      <c r="D55" s="46">
        <f>(Table7[[#This Row],[S&amp;P]]-C43)/C43</f>
        <v>6.6972526007914118E-2</v>
      </c>
      <c r="F55" s="3"/>
      <c r="K55" s="2"/>
    </row>
    <row r="56" spans="1:11" x14ac:dyDescent="0.35">
      <c r="A56" s="39">
        <v>19054</v>
      </c>
      <c r="B56" s="40">
        <f>VLOOKUP(Table7[[#This Row],[Date]],'DB Details'!$A:$L,12)</f>
        <v>40</v>
      </c>
      <c r="C56" s="41">
        <v>24.370000999999998</v>
      </c>
      <c r="D56" s="46">
        <f>(Table7[[#This Row],[S&amp;P]]-C44)/C44</f>
        <v>0.13878509345794393</v>
      </c>
      <c r="F56" s="3"/>
      <c r="K56" s="2"/>
    </row>
    <row r="57" spans="1:11" x14ac:dyDescent="0.35">
      <c r="A57" s="39">
        <v>19085</v>
      </c>
      <c r="B57" s="40">
        <f>VLOOKUP(Table7[[#This Row],[Date]],'DB Details'!$A:$L,12)</f>
        <v>36.700000000000003</v>
      </c>
      <c r="C57" s="41">
        <v>23.32</v>
      </c>
      <c r="D57" s="46">
        <f>(Table7[[#This Row],[S&amp;P]]-C45)/C45</f>
        <v>3.9679001337494454E-2</v>
      </c>
      <c r="F57" s="3"/>
      <c r="K57" s="2"/>
    </row>
    <row r="58" spans="1:11" x14ac:dyDescent="0.35">
      <c r="A58" s="39">
        <v>19115</v>
      </c>
      <c r="B58" s="40">
        <f>VLOOKUP(Table7[[#This Row],[Date]],'DB Details'!$A:$L,12)</f>
        <v>39.5</v>
      </c>
      <c r="C58" s="41">
        <v>23.860001</v>
      </c>
      <c r="D58" s="46">
        <f>(Table7[[#This Row],[S&amp;P]]-C46)/C46</f>
        <v>0.10873610594795544</v>
      </c>
      <c r="F58" s="3"/>
      <c r="K58" s="2"/>
    </row>
    <row r="59" spans="1:11" x14ac:dyDescent="0.35">
      <c r="A59" s="39">
        <v>19146</v>
      </c>
      <c r="B59" s="40">
        <f>VLOOKUP(Table7[[#This Row],[Date]],'DB Details'!$A:$L,12)</f>
        <v>43.3</v>
      </c>
      <c r="C59" s="41">
        <v>24.959999</v>
      </c>
      <c r="D59" s="46">
        <f>(Table7[[#This Row],[S&amp;P]]-C47)/C47</f>
        <v>0.19083970376143625</v>
      </c>
      <c r="F59" s="3"/>
      <c r="K59" s="2"/>
    </row>
    <row r="60" spans="1:11" x14ac:dyDescent="0.35">
      <c r="A60" s="39">
        <v>19176</v>
      </c>
      <c r="B60" s="40">
        <f>VLOOKUP(Table7[[#This Row],[Date]],'DB Details'!$A:$L,12)</f>
        <v>48.3</v>
      </c>
      <c r="C60" s="41">
        <v>25.4</v>
      </c>
      <c r="D60" s="46">
        <f>(Table7[[#This Row],[S&amp;P]]-C48)/C48</f>
        <v>0.13392857142857142</v>
      </c>
      <c r="F60" s="3"/>
      <c r="K60" s="2"/>
    </row>
    <row r="61" spans="1:11" x14ac:dyDescent="0.35">
      <c r="A61" s="39">
        <v>19207</v>
      </c>
      <c r="B61" s="40">
        <f>VLOOKUP(Table7[[#This Row],[Date]],'DB Details'!$A:$L,12)</f>
        <v>60.4</v>
      </c>
      <c r="C61" s="41">
        <v>25.030000999999999</v>
      </c>
      <c r="D61" s="46">
        <f>(Table7[[#This Row],[S&amp;P]]-C49)/C49</f>
        <v>7.5171818076811947E-2</v>
      </c>
      <c r="F61" s="3"/>
      <c r="K61" s="2"/>
    </row>
    <row r="62" spans="1:11" x14ac:dyDescent="0.35">
      <c r="A62" s="39">
        <v>19238</v>
      </c>
      <c r="B62" s="40">
        <f>VLOOKUP(Table7[[#This Row],[Date]],'DB Details'!$A:$L,12)</f>
        <v>56.1</v>
      </c>
      <c r="C62" s="41">
        <v>24.540001</v>
      </c>
      <c r="D62" s="46">
        <f>(Table7[[#This Row],[S&amp;P]]-C50)/C50</f>
        <v>5.5030137575236393E-2</v>
      </c>
      <c r="F62" s="3"/>
      <c r="K62" s="2"/>
    </row>
    <row r="63" spans="1:11" x14ac:dyDescent="0.35">
      <c r="A63" s="39">
        <v>19268</v>
      </c>
      <c r="B63" s="40">
        <f>VLOOKUP(Table7[[#This Row],[Date]],'DB Details'!$A:$L,12)</f>
        <v>56.2</v>
      </c>
      <c r="C63" s="41">
        <v>24.52</v>
      </c>
      <c r="D63" s="46">
        <f>(Table7[[#This Row],[S&amp;P]]-C51)/C51</f>
        <v>6.8875280345454259E-2</v>
      </c>
      <c r="F63" s="3"/>
      <c r="K63" s="2"/>
    </row>
    <row r="64" spans="1:11" x14ac:dyDescent="0.35">
      <c r="A64" s="39">
        <v>19299</v>
      </c>
      <c r="B64" s="40">
        <f>VLOOKUP(Table7[[#This Row],[Date]],'DB Details'!$A:$L,12)</f>
        <v>56.8</v>
      </c>
      <c r="C64" s="41">
        <v>25.66</v>
      </c>
      <c r="D64" s="46">
        <f>(Table7[[#This Row],[S&amp;P]]-C52)/C52</f>
        <v>0.12150354552025978</v>
      </c>
      <c r="F64" s="3"/>
      <c r="K64" s="2"/>
    </row>
    <row r="65" spans="1:11" x14ac:dyDescent="0.35">
      <c r="A65" s="39">
        <v>19329</v>
      </c>
      <c r="B65" s="40">
        <f>VLOOKUP(Table7[[#This Row],[Date]],'DB Details'!$A:$L,12)</f>
        <v>55.8</v>
      </c>
      <c r="C65" s="41">
        <v>26.57</v>
      </c>
      <c r="D65" s="46">
        <f>(Table7[[#This Row],[S&amp;P]]-C53)/C53</f>
        <v>0.1177955405973917</v>
      </c>
      <c r="F65" s="3"/>
      <c r="K65" s="2"/>
    </row>
    <row r="66" spans="1:11" x14ac:dyDescent="0.35">
      <c r="A66" s="39">
        <v>19360</v>
      </c>
      <c r="B66" s="40">
        <f>VLOOKUP(Table7[[#This Row],[Date]],'DB Details'!$A:$L,12)</f>
        <v>59.4</v>
      </c>
      <c r="C66" s="41">
        <v>26.379999000000002</v>
      </c>
      <c r="D66" s="46">
        <f>(Table7[[#This Row],[S&amp;P]]-C54)/C54</f>
        <v>9.2792050239935892E-2</v>
      </c>
      <c r="F66" s="3"/>
      <c r="K66" s="2"/>
    </row>
    <row r="67" spans="1:11" x14ac:dyDescent="0.35">
      <c r="A67" s="39">
        <v>19391</v>
      </c>
      <c r="B67" s="40">
        <f>VLOOKUP(Table7[[#This Row],[Date]],'DB Details'!$A:$L,12)</f>
        <v>55.4</v>
      </c>
      <c r="C67" s="41">
        <v>25.9</v>
      </c>
      <c r="D67" s="46">
        <f>(Table7[[#This Row],[S&amp;P]]-C55)/C55</f>
        <v>0.11349957007738594</v>
      </c>
      <c r="F67" s="3"/>
      <c r="K67" s="2"/>
    </row>
    <row r="68" spans="1:11" x14ac:dyDescent="0.35">
      <c r="A68" s="39">
        <v>19419</v>
      </c>
      <c r="B68" s="40">
        <f>VLOOKUP(Table7[[#This Row],[Date]],'DB Details'!$A:$L,12)</f>
        <v>50.5</v>
      </c>
      <c r="C68" s="41">
        <v>25.290001</v>
      </c>
      <c r="D68" s="46">
        <f>(Table7[[#This Row],[S&amp;P]]-C56)/C56</f>
        <v>3.7751332057803434E-2</v>
      </c>
      <c r="F68" s="3"/>
      <c r="K68" s="2"/>
    </row>
    <row r="69" spans="1:11" x14ac:dyDescent="0.35">
      <c r="A69" s="39">
        <v>19450</v>
      </c>
      <c r="B69" s="40">
        <f>VLOOKUP(Table7[[#This Row],[Date]],'DB Details'!$A:$L,12)</f>
        <v>51.1</v>
      </c>
      <c r="C69" s="41">
        <v>24.620000999999998</v>
      </c>
      <c r="D69" s="46">
        <f>(Table7[[#This Row],[S&amp;P]]-C57)/C57</f>
        <v>5.5746183533447603E-2</v>
      </c>
      <c r="F69" s="3"/>
      <c r="K69" s="2"/>
    </row>
    <row r="70" spans="1:11" x14ac:dyDescent="0.35">
      <c r="A70" s="39">
        <v>19480</v>
      </c>
      <c r="B70" s="40">
        <f>VLOOKUP(Table7[[#This Row],[Date]],'DB Details'!$A:$L,12)</f>
        <v>48.9</v>
      </c>
      <c r="C70" s="41">
        <v>24.540001</v>
      </c>
      <c r="D70" s="46">
        <f>(Table7[[#This Row],[S&amp;P]]-C58)/C58</f>
        <v>2.8499579694066218E-2</v>
      </c>
      <c r="F70" s="3"/>
      <c r="K70" s="2"/>
    </row>
    <row r="71" spans="1:11" x14ac:dyDescent="0.35">
      <c r="A71" s="39">
        <v>19511</v>
      </c>
      <c r="B71" s="40">
        <f>VLOOKUP(Table7[[#This Row],[Date]],'DB Details'!$A:$L,12)</f>
        <v>48.5</v>
      </c>
      <c r="C71" s="41">
        <v>24.139999</v>
      </c>
      <c r="D71" s="46">
        <f>(Table7[[#This Row],[S&amp;P]]-C59)/C59</f>
        <v>-3.2852565418772663E-2</v>
      </c>
      <c r="F71" s="3"/>
      <c r="K71" s="2"/>
    </row>
    <row r="72" spans="1:11" x14ac:dyDescent="0.35">
      <c r="A72" s="39">
        <v>19541</v>
      </c>
      <c r="B72" s="40">
        <f>VLOOKUP(Table7[[#This Row],[Date]],'DB Details'!$A:$L,12)</f>
        <v>46.3</v>
      </c>
      <c r="C72" s="41">
        <v>24.75</v>
      </c>
      <c r="D72" s="46">
        <f>(Table7[[#This Row],[S&amp;P]]-C60)/C60</f>
        <v>-2.5590551181102306E-2</v>
      </c>
      <c r="F72" s="3"/>
      <c r="K72" s="2"/>
    </row>
    <row r="73" spans="1:11" x14ac:dyDescent="0.35">
      <c r="A73" s="39">
        <v>19572</v>
      </c>
      <c r="B73" s="40">
        <f>VLOOKUP(Table7[[#This Row],[Date]],'DB Details'!$A:$L,12)</f>
        <v>43.5</v>
      </c>
      <c r="C73" s="41">
        <v>23.32</v>
      </c>
      <c r="D73" s="46">
        <f>(Table7[[#This Row],[S&amp;P]]-C61)/C61</f>
        <v>-6.8318055600557051E-2</v>
      </c>
      <c r="F73" s="3"/>
      <c r="K73" s="2"/>
    </row>
    <row r="74" spans="1:11" x14ac:dyDescent="0.35">
      <c r="A74" s="39">
        <v>19603</v>
      </c>
      <c r="B74" s="40">
        <f>VLOOKUP(Table7[[#This Row],[Date]],'DB Details'!$A:$L,12)</f>
        <v>40.200000000000003</v>
      </c>
      <c r="C74" s="41">
        <v>23.35</v>
      </c>
      <c r="D74" s="46">
        <f>(Table7[[#This Row],[S&amp;P]]-C62)/C62</f>
        <v>-4.8492296312457314E-2</v>
      </c>
      <c r="F74" s="3"/>
      <c r="K74" s="2"/>
    </row>
    <row r="75" spans="1:11" x14ac:dyDescent="0.35">
      <c r="A75" s="39">
        <v>19633</v>
      </c>
      <c r="B75" s="40">
        <f>VLOOKUP(Table7[[#This Row],[Date]],'DB Details'!$A:$L,12)</f>
        <v>37.4</v>
      </c>
      <c r="C75" s="41">
        <v>24.540001</v>
      </c>
      <c r="D75" s="46">
        <f>(Table7[[#This Row],[S&amp;P]]-C63)/C63</f>
        <v>8.1570146818925782E-4</v>
      </c>
      <c r="F75" s="3"/>
      <c r="K75" s="2"/>
    </row>
    <row r="76" spans="1:11" x14ac:dyDescent="0.35">
      <c r="A76" s="39">
        <v>19664</v>
      </c>
      <c r="B76" s="40">
        <f>VLOOKUP(Table7[[#This Row],[Date]],'DB Details'!$A:$L,12)</f>
        <v>36.9</v>
      </c>
      <c r="C76" s="41">
        <v>24.76</v>
      </c>
      <c r="D76" s="46">
        <f>(Table7[[#This Row],[S&amp;P]]-C64)/C64</f>
        <v>-3.5074045206547097E-2</v>
      </c>
      <c r="F76" s="3"/>
      <c r="K76" s="2"/>
    </row>
    <row r="77" spans="1:11" x14ac:dyDescent="0.35">
      <c r="A77" s="39">
        <v>19694</v>
      </c>
      <c r="B77" s="40">
        <f>VLOOKUP(Table7[[#This Row],[Date]],'DB Details'!$A:$L,12)</f>
        <v>35.6</v>
      </c>
      <c r="C77" s="41">
        <v>24.809999000000001</v>
      </c>
      <c r="D77" s="46">
        <f>(Table7[[#This Row],[S&amp;P]]-C65)/C65</f>
        <v>-6.6240158073014643E-2</v>
      </c>
      <c r="F77" s="3"/>
      <c r="K77" s="2"/>
    </row>
    <row r="78" spans="1:11" x14ac:dyDescent="0.35">
      <c r="A78" s="39">
        <v>19725</v>
      </c>
      <c r="B78" s="40">
        <f>VLOOKUP(Table7[[#This Row],[Date]],'DB Details'!$A:$L,12)</f>
        <v>37.4</v>
      </c>
      <c r="C78" s="41">
        <v>26.08</v>
      </c>
      <c r="D78" s="46">
        <f>(Table7[[#This Row],[S&amp;P]]-C66)/C66</f>
        <v>-1.1372214229424468E-2</v>
      </c>
      <c r="F78" s="3"/>
      <c r="K78" s="2"/>
    </row>
    <row r="79" spans="1:11" x14ac:dyDescent="0.35">
      <c r="A79" s="39">
        <v>19756</v>
      </c>
      <c r="B79" s="40">
        <f>VLOOKUP(Table7[[#This Row],[Date]],'DB Details'!$A:$L,12)</f>
        <v>40.700000000000003</v>
      </c>
      <c r="C79" s="41">
        <v>26.15</v>
      </c>
      <c r="D79" s="46">
        <f>(Table7[[#This Row],[S&amp;P]]-C67)/C67</f>
        <v>9.6525096525096523E-3</v>
      </c>
      <c r="F79" s="3"/>
      <c r="K79" s="2"/>
    </row>
    <row r="80" spans="1:11" x14ac:dyDescent="0.35">
      <c r="A80" s="39">
        <v>19784</v>
      </c>
      <c r="B80" s="40">
        <f>VLOOKUP(Table7[[#This Row],[Date]],'DB Details'!$A:$L,12)</f>
        <v>44.7</v>
      </c>
      <c r="C80" s="41">
        <v>26.940000999999999</v>
      </c>
      <c r="D80" s="46">
        <f>(Table7[[#This Row],[S&amp;P]]-C68)/C68</f>
        <v>6.5243176542381265E-2</v>
      </c>
      <c r="F80" s="3"/>
      <c r="K80" s="2"/>
    </row>
    <row r="81" spans="1:11" x14ac:dyDescent="0.35">
      <c r="A81" s="39">
        <v>19815</v>
      </c>
      <c r="B81" s="40">
        <f>VLOOKUP(Table7[[#This Row],[Date]],'DB Details'!$A:$L,12)</f>
        <v>47.7</v>
      </c>
      <c r="C81" s="41">
        <v>28.26</v>
      </c>
      <c r="D81" s="46">
        <f>(Table7[[#This Row],[S&amp;P]]-C69)/C69</f>
        <v>0.14784723201270394</v>
      </c>
      <c r="F81" s="3"/>
      <c r="K81" s="2"/>
    </row>
    <row r="82" spans="1:11" x14ac:dyDescent="0.35">
      <c r="A82" s="39">
        <v>19845</v>
      </c>
      <c r="B82" s="40">
        <f>VLOOKUP(Table7[[#This Row],[Date]],'DB Details'!$A:$L,12)</f>
        <v>50.1</v>
      </c>
      <c r="C82" s="41">
        <v>29.190000999999999</v>
      </c>
      <c r="D82" s="46">
        <f>(Table7[[#This Row],[S&amp;P]]-C70)/C70</f>
        <v>0.18948654484569902</v>
      </c>
      <c r="F82" s="3"/>
      <c r="K82" s="2"/>
    </row>
    <row r="83" spans="1:11" x14ac:dyDescent="0.35">
      <c r="A83" s="39">
        <v>19876</v>
      </c>
      <c r="B83" s="40">
        <f>VLOOKUP(Table7[[#This Row],[Date]],'DB Details'!$A:$L,12)</f>
        <v>52.1</v>
      </c>
      <c r="C83" s="41">
        <v>29.209999</v>
      </c>
      <c r="D83" s="46">
        <f>(Table7[[#This Row],[S&amp;P]]-C71)/C71</f>
        <v>0.21002486371271184</v>
      </c>
      <c r="F83" s="3"/>
      <c r="K83" s="2"/>
    </row>
    <row r="84" spans="1:11" x14ac:dyDescent="0.35">
      <c r="A84" s="39">
        <v>19906</v>
      </c>
      <c r="B84" s="40">
        <f>VLOOKUP(Table7[[#This Row],[Date]],'DB Details'!$A:$L,12)</f>
        <v>51.7</v>
      </c>
      <c r="C84" s="41">
        <v>30.879999000000002</v>
      </c>
      <c r="D84" s="46">
        <f>(Table7[[#This Row],[S&amp;P]]-C72)/C72</f>
        <v>0.24767672727272733</v>
      </c>
      <c r="F84" s="3"/>
      <c r="K84" s="2"/>
    </row>
    <row r="85" spans="1:11" x14ac:dyDescent="0.35">
      <c r="A85" s="39">
        <v>19937</v>
      </c>
      <c r="B85" s="40">
        <f>VLOOKUP(Table7[[#This Row],[Date]],'DB Details'!$A:$L,12)</f>
        <v>54.4</v>
      </c>
      <c r="C85" s="41">
        <v>29.83</v>
      </c>
      <c r="D85" s="46">
        <f>(Table7[[#This Row],[S&amp;P]]-C73)/C73</f>
        <v>0.27915951972555736</v>
      </c>
      <c r="F85" s="3"/>
      <c r="K85" s="2"/>
    </row>
    <row r="86" spans="1:11" x14ac:dyDescent="0.35">
      <c r="A86" s="39">
        <v>19968</v>
      </c>
      <c r="B86" s="40">
        <f>VLOOKUP(Table7[[#This Row],[Date]],'DB Details'!$A:$L,12)</f>
        <v>53.5</v>
      </c>
      <c r="C86" s="41">
        <v>32.310001</v>
      </c>
      <c r="D86" s="46">
        <f>(Table7[[#This Row],[S&amp;P]]-C74)/C74</f>
        <v>0.3837259528907922</v>
      </c>
      <c r="F86" s="3"/>
      <c r="K86" s="2"/>
    </row>
    <row r="87" spans="1:11" x14ac:dyDescent="0.35">
      <c r="A87" s="39">
        <v>19998</v>
      </c>
      <c r="B87" s="40">
        <f>VLOOKUP(Table7[[#This Row],[Date]],'DB Details'!$A:$L,12)</f>
        <v>58.2</v>
      </c>
      <c r="C87" s="41">
        <v>31.68</v>
      </c>
      <c r="D87" s="46">
        <f>(Table7[[#This Row],[S&amp;P]]-C75)/C75</f>
        <v>0.29095349262618203</v>
      </c>
      <c r="F87" s="3"/>
      <c r="K87" s="2"/>
    </row>
    <row r="88" spans="1:11" x14ac:dyDescent="0.35">
      <c r="A88" s="39">
        <v>20029</v>
      </c>
      <c r="B88" s="40">
        <f>VLOOKUP(Table7[[#This Row],[Date]],'DB Details'!$A:$L,12)</f>
        <v>58.8</v>
      </c>
      <c r="C88" s="41">
        <v>34.240001999999997</v>
      </c>
      <c r="D88" s="46">
        <f>(Table7[[#This Row],[S&amp;P]]-C76)/C76</f>
        <v>0.38287568659127602</v>
      </c>
      <c r="F88" s="3"/>
      <c r="K88" s="2"/>
    </row>
    <row r="89" spans="1:11" x14ac:dyDescent="0.35">
      <c r="A89" s="39">
        <v>20059</v>
      </c>
      <c r="B89" s="40">
        <f>VLOOKUP(Table7[[#This Row],[Date]],'DB Details'!$A:$L,12)</f>
        <v>63.8</v>
      </c>
      <c r="C89" s="41">
        <v>35.979999999999997</v>
      </c>
      <c r="D89" s="46">
        <f>(Table7[[#This Row],[S&amp;P]]-C77)/C77</f>
        <v>0.45022174325762748</v>
      </c>
      <c r="F89" s="3"/>
      <c r="K89" s="2"/>
    </row>
    <row r="90" spans="1:11" x14ac:dyDescent="0.35">
      <c r="A90" s="39">
        <v>20090</v>
      </c>
      <c r="B90" s="40">
        <f>VLOOKUP(Table7[[#This Row],[Date]],'DB Details'!$A:$L,12)</f>
        <v>63</v>
      </c>
      <c r="C90" s="41">
        <v>36.630001</v>
      </c>
      <c r="D90" s="46">
        <f>(Table7[[#This Row],[S&amp;P]]-C78)/C78</f>
        <v>0.40452457822085897</v>
      </c>
      <c r="F90" s="3"/>
      <c r="K90" s="2"/>
    </row>
    <row r="91" spans="1:11" x14ac:dyDescent="0.35">
      <c r="A91" s="39">
        <v>20121</v>
      </c>
      <c r="B91" s="40">
        <f>VLOOKUP(Table7[[#This Row],[Date]],'DB Details'!$A:$L,12)</f>
        <v>67.8</v>
      </c>
      <c r="C91" s="41">
        <v>36.759998000000003</v>
      </c>
      <c r="D91" s="46">
        <f>(Table7[[#This Row],[S&amp;P]]-C79)/C79</f>
        <v>0.40573606118546862</v>
      </c>
      <c r="F91" s="3"/>
      <c r="K91" s="2"/>
    </row>
    <row r="92" spans="1:11" x14ac:dyDescent="0.35">
      <c r="A92" s="39">
        <v>20149</v>
      </c>
      <c r="B92" s="40">
        <f>VLOOKUP(Table7[[#This Row],[Date]],'DB Details'!$A:$L,12)</f>
        <v>67.5</v>
      </c>
      <c r="C92" s="41">
        <v>36.580002</v>
      </c>
      <c r="D92" s="46">
        <f>(Table7[[#This Row],[S&amp;P]]-C80)/C80</f>
        <v>0.35783224358454929</v>
      </c>
      <c r="F92" s="3"/>
      <c r="K92" s="2"/>
    </row>
    <row r="93" spans="1:11" x14ac:dyDescent="0.35">
      <c r="A93" s="39">
        <v>20180</v>
      </c>
      <c r="B93" s="40">
        <f>VLOOKUP(Table7[[#This Row],[Date]],'DB Details'!$A:$L,12)</f>
        <v>68.7</v>
      </c>
      <c r="C93" s="41">
        <v>37.959999000000003</v>
      </c>
      <c r="D93" s="46">
        <f>(Table7[[#This Row],[S&amp;P]]-C81)/C81</f>
        <v>0.34324129511677287</v>
      </c>
      <c r="F93" s="3"/>
      <c r="K93" s="2"/>
    </row>
    <row r="94" spans="1:11" x14ac:dyDescent="0.35">
      <c r="A94" s="39">
        <v>20210</v>
      </c>
      <c r="B94" s="40">
        <f>VLOOKUP(Table7[[#This Row],[Date]],'DB Details'!$A:$L,12)</f>
        <v>69.5</v>
      </c>
      <c r="C94" s="41">
        <v>37.909999999999997</v>
      </c>
      <c r="D94" s="46">
        <f>(Table7[[#This Row],[S&amp;P]]-C82)/C82</f>
        <v>0.29873239812496061</v>
      </c>
      <c r="F94" s="3"/>
      <c r="K94" s="2"/>
    </row>
    <row r="95" spans="1:11" x14ac:dyDescent="0.35">
      <c r="A95" s="39">
        <v>20241</v>
      </c>
      <c r="B95" s="40">
        <f>VLOOKUP(Table7[[#This Row],[Date]],'DB Details'!$A:$L,12)</f>
        <v>63.3</v>
      </c>
      <c r="C95" s="41">
        <v>41.029998999999997</v>
      </c>
      <c r="D95" s="46">
        <f>(Table7[[#This Row],[S&amp;P]]-C83)/C83</f>
        <v>0.40465595359999829</v>
      </c>
      <c r="F95" s="3"/>
      <c r="K95" s="2"/>
    </row>
    <row r="96" spans="1:11" x14ac:dyDescent="0.35">
      <c r="A96" s="39">
        <v>20271</v>
      </c>
      <c r="B96" s="40">
        <f>VLOOKUP(Table7[[#This Row],[Date]],'DB Details'!$A:$L,12)</f>
        <v>66.2</v>
      </c>
      <c r="C96" s="41">
        <v>43.52</v>
      </c>
      <c r="D96" s="46">
        <f>(Table7[[#This Row],[S&amp;P]]-C84)/C84</f>
        <v>0.40932647050927695</v>
      </c>
      <c r="F96" s="3"/>
      <c r="K96" s="2"/>
    </row>
    <row r="97" spans="1:11" x14ac:dyDescent="0.35">
      <c r="A97" s="39">
        <v>20302</v>
      </c>
      <c r="B97" s="40">
        <f>VLOOKUP(Table7[[#This Row],[Date]],'DB Details'!$A:$L,12)</f>
        <v>64.8</v>
      </c>
      <c r="C97" s="41">
        <v>43.18</v>
      </c>
      <c r="D97" s="46">
        <f>(Table7[[#This Row],[S&amp;P]]-C85)/C85</f>
        <v>0.44753603754609461</v>
      </c>
      <c r="F97" s="3"/>
      <c r="K97" s="2"/>
    </row>
    <row r="98" spans="1:11" x14ac:dyDescent="0.35">
      <c r="A98" s="39">
        <v>20333</v>
      </c>
      <c r="B98" s="40">
        <f>VLOOKUP(Table7[[#This Row],[Date]],'DB Details'!$A:$L,12)</f>
        <v>62.4</v>
      </c>
      <c r="C98" s="41">
        <v>43.669998</v>
      </c>
      <c r="D98" s="46">
        <f>(Table7[[#This Row],[S&amp;P]]-C86)/C86</f>
        <v>0.35159383003423617</v>
      </c>
      <c r="F98" s="3"/>
      <c r="K98" s="2"/>
    </row>
    <row r="99" spans="1:11" x14ac:dyDescent="0.35">
      <c r="A99" s="39">
        <v>20363</v>
      </c>
      <c r="B99" s="40">
        <f>VLOOKUP(Table7[[#This Row],[Date]],'DB Details'!$A:$L,12)</f>
        <v>63.7</v>
      </c>
      <c r="C99" s="41">
        <v>42.34</v>
      </c>
      <c r="D99" s="46">
        <f>(Table7[[#This Row],[S&amp;P]]-C87)/C87</f>
        <v>0.33648989898989912</v>
      </c>
      <c r="F99" s="3"/>
      <c r="K99" s="2"/>
    </row>
    <row r="100" spans="1:11" x14ac:dyDescent="0.35">
      <c r="A100" s="39">
        <v>20394</v>
      </c>
      <c r="B100" s="40">
        <f>VLOOKUP(Table7[[#This Row],[Date]],'DB Details'!$A:$L,12)</f>
        <v>62</v>
      </c>
      <c r="C100" s="41">
        <v>45.509998000000003</v>
      </c>
      <c r="D100" s="46">
        <f>(Table7[[#This Row],[S&amp;P]]-C88)/C88</f>
        <v>0.32914706021337287</v>
      </c>
      <c r="F100" s="3"/>
      <c r="K100" s="2"/>
    </row>
    <row r="101" spans="1:11" x14ac:dyDescent="0.35">
      <c r="A101" s="39">
        <v>20424</v>
      </c>
      <c r="B101" s="40">
        <f>VLOOKUP(Table7[[#This Row],[Date]],'DB Details'!$A:$L,12)</f>
        <v>65.599999999999994</v>
      </c>
      <c r="C101" s="41">
        <v>45.48</v>
      </c>
      <c r="D101" s="46">
        <f>(Table7[[#This Row],[S&amp;P]]-C89)/C89</f>
        <v>0.26403557531962202</v>
      </c>
      <c r="F101" s="3"/>
      <c r="K101" s="2"/>
    </row>
    <row r="102" spans="1:11" x14ac:dyDescent="0.35">
      <c r="A102" s="39">
        <v>20455</v>
      </c>
      <c r="B102" s="40">
        <f>VLOOKUP(Table7[[#This Row],[Date]],'DB Details'!$A:$L,12)</f>
        <v>60.2</v>
      </c>
      <c r="C102" s="41">
        <v>43.82</v>
      </c>
      <c r="D102" s="46">
        <f>(Table7[[#This Row],[S&amp;P]]-C90)/C90</f>
        <v>0.19628716362852408</v>
      </c>
      <c r="F102" s="3"/>
      <c r="K102" s="2"/>
    </row>
    <row r="103" spans="1:11" x14ac:dyDescent="0.35">
      <c r="A103" s="39">
        <v>20486</v>
      </c>
      <c r="B103" s="40">
        <f>VLOOKUP(Table7[[#This Row],[Date]],'DB Details'!$A:$L,12)</f>
        <v>58.2</v>
      </c>
      <c r="C103" s="41">
        <v>45.34</v>
      </c>
      <c r="D103" s="46">
        <f>(Table7[[#This Row],[S&amp;P]]-C91)/C91</f>
        <v>0.23340594305799472</v>
      </c>
      <c r="F103" s="3"/>
      <c r="K103" s="2"/>
    </row>
    <row r="104" spans="1:11" x14ac:dyDescent="0.35">
      <c r="A104" s="39">
        <v>20515</v>
      </c>
      <c r="B104" s="40">
        <f>VLOOKUP(Table7[[#This Row],[Date]],'DB Details'!$A:$L,12)</f>
        <v>57.2</v>
      </c>
      <c r="C104" s="41">
        <v>48.48</v>
      </c>
      <c r="D104" s="46">
        <f>(Table7[[#This Row],[S&amp;P]]-C92)/C92</f>
        <v>0.32531430698117503</v>
      </c>
      <c r="F104" s="3"/>
      <c r="K104" s="2"/>
    </row>
    <row r="105" spans="1:11" x14ac:dyDescent="0.35">
      <c r="A105" s="39">
        <v>20546</v>
      </c>
      <c r="B105" s="40">
        <f>VLOOKUP(Table7[[#This Row],[Date]],'DB Details'!$A:$L,12)</f>
        <v>55.9</v>
      </c>
      <c r="C105" s="41">
        <v>48.380001</v>
      </c>
      <c r="D105" s="46">
        <f>(Table7[[#This Row],[S&amp;P]]-C93)/C93</f>
        <v>0.27449953304793279</v>
      </c>
      <c r="F105" s="3"/>
      <c r="K105" s="2"/>
    </row>
    <row r="106" spans="1:11" x14ac:dyDescent="0.35">
      <c r="A106" s="39">
        <v>20576</v>
      </c>
      <c r="B106" s="40">
        <f>VLOOKUP(Table7[[#This Row],[Date]],'DB Details'!$A:$L,12)</f>
        <v>51.2</v>
      </c>
      <c r="C106" s="41">
        <v>45.200001</v>
      </c>
      <c r="D106" s="46">
        <f>(Table7[[#This Row],[S&amp;P]]-C94)/C94</f>
        <v>0.19229757319968357</v>
      </c>
      <c r="F106" s="3"/>
      <c r="K106" s="2"/>
    </row>
    <row r="107" spans="1:11" x14ac:dyDescent="0.35">
      <c r="A107" s="39">
        <v>20607</v>
      </c>
      <c r="B107" s="40">
        <f>VLOOKUP(Table7[[#This Row],[Date]],'DB Details'!$A:$L,12)</f>
        <v>47.7</v>
      </c>
      <c r="C107" s="41">
        <v>46.970001000000003</v>
      </c>
      <c r="D107" s="46">
        <f>(Table7[[#This Row],[S&amp;P]]-C95)/C95</f>
        <v>0.14477217023573427</v>
      </c>
      <c r="F107" s="3"/>
      <c r="K107" s="2"/>
    </row>
    <row r="108" spans="1:11" x14ac:dyDescent="0.35">
      <c r="A108" s="39">
        <v>20637</v>
      </c>
      <c r="B108" s="40">
        <f>VLOOKUP(Table7[[#This Row],[Date]],'DB Details'!$A:$L,12)</f>
        <v>44.2</v>
      </c>
      <c r="C108" s="41">
        <v>49.389999000000003</v>
      </c>
      <c r="D108" s="46">
        <f>(Table7[[#This Row],[S&amp;P]]-C96)/C96</f>
        <v>0.13488049172794117</v>
      </c>
      <c r="F108" s="3"/>
      <c r="K108" s="2"/>
    </row>
    <row r="109" spans="1:11" x14ac:dyDescent="0.35">
      <c r="A109" s="39">
        <v>20668</v>
      </c>
      <c r="B109" s="40">
        <f>VLOOKUP(Table7[[#This Row],[Date]],'DB Details'!$A:$L,12)</f>
        <v>51.5</v>
      </c>
      <c r="C109" s="41">
        <v>47.509998000000003</v>
      </c>
      <c r="D109" s="46">
        <f>(Table7[[#This Row],[S&amp;P]]-C97)/C97</f>
        <v>0.10027786012042621</v>
      </c>
      <c r="F109" s="3"/>
      <c r="K109" s="2"/>
    </row>
    <row r="110" spans="1:11" x14ac:dyDescent="0.35">
      <c r="A110" s="39">
        <v>20699</v>
      </c>
      <c r="B110" s="40">
        <f>VLOOKUP(Table7[[#This Row],[Date]],'DB Details'!$A:$L,12)</f>
        <v>55.5</v>
      </c>
      <c r="C110" s="41">
        <v>45.349997999999999</v>
      </c>
      <c r="D110" s="46">
        <f>(Table7[[#This Row],[S&amp;P]]-C98)/C98</f>
        <v>3.8470347536997823E-2</v>
      </c>
      <c r="F110" s="3"/>
      <c r="K110" s="2"/>
    </row>
    <row r="111" spans="1:11" x14ac:dyDescent="0.35">
      <c r="A111" s="39">
        <v>20729</v>
      </c>
      <c r="B111" s="40">
        <f>VLOOKUP(Table7[[#This Row],[Date]],'DB Details'!$A:$L,12)</f>
        <v>52.7</v>
      </c>
      <c r="C111" s="41">
        <v>45.580002</v>
      </c>
      <c r="D111" s="46">
        <f>(Table7[[#This Row],[S&amp;P]]-C99)/C99</f>
        <v>7.6523429381199728E-2</v>
      </c>
      <c r="F111" s="3"/>
      <c r="K111" s="2"/>
    </row>
    <row r="112" spans="1:11" x14ac:dyDescent="0.35">
      <c r="A112" s="39">
        <v>20760</v>
      </c>
      <c r="B112" s="40">
        <f>VLOOKUP(Table7[[#This Row],[Date]],'DB Details'!$A:$L,12)</f>
        <v>55</v>
      </c>
      <c r="C112" s="41">
        <v>45.080002</v>
      </c>
      <c r="D112" s="46">
        <f>(Table7[[#This Row],[S&amp;P]]-C100)/C100</f>
        <v>-9.4483853855586337E-3</v>
      </c>
      <c r="F112" s="3"/>
      <c r="K112" s="2"/>
    </row>
    <row r="113" spans="1:11" x14ac:dyDescent="0.35">
      <c r="A113" s="39">
        <v>20790</v>
      </c>
      <c r="B113" s="40">
        <f>VLOOKUP(Table7[[#This Row],[Date]],'DB Details'!$A:$L,12)</f>
        <v>52.7</v>
      </c>
      <c r="C113" s="41">
        <v>46.669998</v>
      </c>
      <c r="D113" s="46">
        <f>(Table7[[#This Row],[S&amp;P]]-C101)/C101</f>
        <v>2.616530343007922E-2</v>
      </c>
      <c r="F113" s="3"/>
      <c r="K113" s="2"/>
    </row>
    <row r="114" spans="1:11" x14ac:dyDescent="0.35">
      <c r="A114" s="39">
        <v>20821</v>
      </c>
      <c r="B114" s="40">
        <f>VLOOKUP(Table7[[#This Row],[Date]],'DB Details'!$A:$L,12)</f>
        <v>53.6</v>
      </c>
      <c r="C114" s="41">
        <v>44.720001000000003</v>
      </c>
      <c r="D114" s="46">
        <f>(Table7[[#This Row],[S&amp;P]]-C102)/C102</f>
        <v>2.0538589685075381E-2</v>
      </c>
      <c r="F114" s="3"/>
      <c r="K114" s="2"/>
    </row>
    <row r="115" spans="1:11" x14ac:dyDescent="0.35">
      <c r="A115" s="39">
        <v>20852</v>
      </c>
      <c r="B115" s="40">
        <f>VLOOKUP(Table7[[#This Row],[Date]],'DB Details'!$A:$L,12)</f>
        <v>51</v>
      </c>
      <c r="C115" s="41">
        <v>43.259998000000003</v>
      </c>
      <c r="D115" s="46">
        <f>(Table7[[#This Row],[S&amp;P]]-C103)/C103</f>
        <v>-4.5875650639611826E-2</v>
      </c>
      <c r="F115" s="3"/>
      <c r="K115" s="2"/>
    </row>
    <row r="116" spans="1:11" x14ac:dyDescent="0.35">
      <c r="A116" s="39">
        <v>20880</v>
      </c>
      <c r="B116" s="40">
        <f>VLOOKUP(Table7[[#This Row],[Date]],'DB Details'!$A:$L,12)</f>
        <v>47.5</v>
      </c>
      <c r="C116" s="41">
        <v>44.110000999999997</v>
      </c>
      <c r="D116" s="46">
        <f>(Table7[[#This Row],[S&amp;P]]-C104)/C104</f>
        <v>-9.0140243399339945E-2</v>
      </c>
      <c r="F116" s="3"/>
      <c r="K116" s="2"/>
    </row>
    <row r="117" spans="1:11" x14ac:dyDescent="0.35">
      <c r="A117" s="39">
        <v>20911</v>
      </c>
      <c r="B117" s="40">
        <f>VLOOKUP(Table7[[#This Row],[Date]],'DB Details'!$A:$L,12)</f>
        <v>43.1</v>
      </c>
      <c r="C117" s="41">
        <v>45.740001999999997</v>
      </c>
      <c r="D117" s="46">
        <f>(Table7[[#This Row],[S&amp;P]]-C105)/C105</f>
        <v>-5.4567981509549848E-2</v>
      </c>
      <c r="F117" s="3"/>
      <c r="K117" s="2"/>
    </row>
    <row r="118" spans="1:11" x14ac:dyDescent="0.35">
      <c r="A118" s="39">
        <v>20941</v>
      </c>
      <c r="B118" s="40">
        <f>VLOOKUP(Table7[[#This Row],[Date]],'DB Details'!$A:$L,12)</f>
        <v>43.4</v>
      </c>
      <c r="C118" s="41">
        <v>47.43</v>
      </c>
      <c r="D118" s="46">
        <f>(Table7[[#This Row],[S&amp;P]]-C106)/C106</f>
        <v>4.9336259970436711E-2</v>
      </c>
      <c r="F118" s="3"/>
      <c r="K118" s="2"/>
    </row>
    <row r="119" spans="1:11" x14ac:dyDescent="0.35">
      <c r="A119" s="39">
        <v>20972</v>
      </c>
      <c r="B119" s="40">
        <f>VLOOKUP(Table7[[#This Row],[Date]],'DB Details'!$A:$L,12)</f>
        <v>45.9</v>
      </c>
      <c r="C119" s="41">
        <v>47.369999</v>
      </c>
      <c r="D119" s="46">
        <f>(Table7[[#This Row],[S&amp;P]]-C107)/C107</f>
        <v>8.5160313281661734E-3</v>
      </c>
      <c r="F119" s="3"/>
      <c r="K119" s="2"/>
    </row>
    <row r="120" spans="1:11" x14ac:dyDescent="0.35">
      <c r="A120" s="39">
        <v>21002</v>
      </c>
      <c r="B120" s="40">
        <f>VLOOKUP(Table7[[#This Row],[Date]],'DB Details'!$A:$L,12)</f>
        <v>45.7</v>
      </c>
      <c r="C120" s="41">
        <v>47.91</v>
      </c>
      <c r="D120" s="46">
        <f>(Table7[[#This Row],[S&amp;P]]-C108)/C108</f>
        <v>-2.9965560436638325E-2</v>
      </c>
      <c r="F120" s="3"/>
      <c r="K120" s="2"/>
    </row>
    <row r="121" spans="1:11" x14ac:dyDescent="0.35">
      <c r="A121" s="39">
        <v>21033</v>
      </c>
      <c r="B121" s="40">
        <f>VLOOKUP(Table7[[#This Row],[Date]],'DB Details'!$A:$L,12)</f>
        <v>45.3</v>
      </c>
      <c r="C121" s="41">
        <v>45.220001000000003</v>
      </c>
      <c r="D121" s="46">
        <f>(Table7[[#This Row],[S&amp;P]]-C109)/C109</f>
        <v>-4.8200317752065562E-2</v>
      </c>
      <c r="F121" s="3"/>
      <c r="K121" s="2"/>
    </row>
    <row r="122" spans="1:11" x14ac:dyDescent="0.35">
      <c r="A122" s="39">
        <v>21064</v>
      </c>
      <c r="B122" s="40">
        <f>VLOOKUP(Table7[[#This Row],[Date]],'DB Details'!$A:$L,12)</f>
        <v>45.8</v>
      </c>
      <c r="C122" s="41">
        <v>42.419998</v>
      </c>
      <c r="D122" s="46">
        <f>(Table7[[#This Row],[S&amp;P]]-C110)/C110</f>
        <v>-6.4608602628824813E-2</v>
      </c>
      <c r="F122" s="3"/>
      <c r="K122" s="2"/>
    </row>
    <row r="123" spans="1:11" x14ac:dyDescent="0.35">
      <c r="A123" s="39">
        <v>21094</v>
      </c>
      <c r="B123" s="40">
        <f>VLOOKUP(Table7[[#This Row],[Date]],'DB Details'!$A:$L,12)</f>
        <v>41.1</v>
      </c>
      <c r="C123" s="41">
        <v>41.060001</v>
      </c>
      <c r="D123" s="46">
        <f>(Table7[[#This Row],[S&amp;P]]-C111)/C111</f>
        <v>-9.9166318597353295E-2</v>
      </c>
      <c r="F123" s="3"/>
      <c r="K123" s="2"/>
    </row>
    <row r="124" spans="1:11" x14ac:dyDescent="0.35">
      <c r="A124" s="39">
        <v>21125</v>
      </c>
      <c r="B124" s="40">
        <f>VLOOKUP(Table7[[#This Row],[Date]],'DB Details'!$A:$L,12)</f>
        <v>40.4</v>
      </c>
      <c r="C124" s="41">
        <v>41.720001000000003</v>
      </c>
      <c r="D124" s="46">
        <f>(Table7[[#This Row],[S&amp;P]]-C112)/C112</f>
        <v>-7.4534180366717745E-2</v>
      </c>
      <c r="F124" s="3"/>
      <c r="K124" s="2"/>
    </row>
    <row r="125" spans="1:11" x14ac:dyDescent="0.35">
      <c r="A125" s="39">
        <v>21155</v>
      </c>
      <c r="B125" s="40">
        <f>VLOOKUP(Table7[[#This Row],[Date]],'DB Details'!$A:$L,12)</f>
        <v>36.799999999999997</v>
      </c>
      <c r="C125" s="41">
        <v>39.990001999999997</v>
      </c>
      <c r="D125" s="46">
        <f>(Table7[[#This Row],[S&amp;P]]-C113)/C113</f>
        <v>-0.1431325538089803</v>
      </c>
      <c r="F125" s="3"/>
      <c r="K125" s="2"/>
    </row>
    <row r="126" spans="1:11" x14ac:dyDescent="0.35">
      <c r="A126" s="39">
        <v>21186</v>
      </c>
      <c r="B126" s="40">
        <f>VLOOKUP(Table7[[#This Row],[Date]],'DB Details'!$A:$L,12)</f>
        <v>33.4</v>
      </c>
      <c r="C126" s="41">
        <v>41.700001</v>
      </c>
      <c r="D126" s="46">
        <f>(Table7[[#This Row],[S&amp;P]]-C114)/C114</f>
        <v>-6.7531304393307207E-2</v>
      </c>
      <c r="F126" s="3"/>
      <c r="K126" s="2"/>
    </row>
    <row r="127" spans="1:11" x14ac:dyDescent="0.35">
      <c r="A127" s="39">
        <v>21217</v>
      </c>
      <c r="B127" s="40">
        <f>VLOOKUP(Table7[[#This Row],[Date]],'DB Details'!$A:$L,12)</f>
        <v>37.200000000000003</v>
      </c>
      <c r="C127" s="41">
        <v>40.840000000000003</v>
      </c>
      <c r="D127" s="46">
        <f>(Table7[[#This Row],[S&amp;P]]-C115)/C115</f>
        <v>-5.5940779285287984E-2</v>
      </c>
      <c r="F127" s="3"/>
      <c r="K127" s="2"/>
    </row>
    <row r="128" spans="1:11" x14ac:dyDescent="0.35">
      <c r="A128" s="39">
        <v>21245</v>
      </c>
      <c r="B128" s="40">
        <f>VLOOKUP(Table7[[#This Row],[Date]],'DB Details'!$A:$L,12)</f>
        <v>39.799999999999997</v>
      </c>
      <c r="C128" s="41">
        <v>42.099997999999999</v>
      </c>
      <c r="D128" s="46">
        <f>(Table7[[#This Row],[S&amp;P]]-C116)/C116</f>
        <v>-4.5567965414464569E-2</v>
      </c>
      <c r="F128" s="3"/>
      <c r="K128" s="2"/>
    </row>
    <row r="129" spans="1:11" x14ac:dyDescent="0.35">
      <c r="A129" s="39">
        <v>21276</v>
      </c>
      <c r="B129" s="40">
        <f>VLOOKUP(Table7[[#This Row],[Date]],'DB Details'!$A:$L,12)</f>
        <v>39.1</v>
      </c>
      <c r="C129" s="41">
        <v>43.439999</v>
      </c>
      <c r="D129" s="46">
        <f>(Table7[[#This Row],[S&amp;P]]-C117)/C117</f>
        <v>-5.0284278518396147E-2</v>
      </c>
      <c r="F129" s="3"/>
      <c r="K129" s="2"/>
    </row>
    <row r="130" spans="1:11" x14ac:dyDescent="0.35">
      <c r="A130" s="39">
        <v>21306</v>
      </c>
      <c r="B130" s="40">
        <f>VLOOKUP(Table7[[#This Row],[Date]],'DB Details'!$A:$L,12)</f>
        <v>46.6</v>
      </c>
      <c r="C130" s="41">
        <v>44.09</v>
      </c>
      <c r="D130" s="46">
        <f>(Table7[[#This Row],[S&amp;P]]-C118)/C118</f>
        <v>-7.0419565675732584E-2</v>
      </c>
      <c r="F130" s="3"/>
      <c r="K130" s="2"/>
    </row>
    <row r="131" spans="1:11" x14ac:dyDescent="0.35">
      <c r="A131" s="39">
        <v>21337</v>
      </c>
      <c r="B131" s="40">
        <f>VLOOKUP(Table7[[#This Row],[Date]],'DB Details'!$A:$L,12)</f>
        <v>51.4</v>
      </c>
      <c r="C131" s="41">
        <v>45.240001999999997</v>
      </c>
      <c r="D131" s="46">
        <f>(Table7[[#This Row],[S&amp;P]]-C119)/C119</f>
        <v>-4.4965105445748541E-2</v>
      </c>
      <c r="F131" s="3"/>
      <c r="K131" s="2"/>
    </row>
    <row r="132" spans="1:11" x14ac:dyDescent="0.35">
      <c r="A132" s="39">
        <v>21367</v>
      </c>
      <c r="B132" s="40">
        <f>VLOOKUP(Table7[[#This Row],[Date]],'DB Details'!$A:$L,12)</f>
        <v>54.7</v>
      </c>
      <c r="C132" s="41">
        <v>47.189999</v>
      </c>
      <c r="D132" s="46">
        <f>(Table7[[#This Row],[S&amp;P]]-C120)/C120</f>
        <v>-1.5028198705906834E-2</v>
      </c>
      <c r="F132" s="3"/>
      <c r="K132" s="2"/>
    </row>
    <row r="133" spans="1:11" x14ac:dyDescent="0.35">
      <c r="A133" s="39">
        <v>21398</v>
      </c>
      <c r="B133" s="40">
        <f>VLOOKUP(Table7[[#This Row],[Date]],'DB Details'!$A:$L,12)</f>
        <v>57.3</v>
      </c>
      <c r="C133" s="41">
        <v>47.75</v>
      </c>
      <c r="D133" s="46">
        <f>(Table7[[#This Row],[S&amp;P]]-C121)/C121</f>
        <v>5.5948671916216816E-2</v>
      </c>
      <c r="F133" s="3"/>
      <c r="K133" s="2"/>
    </row>
    <row r="134" spans="1:11" x14ac:dyDescent="0.35">
      <c r="A134" s="39">
        <v>21429</v>
      </c>
      <c r="B134" s="40">
        <f>VLOOKUP(Table7[[#This Row],[Date]],'DB Details'!$A:$L,12)</f>
        <v>59.8</v>
      </c>
      <c r="C134" s="41">
        <v>50.060001</v>
      </c>
      <c r="D134" s="46">
        <f>(Table7[[#This Row],[S&amp;P]]-C122)/C122</f>
        <v>0.18010380387099501</v>
      </c>
      <c r="F134" s="3"/>
      <c r="K134" s="2"/>
    </row>
    <row r="135" spans="1:11" x14ac:dyDescent="0.35">
      <c r="A135" s="39">
        <v>21459</v>
      </c>
      <c r="B135" s="40">
        <f>VLOOKUP(Table7[[#This Row],[Date]],'DB Details'!$A:$L,12)</f>
        <v>62.3</v>
      </c>
      <c r="C135" s="41">
        <v>51.330002</v>
      </c>
      <c r="D135" s="46">
        <f>(Table7[[#This Row],[S&amp;P]]-C123)/C123</f>
        <v>0.25012179127808598</v>
      </c>
      <c r="F135" s="3"/>
      <c r="K135" s="2"/>
    </row>
    <row r="136" spans="1:11" x14ac:dyDescent="0.35">
      <c r="A136" s="39">
        <v>21490</v>
      </c>
      <c r="B136" s="40">
        <f>VLOOKUP(Table7[[#This Row],[Date]],'DB Details'!$A:$L,12)</f>
        <v>62.7</v>
      </c>
      <c r="C136" s="41">
        <v>52.48</v>
      </c>
      <c r="D136" s="46">
        <f>(Table7[[#This Row],[S&amp;P]]-C124)/C124</f>
        <v>0.25790984520829691</v>
      </c>
      <c r="F136" s="3"/>
      <c r="K136" s="2"/>
    </row>
    <row r="137" spans="1:11" x14ac:dyDescent="0.35">
      <c r="A137" s="39">
        <v>21520</v>
      </c>
      <c r="B137" s="40">
        <f>VLOOKUP(Table7[[#This Row],[Date]],'DB Details'!$A:$L,12)</f>
        <v>60.5</v>
      </c>
      <c r="C137" s="41">
        <v>55.209999000000003</v>
      </c>
      <c r="D137" s="46">
        <f>(Table7[[#This Row],[S&amp;P]]-C125)/C125</f>
        <v>0.38059505473393096</v>
      </c>
      <c r="F137" s="3"/>
      <c r="K137" s="2"/>
    </row>
    <row r="138" spans="1:11" x14ac:dyDescent="0.35">
      <c r="A138" s="39">
        <v>21551</v>
      </c>
      <c r="B138" s="40">
        <f>VLOOKUP(Table7[[#This Row],[Date]],'DB Details'!$A:$L,12)</f>
        <v>64.400000000000006</v>
      </c>
      <c r="C138" s="41">
        <v>55.450001</v>
      </c>
      <c r="D138" s="46">
        <f>(Table7[[#This Row],[S&amp;P]]-C126)/C126</f>
        <v>0.32973620312383206</v>
      </c>
      <c r="F138" s="3"/>
      <c r="K138" s="2"/>
    </row>
    <row r="139" spans="1:11" x14ac:dyDescent="0.35">
      <c r="A139" s="39">
        <v>21582</v>
      </c>
      <c r="B139" s="40">
        <f>VLOOKUP(Table7[[#This Row],[Date]],'DB Details'!$A:$L,12)</f>
        <v>66.900000000000006</v>
      </c>
      <c r="C139" s="41">
        <v>55.41</v>
      </c>
      <c r="D139" s="46">
        <f>(Table7[[#This Row],[S&amp;P]]-C127)/C127</f>
        <v>0.35675808031341805</v>
      </c>
      <c r="F139" s="3"/>
      <c r="K139" s="2"/>
    </row>
    <row r="140" spans="1:11" x14ac:dyDescent="0.35">
      <c r="A140" s="39">
        <v>21610</v>
      </c>
      <c r="B140" s="40">
        <f>VLOOKUP(Table7[[#This Row],[Date]],'DB Details'!$A:$L,12)</f>
        <v>67.099999999999994</v>
      </c>
      <c r="C140" s="41">
        <v>55.439999</v>
      </c>
      <c r="D140" s="46">
        <f>(Table7[[#This Row],[S&amp;P]]-C128)/C128</f>
        <v>0.316864646881931</v>
      </c>
      <c r="F140" s="3"/>
      <c r="K140" s="2"/>
    </row>
    <row r="141" spans="1:11" x14ac:dyDescent="0.35">
      <c r="A141" s="39">
        <v>21641</v>
      </c>
      <c r="B141" s="40">
        <f>VLOOKUP(Table7[[#This Row],[Date]],'DB Details'!$A:$L,12)</f>
        <v>66.900000000000006</v>
      </c>
      <c r="C141" s="41">
        <v>57.59</v>
      </c>
      <c r="D141" s="46">
        <f>(Table7[[#This Row],[S&amp;P]]-C129)/C129</f>
        <v>0.32573667876926066</v>
      </c>
      <c r="F141" s="3"/>
      <c r="K141" s="2"/>
    </row>
    <row r="142" spans="1:11" x14ac:dyDescent="0.35">
      <c r="A142" s="39">
        <v>21671</v>
      </c>
      <c r="B142" s="40">
        <f>VLOOKUP(Table7[[#This Row],[Date]],'DB Details'!$A:$L,12)</f>
        <v>68.2</v>
      </c>
      <c r="C142" s="41">
        <v>58.68</v>
      </c>
      <c r="D142" s="46">
        <f>(Table7[[#This Row],[S&amp;P]]-C130)/C130</f>
        <v>0.33091403946473114</v>
      </c>
      <c r="F142" s="3"/>
      <c r="K142" s="2"/>
    </row>
    <row r="143" spans="1:11" x14ac:dyDescent="0.35">
      <c r="A143" s="39">
        <v>21702</v>
      </c>
      <c r="B143" s="40">
        <f>VLOOKUP(Table7[[#This Row],[Date]],'DB Details'!$A:$L,12)</f>
        <v>64.400000000000006</v>
      </c>
      <c r="C143" s="41">
        <v>58.470001000000003</v>
      </c>
      <c r="D143" s="46">
        <f>(Table7[[#This Row],[S&amp;P]]-C131)/C131</f>
        <v>0.29244028326966048</v>
      </c>
      <c r="F143" s="3"/>
      <c r="K143" s="2"/>
    </row>
    <row r="144" spans="1:11" x14ac:dyDescent="0.35">
      <c r="A144" s="39">
        <v>21732</v>
      </c>
      <c r="B144" s="40">
        <f>VLOOKUP(Table7[[#This Row],[Date]],'DB Details'!$A:$L,12)</f>
        <v>61.5</v>
      </c>
      <c r="C144" s="41">
        <v>60.509998000000003</v>
      </c>
      <c r="D144" s="46">
        <f>(Table7[[#This Row],[S&amp;P]]-C132)/C132</f>
        <v>0.28226317614458951</v>
      </c>
      <c r="F144" s="3"/>
      <c r="K144" s="2"/>
    </row>
    <row r="145" spans="1:11" x14ac:dyDescent="0.35">
      <c r="A145" s="39">
        <v>21763</v>
      </c>
      <c r="B145" s="40">
        <f>VLOOKUP(Table7[[#This Row],[Date]],'DB Details'!$A:$L,12)</f>
        <v>55.1</v>
      </c>
      <c r="C145" s="41">
        <v>59.599997999999999</v>
      </c>
      <c r="D145" s="46">
        <f>(Table7[[#This Row],[S&amp;P]]-C133)/C133</f>
        <v>0.24816749738219893</v>
      </c>
      <c r="F145" s="3"/>
      <c r="K145" s="2"/>
    </row>
    <row r="146" spans="1:11" x14ac:dyDescent="0.35">
      <c r="A146" s="39">
        <v>21794</v>
      </c>
      <c r="B146" s="40">
        <f>VLOOKUP(Table7[[#This Row],[Date]],'DB Details'!$A:$L,12)</f>
        <v>48.3</v>
      </c>
      <c r="C146" s="41">
        <v>56.880001</v>
      </c>
      <c r="D146" s="46">
        <f>(Table7[[#This Row],[S&amp;P]]-C134)/C134</f>
        <v>0.1362365134591188</v>
      </c>
      <c r="F146" s="3"/>
      <c r="K146" s="2"/>
    </row>
    <row r="147" spans="1:11" x14ac:dyDescent="0.35">
      <c r="A147" s="39">
        <v>21824</v>
      </c>
      <c r="B147" s="40">
        <f>VLOOKUP(Table7[[#This Row],[Date]],'DB Details'!$A:$L,12)</f>
        <v>49.7</v>
      </c>
      <c r="C147" s="41">
        <v>57.52</v>
      </c>
      <c r="D147" s="46">
        <f>(Table7[[#This Row],[S&amp;P]]-C135)/C135</f>
        <v>0.12059220258748485</v>
      </c>
      <c r="F147" s="3"/>
      <c r="K147" s="2"/>
    </row>
    <row r="148" spans="1:11" x14ac:dyDescent="0.35">
      <c r="A148" s="39">
        <v>21855</v>
      </c>
      <c r="B148" s="40">
        <f>VLOOKUP(Table7[[#This Row],[Date]],'DB Details'!$A:$L,12)</f>
        <v>50.6</v>
      </c>
      <c r="C148" s="41">
        <v>58.279998999999997</v>
      </c>
      <c r="D148" s="46">
        <f>(Table7[[#This Row],[S&amp;P]]-C136)/C136</f>
        <v>0.11051827362804878</v>
      </c>
      <c r="F148" s="3"/>
      <c r="K148" s="2"/>
    </row>
    <row r="149" spans="1:11" x14ac:dyDescent="0.35">
      <c r="A149" s="39">
        <v>21885</v>
      </c>
      <c r="B149" s="40">
        <f>VLOOKUP(Table7[[#This Row],[Date]],'DB Details'!$A:$L,12)</f>
        <v>58.2</v>
      </c>
      <c r="C149" s="41">
        <v>59.889999000000003</v>
      </c>
      <c r="D149" s="46">
        <f>(Table7[[#This Row],[S&amp;P]]-C137)/C137</f>
        <v>8.4767253844724749E-2</v>
      </c>
      <c r="F149" s="3"/>
      <c r="K149" s="2"/>
    </row>
    <row r="150" spans="1:11" x14ac:dyDescent="0.35">
      <c r="A150" s="39">
        <v>21916</v>
      </c>
      <c r="B150" s="40">
        <f>VLOOKUP(Table7[[#This Row],[Date]],'DB Details'!$A:$L,12)</f>
        <v>61.5</v>
      </c>
      <c r="C150" s="41">
        <v>55.610000999999997</v>
      </c>
      <c r="D150" s="46">
        <f>(Table7[[#This Row],[S&amp;P]]-C138)/C138</f>
        <v>2.8854823645539083E-3</v>
      </c>
      <c r="F150" s="3"/>
      <c r="K150" s="2"/>
    </row>
    <row r="151" spans="1:11" x14ac:dyDescent="0.35">
      <c r="A151" s="39">
        <v>21947</v>
      </c>
      <c r="B151" s="40">
        <f>VLOOKUP(Table7[[#This Row],[Date]],'DB Details'!$A:$L,12)</f>
        <v>52.3</v>
      </c>
      <c r="C151" s="41">
        <v>56.119999</v>
      </c>
      <c r="D151" s="46">
        <f>(Table7[[#This Row],[S&amp;P]]-C139)/C139</f>
        <v>1.2813553510196777E-2</v>
      </c>
      <c r="F151" s="3"/>
      <c r="K151" s="2"/>
    </row>
    <row r="152" spans="1:11" x14ac:dyDescent="0.35">
      <c r="A152" s="39">
        <v>21976</v>
      </c>
      <c r="B152" s="40">
        <f>VLOOKUP(Table7[[#This Row],[Date]],'DB Details'!$A:$L,12)</f>
        <v>47.8</v>
      </c>
      <c r="C152" s="41">
        <v>55.34</v>
      </c>
      <c r="D152" s="46">
        <f>(Table7[[#This Row],[S&amp;P]]-C140)/C140</f>
        <v>-1.8037337987685902E-3</v>
      </c>
      <c r="F152" s="3"/>
      <c r="K152" s="2"/>
    </row>
    <row r="153" spans="1:11" x14ac:dyDescent="0.35">
      <c r="A153" s="39">
        <v>22007</v>
      </c>
      <c r="B153" s="40">
        <f>VLOOKUP(Table7[[#This Row],[Date]],'DB Details'!$A:$L,12)</f>
        <v>45.3</v>
      </c>
      <c r="C153" s="41">
        <v>54.369999</v>
      </c>
      <c r="D153" s="46">
        <f>(Table7[[#This Row],[S&amp;P]]-C141)/C141</f>
        <v>-5.5912502170515771E-2</v>
      </c>
      <c r="F153" s="3"/>
      <c r="K153" s="2"/>
    </row>
    <row r="154" spans="1:11" x14ac:dyDescent="0.35">
      <c r="A154" s="39">
        <v>22037</v>
      </c>
      <c r="B154" s="40">
        <f>VLOOKUP(Table7[[#This Row],[Date]],'DB Details'!$A:$L,12)</f>
        <v>42.6</v>
      </c>
      <c r="C154" s="41">
        <v>55.830002</v>
      </c>
      <c r="D154" s="46">
        <f>(Table7[[#This Row],[S&amp;P]]-C142)/C142</f>
        <v>-4.8568473074301281E-2</v>
      </c>
      <c r="F154" s="3"/>
      <c r="K154" s="2"/>
    </row>
    <row r="155" spans="1:11" x14ac:dyDescent="0.35">
      <c r="A155" s="39">
        <v>22068</v>
      </c>
      <c r="B155" s="40">
        <f>VLOOKUP(Table7[[#This Row],[Date]],'DB Details'!$A:$L,12)</f>
        <v>44.4</v>
      </c>
      <c r="C155" s="41">
        <v>56.919998</v>
      </c>
      <c r="D155" s="46">
        <f>(Table7[[#This Row],[S&amp;P]]-C143)/C143</f>
        <v>-2.6509371874305316E-2</v>
      </c>
      <c r="F155" s="3"/>
      <c r="K155" s="2"/>
    </row>
    <row r="156" spans="1:11" x14ac:dyDescent="0.35">
      <c r="A156" s="39">
        <v>22098</v>
      </c>
      <c r="B156" s="40">
        <f>VLOOKUP(Table7[[#This Row],[Date]],'DB Details'!$A:$L,12)</f>
        <v>43.7</v>
      </c>
      <c r="C156" s="41">
        <v>55.509998000000003</v>
      </c>
      <c r="D156" s="46">
        <f>(Table7[[#This Row],[S&amp;P]]-C144)/C144</f>
        <v>-8.2630972818739795E-2</v>
      </c>
      <c r="F156" s="3"/>
      <c r="K156" s="2"/>
    </row>
    <row r="157" spans="1:11" x14ac:dyDescent="0.35">
      <c r="A157" s="39">
        <v>22129</v>
      </c>
      <c r="B157" s="40">
        <f>VLOOKUP(Table7[[#This Row],[Date]],'DB Details'!$A:$L,12)</f>
        <v>47.6</v>
      </c>
      <c r="C157" s="41">
        <v>56.959999000000003</v>
      </c>
      <c r="D157" s="46">
        <f>(Table7[[#This Row],[S&amp;P]]-C145)/C145</f>
        <v>-4.4295286721318279E-2</v>
      </c>
      <c r="F157" s="3"/>
      <c r="K157" s="2"/>
    </row>
    <row r="158" spans="1:11" x14ac:dyDescent="0.35">
      <c r="A158" s="39">
        <v>22160</v>
      </c>
      <c r="B158" s="40">
        <f>VLOOKUP(Table7[[#This Row],[Date]],'DB Details'!$A:$L,12)</f>
        <v>45.4</v>
      </c>
      <c r="C158" s="41">
        <v>53.52</v>
      </c>
      <c r="D158" s="46">
        <f>(Table7[[#This Row],[S&amp;P]]-C146)/C146</f>
        <v>-5.9071746500145052E-2</v>
      </c>
      <c r="F158" s="3"/>
      <c r="K158" s="2"/>
    </row>
    <row r="159" spans="1:11" x14ac:dyDescent="0.35">
      <c r="A159" s="39">
        <v>22190</v>
      </c>
      <c r="B159" s="40">
        <f>VLOOKUP(Table7[[#This Row],[Date]],'DB Details'!$A:$L,12)</f>
        <v>46</v>
      </c>
      <c r="C159" s="41">
        <v>53.389999000000003</v>
      </c>
      <c r="D159" s="46">
        <f>(Table7[[#This Row],[S&amp;P]]-C147)/C147</f>
        <v>-7.1801130041724615E-2</v>
      </c>
      <c r="F159" s="3"/>
      <c r="K159" s="2"/>
    </row>
    <row r="160" spans="1:11" x14ac:dyDescent="0.35">
      <c r="A160" s="39">
        <v>22221</v>
      </c>
      <c r="B160" s="40">
        <f>VLOOKUP(Table7[[#This Row],[Date]],'DB Details'!$A:$L,12)</f>
        <v>44.3</v>
      </c>
      <c r="C160" s="41">
        <v>55.540000999999997</v>
      </c>
      <c r="D160" s="46">
        <f>(Table7[[#This Row],[S&amp;P]]-C148)/C148</f>
        <v>-4.7014379667370966E-2</v>
      </c>
      <c r="F160" s="3"/>
      <c r="K160" s="2"/>
    </row>
    <row r="161" spans="1:11" x14ac:dyDescent="0.35">
      <c r="A161" s="39">
        <v>22251</v>
      </c>
      <c r="B161" s="40">
        <f>VLOOKUP(Table7[[#This Row],[Date]],'DB Details'!$A:$L,12)</f>
        <v>44.3</v>
      </c>
      <c r="C161" s="41">
        <v>58.110000999999997</v>
      </c>
      <c r="D161" s="46">
        <f>(Table7[[#This Row],[S&amp;P]]-C149)/C149</f>
        <v>-2.972112255336665E-2</v>
      </c>
      <c r="F161" s="3"/>
      <c r="K161" s="2"/>
    </row>
    <row r="162" spans="1:11" x14ac:dyDescent="0.35">
      <c r="A162" s="39">
        <v>22282</v>
      </c>
      <c r="B162" s="40">
        <f>VLOOKUP(Table7[[#This Row],[Date]],'DB Details'!$A:$L,12)</f>
        <v>43.9</v>
      </c>
      <c r="C162" s="41">
        <v>61.779998999999997</v>
      </c>
      <c r="D162" s="46">
        <f>(Table7[[#This Row],[S&amp;P]]-C150)/C150</f>
        <v>0.11095122979767615</v>
      </c>
      <c r="F162" s="3"/>
      <c r="K162" s="2"/>
    </row>
    <row r="163" spans="1:11" x14ac:dyDescent="0.35">
      <c r="A163" s="39">
        <v>22313</v>
      </c>
      <c r="B163" s="40">
        <f>VLOOKUP(Table7[[#This Row],[Date]],'DB Details'!$A:$L,12)</f>
        <v>43.6</v>
      </c>
      <c r="C163" s="41">
        <v>63.439999</v>
      </c>
      <c r="D163" s="46">
        <f>(Table7[[#This Row],[S&amp;P]]-C151)/C151</f>
        <v>0.1304347849329078</v>
      </c>
      <c r="F163" s="3"/>
      <c r="K163" s="2"/>
    </row>
    <row r="164" spans="1:11" x14ac:dyDescent="0.35">
      <c r="A164" s="39">
        <v>22341</v>
      </c>
      <c r="B164" s="40">
        <f>VLOOKUP(Table7[[#This Row],[Date]],'DB Details'!$A:$L,12)</f>
        <v>49.1</v>
      </c>
      <c r="C164" s="41">
        <v>65.059997999999993</v>
      </c>
      <c r="D164" s="46">
        <f>(Table7[[#This Row],[S&amp;P]]-C152)/C152</f>
        <v>0.17564145283700738</v>
      </c>
      <c r="F164" s="3"/>
      <c r="K164" s="2"/>
    </row>
    <row r="165" spans="1:11" x14ac:dyDescent="0.35">
      <c r="A165" s="39">
        <v>22372</v>
      </c>
      <c r="B165" s="40">
        <f>VLOOKUP(Table7[[#This Row],[Date]],'DB Details'!$A:$L,12)</f>
        <v>57.6</v>
      </c>
      <c r="C165" s="41">
        <v>65.309997999999993</v>
      </c>
      <c r="D165" s="46">
        <f>(Table7[[#This Row],[S&amp;P]]-C153)/C153</f>
        <v>0.2012138900352011</v>
      </c>
      <c r="F165" s="3"/>
      <c r="K165" s="2"/>
    </row>
    <row r="166" spans="1:11" x14ac:dyDescent="0.35">
      <c r="A166" s="39">
        <v>22402</v>
      </c>
      <c r="B166" s="40">
        <f>VLOOKUP(Table7[[#This Row],[Date]],'DB Details'!$A:$L,12)</f>
        <v>58.9</v>
      </c>
      <c r="C166" s="41">
        <v>66.559997999999993</v>
      </c>
      <c r="D166" s="46">
        <f>(Table7[[#This Row],[S&amp;P]]-C154)/C154</f>
        <v>0.19219050001108709</v>
      </c>
      <c r="F166" s="3"/>
      <c r="K166" s="2"/>
    </row>
    <row r="167" spans="1:11" x14ac:dyDescent="0.35">
      <c r="A167" s="39">
        <v>22433</v>
      </c>
      <c r="B167" s="40">
        <f>VLOOKUP(Table7[[#This Row],[Date]],'DB Details'!$A:$L,12)</f>
        <v>58.1</v>
      </c>
      <c r="C167" s="41">
        <v>64.639999000000003</v>
      </c>
      <c r="D167" s="46">
        <f>(Table7[[#This Row],[S&amp;P]]-C155)/C155</f>
        <v>0.13562897525049111</v>
      </c>
      <c r="F167" s="3"/>
      <c r="K167" s="2"/>
    </row>
    <row r="168" spans="1:11" x14ac:dyDescent="0.35">
      <c r="A168" s="39">
        <v>22463</v>
      </c>
      <c r="B168" s="40">
        <f>VLOOKUP(Table7[[#This Row],[Date]],'DB Details'!$A:$L,12)</f>
        <v>58.2</v>
      </c>
      <c r="C168" s="41">
        <v>66.760002</v>
      </c>
      <c r="D168" s="46">
        <f>(Table7[[#This Row],[S&amp;P]]-C156)/C156</f>
        <v>0.20266626563380521</v>
      </c>
      <c r="F168" s="3"/>
      <c r="K168" s="2"/>
    </row>
    <row r="169" spans="1:11" x14ac:dyDescent="0.35">
      <c r="A169" s="39">
        <v>22494</v>
      </c>
      <c r="B169" s="40">
        <f>VLOOKUP(Table7[[#This Row],[Date]],'DB Details'!$A:$L,12)</f>
        <v>60.7</v>
      </c>
      <c r="C169" s="41">
        <v>68.069999999999993</v>
      </c>
      <c r="D169" s="46">
        <f>(Table7[[#This Row],[S&amp;P]]-C157)/C157</f>
        <v>0.19504917828386881</v>
      </c>
      <c r="F169" s="3"/>
      <c r="K169" s="2"/>
    </row>
    <row r="170" spans="1:11" x14ac:dyDescent="0.35">
      <c r="A170" s="39">
        <v>22525</v>
      </c>
      <c r="B170" s="40">
        <f>VLOOKUP(Table7[[#This Row],[Date]],'DB Details'!$A:$L,12)</f>
        <v>63</v>
      </c>
      <c r="C170" s="41">
        <v>66.730002999999996</v>
      </c>
      <c r="D170" s="46">
        <f>(Table7[[#This Row],[S&amp;P]]-C158)/C158</f>
        <v>0.24682367339312392</v>
      </c>
      <c r="F170" s="3"/>
      <c r="K170" s="2"/>
    </row>
    <row r="171" spans="1:11" x14ac:dyDescent="0.35">
      <c r="A171" s="39">
        <v>22555</v>
      </c>
      <c r="B171" s="40">
        <f>VLOOKUP(Table7[[#This Row],[Date]],'DB Details'!$A:$L,12)</f>
        <v>62.2</v>
      </c>
      <c r="C171" s="41">
        <v>68.620002999999997</v>
      </c>
      <c r="D171" s="46">
        <f>(Table7[[#This Row],[S&amp;P]]-C159)/C159</f>
        <v>0.2852594921382185</v>
      </c>
      <c r="F171" s="3"/>
      <c r="K171" s="2"/>
    </row>
    <row r="172" spans="1:11" x14ac:dyDescent="0.35">
      <c r="A172" s="39">
        <v>22586</v>
      </c>
      <c r="B172" s="40">
        <f>VLOOKUP(Table7[[#This Row],[Date]],'DB Details'!$A:$L,12)</f>
        <v>59</v>
      </c>
      <c r="C172" s="41">
        <v>71.319999999999993</v>
      </c>
      <c r="D172" s="46">
        <f>(Table7[[#This Row],[S&amp;P]]-C160)/C160</f>
        <v>0.28411953035434762</v>
      </c>
      <c r="F172" s="3"/>
      <c r="K172" s="2"/>
    </row>
    <row r="173" spans="1:11" x14ac:dyDescent="0.35">
      <c r="A173" s="39">
        <v>22616</v>
      </c>
      <c r="B173" s="40">
        <f>VLOOKUP(Table7[[#This Row],[Date]],'DB Details'!$A:$L,12)</f>
        <v>64.2</v>
      </c>
      <c r="C173" s="41">
        <v>71.550003000000004</v>
      </c>
      <c r="D173" s="46">
        <f>(Table7[[#This Row],[S&amp;P]]-C161)/C161</f>
        <v>0.23128552346781078</v>
      </c>
      <c r="F173" s="3"/>
      <c r="K173" s="2"/>
    </row>
    <row r="174" spans="1:11" x14ac:dyDescent="0.35">
      <c r="A174" s="39">
        <v>22647</v>
      </c>
      <c r="B174" s="40">
        <f>VLOOKUP(Table7[[#This Row],[Date]],'DB Details'!$A:$L,12)</f>
        <v>60.9</v>
      </c>
      <c r="C174" s="41">
        <v>68.839995999999999</v>
      </c>
      <c r="D174" s="46">
        <f>(Table7[[#This Row],[S&amp;P]]-C162)/C162</f>
        <v>0.11427641816569151</v>
      </c>
      <c r="F174" s="3"/>
      <c r="K174" s="2"/>
    </row>
    <row r="175" spans="1:11" x14ac:dyDescent="0.35">
      <c r="A175" s="39">
        <v>22678</v>
      </c>
      <c r="B175" s="40">
        <f>VLOOKUP(Table7[[#This Row],[Date]],'DB Details'!$A:$L,12)</f>
        <v>61.1</v>
      </c>
      <c r="C175" s="41">
        <v>69.959998999999996</v>
      </c>
      <c r="D175" s="46">
        <f>(Table7[[#This Row],[S&amp;P]]-C163)/C163</f>
        <v>0.10277427652544566</v>
      </c>
      <c r="F175" s="3"/>
      <c r="K175" s="2"/>
    </row>
    <row r="176" spans="1:11" x14ac:dyDescent="0.35">
      <c r="A176" s="39">
        <v>22706</v>
      </c>
      <c r="B176" s="40">
        <f>VLOOKUP(Table7[[#This Row],[Date]],'DB Details'!$A:$L,12)</f>
        <v>60.6</v>
      </c>
      <c r="C176" s="41">
        <v>69.550003000000004</v>
      </c>
      <c r="D176" s="46">
        <f>(Table7[[#This Row],[S&amp;P]]-C164)/C164</f>
        <v>6.9013297541140578E-2</v>
      </c>
      <c r="F176" s="3"/>
      <c r="K176" s="2"/>
    </row>
    <row r="177" spans="1:11" x14ac:dyDescent="0.35">
      <c r="A177" s="39">
        <v>22737</v>
      </c>
      <c r="B177" s="40">
        <f>VLOOKUP(Table7[[#This Row],[Date]],'DB Details'!$A:$L,12)</f>
        <v>55.1</v>
      </c>
      <c r="C177" s="41">
        <v>65.239998</v>
      </c>
      <c r="D177" s="46">
        <f>(Table7[[#This Row],[S&amp;P]]-C165)/C165</f>
        <v>-1.0718113940225995E-3</v>
      </c>
      <c r="F177" s="3"/>
      <c r="K177" s="2"/>
    </row>
    <row r="178" spans="1:11" x14ac:dyDescent="0.35">
      <c r="A178" s="39">
        <v>22767</v>
      </c>
      <c r="B178" s="40">
        <f>VLOOKUP(Table7[[#This Row],[Date]],'DB Details'!$A:$L,12)</f>
        <v>52.2</v>
      </c>
      <c r="C178" s="41">
        <v>59.630001</v>
      </c>
      <c r="D178" s="46">
        <f>(Table7[[#This Row],[S&amp;P]]-C166)/C166</f>
        <v>-0.104116544594848</v>
      </c>
      <c r="F178" s="3"/>
      <c r="K178" s="2"/>
    </row>
    <row r="179" spans="1:11" x14ac:dyDescent="0.35">
      <c r="A179" s="39">
        <v>22798</v>
      </c>
      <c r="B179" s="40">
        <f>VLOOKUP(Table7[[#This Row],[Date]],'DB Details'!$A:$L,12)</f>
        <v>50.8</v>
      </c>
      <c r="C179" s="41">
        <v>54.75</v>
      </c>
      <c r="D179" s="46">
        <f>(Table7[[#This Row],[S&amp;P]]-C167)/C167</f>
        <v>-0.15300122452043977</v>
      </c>
      <c r="F179" s="3"/>
      <c r="K179" s="2"/>
    </row>
    <row r="180" spans="1:11" x14ac:dyDescent="0.35">
      <c r="A180" s="39">
        <v>22828</v>
      </c>
      <c r="B180" s="40">
        <f>VLOOKUP(Table7[[#This Row],[Date]],'DB Details'!$A:$L,12)</f>
        <v>51</v>
      </c>
      <c r="C180" s="41">
        <v>58.23</v>
      </c>
      <c r="D180" s="46">
        <f>(Table7[[#This Row],[S&amp;P]]-C168)/C168</f>
        <v>-0.12777114656167929</v>
      </c>
      <c r="F180" s="3"/>
      <c r="K180" s="2"/>
    </row>
    <row r="181" spans="1:11" x14ac:dyDescent="0.35">
      <c r="A181" s="39">
        <v>22859</v>
      </c>
      <c r="B181" s="40">
        <f>VLOOKUP(Table7[[#This Row],[Date]],'DB Details'!$A:$L,12)</f>
        <v>49.5</v>
      </c>
      <c r="C181" s="41">
        <v>59.119999</v>
      </c>
      <c r="D181" s="46">
        <f>(Table7[[#This Row],[S&amp;P]]-C169)/C169</f>
        <v>-0.13148231232554713</v>
      </c>
      <c r="F181" s="3"/>
      <c r="K181" s="2"/>
    </row>
    <row r="182" spans="1:11" x14ac:dyDescent="0.35">
      <c r="A182" s="39">
        <v>22890</v>
      </c>
      <c r="B182" s="40">
        <f>VLOOKUP(Table7[[#This Row],[Date]],'DB Details'!$A:$L,12)</f>
        <v>50</v>
      </c>
      <c r="C182" s="41">
        <v>56.27</v>
      </c>
      <c r="D182" s="46">
        <f>(Table7[[#This Row],[S&amp;P]]-C170)/C170</f>
        <v>-0.15675112437804017</v>
      </c>
      <c r="F182" s="3"/>
      <c r="K182" s="2"/>
    </row>
    <row r="183" spans="1:11" x14ac:dyDescent="0.35">
      <c r="A183" s="39">
        <v>22920</v>
      </c>
      <c r="B183" s="40">
        <f>VLOOKUP(Table7[[#This Row],[Date]],'DB Details'!$A:$L,12)</f>
        <v>51.2</v>
      </c>
      <c r="C183" s="41">
        <v>56.52</v>
      </c>
      <c r="D183" s="46">
        <f>(Table7[[#This Row],[S&amp;P]]-C171)/C171</f>
        <v>-0.1763334664966423</v>
      </c>
      <c r="F183" s="3"/>
      <c r="K183" s="2"/>
    </row>
    <row r="184" spans="1:11" x14ac:dyDescent="0.35">
      <c r="A184" s="39">
        <v>22951</v>
      </c>
      <c r="B184" s="40">
        <f>VLOOKUP(Table7[[#This Row],[Date]],'DB Details'!$A:$L,12)</f>
        <v>53.8</v>
      </c>
      <c r="C184" s="41">
        <v>62.259998000000003</v>
      </c>
      <c r="D184" s="46">
        <f>(Table7[[#This Row],[S&amp;P]]-C172)/C172</f>
        <v>-0.12703311833987649</v>
      </c>
      <c r="F184" s="3"/>
      <c r="K184" s="2"/>
    </row>
    <row r="185" spans="1:11" x14ac:dyDescent="0.35">
      <c r="A185" s="39">
        <v>22981</v>
      </c>
      <c r="B185" s="40">
        <f>VLOOKUP(Table7[[#This Row],[Date]],'DB Details'!$A:$L,12)</f>
        <v>57.2</v>
      </c>
      <c r="C185" s="41">
        <v>63.099997999999999</v>
      </c>
      <c r="D185" s="46">
        <f>(Table7[[#This Row],[S&amp;P]]-C173)/C173</f>
        <v>-0.11809929623622803</v>
      </c>
      <c r="F185" s="3"/>
      <c r="K185" s="2"/>
    </row>
    <row r="186" spans="1:11" x14ac:dyDescent="0.35">
      <c r="A186" s="39">
        <v>23012</v>
      </c>
      <c r="B186" s="40">
        <f>VLOOKUP(Table7[[#This Row],[Date]],'DB Details'!$A:$L,12)</f>
        <v>55.2</v>
      </c>
      <c r="C186" s="41">
        <v>66.199996999999996</v>
      </c>
      <c r="D186" s="46">
        <f>(Table7[[#This Row],[S&amp;P]]-C174)/C174</f>
        <v>-3.8349784331771358E-2</v>
      </c>
      <c r="F186" s="3"/>
      <c r="K186" s="2"/>
    </row>
    <row r="187" spans="1:11" x14ac:dyDescent="0.35">
      <c r="A187" s="39">
        <v>23043</v>
      </c>
      <c r="B187" s="40">
        <f>VLOOKUP(Table7[[#This Row],[Date]],'DB Details'!$A:$L,12)</f>
        <v>55.1</v>
      </c>
      <c r="C187" s="41">
        <v>64.290001000000004</v>
      </c>
      <c r="D187" s="46">
        <f>(Table7[[#This Row],[S&amp;P]]-C175)/C175</f>
        <v>-8.1046284749089162E-2</v>
      </c>
      <c r="F187" s="3"/>
      <c r="K187" s="2"/>
    </row>
    <row r="188" spans="1:11" x14ac:dyDescent="0.35">
      <c r="A188" s="39">
        <v>23071</v>
      </c>
      <c r="B188" s="40">
        <f>VLOOKUP(Table7[[#This Row],[Date]],'DB Details'!$A:$L,12)</f>
        <v>54.7</v>
      </c>
      <c r="C188" s="41">
        <v>66.569999999999993</v>
      </c>
      <c r="D188" s="46">
        <f>(Table7[[#This Row],[S&amp;P]]-C176)/C176</f>
        <v>-4.284691403967316E-2</v>
      </c>
      <c r="F188" s="3"/>
      <c r="K188" s="2"/>
    </row>
    <row r="189" spans="1:11" x14ac:dyDescent="0.35">
      <c r="A189" s="39">
        <v>23102</v>
      </c>
      <c r="B189" s="40">
        <f>VLOOKUP(Table7[[#This Row],[Date]],'DB Details'!$A:$L,12)</f>
        <v>57.6</v>
      </c>
      <c r="C189" s="41">
        <v>69.800003000000004</v>
      </c>
      <c r="D189" s="46">
        <f>(Table7[[#This Row],[S&amp;P]]-C177)/C177</f>
        <v>6.9895848249412945E-2</v>
      </c>
      <c r="F189" s="3"/>
      <c r="K189" s="2"/>
    </row>
    <row r="190" spans="1:11" x14ac:dyDescent="0.35">
      <c r="A190" s="39">
        <v>23132</v>
      </c>
      <c r="B190" s="40">
        <f>VLOOKUP(Table7[[#This Row],[Date]],'DB Details'!$A:$L,12)</f>
        <v>59.8</v>
      </c>
      <c r="C190" s="41">
        <v>70.800003000000004</v>
      </c>
      <c r="D190" s="46">
        <f>(Table7[[#This Row],[S&amp;P]]-C178)/C178</f>
        <v>0.18732184827566922</v>
      </c>
      <c r="F190" s="3"/>
      <c r="K190" s="2"/>
    </row>
    <row r="191" spans="1:11" x14ac:dyDescent="0.35">
      <c r="A191" s="39">
        <v>23163</v>
      </c>
      <c r="B191" s="40">
        <f>VLOOKUP(Table7[[#This Row],[Date]],'DB Details'!$A:$L,12)</f>
        <v>58.2</v>
      </c>
      <c r="C191" s="41">
        <v>69.370002999999997</v>
      </c>
      <c r="D191" s="46">
        <f>(Table7[[#This Row],[S&amp;P]]-C179)/C179</f>
        <v>0.26703201826484013</v>
      </c>
      <c r="F191" s="3"/>
      <c r="K191" s="2"/>
    </row>
    <row r="192" spans="1:11" x14ac:dyDescent="0.35">
      <c r="A192" s="39">
        <v>23193</v>
      </c>
      <c r="B192" s="40">
        <f>VLOOKUP(Table7[[#This Row],[Date]],'DB Details'!$A:$L,12)</f>
        <v>55.5</v>
      </c>
      <c r="C192" s="41">
        <v>69.129997000000003</v>
      </c>
      <c r="D192" s="46">
        <f>(Table7[[#This Row],[S&amp;P]]-C180)/C180</f>
        <v>0.18718868280954845</v>
      </c>
      <c r="F192" s="3"/>
      <c r="K192" s="2"/>
    </row>
    <row r="193" spans="1:11" x14ac:dyDescent="0.35">
      <c r="A193" s="39">
        <v>23224</v>
      </c>
      <c r="B193" s="40">
        <f>VLOOKUP(Table7[[#This Row],[Date]],'DB Details'!$A:$L,12)</f>
        <v>55.1</v>
      </c>
      <c r="C193" s="41">
        <v>72.5</v>
      </c>
      <c r="D193" s="46">
        <f>(Table7[[#This Row],[S&amp;P]]-C181)/C181</f>
        <v>0.22631937121649817</v>
      </c>
      <c r="F193" s="3"/>
      <c r="K193" s="2"/>
    </row>
    <row r="194" spans="1:11" x14ac:dyDescent="0.35">
      <c r="A194" s="39">
        <v>23255</v>
      </c>
      <c r="B194" s="40">
        <f>VLOOKUP(Table7[[#This Row],[Date]],'DB Details'!$A:$L,12)</f>
        <v>56.9</v>
      </c>
      <c r="C194" s="41">
        <v>71.699996999999996</v>
      </c>
      <c r="D194" s="46">
        <f>(Table7[[#This Row],[S&amp;P]]-C182)/C182</f>
        <v>0.27421355962324495</v>
      </c>
      <c r="F194" s="3"/>
      <c r="K194" s="2"/>
    </row>
    <row r="195" spans="1:11" x14ac:dyDescent="0.35">
      <c r="A195" s="39">
        <v>23285</v>
      </c>
      <c r="B195" s="40">
        <f>VLOOKUP(Table7[[#This Row],[Date]],'DB Details'!$A:$L,12)</f>
        <v>57.7</v>
      </c>
      <c r="C195" s="41">
        <v>74.010002</v>
      </c>
      <c r="D195" s="46">
        <f>(Table7[[#This Row],[S&amp;P]]-C183)/C183</f>
        <v>0.30944801840056613</v>
      </c>
      <c r="F195" s="3"/>
      <c r="K195" s="2"/>
    </row>
    <row r="196" spans="1:11" x14ac:dyDescent="0.35">
      <c r="A196" s="39">
        <v>23316</v>
      </c>
      <c r="B196" s="40">
        <f>VLOOKUP(Table7[[#This Row],[Date]],'DB Details'!$A:$L,12)</f>
        <v>57.5</v>
      </c>
      <c r="C196" s="41">
        <v>73.230002999999996</v>
      </c>
      <c r="D196" s="46">
        <f>(Table7[[#This Row],[S&amp;P]]-C184)/C184</f>
        <v>0.17619668089292251</v>
      </c>
      <c r="F196" s="3"/>
      <c r="K196" s="2"/>
    </row>
    <row r="197" spans="1:11" x14ac:dyDescent="0.35">
      <c r="A197" s="39">
        <v>23346</v>
      </c>
      <c r="B197" s="40">
        <f>VLOOKUP(Table7[[#This Row],[Date]],'DB Details'!$A:$L,12)</f>
        <v>54</v>
      </c>
      <c r="C197" s="41">
        <v>75.019997000000004</v>
      </c>
      <c r="D197" s="46">
        <f>(Table7[[#This Row],[S&amp;P]]-C185)/C185</f>
        <v>0.18890648776248781</v>
      </c>
      <c r="F197" s="3"/>
      <c r="K197" s="2"/>
    </row>
    <row r="198" spans="1:11" x14ac:dyDescent="0.35">
      <c r="A198" s="39">
        <v>23377</v>
      </c>
      <c r="B198" s="40">
        <f>VLOOKUP(Table7[[#This Row],[Date]],'DB Details'!$A:$L,12)</f>
        <v>57.1</v>
      </c>
      <c r="C198" s="41">
        <v>77.040001000000004</v>
      </c>
      <c r="D198" s="46">
        <f>(Table7[[#This Row],[S&amp;P]]-C186)/C186</f>
        <v>0.16374629140844232</v>
      </c>
      <c r="F198" s="3"/>
      <c r="K198" s="2"/>
    </row>
    <row r="199" spans="1:11" x14ac:dyDescent="0.35">
      <c r="A199" s="39">
        <v>23408</v>
      </c>
      <c r="B199" s="40">
        <f>VLOOKUP(Table7[[#This Row],[Date]],'DB Details'!$A:$L,12)</f>
        <v>57.9</v>
      </c>
      <c r="C199" s="41">
        <v>77.800003000000004</v>
      </c>
      <c r="D199" s="46">
        <f>(Table7[[#This Row],[S&amp;P]]-C187)/C187</f>
        <v>0.21014157395953376</v>
      </c>
      <c r="F199" s="3"/>
      <c r="K199" s="2"/>
    </row>
    <row r="200" spans="1:11" x14ac:dyDescent="0.35">
      <c r="A200" s="39">
        <v>23437</v>
      </c>
      <c r="B200" s="40">
        <f>VLOOKUP(Table7[[#This Row],[Date]],'DB Details'!$A:$L,12)</f>
        <v>60.2</v>
      </c>
      <c r="C200" s="41">
        <v>78.980002999999996</v>
      </c>
      <c r="D200" s="46">
        <f>(Table7[[#This Row],[S&amp;P]]-C188)/C188</f>
        <v>0.18642035451404543</v>
      </c>
      <c r="F200" s="3"/>
      <c r="K200" s="2"/>
    </row>
    <row r="201" spans="1:11" x14ac:dyDescent="0.35">
      <c r="A201" s="39">
        <v>23468</v>
      </c>
      <c r="B201" s="40">
        <f>VLOOKUP(Table7[[#This Row],[Date]],'DB Details'!$A:$L,12)</f>
        <v>59.2</v>
      </c>
      <c r="C201" s="41">
        <v>79.459998999999996</v>
      </c>
      <c r="D201" s="46">
        <f>(Table7[[#This Row],[S&amp;P]]-C189)/C189</f>
        <v>0.1383953522179647</v>
      </c>
      <c r="F201" s="3"/>
      <c r="K201" s="2"/>
    </row>
    <row r="202" spans="1:11" x14ac:dyDescent="0.35">
      <c r="A202" s="39">
        <v>23498</v>
      </c>
      <c r="B202" s="40">
        <f>VLOOKUP(Table7[[#This Row],[Date]],'DB Details'!$A:$L,12)</f>
        <v>58.7</v>
      </c>
      <c r="C202" s="41">
        <v>80.370002999999997</v>
      </c>
      <c r="D202" s="46">
        <f>(Table7[[#This Row],[S&amp;P]]-C190)/C190</f>
        <v>0.13516948579790303</v>
      </c>
      <c r="F202" s="3"/>
      <c r="K202" s="2"/>
    </row>
    <row r="203" spans="1:11" x14ac:dyDescent="0.35">
      <c r="A203" s="39">
        <v>23529</v>
      </c>
      <c r="B203" s="40">
        <f>VLOOKUP(Table7[[#This Row],[Date]],'DB Details'!$A:$L,12)</f>
        <v>60.1</v>
      </c>
      <c r="C203" s="41">
        <v>81.690002000000007</v>
      </c>
      <c r="D203" s="46">
        <f>(Table7[[#This Row],[S&amp;P]]-C191)/C191</f>
        <v>0.17759836337328702</v>
      </c>
      <c r="F203" s="3"/>
      <c r="K203" s="2"/>
    </row>
    <row r="204" spans="1:11" x14ac:dyDescent="0.35">
      <c r="A204" s="39">
        <v>23559</v>
      </c>
      <c r="B204" s="40">
        <f>VLOOKUP(Table7[[#This Row],[Date]],'DB Details'!$A:$L,12)</f>
        <v>62.9</v>
      </c>
      <c r="C204" s="41">
        <v>83.18</v>
      </c>
      <c r="D204" s="46">
        <f>(Table7[[#This Row],[S&amp;P]]-C192)/C192</f>
        <v>0.2032403241678139</v>
      </c>
      <c r="F204" s="3"/>
      <c r="K204" s="2"/>
    </row>
    <row r="205" spans="1:11" x14ac:dyDescent="0.35">
      <c r="A205" s="39">
        <v>23590</v>
      </c>
      <c r="B205" s="40">
        <f>VLOOKUP(Table7[[#This Row],[Date]],'DB Details'!$A:$L,12)</f>
        <v>63.3</v>
      </c>
      <c r="C205" s="41">
        <v>81.830001999999993</v>
      </c>
      <c r="D205" s="46">
        <f>(Table7[[#This Row],[S&amp;P]]-C193)/C193</f>
        <v>0.12868968275862058</v>
      </c>
      <c r="F205" s="3"/>
      <c r="K205" s="2"/>
    </row>
    <row r="206" spans="1:11" x14ac:dyDescent="0.35">
      <c r="A206" s="39">
        <v>23621</v>
      </c>
      <c r="B206" s="40">
        <f>VLOOKUP(Table7[[#This Row],[Date]],'DB Details'!$A:$L,12)</f>
        <v>63.3</v>
      </c>
      <c r="C206" s="41">
        <v>84.18</v>
      </c>
      <c r="D206" s="46">
        <f>(Table7[[#This Row],[S&amp;P]]-C194)/C194</f>
        <v>0.17405862652964979</v>
      </c>
      <c r="F206" s="3"/>
      <c r="K206" s="2"/>
    </row>
    <row r="207" spans="1:11" x14ac:dyDescent="0.35">
      <c r="A207" s="39">
        <v>23651</v>
      </c>
      <c r="B207" s="40">
        <f>VLOOKUP(Table7[[#This Row],[Date]],'DB Details'!$A:$L,12)</f>
        <v>60.7</v>
      </c>
      <c r="C207" s="41">
        <v>84.860000999999997</v>
      </c>
      <c r="D207" s="46">
        <f>(Table7[[#This Row],[S&amp;P]]-C195)/C195</f>
        <v>0.14660179309277679</v>
      </c>
      <c r="F207" s="3"/>
      <c r="K207" s="2"/>
    </row>
    <row r="208" spans="1:11" x14ac:dyDescent="0.35">
      <c r="A208" s="39">
        <v>23682</v>
      </c>
      <c r="B208" s="40">
        <f>VLOOKUP(Table7[[#This Row],[Date]],'DB Details'!$A:$L,12)</f>
        <v>61.8</v>
      </c>
      <c r="C208" s="41">
        <v>84.419998000000007</v>
      </c>
      <c r="D208" s="46">
        <f>(Table7[[#This Row],[S&amp;P]]-C196)/C196</f>
        <v>0.15280615241815587</v>
      </c>
      <c r="F208" s="3"/>
      <c r="K208" s="2"/>
    </row>
    <row r="209" spans="1:11" x14ac:dyDescent="0.35">
      <c r="A209" s="39">
        <v>23712</v>
      </c>
      <c r="B209" s="40">
        <f>VLOOKUP(Table7[[#This Row],[Date]],'DB Details'!$A:$L,12)</f>
        <v>62.4</v>
      </c>
      <c r="C209" s="41">
        <v>84.75</v>
      </c>
      <c r="D209" s="46">
        <f>(Table7[[#This Row],[S&amp;P]]-C197)/C197</f>
        <v>0.12969879217670452</v>
      </c>
      <c r="F209" s="3"/>
      <c r="K209" s="2"/>
    </row>
    <row r="210" spans="1:11" x14ac:dyDescent="0.35">
      <c r="A210" s="39">
        <v>23743</v>
      </c>
      <c r="B210" s="40">
        <f>VLOOKUP(Table7[[#This Row],[Date]],'DB Details'!$A:$L,12)</f>
        <v>61</v>
      </c>
      <c r="C210" s="41">
        <v>87.559997999999993</v>
      </c>
      <c r="D210" s="46">
        <f>(Table7[[#This Row],[S&amp;P]]-C198)/C198</f>
        <v>0.13655239957746093</v>
      </c>
      <c r="F210" s="3"/>
      <c r="K210" s="2"/>
    </row>
    <row r="211" spans="1:11" x14ac:dyDescent="0.35">
      <c r="A211" s="39">
        <v>23774</v>
      </c>
      <c r="B211" s="40">
        <f>VLOOKUP(Table7[[#This Row],[Date]],'DB Details'!$A:$L,12)</f>
        <v>62.1</v>
      </c>
      <c r="C211" s="41">
        <v>87.43</v>
      </c>
      <c r="D211" s="46">
        <f>(Table7[[#This Row],[S&amp;P]]-C199)/C199</f>
        <v>0.1237788769751076</v>
      </c>
      <c r="F211" s="3"/>
      <c r="K211" s="2"/>
    </row>
    <row r="212" spans="1:11" x14ac:dyDescent="0.35">
      <c r="A212" s="39">
        <v>23802</v>
      </c>
      <c r="B212" s="40">
        <f>VLOOKUP(Table7[[#This Row],[Date]],'DB Details'!$A:$L,12)</f>
        <v>64.900000000000006</v>
      </c>
      <c r="C212" s="41">
        <v>86.160004000000001</v>
      </c>
      <c r="D212" s="46">
        <f>(Table7[[#This Row],[S&amp;P]]-C200)/C200</f>
        <v>9.0909100117405731E-2</v>
      </c>
      <c r="F212" s="3"/>
      <c r="K212" s="2"/>
    </row>
    <row r="213" spans="1:11" x14ac:dyDescent="0.35">
      <c r="A213" s="39">
        <v>23833</v>
      </c>
      <c r="B213" s="40">
        <f>VLOOKUP(Table7[[#This Row],[Date]],'DB Details'!$A:$L,12)</f>
        <v>62</v>
      </c>
      <c r="C213" s="41">
        <v>89.110000999999997</v>
      </c>
      <c r="D213" s="46">
        <f>(Table7[[#This Row],[S&amp;P]]-C201)/C201</f>
        <v>0.12144477877478958</v>
      </c>
      <c r="F213" s="3"/>
      <c r="K213" s="2"/>
    </row>
    <row r="214" spans="1:11" x14ac:dyDescent="0.35">
      <c r="A214" s="39">
        <v>23863</v>
      </c>
      <c r="B214" s="40">
        <f>VLOOKUP(Table7[[#This Row],[Date]],'DB Details'!$A:$L,12)</f>
        <v>61.3</v>
      </c>
      <c r="C214" s="41">
        <v>88.419998000000007</v>
      </c>
      <c r="D214" s="46">
        <f>(Table7[[#This Row],[S&amp;P]]-C202)/C202</f>
        <v>0.10016168594643464</v>
      </c>
      <c r="F214" s="3"/>
      <c r="K214" s="2"/>
    </row>
    <row r="215" spans="1:11" x14ac:dyDescent="0.35">
      <c r="A215" s="39">
        <v>23894</v>
      </c>
      <c r="B215" s="40">
        <f>VLOOKUP(Table7[[#This Row],[Date]],'DB Details'!$A:$L,12)</f>
        <v>58.7</v>
      </c>
      <c r="C215" s="41">
        <v>84.120002999999997</v>
      </c>
      <c r="D215" s="46">
        <f>(Table7[[#This Row],[S&amp;P]]-C203)/C203</f>
        <v>2.9746614524504354E-2</v>
      </c>
      <c r="F215" s="3"/>
      <c r="K215" s="2"/>
    </row>
    <row r="216" spans="1:11" x14ac:dyDescent="0.35">
      <c r="A216" s="39">
        <v>23924</v>
      </c>
      <c r="B216" s="40">
        <f>VLOOKUP(Table7[[#This Row],[Date]],'DB Details'!$A:$L,12)</f>
        <v>58.1</v>
      </c>
      <c r="C216" s="41">
        <v>85.25</v>
      </c>
      <c r="D216" s="46">
        <f>(Table7[[#This Row],[S&amp;P]]-C204)/C204</f>
        <v>2.4885789853330044E-2</v>
      </c>
      <c r="F216" s="3"/>
      <c r="K216" s="2"/>
    </row>
    <row r="217" spans="1:11" x14ac:dyDescent="0.35">
      <c r="A217" s="39">
        <v>23955</v>
      </c>
      <c r="B217" s="40">
        <f>VLOOKUP(Table7[[#This Row],[Date]],'DB Details'!$A:$L,12)</f>
        <v>58.1</v>
      </c>
      <c r="C217" s="41">
        <v>87.169998000000007</v>
      </c>
      <c r="D217" s="46">
        <f>(Table7[[#This Row],[S&amp;P]]-C205)/C205</f>
        <v>6.5257190144025826E-2</v>
      </c>
      <c r="F217" s="3"/>
      <c r="K217" s="2"/>
    </row>
    <row r="218" spans="1:11" x14ac:dyDescent="0.35">
      <c r="A218" s="39">
        <v>23986</v>
      </c>
      <c r="B218" s="40">
        <f>VLOOKUP(Table7[[#This Row],[Date]],'DB Details'!$A:$L,12)</f>
        <v>61</v>
      </c>
      <c r="C218" s="41">
        <v>89.959998999999996</v>
      </c>
      <c r="D218" s="46">
        <f>(Table7[[#This Row],[S&amp;P]]-C206)/C206</f>
        <v>6.8662378237110827E-2</v>
      </c>
      <c r="F218" s="3"/>
      <c r="K218" s="2"/>
    </row>
    <row r="219" spans="1:11" x14ac:dyDescent="0.35">
      <c r="A219" s="39">
        <v>24016</v>
      </c>
      <c r="B219" s="40">
        <f>VLOOKUP(Table7[[#This Row],[Date]],'DB Details'!$A:$L,12)</f>
        <v>58.6</v>
      </c>
      <c r="C219" s="41">
        <v>92.419998000000007</v>
      </c>
      <c r="D219" s="46">
        <f>(Table7[[#This Row],[S&amp;P]]-C207)/C207</f>
        <v>8.9087873095830036E-2</v>
      </c>
      <c r="F219" s="3"/>
      <c r="K219" s="2"/>
    </row>
    <row r="220" spans="1:11" x14ac:dyDescent="0.35">
      <c r="A220" s="39">
        <v>24047</v>
      </c>
      <c r="B220" s="40">
        <f>VLOOKUP(Table7[[#This Row],[Date]],'DB Details'!$A:$L,12)</f>
        <v>59.4</v>
      </c>
      <c r="C220" s="41">
        <v>91.610000999999997</v>
      </c>
      <c r="D220" s="46">
        <f>(Table7[[#This Row],[S&amp;P]]-C208)/C208</f>
        <v>8.5169428693897736E-2</v>
      </c>
      <c r="F220" s="3"/>
      <c r="K220" s="2"/>
    </row>
    <row r="221" spans="1:11" x14ac:dyDescent="0.35">
      <c r="A221" s="39">
        <v>24077</v>
      </c>
      <c r="B221" s="40">
        <f>VLOOKUP(Table7[[#This Row],[Date]],'DB Details'!$A:$L,12)</f>
        <v>62.8</v>
      </c>
      <c r="C221" s="41">
        <v>92.43</v>
      </c>
      <c r="D221" s="46">
        <f>(Table7[[#This Row],[S&amp;P]]-C209)/C209</f>
        <v>9.0619469026548757E-2</v>
      </c>
      <c r="F221" s="3"/>
      <c r="K221" s="2"/>
    </row>
    <row r="222" spans="1:11" x14ac:dyDescent="0.35">
      <c r="A222" s="39">
        <v>24108</v>
      </c>
      <c r="B222" s="40">
        <f>VLOOKUP(Table7[[#This Row],[Date]],'DB Details'!$A:$L,12)</f>
        <v>65.8</v>
      </c>
      <c r="C222" s="41">
        <v>92.879997000000003</v>
      </c>
      <c r="D222" s="46">
        <f>(Table7[[#This Row],[S&amp;P]]-C210)/C210</f>
        <v>6.0758327107316865E-2</v>
      </c>
      <c r="F222" s="3"/>
      <c r="K222" s="2"/>
    </row>
    <row r="223" spans="1:11" x14ac:dyDescent="0.35">
      <c r="A223" s="39">
        <v>24139</v>
      </c>
      <c r="B223" s="40">
        <f>VLOOKUP(Table7[[#This Row],[Date]],'DB Details'!$A:$L,12)</f>
        <v>65.5</v>
      </c>
      <c r="C223" s="41">
        <v>91.220000999999996</v>
      </c>
      <c r="D223" s="46">
        <f>(Table7[[#This Row],[S&amp;P]]-C211)/C211</f>
        <v>4.3348976323916155E-2</v>
      </c>
      <c r="F223" s="3"/>
      <c r="K223" s="2"/>
    </row>
    <row r="224" spans="1:11" x14ac:dyDescent="0.35">
      <c r="A224" s="39">
        <v>24167</v>
      </c>
      <c r="B224" s="40">
        <f>VLOOKUP(Table7[[#This Row],[Date]],'DB Details'!$A:$L,12)</f>
        <v>65.7</v>
      </c>
      <c r="C224" s="41">
        <v>89.230002999999996</v>
      </c>
      <c r="D224" s="46">
        <f>(Table7[[#This Row],[S&amp;P]]-C212)/C212</f>
        <v>3.5631370212099757E-2</v>
      </c>
      <c r="F224" s="3"/>
      <c r="K224" s="2"/>
    </row>
    <row r="225" spans="1:11" x14ac:dyDescent="0.35">
      <c r="A225" s="39">
        <v>24198</v>
      </c>
      <c r="B225" s="40">
        <f>VLOOKUP(Table7[[#This Row],[Date]],'DB Details'!$A:$L,12)</f>
        <v>64.2</v>
      </c>
      <c r="C225" s="41">
        <v>91.059997999999993</v>
      </c>
      <c r="D225" s="46">
        <f>(Table7[[#This Row],[S&amp;P]]-C213)/C213</f>
        <v>2.1883031961810843E-2</v>
      </c>
      <c r="F225" s="3"/>
      <c r="K225" s="2"/>
    </row>
    <row r="226" spans="1:11" x14ac:dyDescent="0.35">
      <c r="A226" s="39">
        <v>24228</v>
      </c>
      <c r="B226" s="40">
        <f>VLOOKUP(Table7[[#This Row],[Date]],'DB Details'!$A:$L,12)</f>
        <v>57.7</v>
      </c>
      <c r="C226" s="41">
        <v>86.129997000000003</v>
      </c>
      <c r="D226" s="46">
        <f>(Table7[[#This Row],[S&amp;P]]-C214)/C214</f>
        <v>-2.5899129742120143E-2</v>
      </c>
      <c r="F226" s="3"/>
      <c r="K226" s="2"/>
    </row>
    <row r="227" spans="1:11" x14ac:dyDescent="0.35">
      <c r="A227" s="39">
        <v>24259</v>
      </c>
      <c r="B227" s="40">
        <f>VLOOKUP(Table7[[#This Row],[Date]],'DB Details'!$A:$L,12)</f>
        <v>59</v>
      </c>
      <c r="C227" s="41">
        <v>84.739998</v>
      </c>
      <c r="D227" s="46">
        <f>(Table7[[#This Row],[S&amp;P]]-C215)/C215</f>
        <v>7.370363503196772E-3</v>
      </c>
      <c r="F227" s="3"/>
      <c r="K227" s="2"/>
    </row>
    <row r="228" spans="1:11" x14ac:dyDescent="0.35">
      <c r="A228" s="39">
        <v>24289</v>
      </c>
      <c r="B228" s="40">
        <f>VLOOKUP(Table7[[#This Row],[Date]],'DB Details'!$A:$L,12)</f>
        <v>60.3</v>
      </c>
      <c r="C228" s="41">
        <v>83.599997999999999</v>
      </c>
      <c r="D228" s="46">
        <f>(Table7[[#This Row],[S&amp;P]]-C216)/C216</f>
        <v>-1.9354862170087982E-2</v>
      </c>
      <c r="F228" s="3"/>
      <c r="K228" s="2"/>
    </row>
    <row r="229" spans="1:11" x14ac:dyDescent="0.35">
      <c r="A229" s="39">
        <v>24320</v>
      </c>
      <c r="B229" s="40">
        <f>VLOOKUP(Table7[[#This Row],[Date]],'DB Details'!$A:$L,12)</f>
        <v>58.5</v>
      </c>
      <c r="C229" s="41">
        <v>77.099997999999999</v>
      </c>
      <c r="D229" s="46">
        <f>(Table7[[#This Row],[S&amp;P]]-C217)/C217</f>
        <v>-0.11552139762582084</v>
      </c>
      <c r="F229" s="3"/>
      <c r="K229" s="2"/>
    </row>
    <row r="230" spans="1:11" x14ac:dyDescent="0.35">
      <c r="A230" s="39">
        <v>24351</v>
      </c>
      <c r="B230" s="40">
        <f>VLOOKUP(Table7[[#This Row],[Date]],'DB Details'!$A:$L,12)</f>
        <v>58.7</v>
      </c>
      <c r="C230" s="41">
        <v>76.559997999999993</v>
      </c>
      <c r="D230" s="46">
        <f>(Table7[[#This Row],[S&amp;P]]-C218)/C218</f>
        <v>-0.14895510392346717</v>
      </c>
      <c r="F230" s="3"/>
      <c r="K230" s="2"/>
    </row>
    <row r="231" spans="1:11" x14ac:dyDescent="0.35">
      <c r="A231" s="39">
        <v>24381</v>
      </c>
      <c r="B231" s="40">
        <f>VLOOKUP(Table7[[#This Row],[Date]],'DB Details'!$A:$L,12)</f>
        <v>57.2</v>
      </c>
      <c r="C231" s="41">
        <v>80.199996999999996</v>
      </c>
      <c r="D231" s="46">
        <f>(Table7[[#This Row],[S&amp;P]]-C219)/C219</f>
        <v>-0.13222247635192558</v>
      </c>
      <c r="F231" s="3"/>
      <c r="K231" s="2"/>
    </row>
    <row r="232" spans="1:11" x14ac:dyDescent="0.35">
      <c r="A232" s="39">
        <v>24412</v>
      </c>
      <c r="B232" s="40">
        <f>VLOOKUP(Table7[[#This Row],[Date]],'DB Details'!$A:$L,12)</f>
        <v>53.7</v>
      </c>
      <c r="C232" s="41">
        <v>80.449996999999996</v>
      </c>
      <c r="D232" s="46">
        <f>(Table7[[#This Row],[S&amp;P]]-C220)/C220</f>
        <v>-0.12182080425913325</v>
      </c>
      <c r="F232" s="3"/>
      <c r="K232" s="2"/>
    </row>
    <row r="233" spans="1:11" x14ac:dyDescent="0.35">
      <c r="A233" s="39">
        <v>24442</v>
      </c>
      <c r="B233" s="40">
        <f>VLOOKUP(Table7[[#This Row],[Date]],'DB Details'!$A:$L,12)</f>
        <v>52.4</v>
      </c>
      <c r="C233" s="41">
        <v>80.330001999999993</v>
      </c>
      <c r="D233" s="46">
        <f>(Table7[[#This Row],[S&amp;P]]-C221)/C221</f>
        <v>-0.13090985610732461</v>
      </c>
      <c r="F233" s="3"/>
      <c r="K233" s="2"/>
    </row>
    <row r="234" spans="1:11" x14ac:dyDescent="0.35">
      <c r="A234" s="39">
        <v>24473</v>
      </c>
      <c r="B234" s="40">
        <f>VLOOKUP(Table7[[#This Row],[Date]],'DB Details'!$A:$L,12)</f>
        <v>49.1</v>
      </c>
      <c r="C234" s="41">
        <v>86.610000999999997</v>
      </c>
      <c r="D234" s="46">
        <f>(Table7[[#This Row],[S&amp;P]]-C222)/C222</f>
        <v>-6.7506419062438233E-2</v>
      </c>
      <c r="F234" s="3"/>
      <c r="K234" s="2"/>
    </row>
    <row r="235" spans="1:11" x14ac:dyDescent="0.35">
      <c r="A235" s="39">
        <v>24504</v>
      </c>
      <c r="B235" s="40">
        <f>VLOOKUP(Table7[[#This Row],[Date]],'DB Details'!$A:$L,12)</f>
        <v>47.6</v>
      </c>
      <c r="C235" s="41">
        <v>86.779999000000004</v>
      </c>
      <c r="D235" s="46">
        <f>(Table7[[#This Row],[S&amp;P]]-C223)/C223</f>
        <v>-4.8673557896584466E-2</v>
      </c>
      <c r="F235" s="3"/>
      <c r="K235" s="2"/>
    </row>
    <row r="236" spans="1:11" x14ac:dyDescent="0.35">
      <c r="A236" s="39">
        <v>24532</v>
      </c>
      <c r="B236" s="40">
        <f>VLOOKUP(Table7[[#This Row],[Date]],'DB Details'!$A:$L,12)</f>
        <v>45.3</v>
      </c>
      <c r="C236" s="41">
        <v>90.199996999999996</v>
      </c>
      <c r="D236" s="46">
        <f>(Table7[[#This Row],[S&amp;P]]-C224)/C224</f>
        <v>1.087071576137905E-2</v>
      </c>
      <c r="F236" s="3"/>
      <c r="K236" s="2"/>
    </row>
    <row r="237" spans="1:11" x14ac:dyDescent="0.35">
      <c r="A237" s="39">
        <v>24563</v>
      </c>
      <c r="B237" s="40">
        <f>VLOOKUP(Table7[[#This Row],[Date]],'DB Details'!$A:$L,12)</f>
        <v>42.8</v>
      </c>
      <c r="C237" s="41">
        <v>94.010002</v>
      </c>
      <c r="D237" s="46">
        <f>(Table7[[#This Row],[S&amp;P]]-C225)/C225</f>
        <v>3.2396266909647933E-2</v>
      </c>
      <c r="F237" s="3"/>
      <c r="K237" s="2"/>
    </row>
    <row r="238" spans="1:11" x14ac:dyDescent="0.35">
      <c r="A238" s="39">
        <v>24593</v>
      </c>
      <c r="B238" s="40">
        <f>VLOOKUP(Table7[[#This Row],[Date]],'DB Details'!$A:$L,12)</f>
        <v>44.5</v>
      </c>
      <c r="C238" s="41">
        <v>89.080001999999993</v>
      </c>
      <c r="D238" s="46">
        <f>(Table7[[#This Row],[S&amp;P]]-C226)/C226</f>
        <v>3.4250610736698273E-2</v>
      </c>
      <c r="F238" s="3"/>
      <c r="K238" s="2"/>
    </row>
    <row r="239" spans="1:11" x14ac:dyDescent="0.35">
      <c r="A239" s="39">
        <v>24624</v>
      </c>
      <c r="B239" s="40">
        <f>VLOOKUP(Table7[[#This Row],[Date]],'DB Details'!$A:$L,12)</f>
        <v>46.8</v>
      </c>
      <c r="C239" s="41">
        <v>90.639999000000003</v>
      </c>
      <c r="D239" s="46">
        <f>(Table7[[#This Row],[S&amp;P]]-C227)/C227</f>
        <v>6.9624747926003053E-2</v>
      </c>
      <c r="F239" s="3"/>
      <c r="K239" s="2"/>
    </row>
    <row r="240" spans="1:11" x14ac:dyDescent="0.35">
      <c r="A240" s="39">
        <v>24654</v>
      </c>
      <c r="B240" s="40">
        <f>VLOOKUP(Table7[[#This Row],[Date]],'DB Details'!$A:$L,12)</f>
        <v>49.5</v>
      </c>
      <c r="C240" s="41">
        <v>94.75</v>
      </c>
      <c r="D240" s="46">
        <f>(Table7[[#This Row],[S&amp;P]]-C228)/C228</f>
        <v>0.13337323285581898</v>
      </c>
      <c r="F240" s="3"/>
      <c r="K240" s="2"/>
    </row>
    <row r="241" spans="1:11" x14ac:dyDescent="0.35">
      <c r="A241" s="39">
        <v>24685</v>
      </c>
      <c r="B241" s="40">
        <f>VLOOKUP(Table7[[#This Row],[Date]],'DB Details'!$A:$L,12)</f>
        <v>52.2</v>
      </c>
      <c r="C241" s="41">
        <v>93.639999000000003</v>
      </c>
      <c r="D241" s="46">
        <f>(Table7[[#This Row],[S&amp;P]]-C229)/C229</f>
        <v>0.21452660738071619</v>
      </c>
      <c r="F241" s="3"/>
      <c r="K241" s="2"/>
    </row>
    <row r="242" spans="1:11" x14ac:dyDescent="0.35">
      <c r="A242" s="39">
        <v>24716</v>
      </c>
      <c r="B242" s="40">
        <f>VLOOKUP(Table7[[#This Row],[Date]],'DB Details'!$A:$L,12)</f>
        <v>54.9</v>
      </c>
      <c r="C242" s="41">
        <v>96.709998999999996</v>
      </c>
      <c r="D242" s="46">
        <f>(Table7[[#This Row],[S&amp;P]]-C230)/C230</f>
        <v>0.26319228743971501</v>
      </c>
      <c r="F242" s="3"/>
      <c r="K242" s="2"/>
    </row>
    <row r="243" spans="1:11" x14ac:dyDescent="0.35">
      <c r="A243" s="39">
        <v>24746</v>
      </c>
      <c r="B243" s="40">
        <f>VLOOKUP(Table7[[#This Row],[Date]],'DB Details'!$A:$L,12)</f>
        <v>54.1</v>
      </c>
      <c r="C243" s="41">
        <v>93.300003000000004</v>
      </c>
      <c r="D243" s="46">
        <f>(Table7[[#This Row],[S&amp;P]]-C231)/C231</f>
        <v>0.16334172680829412</v>
      </c>
      <c r="F243" s="3"/>
      <c r="K243" s="2"/>
    </row>
    <row r="244" spans="1:11" x14ac:dyDescent="0.35">
      <c r="A244" s="39">
        <v>24777</v>
      </c>
      <c r="B244" s="40">
        <f>VLOOKUP(Table7[[#This Row],[Date]],'DB Details'!$A:$L,12)</f>
        <v>54.2</v>
      </c>
      <c r="C244" s="41">
        <v>94</v>
      </c>
      <c r="D244" s="46">
        <f>(Table7[[#This Row],[S&amp;P]]-C232)/C232</f>
        <v>0.16842763835031596</v>
      </c>
      <c r="F244" s="3"/>
      <c r="K244" s="2"/>
    </row>
    <row r="245" spans="1:11" x14ac:dyDescent="0.35">
      <c r="A245" s="39">
        <v>24807</v>
      </c>
      <c r="B245" s="40">
        <f>VLOOKUP(Table7[[#This Row],[Date]],'DB Details'!$A:$L,12)</f>
        <v>55.6</v>
      </c>
      <c r="C245" s="41">
        <v>96.470000999999996</v>
      </c>
      <c r="D245" s="46">
        <f>(Table7[[#This Row],[S&amp;P]]-C233)/C233</f>
        <v>0.20092118259875064</v>
      </c>
      <c r="F245" s="3"/>
      <c r="K245" s="2"/>
    </row>
    <row r="246" spans="1:11" x14ac:dyDescent="0.35">
      <c r="A246" s="39">
        <v>24838</v>
      </c>
      <c r="B246" s="40">
        <f>VLOOKUP(Table7[[#This Row],[Date]],'DB Details'!$A:$L,12)</f>
        <v>56.6</v>
      </c>
      <c r="C246" s="41">
        <v>92.239998</v>
      </c>
      <c r="D246" s="46">
        <f>(Table7[[#This Row],[S&amp;P]]-C234)/C234</f>
        <v>6.5004005715229157E-2</v>
      </c>
      <c r="F246" s="3"/>
      <c r="K246" s="2"/>
    </row>
    <row r="247" spans="1:11" x14ac:dyDescent="0.35">
      <c r="A247" s="39">
        <v>24869</v>
      </c>
      <c r="B247" s="40">
        <f>VLOOKUP(Table7[[#This Row],[Date]],'DB Details'!$A:$L,12)</f>
        <v>55</v>
      </c>
      <c r="C247" s="41">
        <v>89.360000999999997</v>
      </c>
      <c r="D247" s="46">
        <f>(Table7[[#This Row],[S&amp;P]]-C235)/C235</f>
        <v>2.9730376005189782E-2</v>
      </c>
      <c r="F247" s="3"/>
      <c r="K247" s="2"/>
    </row>
    <row r="248" spans="1:11" x14ac:dyDescent="0.35">
      <c r="A248" s="39">
        <v>24898</v>
      </c>
      <c r="B248" s="40">
        <f>VLOOKUP(Table7[[#This Row],[Date]],'DB Details'!$A:$L,12)</f>
        <v>53.8</v>
      </c>
      <c r="C248" s="41">
        <v>90.199996999999996</v>
      </c>
      <c r="D248" s="46">
        <f>(Table7[[#This Row],[S&amp;P]]-C236)/C236</f>
        <v>0</v>
      </c>
      <c r="F248" s="3"/>
      <c r="K248" s="2"/>
    </row>
    <row r="249" spans="1:11" x14ac:dyDescent="0.35">
      <c r="A249" s="39">
        <v>24929</v>
      </c>
      <c r="B249" s="40">
        <f>VLOOKUP(Table7[[#This Row],[Date]],'DB Details'!$A:$L,12)</f>
        <v>58</v>
      </c>
      <c r="C249" s="41">
        <v>97.459998999999996</v>
      </c>
      <c r="D249" s="46">
        <f>(Table7[[#This Row],[S&amp;P]]-C237)/C237</f>
        <v>3.6698190901006428E-2</v>
      </c>
      <c r="F249" s="3"/>
      <c r="K249" s="2"/>
    </row>
    <row r="250" spans="1:11" x14ac:dyDescent="0.35">
      <c r="A250" s="39">
        <v>24959</v>
      </c>
      <c r="B250" s="40">
        <f>VLOOKUP(Table7[[#This Row],[Date]],'DB Details'!$A:$L,12)</f>
        <v>55.3</v>
      </c>
      <c r="C250" s="41">
        <v>98.68</v>
      </c>
      <c r="D250" s="46">
        <f>(Table7[[#This Row],[S&amp;P]]-C238)/C238</f>
        <v>0.10776827328764557</v>
      </c>
      <c r="F250" s="3"/>
      <c r="K250" s="2"/>
    </row>
    <row r="251" spans="1:11" x14ac:dyDescent="0.35">
      <c r="A251" s="39">
        <v>24990</v>
      </c>
      <c r="B251" s="40">
        <f>VLOOKUP(Table7[[#This Row],[Date]],'DB Details'!$A:$L,12)</f>
        <v>53.5</v>
      </c>
      <c r="C251" s="41">
        <v>99.580001999999993</v>
      </c>
      <c r="D251" s="46">
        <f>(Table7[[#This Row],[S&amp;P]]-C239)/C239</f>
        <v>9.8631984759840849E-2</v>
      </c>
      <c r="F251" s="3"/>
      <c r="K251" s="2"/>
    </row>
    <row r="252" spans="1:11" x14ac:dyDescent="0.35">
      <c r="A252" s="39">
        <v>25020</v>
      </c>
      <c r="B252" s="40">
        <f>VLOOKUP(Table7[[#This Row],[Date]],'DB Details'!$A:$L,12)</f>
        <v>54.1</v>
      </c>
      <c r="C252" s="41">
        <v>97.739998</v>
      </c>
      <c r="D252" s="46">
        <f>(Table7[[#This Row],[S&amp;P]]-C240)/C240</f>
        <v>3.1556707124010555E-2</v>
      </c>
      <c r="F252" s="3"/>
      <c r="K252" s="2"/>
    </row>
    <row r="253" spans="1:11" x14ac:dyDescent="0.35">
      <c r="A253" s="39">
        <v>25051</v>
      </c>
      <c r="B253" s="40">
        <f>VLOOKUP(Table7[[#This Row],[Date]],'DB Details'!$A:$L,12)</f>
        <v>52.7</v>
      </c>
      <c r="C253" s="41">
        <v>98.860000999999997</v>
      </c>
      <c r="D253" s="46">
        <f>(Table7[[#This Row],[S&amp;P]]-C241)/C241</f>
        <v>5.5745429899032715E-2</v>
      </c>
      <c r="F253" s="3"/>
      <c r="K253" s="2"/>
    </row>
    <row r="254" spans="1:11" x14ac:dyDescent="0.35">
      <c r="A254" s="39">
        <v>25082</v>
      </c>
      <c r="B254" s="40">
        <f>VLOOKUP(Table7[[#This Row],[Date]],'DB Details'!$A:$L,12)</f>
        <v>51.8</v>
      </c>
      <c r="C254" s="41">
        <v>102.66999800000001</v>
      </c>
      <c r="D254" s="46">
        <f>(Table7[[#This Row],[S&amp;P]]-C242)/C242</f>
        <v>6.162753656940903E-2</v>
      </c>
      <c r="F254" s="3"/>
      <c r="K254" s="2"/>
    </row>
    <row r="255" spans="1:11" x14ac:dyDescent="0.35">
      <c r="A255" s="39">
        <v>25112</v>
      </c>
      <c r="B255" s="40">
        <f>VLOOKUP(Table7[[#This Row],[Date]],'DB Details'!$A:$L,12)</f>
        <v>55.8</v>
      </c>
      <c r="C255" s="41">
        <v>103.410004</v>
      </c>
      <c r="D255" s="46">
        <f>(Table7[[#This Row],[S&amp;P]]-C243)/C243</f>
        <v>0.10836013585122818</v>
      </c>
      <c r="F255" s="3"/>
      <c r="K255" s="2"/>
    </row>
    <row r="256" spans="1:11" x14ac:dyDescent="0.35">
      <c r="A256" s="39">
        <v>25143</v>
      </c>
      <c r="B256" s="40">
        <f>VLOOKUP(Table7[[#This Row],[Date]],'DB Details'!$A:$L,12)</f>
        <v>58.1</v>
      </c>
      <c r="C256" s="41">
        <v>108.370003</v>
      </c>
      <c r="D256" s="46">
        <f>(Table7[[#This Row],[S&amp;P]]-C244)/C244</f>
        <v>0.1528723723404255</v>
      </c>
      <c r="F256" s="3"/>
      <c r="K256" s="2"/>
    </row>
    <row r="257" spans="1:11" x14ac:dyDescent="0.35">
      <c r="A257" s="39">
        <v>25173</v>
      </c>
      <c r="B257" s="40">
        <f>VLOOKUP(Table7[[#This Row],[Date]],'DB Details'!$A:$L,12)</f>
        <v>56.1</v>
      </c>
      <c r="C257" s="41">
        <v>103.860001</v>
      </c>
      <c r="D257" s="46">
        <f>(Table7[[#This Row],[S&amp;P]]-C245)/C245</f>
        <v>7.6604124840840421E-2</v>
      </c>
      <c r="F257" s="3"/>
      <c r="K257" s="2"/>
    </row>
    <row r="258" spans="1:11" x14ac:dyDescent="0.35">
      <c r="A258" s="39">
        <v>25204</v>
      </c>
      <c r="B258" s="40">
        <f>VLOOKUP(Table7[[#This Row],[Date]],'DB Details'!$A:$L,12)</f>
        <v>54.9</v>
      </c>
      <c r="C258" s="41">
        <v>103.010002</v>
      </c>
      <c r="D258" s="46">
        <f>(Table7[[#This Row],[S&amp;P]]-C246)/C246</f>
        <v>0.11676067035474133</v>
      </c>
      <c r="F258" s="3"/>
      <c r="K258" s="2"/>
    </row>
    <row r="259" spans="1:11" x14ac:dyDescent="0.35">
      <c r="A259" s="39">
        <v>25235</v>
      </c>
      <c r="B259" s="40">
        <f>VLOOKUP(Table7[[#This Row],[Date]],'DB Details'!$A:$L,12)</f>
        <v>57</v>
      </c>
      <c r="C259" s="41">
        <v>98.129997000000003</v>
      </c>
      <c r="D259" s="46">
        <f>(Table7[[#This Row],[S&amp;P]]-C247)/C247</f>
        <v>9.8142299707449712E-2</v>
      </c>
      <c r="F259" s="3"/>
      <c r="K259" s="2"/>
    </row>
    <row r="260" spans="1:11" x14ac:dyDescent="0.35">
      <c r="A260" s="39">
        <v>25263</v>
      </c>
      <c r="B260" s="40">
        <f>VLOOKUP(Table7[[#This Row],[Date]],'DB Details'!$A:$L,12)</f>
        <v>57.1</v>
      </c>
      <c r="C260" s="41">
        <v>101.510002</v>
      </c>
      <c r="D260" s="46">
        <f>(Table7[[#This Row],[S&amp;P]]-C248)/C248</f>
        <v>0.12538808621024683</v>
      </c>
      <c r="F260" s="3"/>
      <c r="K260" s="2"/>
    </row>
    <row r="261" spans="1:11" x14ac:dyDescent="0.35">
      <c r="A261" s="39">
        <v>25294</v>
      </c>
      <c r="B261" s="40">
        <f>VLOOKUP(Table7[[#This Row],[Date]],'DB Details'!$A:$L,12)</f>
        <v>55.2</v>
      </c>
      <c r="C261" s="41">
        <v>103.69000200000001</v>
      </c>
      <c r="D261" s="46">
        <f>(Table7[[#This Row],[S&amp;P]]-C249)/C249</f>
        <v>6.3923692426879786E-2</v>
      </c>
      <c r="F261" s="3"/>
      <c r="K261" s="2"/>
    </row>
    <row r="262" spans="1:11" x14ac:dyDescent="0.35">
      <c r="A262" s="39">
        <v>25324</v>
      </c>
      <c r="B262" s="40">
        <f>VLOOKUP(Table7[[#This Row],[Date]],'DB Details'!$A:$L,12)</f>
        <v>56.7</v>
      </c>
      <c r="C262" s="41">
        <v>103.459999</v>
      </c>
      <c r="D262" s="46">
        <f>(Table7[[#This Row],[S&amp;P]]-C250)/C250</f>
        <v>4.8439389947304311E-2</v>
      </c>
      <c r="F262" s="3"/>
      <c r="K262" s="2"/>
    </row>
    <row r="263" spans="1:11" x14ac:dyDescent="0.35">
      <c r="A263" s="39">
        <v>25355</v>
      </c>
      <c r="B263" s="40">
        <f>VLOOKUP(Table7[[#This Row],[Date]],'DB Details'!$A:$L,12)</f>
        <v>55.5</v>
      </c>
      <c r="C263" s="41">
        <v>97.709998999999996</v>
      </c>
      <c r="D263" s="46">
        <f>(Table7[[#This Row],[S&amp;P]]-C251)/C251</f>
        <v>-1.8778901008658314E-2</v>
      </c>
      <c r="F263" s="3"/>
      <c r="K263" s="2"/>
    </row>
    <row r="264" spans="1:11" x14ac:dyDescent="0.35">
      <c r="A264" s="39">
        <v>25385</v>
      </c>
      <c r="B264" s="40">
        <f>VLOOKUP(Table7[[#This Row],[Date]],'DB Details'!$A:$L,12)</f>
        <v>53.1</v>
      </c>
      <c r="C264" s="41">
        <v>91.830001999999993</v>
      </c>
      <c r="D264" s="46">
        <f>(Table7[[#This Row],[S&amp;P]]-C252)/C252</f>
        <v>-6.0466504204348424E-2</v>
      </c>
      <c r="F264" s="3"/>
      <c r="K264" s="2"/>
    </row>
    <row r="265" spans="1:11" x14ac:dyDescent="0.35">
      <c r="A265" s="39">
        <v>25416</v>
      </c>
      <c r="B265" s="40">
        <f>VLOOKUP(Table7[[#This Row],[Date]],'DB Details'!$A:$L,12)</f>
        <v>54.8</v>
      </c>
      <c r="C265" s="41">
        <v>95.510002</v>
      </c>
      <c r="D265" s="46">
        <f>(Table7[[#This Row],[S&amp;P]]-C253)/C253</f>
        <v>-3.3886293405965037E-2</v>
      </c>
      <c r="F265" s="3"/>
      <c r="K265" s="2"/>
    </row>
    <row r="266" spans="1:11" x14ac:dyDescent="0.35">
      <c r="A266" s="39">
        <v>25447</v>
      </c>
      <c r="B266" s="40">
        <f>VLOOKUP(Table7[[#This Row],[Date]],'DB Details'!$A:$L,12)</f>
        <v>54.1</v>
      </c>
      <c r="C266" s="41">
        <v>93.120002999999997</v>
      </c>
      <c r="D266" s="46">
        <f>(Table7[[#This Row],[S&amp;P]]-C254)/C254</f>
        <v>-9.3016413616760843E-2</v>
      </c>
      <c r="F266" s="3"/>
      <c r="K266" s="2"/>
    </row>
    <row r="267" spans="1:11" x14ac:dyDescent="0.35">
      <c r="A267" s="39">
        <v>25477</v>
      </c>
      <c r="B267" s="40">
        <f>VLOOKUP(Table7[[#This Row],[Date]],'DB Details'!$A:$L,12)</f>
        <v>54.6</v>
      </c>
      <c r="C267" s="41">
        <v>97.120002999999997</v>
      </c>
      <c r="D267" s="46">
        <f>(Table7[[#This Row],[S&amp;P]]-C255)/C255</f>
        <v>-6.0825846211165449E-2</v>
      </c>
      <c r="F267" s="3"/>
      <c r="K267" s="2"/>
    </row>
    <row r="268" spans="1:11" x14ac:dyDescent="0.35">
      <c r="A268" s="39">
        <v>25508</v>
      </c>
      <c r="B268" s="40">
        <f>VLOOKUP(Table7[[#This Row],[Date]],'DB Details'!$A:$L,12)</f>
        <v>53.2</v>
      </c>
      <c r="C268" s="41">
        <v>93.809997999999993</v>
      </c>
      <c r="D268" s="46">
        <f>(Table7[[#This Row],[S&amp;P]]-C256)/C256</f>
        <v>-0.13435456857927747</v>
      </c>
      <c r="F268" s="3"/>
      <c r="K268" s="2"/>
    </row>
    <row r="269" spans="1:11" x14ac:dyDescent="0.35">
      <c r="A269" s="39">
        <v>25538</v>
      </c>
      <c r="B269" s="40">
        <f>VLOOKUP(Table7[[#This Row],[Date]],'DB Details'!$A:$L,12)</f>
        <v>52</v>
      </c>
      <c r="C269" s="41">
        <v>92.059997999999993</v>
      </c>
      <c r="D269" s="46">
        <f>(Table7[[#This Row],[S&amp;P]]-C257)/C257</f>
        <v>-0.11361450882327648</v>
      </c>
      <c r="F269" s="3"/>
      <c r="K269" s="2"/>
    </row>
    <row r="270" spans="1:11" x14ac:dyDescent="0.35">
      <c r="A270" s="39">
        <v>25569</v>
      </c>
      <c r="B270" s="40">
        <f>VLOOKUP(Table7[[#This Row],[Date]],'DB Details'!$A:$L,12)</f>
        <v>48.7</v>
      </c>
      <c r="C270" s="41">
        <v>85.019997000000004</v>
      </c>
      <c r="D270" s="46">
        <f>(Table7[[#This Row],[S&amp;P]]-C258)/C258</f>
        <v>-0.17464328366870624</v>
      </c>
      <c r="F270" s="3"/>
      <c r="K270" s="2"/>
    </row>
    <row r="271" spans="1:11" x14ac:dyDescent="0.35">
      <c r="A271" s="39">
        <v>25600</v>
      </c>
      <c r="B271" s="40">
        <f>VLOOKUP(Table7[[#This Row],[Date]],'DB Details'!$A:$L,12)</f>
        <v>47.4</v>
      </c>
      <c r="C271" s="41">
        <v>89.5</v>
      </c>
      <c r="D271" s="46">
        <f>(Table7[[#This Row],[S&amp;P]]-C259)/C259</f>
        <v>-8.7944535451274938E-2</v>
      </c>
      <c r="F271" s="3"/>
      <c r="K271" s="2"/>
    </row>
    <row r="272" spans="1:11" x14ac:dyDescent="0.35">
      <c r="A272" s="39">
        <v>25628</v>
      </c>
      <c r="B272" s="40">
        <f>VLOOKUP(Table7[[#This Row],[Date]],'DB Details'!$A:$L,12)</f>
        <v>46.9</v>
      </c>
      <c r="C272" s="41">
        <v>89.629997000000003</v>
      </c>
      <c r="D272" s="46">
        <f>(Table7[[#This Row],[S&amp;P]]-C260)/C260</f>
        <v>-0.11703285160018022</v>
      </c>
      <c r="F272" s="3"/>
      <c r="K272" s="2"/>
    </row>
    <row r="273" spans="1:11" x14ac:dyDescent="0.35">
      <c r="A273" s="39">
        <v>25659</v>
      </c>
      <c r="B273" s="40">
        <f>VLOOKUP(Table7[[#This Row],[Date]],'DB Details'!$A:$L,12)</f>
        <v>45</v>
      </c>
      <c r="C273" s="41">
        <v>81.519997000000004</v>
      </c>
      <c r="D273" s="46">
        <f>(Table7[[#This Row],[S&amp;P]]-C261)/C261</f>
        <v>-0.21381044047043227</v>
      </c>
      <c r="F273" s="3"/>
      <c r="K273" s="2"/>
    </row>
    <row r="274" spans="1:11" x14ac:dyDescent="0.35">
      <c r="A274" s="39">
        <v>25689</v>
      </c>
      <c r="B274" s="40">
        <f>VLOOKUP(Table7[[#This Row],[Date]],'DB Details'!$A:$L,12)</f>
        <v>47.2</v>
      </c>
      <c r="C274" s="41">
        <v>76.550003000000004</v>
      </c>
      <c r="D274" s="46">
        <f>(Table7[[#This Row],[S&amp;P]]-C262)/C262</f>
        <v>-0.26010048579258149</v>
      </c>
      <c r="F274" s="3"/>
      <c r="K274" s="2"/>
    </row>
    <row r="275" spans="1:11" x14ac:dyDescent="0.35">
      <c r="A275" s="39">
        <v>25720</v>
      </c>
      <c r="B275" s="40">
        <f>VLOOKUP(Table7[[#This Row],[Date]],'DB Details'!$A:$L,12)</f>
        <v>51.1</v>
      </c>
      <c r="C275" s="41">
        <v>72.720000999999996</v>
      </c>
      <c r="D275" s="46">
        <f>(Table7[[#This Row],[S&amp;P]]-C263)/C263</f>
        <v>-0.25575681358875052</v>
      </c>
      <c r="F275" s="3"/>
      <c r="K275" s="2"/>
    </row>
    <row r="276" spans="1:11" x14ac:dyDescent="0.35">
      <c r="A276" s="39">
        <v>25750</v>
      </c>
      <c r="B276" s="40">
        <f>VLOOKUP(Table7[[#This Row],[Date]],'DB Details'!$A:$L,12)</f>
        <v>49.5</v>
      </c>
      <c r="C276" s="41">
        <v>78.050003000000004</v>
      </c>
      <c r="D276" s="46">
        <f>(Table7[[#This Row],[S&amp;P]]-C264)/C264</f>
        <v>-0.1500598791231649</v>
      </c>
      <c r="F276" s="3"/>
      <c r="K276" s="2"/>
    </row>
    <row r="277" spans="1:11" x14ac:dyDescent="0.35">
      <c r="A277" s="39">
        <v>25781</v>
      </c>
      <c r="B277" s="40">
        <f>VLOOKUP(Table7[[#This Row],[Date]],'DB Details'!$A:$L,12)</f>
        <v>47.3</v>
      </c>
      <c r="C277" s="41">
        <v>81.519997000000004</v>
      </c>
      <c r="D277" s="46">
        <f>(Table7[[#This Row],[S&amp;P]]-C265)/C265</f>
        <v>-0.1464768579944119</v>
      </c>
      <c r="F277" s="3"/>
      <c r="K277" s="2"/>
    </row>
    <row r="278" spans="1:11" x14ac:dyDescent="0.35">
      <c r="A278" s="39">
        <v>25812</v>
      </c>
      <c r="B278" s="40">
        <f>VLOOKUP(Table7[[#This Row],[Date]],'DB Details'!$A:$L,12)</f>
        <v>44.1</v>
      </c>
      <c r="C278" s="41">
        <v>84.300003000000004</v>
      </c>
      <c r="D278" s="46">
        <f>(Table7[[#This Row],[S&amp;P]]-C266)/C266</f>
        <v>-9.4716491793927382E-2</v>
      </c>
      <c r="F278" s="3"/>
      <c r="K278" s="2"/>
    </row>
    <row r="279" spans="1:11" x14ac:dyDescent="0.35">
      <c r="A279" s="39">
        <v>25842</v>
      </c>
      <c r="B279" s="40">
        <f>VLOOKUP(Table7[[#This Row],[Date]],'DB Details'!$A:$L,12)</f>
        <v>42.4</v>
      </c>
      <c r="C279" s="41">
        <v>83.25</v>
      </c>
      <c r="D279" s="46">
        <f>(Table7[[#This Row],[S&amp;P]]-C267)/C267</f>
        <v>-0.14281304130519845</v>
      </c>
      <c r="F279" s="3"/>
      <c r="K279" s="2"/>
    </row>
    <row r="280" spans="1:11" x14ac:dyDescent="0.35">
      <c r="A280" s="39">
        <v>25873</v>
      </c>
      <c r="B280" s="40">
        <f>VLOOKUP(Table7[[#This Row],[Date]],'DB Details'!$A:$L,12)</f>
        <v>39.700000000000003</v>
      </c>
      <c r="C280" s="41">
        <v>87.199996999999996</v>
      </c>
      <c r="D280" s="46">
        <f>(Table7[[#This Row],[S&amp;P]]-C268)/C268</f>
        <v>-7.0461583423122948E-2</v>
      </c>
      <c r="F280" s="3"/>
      <c r="K280" s="2"/>
    </row>
    <row r="281" spans="1:11" x14ac:dyDescent="0.35">
      <c r="A281" s="39">
        <v>25903</v>
      </c>
      <c r="B281" s="40">
        <f>VLOOKUP(Table7[[#This Row],[Date]],'DB Details'!$A:$L,12)</f>
        <v>45.4</v>
      </c>
      <c r="C281" s="41">
        <v>92.150002000000001</v>
      </c>
      <c r="D281" s="46">
        <f>(Table7[[#This Row],[S&amp;P]]-C269)/C269</f>
        <v>9.7766676032306154E-4</v>
      </c>
      <c r="F281" s="3"/>
      <c r="K281" s="2"/>
    </row>
    <row r="282" spans="1:11" x14ac:dyDescent="0.35">
      <c r="A282" s="39">
        <v>25934</v>
      </c>
      <c r="B282" s="40">
        <f>VLOOKUP(Table7[[#This Row],[Date]],'DB Details'!$A:$L,12)</f>
        <v>47.9</v>
      </c>
      <c r="C282" s="41">
        <v>95.879997000000003</v>
      </c>
      <c r="D282" s="46">
        <f>(Table7[[#This Row],[S&amp;P]]-C270)/C270</f>
        <v>0.1277346551776519</v>
      </c>
      <c r="F282" s="3"/>
      <c r="K282" s="2"/>
    </row>
    <row r="283" spans="1:11" x14ac:dyDescent="0.35">
      <c r="A283" s="39">
        <v>25965</v>
      </c>
      <c r="B283" s="40">
        <f>VLOOKUP(Table7[[#This Row],[Date]],'DB Details'!$A:$L,12)</f>
        <v>54.8</v>
      </c>
      <c r="C283" s="41">
        <v>96.75</v>
      </c>
      <c r="D283" s="46">
        <f>(Table7[[#This Row],[S&amp;P]]-C271)/C271</f>
        <v>8.1005586592178769E-2</v>
      </c>
      <c r="F283" s="3"/>
      <c r="K283" s="2"/>
    </row>
    <row r="284" spans="1:11" x14ac:dyDescent="0.35">
      <c r="A284" s="39">
        <v>25993</v>
      </c>
      <c r="B284" s="40">
        <f>VLOOKUP(Table7[[#This Row],[Date]],'DB Details'!$A:$L,12)</f>
        <v>51.2</v>
      </c>
      <c r="C284" s="41">
        <v>100.30999799999999</v>
      </c>
      <c r="D284" s="46">
        <f>(Table7[[#This Row],[S&amp;P]]-C272)/C272</f>
        <v>0.11915654755628285</v>
      </c>
      <c r="F284" s="3"/>
      <c r="K284" s="2"/>
    </row>
    <row r="285" spans="1:11" x14ac:dyDescent="0.35">
      <c r="A285" s="39">
        <v>26024</v>
      </c>
      <c r="B285" s="40">
        <f>VLOOKUP(Table7[[#This Row],[Date]],'DB Details'!$A:$L,12)</f>
        <v>54.5</v>
      </c>
      <c r="C285" s="41">
        <v>103.949997</v>
      </c>
      <c r="D285" s="46">
        <f>(Table7[[#This Row],[S&amp;P]]-C273)/C273</f>
        <v>0.27514721326596703</v>
      </c>
      <c r="F285" s="3"/>
      <c r="K285" s="2"/>
    </row>
    <row r="286" spans="1:11" x14ac:dyDescent="0.35">
      <c r="A286" s="39">
        <v>26054</v>
      </c>
      <c r="B286" s="40">
        <f>VLOOKUP(Table7[[#This Row],[Date]],'DB Details'!$A:$L,12)</f>
        <v>54.2</v>
      </c>
      <c r="C286" s="41">
        <v>99.629997000000003</v>
      </c>
      <c r="D286" s="46">
        <f>(Table7[[#This Row],[S&amp;P]]-C274)/C274</f>
        <v>0.30150219589148808</v>
      </c>
      <c r="F286" s="3"/>
      <c r="K286" s="2"/>
    </row>
    <row r="287" spans="1:11" x14ac:dyDescent="0.35">
      <c r="A287" s="39">
        <v>26085</v>
      </c>
      <c r="B287" s="40">
        <f>VLOOKUP(Table7[[#This Row],[Date]],'DB Details'!$A:$L,12)</f>
        <v>53.8</v>
      </c>
      <c r="C287" s="41">
        <v>98.699996999999996</v>
      </c>
      <c r="D287" s="46">
        <f>(Table7[[#This Row],[S&amp;P]]-C275)/C275</f>
        <v>0.35726066615428126</v>
      </c>
      <c r="F287" s="3"/>
      <c r="K287" s="2"/>
    </row>
    <row r="288" spans="1:11" x14ac:dyDescent="0.35">
      <c r="A288" s="39">
        <v>26115</v>
      </c>
      <c r="B288" s="40">
        <f>VLOOKUP(Table7[[#This Row],[Date]],'DB Details'!$A:$L,12)</f>
        <v>54.4</v>
      </c>
      <c r="C288" s="41">
        <v>95.580001999999993</v>
      </c>
      <c r="D288" s="46">
        <f>(Table7[[#This Row],[S&amp;P]]-C276)/C276</f>
        <v>0.22459959418579381</v>
      </c>
      <c r="F288" s="3"/>
      <c r="K288" s="2"/>
    </row>
    <row r="289" spans="1:11" x14ac:dyDescent="0.35">
      <c r="A289" s="39">
        <v>26146</v>
      </c>
      <c r="B289" s="40">
        <f>VLOOKUP(Table7[[#This Row],[Date]],'DB Details'!$A:$L,12)</f>
        <v>53.6</v>
      </c>
      <c r="C289" s="41">
        <v>99.029999000000004</v>
      </c>
      <c r="D289" s="46">
        <f>(Table7[[#This Row],[S&amp;P]]-C277)/C277</f>
        <v>0.21479394804197552</v>
      </c>
      <c r="F289" s="3"/>
      <c r="K289" s="2"/>
    </row>
    <row r="290" spans="1:11" x14ac:dyDescent="0.35">
      <c r="A290" s="39">
        <v>26177</v>
      </c>
      <c r="B290" s="40">
        <f>VLOOKUP(Table7[[#This Row],[Date]],'DB Details'!$A:$L,12)</f>
        <v>55.1</v>
      </c>
      <c r="C290" s="41">
        <v>98.339995999999999</v>
      </c>
      <c r="D290" s="46">
        <f>(Table7[[#This Row],[S&amp;P]]-C278)/C278</f>
        <v>0.16654795374087941</v>
      </c>
      <c r="F290" s="3"/>
      <c r="K290" s="2"/>
    </row>
    <row r="291" spans="1:11" x14ac:dyDescent="0.35">
      <c r="A291" s="39">
        <v>26207</v>
      </c>
      <c r="B291" s="40">
        <f>VLOOKUP(Table7[[#This Row],[Date]],'DB Details'!$A:$L,12)</f>
        <v>55</v>
      </c>
      <c r="C291" s="41">
        <v>94.230002999999996</v>
      </c>
      <c r="D291" s="46">
        <f>(Table7[[#This Row],[S&amp;P]]-C279)/C279</f>
        <v>0.13189192792792789</v>
      </c>
      <c r="F291" s="3"/>
      <c r="K291" s="2"/>
    </row>
    <row r="292" spans="1:11" x14ac:dyDescent="0.35">
      <c r="A292" s="39">
        <v>26238</v>
      </c>
      <c r="B292" s="40">
        <f>VLOOKUP(Table7[[#This Row],[Date]],'DB Details'!$A:$L,12)</f>
        <v>52.3</v>
      </c>
      <c r="C292" s="41">
        <v>93.989998</v>
      </c>
      <c r="D292" s="46">
        <f>(Table7[[#This Row],[S&amp;P]]-C280)/C280</f>
        <v>7.7866986623864265E-2</v>
      </c>
      <c r="F292" s="3"/>
      <c r="K292" s="2"/>
    </row>
    <row r="293" spans="1:11" x14ac:dyDescent="0.35">
      <c r="A293" s="39">
        <v>26268</v>
      </c>
      <c r="B293" s="40">
        <f>VLOOKUP(Table7[[#This Row],[Date]],'DB Details'!$A:$L,12)</f>
        <v>57.6</v>
      </c>
      <c r="C293" s="41">
        <v>102.089996</v>
      </c>
      <c r="D293" s="46">
        <f>(Table7[[#This Row],[S&amp;P]]-C281)/C281</f>
        <v>0.10786753970987432</v>
      </c>
      <c r="F293" s="3"/>
      <c r="K293" s="2"/>
    </row>
    <row r="294" spans="1:11" x14ac:dyDescent="0.35">
      <c r="A294" s="39">
        <v>26299</v>
      </c>
      <c r="B294" s="40">
        <f>VLOOKUP(Table7[[#This Row],[Date]],'DB Details'!$A:$L,12)</f>
        <v>59.6</v>
      </c>
      <c r="C294" s="41">
        <v>103.94000200000001</v>
      </c>
      <c r="D294" s="46">
        <f>(Table7[[#This Row],[S&amp;P]]-C282)/C282</f>
        <v>8.4063467377872403E-2</v>
      </c>
      <c r="F294" s="3"/>
      <c r="K294" s="2"/>
    </row>
    <row r="295" spans="1:11" x14ac:dyDescent="0.35">
      <c r="A295" s="39">
        <v>26330</v>
      </c>
      <c r="B295" s="40">
        <f>VLOOKUP(Table7[[#This Row],[Date]],'DB Details'!$A:$L,12)</f>
        <v>60.6</v>
      </c>
      <c r="C295" s="41">
        <v>106.57</v>
      </c>
      <c r="D295" s="46">
        <f>(Table7[[#This Row],[S&amp;P]]-C283)/C283</f>
        <v>0.10149870801033585</v>
      </c>
      <c r="F295" s="3"/>
      <c r="K295" s="2"/>
    </row>
    <row r="296" spans="1:11" x14ac:dyDescent="0.35">
      <c r="A296" s="39">
        <v>26359</v>
      </c>
      <c r="B296" s="40">
        <f>VLOOKUP(Table7[[#This Row],[Date]],'DB Details'!$A:$L,12)</f>
        <v>59.8</v>
      </c>
      <c r="C296" s="41">
        <v>107.199997</v>
      </c>
      <c r="D296" s="46">
        <f>(Table7[[#This Row],[S&amp;P]]-C284)/C284</f>
        <v>6.8687061483143519E-2</v>
      </c>
      <c r="F296" s="3"/>
      <c r="K296" s="2"/>
    </row>
    <row r="297" spans="1:11" x14ac:dyDescent="0.35">
      <c r="A297" s="39">
        <v>26390</v>
      </c>
      <c r="B297" s="40">
        <f>VLOOKUP(Table7[[#This Row],[Date]],'DB Details'!$A:$L,12)</f>
        <v>59.3</v>
      </c>
      <c r="C297" s="41">
        <v>107.66999800000001</v>
      </c>
      <c r="D297" s="46">
        <f>(Table7[[#This Row],[S&amp;P]]-C285)/C285</f>
        <v>3.5786446439243384E-2</v>
      </c>
      <c r="F297" s="3"/>
      <c r="K297" s="2"/>
    </row>
    <row r="298" spans="1:11" x14ac:dyDescent="0.35">
      <c r="A298" s="39">
        <v>26420</v>
      </c>
      <c r="B298" s="40">
        <f>VLOOKUP(Table7[[#This Row],[Date]],'DB Details'!$A:$L,12)</f>
        <v>61.4</v>
      </c>
      <c r="C298" s="41">
        <v>109.529999</v>
      </c>
      <c r="D298" s="46">
        <f>(Table7[[#This Row],[S&amp;P]]-C286)/C286</f>
        <v>9.936768340964619E-2</v>
      </c>
      <c r="F298" s="3"/>
      <c r="K298" s="2"/>
    </row>
    <row r="299" spans="1:11" x14ac:dyDescent="0.35">
      <c r="A299" s="39">
        <v>26451</v>
      </c>
      <c r="B299" s="40">
        <f>VLOOKUP(Table7[[#This Row],[Date]],'DB Details'!$A:$L,12)</f>
        <v>58.6</v>
      </c>
      <c r="C299" s="41">
        <v>107.139999</v>
      </c>
      <c r="D299" s="46">
        <f>(Table7[[#This Row],[S&amp;P]]-C287)/C287</f>
        <v>8.5511674331661902E-2</v>
      </c>
      <c r="F299" s="3"/>
      <c r="K299" s="2"/>
    </row>
    <row r="300" spans="1:11" x14ac:dyDescent="0.35">
      <c r="A300" s="39">
        <v>26481</v>
      </c>
      <c r="B300" s="40">
        <f>VLOOKUP(Table7[[#This Row],[Date]],'DB Details'!$A:$L,12)</f>
        <v>60.1</v>
      </c>
      <c r="C300" s="41">
        <v>107.389999</v>
      </c>
      <c r="D300" s="46">
        <f>(Table7[[#This Row],[S&amp;P]]-C288)/C288</f>
        <v>0.12356138054904006</v>
      </c>
      <c r="F300" s="3"/>
      <c r="K300" s="2"/>
    </row>
    <row r="301" spans="1:11" x14ac:dyDescent="0.35">
      <c r="A301" s="39">
        <v>26512</v>
      </c>
      <c r="B301" s="40">
        <f>VLOOKUP(Table7[[#This Row],[Date]],'DB Details'!$A:$L,12)</f>
        <v>61.7</v>
      </c>
      <c r="C301" s="41">
        <v>111.089996</v>
      </c>
      <c r="D301" s="46">
        <f>(Table7[[#This Row],[S&amp;P]]-C289)/C289</f>
        <v>0.12178124933637528</v>
      </c>
      <c r="F301" s="3"/>
      <c r="K301" s="2"/>
    </row>
    <row r="302" spans="1:11" x14ac:dyDescent="0.35">
      <c r="A302" s="39">
        <v>26543</v>
      </c>
      <c r="B302" s="40">
        <f>VLOOKUP(Table7[[#This Row],[Date]],'DB Details'!$A:$L,12)</f>
        <v>65.099999999999994</v>
      </c>
      <c r="C302" s="41">
        <v>110.550003</v>
      </c>
      <c r="D302" s="46">
        <f>(Table7[[#This Row],[S&amp;P]]-C290)/C290</f>
        <v>0.12416115005739888</v>
      </c>
      <c r="F302" s="3"/>
      <c r="K302" s="2"/>
    </row>
    <row r="303" spans="1:11" x14ac:dyDescent="0.35">
      <c r="A303" s="39">
        <v>26573</v>
      </c>
      <c r="B303" s="40">
        <f>VLOOKUP(Table7[[#This Row],[Date]],'DB Details'!$A:$L,12)</f>
        <v>67</v>
      </c>
      <c r="C303" s="41">
        <v>111.58000199999999</v>
      </c>
      <c r="D303" s="46">
        <f>(Table7[[#This Row],[S&amp;P]]-C291)/C291</f>
        <v>0.18412393555797718</v>
      </c>
      <c r="F303" s="3"/>
      <c r="K303" s="2"/>
    </row>
    <row r="304" spans="1:11" x14ac:dyDescent="0.35">
      <c r="A304" s="39">
        <v>26604</v>
      </c>
      <c r="B304" s="40">
        <f>VLOOKUP(Table7[[#This Row],[Date]],'DB Details'!$A:$L,12)</f>
        <v>69.900000000000006</v>
      </c>
      <c r="C304" s="41">
        <v>116.66999800000001</v>
      </c>
      <c r="D304" s="46">
        <f>(Table7[[#This Row],[S&amp;P]]-C292)/C292</f>
        <v>0.24130227133316895</v>
      </c>
      <c r="F304" s="3"/>
      <c r="K304" s="2"/>
    </row>
    <row r="305" spans="1:11" x14ac:dyDescent="0.35">
      <c r="A305" s="39">
        <v>26634</v>
      </c>
      <c r="B305" s="40">
        <f>VLOOKUP(Table7[[#This Row],[Date]],'DB Details'!$A:$L,12)</f>
        <v>70.5</v>
      </c>
      <c r="C305" s="41">
        <v>118.050003</v>
      </c>
      <c r="D305" s="46">
        <f>(Table7[[#This Row],[S&amp;P]]-C293)/C293</f>
        <v>0.15633272235606713</v>
      </c>
      <c r="F305" s="3"/>
      <c r="K305" s="2"/>
    </row>
    <row r="306" spans="1:11" x14ac:dyDescent="0.35">
      <c r="A306" s="39">
        <v>26665</v>
      </c>
      <c r="B306" s="40">
        <f>VLOOKUP(Table7[[#This Row],[Date]],'DB Details'!$A:$L,12)</f>
        <v>72.099999999999994</v>
      </c>
      <c r="C306" s="41">
        <v>116.029999</v>
      </c>
      <c r="D306" s="46">
        <f>(Table7[[#This Row],[S&amp;P]]-C294)/C294</f>
        <v>0.11631707492174183</v>
      </c>
      <c r="F306" s="3"/>
      <c r="K306" s="2"/>
    </row>
    <row r="307" spans="1:11" x14ac:dyDescent="0.35">
      <c r="A307" s="39">
        <v>26696</v>
      </c>
      <c r="B307" s="40">
        <f>VLOOKUP(Table7[[#This Row],[Date]],'DB Details'!$A:$L,12)</f>
        <v>69.599999999999994</v>
      </c>
      <c r="C307" s="41">
        <v>111.68</v>
      </c>
      <c r="D307" s="46">
        <f>(Table7[[#This Row],[S&amp;P]]-C295)/C295</f>
        <v>4.7949704419630423E-2</v>
      </c>
      <c r="F307" s="3"/>
      <c r="K307" s="2"/>
    </row>
    <row r="308" spans="1:11" x14ac:dyDescent="0.35">
      <c r="A308" s="39">
        <v>26724</v>
      </c>
      <c r="B308" s="40">
        <f>VLOOKUP(Table7[[#This Row],[Date]],'DB Details'!$A:$L,12)</f>
        <v>69.599999999999994</v>
      </c>
      <c r="C308" s="41">
        <v>111.519997</v>
      </c>
      <c r="D308" s="46">
        <f>(Table7[[#This Row],[S&amp;P]]-C296)/C296</f>
        <v>4.0298508590443406E-2</v>
      </c>
      <c r="F308" s="3"/>
      <c r="K308" s="2"/>
    </row>
    <row r="309" spans="1:11" x14ac:dyDescent="0.35">
      <c r="A309" s="39">
        <v>26755</v>
      </c>
      <c r="B309" s="40">
        <f>VLOOKUP(Table7[[#This Row],[Date]],'DB Details'!$A:$L,12)</f>
        <v>67.7</v>
      </c>
      <c r="C309" s="41">
        <v>106.970001</v>
      </c>
      <c r="D309" s="46">
        <f>(Table7[[#This Row],[S&amp;P]]-C297)/C297</f>
        <v>-6.5013189653817059E-3</v>
      </c>
      <c r="F309" s="3"/>
      <c r="K309" s="2"/>
    </row>
    <row r="310" spans="1:11" x14ac:dyDescent="0.35">
      <c r="A310" s="39">
        <v>26785</v>
      </c>
      <c r="B310" s="40">
        <f>VLOOKUP(Table7[[#This Row],[Date]],'DB Details'!$A:$L,12)</f>
        <v>64.8</v>
      </c>
      <c r="C310" s="41">
        <v>104.949997</v>
      </c>
      <c r="D310" s="46">
        <f>(Table7[[#This Row],[S&amp;P]]-C298)/C298</f>
        <v>-4.18150464878577E-2</v>
      </c>
      <c r="F310" s="3"/>
      <c r="K310" s="2"/>
    </row>
    <row r="311" spans="1:11" x14ac:dyDescent="0.35">
      <c r="A311" s="39">
        <v>26816</v>
      </c>
      <c r="B311" s="40">
        <f>VLOOKUP(Table7[[#This Row],[Date]],'DB Details'!$A:$L,12)</f>
        <v>65</v>
      </c>
      <c r="C311" s="41">
        <v>104.260002</v>
      </c>
      <c r="D311" s="46">
        <f>(Table7[[#This Row],[S&amp;P]]-C299)/C299</f>
        <v>-2.6880689069261637E-2</v>
      </c>
      <c r="F311" s="3"/>
      <c r="K311" s="2"/>
    </row>
    <row r="312" spans="1:11" x14ac:dyDescent="0.35">
      <c r="A312" s="39">
        <v>26846</v>
      </c>
      <c r="B312" s="40">
        <f>VLOOKUP(Table7[[#This Row],[Date]],'DB Details'!$A:$L,12)</f>
        <v>57.8</v>
      </c>
      <c r="C312" s="41">
        <v>108.220001</v>
      </c>
      <c r="D312" s="46">
        <f>(Table7[[#This Row],[S&amp;P]]-C300)/C300</f>
        <v>7.7288575074853406E-3</v>
      </c>
      <c r="F312" s="3"/>
      <c r="K312" s="2"/>
    </row>
    <row r="313" spans="1:11" x14ac:dyDescent="0.35">
      <c r="A313" s="39">
        <v>26877</v>
      </c>
      <c r="B313" s="40">
        <f>VLOOKUP(Table7[[#This Row],[Date]],'DB Details'!$A:$L,12)</f>
        <v>62.7</v>
      </c>
      <c r="C313" s="41">
        <v>104.25</v>
      </c>
      <c r="D313" s="46">
        <f>(Table7[[#This Row],[S&amp;P]]-C301)/C301</f>
        <v>-6.1571664832898179E-2</v>
      </c>
      <c r="F313" s="3"/>
      <c r="K313" s="2"/>
    </row>
    <row r="314" spans="1:11" x14ac:dyDescent="0.35">
      <c r="A314" s="39">
        <v>26908</v>
      </c>
      <c r="B314" s="40">
        <f>VLOOKUP(Table7[[#This Row],[Date]],'DB Details'!$A:$L,12)</f>
        <v>63.5</v>
      </c>
      <c r="C314" s="41">
        <v>108.43</v>
      </c>
      <c r="D314" s="46">
        <f>(Table7[[#This Row],[S&amp;P]]-C302)/C302</f>
        <v>-1.9176869674078587E-2</v>
      </c>
      <c r="F314" s="3"/>
      <c r="K314" s="2"/>
    </row>
    <row r="315" spans="1:11" x14ac:dyDescent="0.35">
      <c r="A315" s="39">
        <v>26938</v>
      </c>
      <c r="B315" s="40">
        <f>VLOOKUP(Table7[[#This Row],[Date]],'DB Details'!$A:$L,12)</f>
        <v>66.2</v>
      </c>
      <c r="C315" s="41">
        <v>108.290001</v>
      </c>
      <c r="D315" s="46">
        <f>(Table7[[#This Row],[S&amp;P]]-C303)/C303</f>
        <v>-2.9485579324510049E-2</v>
      </c>
      <c r="F315" s="3"/>
      <c r="K315" s="2"/>
    </row>
    <row r="316" spans="1:11" x14ac:dyDescent="0.35">
      <c r="A316" s="39">
        <v>26969</v>
      </c>
      <c r="B316" s="40">
        <f>VLOOKUP(Table7[[#This Row],[Date]],'DB Details'!$A:$L,12)</f>
        <v>68.099999999999994</v>
      </c>
      <c r="C316" s="41">
        <v>95.959998999999996</v>
      </c>
      <c r="D316" s="46">
        <f>(Table7[[#This Row],[S&amp;P]]-C304)/C304</f>
        <v>-0.17750920849420096</v>
      </c>
      <c r="F316" s="3"/>
      <c r="K316" s="2"/>
    </row>
    <row r="317" spans="1:11" x14ac:dyDescent="0.35">
      <c r="A317" s="39">
        <v>26999</v>
      </c>
      <c r="B317" s="40">
        <f>VLOOKUP(Table7[[#This Row],[Date]],'DB Details'!$A:$L,12)</f>
        <v>63.6</v>
      </c>
      <c r="C317" s="41">
        <v>97.550003000000004</v>
      </c>
      <c r="D317" s="46">
        <f>(Table7[[#This Row],[S&amp;P]]-C305)/C305</f>
        <v>-0.17365522642129877</v>
      </c>
      <c r="F317" s="3"/>
      <c r="K317" s="2"/>
    </row>
    <row r="318" spans="1:11" x14ac:dyDescent="0.35">
      <c r="A318" s="39">
        <v>27030</v>
      </c>
      <c r="B318" s="40">
        <f>VLOOKUP(Table7[[#This Row],[Date]],'DB Details'!$A:$L,12)</f>
        <v>62.1</v>
      </c>
      <c r="C318" s="41">
        <v>96.57</v>
      </c>
      <c r="D318" s="46">
        <f>(Table7[[#This Row],[S&amp;P]]-C306)/C306</f>
        <v>-0.16771523888404075</v>
      </c>
      <c r="F318" s="3"/>
      <c r="K318" s="2"/>
    </row>
    <row r="319" spans="1:11" x14ac:dyDescent="0.35">
      <c r="A319" s="39">
        <v>27061</v>
      </c>
      <c r="B319" s="40">
        <f>VLOOKUP(Table7[[#This Row],[Date]],'DB Details'!$A:$L,12)</f>
        <v>58.6</v>
      </c>
      <c r="C319" s="41">
        <v>96.220000999999996</v>
      </c>
      <c r="D319" s="46">
        <f>(Table7[[#This Row],[S&amp;P]]-C307)/C307</f>
        <v>-0.13843122313753589</v>
      </c>
      <c r="F319" s="3"/>
      <c r="K319" s="2"/>
    </row>
    <row r="320" spans="1:11" x14ac:dyDescent="0.35">
      <c r="A320" s="39">
        <v>27089</v>
      </c>
      <c r="B320" s="40">
        <f>VLOOKUP(Table7[[#This Row],[Date]],'DB Details'!$A:$L,12)</f>
        <v>61.8</v>
      </c>
      <c r="C320" s="41">
        <v>93.980002999999996</v>
      </c>
      <c r="D320" s="46">
        <f>(Table7[[#This Row],[S&amp;P]]-C308)/C308</f>
        <v>-0.15728115559400532</v>
      </c>
      <c r="F320" s="3"/>
      <c r="K320" s="2"/>
    </row>
    <row r="321" spans="1:11" x14ac:dyDescent="0.35">
      <c r="A321" s="39">
        <v>27120</v>
      </c>
      <c r="B321" s="40">
        <f>VLOOKUP(Table7[[#This Row],[Date]],'DB Details'!$A:$L,12)</f>
        <v>59.9</v>
      </c>
      <c r="C321" s="41">
        <v>90.309997999999993</v>
      </c>
      <c r="D321" s="46">
        <f>(Table7[[#This Row],[S&amp;P]]-C309)/C309</f>
        <v>-0.15574462787936222</v>
      </c>
      <c r="F321" s="3"/>
      <c r="K321" s="2"/>
    </row>
    <row r="322" spans="1:11" x14ac:dyDescent="0.35">
      <c r="A322" s="39">
        <v>27150</v>
      </c>
      <c r="B322" s="40">
        <f>VLOOKUP(Table7[[#This Row],[Date]],'DB Details'!$A:$L,12)</f>
        <v>55.7</v>
      </c>
      <c r="C322" s="41">
        <v>87.279999000000004</v>
      </c>
      <c r="D322" s="46">
        <f>(Table7[[#This Row],[S&amp;P]]-C310)/C310</f>
        <v>-0.16836587427439367</v>
      </c>
      <c r="F322" s="3"/>
      <c r="K322" s="2"/>
    </row>
    <row r="323" spans="1:11" x14ac:dyDescent="0.35">
      <c r="A323" s="39">
        <v>27181</v>
      </c>
      <c r="B323" s="40">
        <f>VLOOKUP(Table7[[#This Row],[Date]],'DB Details'!$A:$L,12)</f>
        <v>54.7</v>
      </c>
      <c r="C323" s="41">
        <v>86</v>
      </c>
      <c r="D323" s="46">
        <f>(Table7[[#This Row],[S&amp;P]]-C311)/C311</f>
        <v>-0.17513909121160384</v>
      </c>
      <c r="F323" s="3"/>
      <c r="K323" s="2"/>
    </row>
    <row r="324" spans="1:11" x14ac:dyDescent="0.35">
      <c r="A324" s="39">
        <v>27211</v>
      </c>
      <c r="B324" s="40">
        <f>VLOOKUP(Table7[[#This Row],[Date]],'DB Details'!$A:$L,12)</f>
        <v>54.8</v>
      </c>
      <c r="C324" s="41">
        <v>79.309997999999993</v>
      </c>
      <c r="D324" s="46">
        <f>(Table7[[#This Row],[S&amp;P]]-C312)/C312</f>
        <v>-0.26714103430843622</v>
      </c>
      <c r="F324" s="3"/>
      <c r="K324" s="2"/>
    </row>
    <row r="325" spans="1:11" x14ac:dyDescent="0.35">
      <c r="A325" s="39">
        <v>27242</v>
      </c>
      <c r="B325" s="40">
        <f>VLOOKUP(Table7[[#This Row],[Date]],'DB Details'!$A:$L,12)</f>
        <v>52.9</v>
      </c>
      <c r="C325" s="41">
        <v>72.150002000000001</v>
      </c>
      <c r="D325" s="46">
        <f>(Table7[[#This Row],[S&amp;P]]-C313)/C313</f>
        <v>-0.3079136498800959</v>
      </c>
      <c r="F325" s="3"/>
      <c r="K325" s="2"/>
    </row>
    <row r="326" spans="1:11" x14ac:dyDescent="0.35">
      <c r="A326" s="39">
        <v>27273</v>
      </c>
      <c r="B326" s="40">
        <f>VLOOKUP(Table7[[#This Row],[Date]],'DB Details'!$A:$L,12)</f>
        <v>46.2</v>
      </c>
      <c r="C326" s="41">
        <v>63.540000999999997</v>
      </c>
      <c r="D326" s="46">
        <f>(Table7[[#This Row],[S&amp;P]]-C314)/C314</f>
        <v>-0.41399980632666245</v>
      </c>
      <c r="F326" s="3"/>
      <c r="K326" s="2"/>
    </row>
    <row r="327" spans="1:11" x14ac:dyDescent="0.35">
      <c r="A327" s="39">
        <v>27303</v>
      </c>
      <c r="B327" s="40">
        <f>VLOOKUP(Table7[[#This Row],[Date]],'DB Details'!$A:$L,12)</f>
        <v>42.7</v>
      </c>
      <c r="C327" s="41">
        <v>73.900002000000001</v>
      </c>
      <c r="D327" s="46">
        <f>(Table7[[#This Row],[S&amp;P]]-C315)/C315</f>
        <v>-0.3175731709523209</v>
      </c>
      <c r="F327" s="3"/>
      <c r="K327" s="2"/>
    </row>
    <row r="328" spans="1:11" x14ac:dyDescent="0.35">
      <c r="A328" s="39">
        <v>27334</v>
      </c>
      <c r="B328" s="40">
        <f>VLOOKUP(Table7[[#This Row],[Date]],'DB Details'!$A:$L,12)</f>
        <v>37.9</v>
      </c>
      <c r="C328" s="41">
        <v>69.970000999999996</v>
      </c>
      <c r="D328" s="46">
        <f>(Table7[[#This Row],[S&amp;P]]-C316)/C316</f>
        <v>-0.27084199948772408</v>
      </c>
      <c r="F328" s="3"/>
      <c r="K328" s="2"/>
    </row>
    <row r="329" spans="1:11" x14ac:dyDescent="0.35">
      <c r="A329" s="39">
        <v>27364</v>
      </c>
      <c r="B329" s="40">
        <f>VLOOKUP(Table7[[#This Row],[Date]],'DB Details'!$A:$L,12)</f>
        <v>30.9</v>
      </c>
      <c r="C329" s="41">
        <v>68.559997999999993</v>
      </c>
      <c r="D329" s="46">
        <f>(Table7[[#This Row],[S&amp;P]]-C317)/C317</f>
        <v>-0.29718097497136942</v>
      </c>
      <c r="F329" s="3"/>
      <c r="K329" s="2"/>
    </row>
    <row r="330" spans="1:11" x14ac:dyDescent="0.35">
      <c r="A330" s="39">
        <v>27395</v>
      </c>
      <c r="B330" s="40">
        <f>VLOOKUP(Table7[[#This Row],[Date]],'DB Details'!$A:$L,12)</f>
        <v>30.7</v>
      </c>
      <c r="C330" s="41">
        <v>76.980002999999996</v>
      </c>
      <c r="D330" s="46">
        <f>(Table7[[#This Row],[S&amp;P]]-C318)/C318</f>
        <v>-0.20285799937868901</v>
      </c>
      <c r="F330" s="3"/>
      <c r="K330" s="2"/>
    </row>
    <row r="331" spans="1:11" x14ac:dyDescent="0.35">
      <c r="A331" s="39">
        <v>27426</v>
      </c>
      <c r="B331" s="40">
        <f>VLOOKUP(Table7[[#This Row],[Date]],'DB Details'!$A:$L,12)</f>
        <v>34.4</v>
      </c>
      <c r="C331" s="41">
        <v>81.589995999999999</v>
      </c>
      <c r="D331" s="46">
        <f>(Table7[[#This Row],[S&amp;P]]-C319)/C319</f>
        <v>-0.15204744177876278</v>
      </c>
      <c r="F331" s="3"/>
      <c r="K331" s="2"/>
    </row>
    <row r="332" spans="1:11" x14ac:dyDescent="0.35">
      <c r="A332" s="39">
        <v>27454</v>
      </c>
      <c r="B332" s="40">
        <f>VLOOKUP(Table7[[#This Row],[Date]],'DB Details'!$A:$L,12)</f>
        <v>31.6</v>
      </c>
      <c r="C332" s="41">
        <v>83.360000999999997</v>
      </c>
      <c r="D332" s="46">
        <f>(Table7[[#This Row],[S&amp;P]]-C320)/C320</f>
        <v>-0.11300278421995794</v>
      </c>
      <c r="F332" s="3"/>
      <c r="K332" s="2"/>
    </row>
    <row r="333" spans="1:11" x14ac:dyDescent="0.35">
      <c r="A333" s="39">
        <v>27485</v>
      </c>
      <c r="B333" s="40">
        <f>VLOOKUP(Table7[[#This Row],[Date]],'DB Details'!$A:$L,12)</f>
        <v>37.5</v>
      </c>
      <c r="C333" s="41">
        <v>87.300003000000004</v>
      </c>
      <c r="D333" s="46">
        <f>(Table7[[#This Row],[S&amp;P]]-C321)/C321</f>
        <v>-3.3329587716301241E-2</v>
      </c>
      <c r="F333" s="3"/>
      <c r="K333" s="2"/>
    </row>
    <row r="334" spans="1:11" x14ac:dyDescent="0.35">
      <c r="A334" s="39">
        <v>27515</v>
      </c>
      <c r="B334" s="40">
        <f>VLOOKUP(Table7[[#This Row],[Date]],'DB Details'!$A:$L,12)</f>
        <v>41.2</v>
      </c>
      <c r="C334" s="41">
        <v>91.150002000000001</v>
      </c>
      <c r="D334" s="46">
        <f>(Table7[[#This Row],[S&amp;P]]-C322)/C322</f>
        <v>4.4340089875573863E-2</v>
      </c>
      <c r="F334" s="3"/>
      <c r="K334" s="2"/>
    </row>
    <row r="335" spans="1:11" x14ac:dyDescent="0.35">
      <c r="A335" s="39">
        <v>27546</v>
      </c>
      <c r="B335" s="40">
        <f>VLOOKUP(Table7[[#This Row],[Date]],'DB Details'!$A:$L,12)</f>
        <v>45.1</v>
      </c>
      <c r="C335" s="41">
        <v>95.190002000000007</v>
      </c>
      <c r="D335" s="46">
        <f>(Table7[[#This Row],[S&amp;P]]-C323)/C323</f>
        <v>0.10686048837209311</v>
      </c>
      <c r="F335" s="3"/>
      <c r="K335" s="2"/>
    </row>
    <row r="336" spans="1:11" x14ac:dyDescent="0.35">
      <c r="A336" s="39">
        <v>27576</v>
      </c>
      <c r="B336" s="40">
        <f>VLOOKUP(Table7[[#This Row],[Date]],'DB Details'!$A:$L,12)</f>
        <v>47.2</v>
      </c>
      <c r="C336" s="41">
        <v>88.75</v>
      </c>
      <c r="D336" s="46">
        <f>(Table7[[#This Row],[S&amp;P]]-C324)/C324</f>
        <v>0.11902663268255294</v>
      </c>
      <c r="F336" s="3"/>
      <c r="K336" s="2"/>
    </row>
    <row r="337" spans="1:11" x14ac:dyDescent="0.35">
      <c r="A337" s="39">
        <v>27607</v>
      </c>
      <c r="B337" s="40">
        <f>VLOOKUP(Table7[[#This Row],[Date]],'DB Details'!$A:$L,12)</f>
        <v>51.4</v>
      </c>
      <c r="C337" s="41">
        <v>86.879997000000003</v>
      </c>
      <c r="D337" s="46">
        <f>(Table7[[#This Row],[S&amp;P]]-C325)/C325</f>
        <v>0.20415792919867143</v>
      </c>
      <c r="F337" s="3"/>
      <c r="K337" s="2"/>
    </row>
    <row r="338" spans="1:11" x14ac:dyDescent="0.35">
      <c r="A338" s="39">
        <v>27638</v>
      </c>
      <c r="B338" s="40">
        <f>VLOOKUP(Table7[[#This Row],[Date]],'DB Details'!$A:$L,12)</f>
        <v>54.4</v>
      </c>
      <c r="C338" s="41">
        <v>83.870002999999997</v>
      </c>
      <c r="D338" s="46">
        <f>(Table7[[#This Row],[S&amp;P]]-C326)/C326</f>
        <v>0.31995595971111179</v>
      </c>
      <c r="F338" s="3"/>
      <c r="K338" s="2"/>
    </row>
    <row r="339" spans="1:11" x14ac:dyDescent="0.35">
      <c r="A339" s="39">
        <v>27668</v>
      </c>
      <c r="B339" s="40">
        <f>VLOOKUP(Table7[[#This Row],[Date]],'DB Details'!$A:$L,12)</f>
        <v>55.5</v>
      </c>
      <c r="C339" s="41">
        <v>89.040001000000004</v>
      </c>
      <c r="D339" s="46">
        <f>(Table7[[#This Row],[S&amp;P]]-C327)/C327</f>
        <v>0.20487142882621306</v>
      </c>
      <c r="F339" s="3"/>
      <c r="K339" s="2"/>
    </row>
    <row r="340" spans="1:11" x14ac:dyDescent="0.35">
      <c r="A340" s="39">
        <v>27699</v>
      </c>
      <c r="B340" s="40">
        <f>VLOOKUP(Table7[[#This Row],[Date]],'DB Details'!$A:$L,12)</f>
        <v>54.5</v>
      </c>
      <c r="C340" s="41">
        <v>91.239998</v>
      </c>
      <c r="D340" s="46">
        <f>(Table7[[#This Row],[S&amp;P]]-C328)/C328</f>
        <v>0.30398737596130671</v>
      </c>
      <c r="F340" s="3"/>
      <c r="K340" s="2"/>
    </row>
    <row r="341" spans="1:11" x14ac:dyDescent="0.35">
      <c r="A341" s="39">
        <v>27729</v>
      </c>
      <c r="B341" s="40">
        <f>VLOOKUP(Table7[[#This Row],[Date]],'DB Details'!$A:$L,12)</f>
        <v>54.9</v>
      </c>
      <c r="C341" s="41">
        <v>90.190002000000007</v>
      </c>
      <c r="D341" s="46">
        <f>(Table7[[#This Row],[S&amp;P]]-C329)/C329</f>
        <v>0.31549014922666735</v>
      </c>
      <c r="F341" s="3"/>
      <c r="K341" s="2"/>
    </row>
    <row r="342" spans="1:11" x14ac:dyDescent="0.35">
      <c r="A342" s="39">
        <v>27760</v>
      </c>
      <c r="B342" s="40">
        <f>VLOOKUP(Table7[[#This Row],[Date]],'DB Details'!$A:$L,12)</f>
        <v>58.8</v>
      </c>
      <c r="C342" s="41">
        <v>100.860001</v>
      </c>
      <c r="D342" s="46">
        <f>(Table7[[#This Row],[S&amp;P]]-C330)/C330</f>
        <v>0.31021040620120527</v>
      </c>
      <c r="F342" s="3"/>
      <c r="K342" s="2"/>
    </row>
    <row r="343" spans="1:11" x14ac:dyDescent="0.35">
      <c r="A343" s="39">
        <v>27791</v>
      </c>
      <c r="B343" s="40">
        <f>VLOOKUP(Table7[[#This Row],[Date]],'DB Details'!$A:$L,12)</f>
        <v>61.5</v>
      </c>
      <c r="C343" s="41">
        <v>99.709998999999996</v>
      </c>
      <c r="D343" s="46">
        <f>(Table7[[#This Row],[S&amp;P]]-C331)/C331</f>
        <v>0.22208608761299606</v>
      </c>
      <c r="F343" s="3"/>
      <c r="K343" s="2"/>
    </row>
    <row r="344" spans="1:11" x14ac:dyDescent="0.35">
      <c r="A344" s="39">
        <v>27820</v>
      </c>
      <c r="B344" s="40">
        <f>VLOOKUP(Table7[[#This Row],[Date]],'DB Details'!$A:$L,12)</f>
        <v>58.4</v>
      </c>
      <c r="C344" s="41">
        <v>102.769997</v>
      </c>
      <c r="D344" s="46">
        <f>(Table7[[#This Row],[S&amp;P]]-C332)/C332</f>
        <v>0.23284543866548188</v>
      </c>
      <c r="F344" s="3"/>
      <c r="K344" s="2"/>
    </row>
    <row r="345" spans="1:11" x14ac:dyDescent="0.35">
      <c r="A345" s="39">
        <v>27851</v>
      </c>
      <c r="B345" s="40">
        <f>VLOOKUP(Table7[[#This Row],[Date]],'DB Details'!$A:$L,12)</f>
        <v>60.6</v>
      </c>
      <c r="C345" s="41">
        <v>101.639999</v>
      </c>
      <c r="D345" s="46">
        <f>(Table7[[#This Row],[S&amp;P]]-C333)/C333</f>
        <v>0.16426111692115289</v>
      </c>
      <c r="F345" s="3"/>
      <c r="K345" s="2"/>
    </row>
    <row r="346" spans="1:11" x14ac:dyDescent="0.35">
      <c r="A346" s="39">
        <v>27881</v>
      </c>
      <c r="B346" s="40">
        <f>VLOOKUP(Table7[[#This Row],[Date]],'DB Details'!$A:$L,12)</f>
        <v>58.8</v>
      </c>
      <c r="C346" s="41">
        <v>100.18</v>
      </c>
      <c r="D346" s="46">
        <f>(Table7[[#This Row],[S&amp;P]]-C334)/C334</f>
        <v>9.906744708573903E-2</v>
      </c>
      <c r="F346" s="3"/>
      <c r="K346" s="2"/>
    </row>
    <row r="347" spans="1:11" x14ac:dyDescent="0.35">
      <c r="A347" s="39">
        <v>27912</v>
      </c>
      <c r="B347" s="40">
        <f>VLOOKUP(Table7[[#This Row],[Date]],'DB Details'!$A:$L,12)</f>
        <v>58.2</v>
      </c>
      <c r="C347" s="41">
        <v>104.279999</v>
      </c>
      <c r="D347" s="46">
        <f>(Table7[[#This Row],[S&amp;P]]-C335)/C335</f>
        <v>9.5493190555873672E-2</v>
      </c>
      <c r="F347" s="3"/>
      <c r="K347" s="2"/>
    </row>
    <row r="348" spans="1:11" x14ac:dyDescent="0.35">
      <c r="A348" s="39">
        <v>27942</v>
      </c>
      <c r="B348" s="40">
        <f>VLOOKUP(Table7[[#This Row],[Date]],'DB Details'!$A:$L,12)</f>
        <v>55.9</v>
      </c>
      <c r="C348" s="41">
        <v>103.44000200000001</v>
      </c>
      <c r="D348" s="46">
        <f>(Table7[[#This Row],[S&amp;P]]-C336)/C336</f>
        <v>0.16552114929577472</v>
      </c>
      <c r="F348" s="3"/>
      <c r="K348" s="2"/>
    </row>
    <row r="349" spans="1:11" x14ac:dyDescent="0.35">
      <c r="A349" s="39">
        <v>27973</v>
      </c>
      <c r="B349" s="40">
        <f>VLOOKUP(Table7[[#This Row],[Date]],'DB Details'!$A:$L,12)</f>
        <v>54.5</v>
      </c>
      <c r="C349" s="41">
        <v>102.910004</v>
      </c>
      <c r="D349" s="46">
        <f>(Table7[[#This Row],[S&amp;P]]-C337)/C337</f>
        <v>0.18450745342452068</v>
      </c>
      <c r="F349" s="3"/>
      <c r="K349" s="2"/>
    </row>
    <row r="350" spans="1:11" x14ac:dyDescent="0.35">
      <c r="A350" s="39">
        <v>28004</v>
      </c>
      <c r="B350" s="40">
        <f>VLOOKUP(Table7[[#This Row],[Date]],'DB Details'!$A:$L,12)</f>
        <v>53.6</v>
      </c>
      <c r="C350" s="41">
        <v>105.239998</v>
      </c>
      <c r="D350" s="46">
        <f>(Table7[[#This Row],[S&amp;P]]-C338)/C338</f>
        <v>0.25479902510555535</v>
      </c>
      <c r="F350" s="3"/>
      <c r="K350" s="2"/>
    </row>
    <row r="351" spans="1:11" x14ac:dyDescent="0.35">
      <c r="A351" s="39">
        <v>28034</v>
      </c>
      <c r="B351" s="40">
        <f>VLOOKUP(Table7[[#This Row],[Date]],'DB Details'!$A:$L,12)</f>
        <v>53.5</v>
      </c>
      <c r="C351" s="41">
        <v>102.900002</v>
      </c>
      <c r="D351" s="46">
        <f>(Table7[[#This Row],[S&amp;P]]-C339)/C339</f>
        <v>0.15566038684119057</v>
      </c>
      <c r="F351" s="3"/>
      <c r="K351" s="2"/>
    </row>
    <row r="352" spans="1:11" x14ac:dyDescent="0.35">
      <c r="A352" s="39">
        <v>28065</v>
      </c>
      <c r="B352" s="40">
        <f>VLOOKUP(Table7[[#This Row],[Date]],'DB Details'!$A:$L,12)</f>
        <v>51.7</v>
      </c>
      <c r="C352" s="41">
        <v>102.099998</v>
      </c>
      <c r="D352" s="46">
        <f>(Table7[[#This Row],[S&amp;P]]-C340)/C340</f>
        <v>0.1190267452658208</v>
      </c>
      <c r="F352" s="3"/>
      <c r="K352" s="2"/>
    </row>
    <row r="353" spans="1:11" x14ac:dyDescent="0.35">
      <c r="A353" s="39">
        <v>28095</v>
      </c>
      <c r="B353" s="40">
        <f>VLOOKUP(Table7[[#This Row],[Date]],'DB Details'!$A:$L,12)</f>
        <v>56.6</v>
      </c>
      <c r="C353" s="41">
        <v>107.459999</v>
      </c>
      <c r="D353" s="46">
        <f>(Table7[[#This Row],[S&amp;P]]-C341)/C341</f>
        <v>0.19148460602096437</v>
      </c>
      <c r="F353" s="3"/>
      <c r="K353" s="2"/>
    </row>
    <row r="354" spans="1:11" x14ac:dyDescent="0.35">
      <c r="A354" s="39">
        <v>28126</v>
      </c>
      <c r="B354" s="40">
        <f>VLOOKUP(Table7[[#This Row],[Date]],'DB Details'!$A:$L,12)</f>
        <v>54.8</v>
      </c>
      <c r="C354" s="41">
        <v>102.029999</v>
      </c>
      <c r="D354" s="46">
        <f>(Table7[[#This Row],[S&amp;P]]-C342)/C342</f>
        <v>1.1600218009119461E-2</v>
      </c>
      <c r="F354" s="3"/>
      <c r="K354" s="2"/>
    </row>
    <row r="355" spans="1:11" x14ac:dyDescent="0.35">
      <c r="A355" s="39">
        <v>28157</v>
      </c>
      <c r="B355" s="40">
        <f>VLOOKUP(Table7[[#This Row],[Date]],'DB Details'!$A:$L,12)</f>
        <v>55</v>
      </c>
      <c r="C355" s="41">
        <v>99.82</v>
      </c>
      <c r="D355" s="46">
        <f>(Table7[[#This Row],[S&amp;P]]-C343)/C343</f>
        <v>1.10320931805442E-3</v>
      </c>
      <c r="F355" s="3"/>
      <c r="K355" s="2"/>
    </row>
    <row r="356" spans="1:11" x14ac:dyDescent="0.35">
      <c r="A356" s="39">
        <v>28185</v>
      </c>
      <c r="B356" s="40">
        <f>VLOOKUP(Table7[[#This Row],[Date]],'DB Details'!$A:$L,12)</f>
        <v>58.4</v>
      </c>
      <c r="C356" s="41">
        <v>98.419998000000007</v>
      </c>
      <c r="D356" s="46">
        <f>(Table7[[#This Row],[S&amp;P]]-C344)/C344</f>
        <v>-4.2327518993700047E-2</v>
      </c>
      <c r="F356" s="3"/>
      <c r="K356" s="2"/>
    </row>
    <row r="357" spans="1:11" x14ac:dyDescent="0.35">
      <c r="A357" s="39">
        <v>28216</v>
      </c>
      <c r="B357" s="40">
        <f>VLOOKUP(Table7[[#This Row],[Date]],'DB Details'!$A:$L,12)</f>
        <v>56.9</v>
      </c>
      <c r="C357" s="41">
        <v>98.440002000000007</v>
      </c>
      <c r="D357" s="46">
        <f>(Table7[[#This Row],[S&amp;P]]-C345)/C345</f>
        <v>-3.1483638641121948E-2</v>
      </c>
      <c r="F357" s="3"/>
      <c r="K357" s="2"/>
    </row>
    <row r="358" spans="1:11" x14ac:dyDescent="0.35">
      <c r="A358" s="39">
        <v>28246</v>
      </c>
      <c r="B358" s="40">
        <f>VLOOKUP(Table7[[#This Row],[Date]],'DB Details'!$A:$L,12)</f>
        <v>59.7</v>
      </c>
      <c r="C358" s="41">
        <v>96.120002999999997</v>
      </c>
      <c r="D358" s="46">
        <f>(Table7[[#This Row],[S&amp;P]]-C346)/C346</f>
        <v>-4.0527021361549308E-2</v>
      </c>
      <c r="F358" s="3"/>
      <c r="K358" s="2"/>
    </row>
    <row r="359" spans="1:11" x14ac:dyDescent="0.35">
      <c r="A359" s="39">
        <v>28277</v>
      </c>
      <c r="B359" s="40">
        <f>VLOOKUP(Table7[[#This Row],[Date]],'DB Details'!$A:$L,12)</f>
        <v>56.8</v>
      </c>
      <c r="C359" s="41">
        <v>100.480003</v>
      </c>
      <c r="D359" s="46">
        <f>(Table7[[#This Row],[S&amp;P]]-C347)/C347</f>
        <v>-3.6440314887229784E-2</v>
      </c>
      <c r="F359" s="3"/>
      <c r="K359" s="2"/>
    </row>
    <row r="360" spans="1:11" x14ac:dyDescent="0.35">
      <c r="A360" s="39">
        <v>28307</v>
      </c>
      <c r="B360" s="40">
        <f>VLOOKUP(Table7[[#This Row],[Date]],'DB Details'!$A:$L,12)</f>
        <v>57.7</v>
      </c>
      <c r="C360" s="41">
        <v>98.849997999999999</v>
      </c>
      <c r="D360" s="46">
        <f>(Table7[[#This Row],[S&amp;P]]-C348)/C348</f>
        <v>-4.437358769579304E-2</v>
      </c>
      <c r="F360" s="3"/>
      <c r="K360" s="2"/>
    </row>
    <row r="361" spans="1:11" x14ac:dyDescent="0.35">
      <c r="A361" s="39">
        <v>28338</v>
      </c>
      <c r="B361" s="40">
        <f>VLOOKUP(Table7[[#This Row],[Date]],'DB Details'!$A:$L,12)</f>
        <v>54.9</v>
      </c>
      <c r="C361" s="41">
        <v>96.769997000000004</v>
      </c>
      <c r="D361" s="46">
        <f>(Table7[[#This Row],[S&amp;P]]-C349)/C349</f>
        <v>-5.966384959036633E-2</v>
      </c>
      <c r="F361" s="3"/>
      <c r="K361" s="2"/>
    </row>
    <row r="362" spans="1:11" x14ac:dyDescent="0.35">
      <c r="A362" s="39">
        <v>28369</v>
      </c>
      <c r="B362" s="40">
        <f>VLOOKUP(Table7[[#This Row],[Date]],'DB Details'!$A:$L,12)</f>
        <v>53.9</v>
      </c>
      <c r="C362" s="41">
        <v>96.529999000000004</v>
      </c>
      <c r="D362" s="46">
        <f>(Table7[[#This Row],[S&amp;P]]-C350)/C350</f>
        <v>-8.2763199976495588E-2</v>
      </c>
      <c r="F362" s="3"/>
      <c r="K362" s="2"/>
    </row>
    <row r="363" spans="1:11" x14ac:dyDescent="0.35">
      <c r="A363" s="39">
        <v>28399</v>
      </c>
      <c r="B363" s="40">
        <f>VLOOKUP(Table7[[#This Row],[Date]],'DB Details'!$A:$L,12)</f>
        <v>55.4</v>
      </c>
      <c r="C363" s="41">
        <v>92.339995999999999</v>
      </c>
      <c r="D363" s="46">
        <f>(Table7[[#This Row],[S&amp;P]]-C351)/C351</f>
        <v>-0.10262396301994242</v>
      </c>
      <c r="F363" s="3"/>
      <c r="K363" s="2"/>
    </row>
    <row r="364" spans="1:11" x14ac:dyDescent="0.35">
      <c r="A364" s="39">
        <v>28430</v>
      </c>
      <c r="B364" s="40">
        <f>VLOOKUP(Table7[[#This Row],[Date]],'DB Details'!$A:$L,12)</f>
        <v>56.1</v>
      </c>
      <c r="C364" s="41">
        <v>94.830001999999993</v>
      </c>
      <c r="D364" s="46">
        <f>(Table7[[#This Row],[S&amp;P]]-C352)/C352</f>
        <v>-7.1204663490786815E-2</v>
      </c>
      <c r="F364" s="3"/>
      <c r="K364" s="2"/>
    </row>
    <row r="365" spans="1:11" x14ac:dyDescent="0.35">
      <c r="A365" s="39">
        <v>28460</v>
      </c>
      <c r="B365" s="40">
        <f>VLOOKUP(Table7[[#This Row],[Date]],'DB Details'!$A:$L,12)</f>
        <v>59.8</v>
      </c>
      <c r="C365" s="41">
        <v>95.099997999999999</v>
      </c>
      <c r="D365" s="46">
        <f>(Table7[[#This Row],[S&amp;P]]-C353)/C353</f>
        <v>-0.11501955253135632</v>
      </c>
      <c r="F365" s="3"/>
      <c r="K365" s="2"/>
    </row>
    <row r="366" spans="1:11" x14ac:dyDescent="0.35">
      <c r="A366" s="39">
        <v>28491</v>
      </c>
      <c r="B366" s="40">
        <f>VLOOKUP(Table7[[#This Row],[Date]],'DB Details'!$A:$L,12)</f>
        <v>57.4</v>
      </c>
      <c r="C366" s="41">
        <v>89.25</v>
      </c>
      <c r="D366" s="46">
        <f>(Table7[[#This Row],[S&amp;P]]-C354)/C354</f>
        <v>-0.12525726869800324</v>
      </c>
      <c r="F366" s="3"/>
      <c r="K366" s="2"/>
    </row>
    <row r="367" spans="1:11" x14ac:dyDescent="0.35">
      <c r="A367" s="39">
        <v>28522</v>
      </c>
      <c r="B367" s="40">
        <f>VLOOKUP(Table7[[#This Row],[Date]],'DB Details'!$A:$L,12)</f>
        <v>55.9</v>
      </c>
      <c r="C367" s="41">
        <v>87.040001000000004</v>
      </c>
      <c r="D367" s="46">
        <f>(Table7[[#This Row],[S&amp;P]]-C355)/C355</f>
        <v>-0.12803044480064105</v>
      </c>
      <c r="F367" s="3"/>
      <c r="K367" s="2"/>
    </row>
    <row r="368" spans="1:11" x14ac:dyDescent="0.35">
      <c r="A368" s="39">
        <v>28550</v>
      </c>
      <c r="B368" s="40">
        <f>VLOOKUP(Table7[[#This Row],[Date]],'DB Details'!$A:$L,12)</f>
        <v>55</v>
      </c>
      <c r="C368" s="41">
        <v>89.209998999999996</v>
      </c>
      <c r="D368" s="46">
        <f>(Table7[[#This Row],[S&amp;P]]-C356)/C356</f>
        <v>-9.357853268804181E-2</v>
      </c>
      <c r="F368" s="3"/>
      <c r="K368" s="2"/>
    </row>
    <row r="369" spans="1:11" x14ac:dyDescent="0.35">
      <c r="A369" s="39">
        <v>28581</v>
      </c>
      <c r="B369" s="40">
        <f>VLOOKUP(Table7[[#This Row],[Date]],'DB Details'!$A:$L,12)</f>
        <v>57.7</v>
      </c>
      <c r="C369" s="41">
        <v>96.830001999999993</v>
      </c>
      <c r="D369" s="46">
        <f>(Table7[[#This Row],[S&amp;P]]-C357)/C357</f>
        <v>-1.6355139854629559E-2</v>
      </c>
      <c r="F369" s="3"/>
      <c r="K369" s="2"/>
    </row>
    <row r="370" spans="1:11" x14ac:dyDescent="0.35">
      <c r="A370" s="39">
        <v>28611</v>
      </c>
      <c r="B370" s="40">
        <f>VLOOKUP(Table7[[#This Row],[Date]],'DB Details'!$A:$L,12)</f>
        <v>60.2</v>
      </c>
      <c r="C370" s="41">
        <v>97.239998</v>
      </c>
      <c r="D370" s="46">
        <f>(Table7[[#This Row],[S&amp;P]]-C358)/C358</f>
        <v>1.1652049157759629E-2</v>
      </c>
      <c r="F370" s="3"/>
      <c r="K370" s="2"/>
    </row>
    <row r="371" spans="1:11" x14ac:dyDescent="0.35">
      <c r="A371" s="39">
        <v>28642</v>
      </c>
      <c r="B371" s="40">
        <f>VLOOKUP(Table7[[#This Row],[Date]],'DB Details'!$A:$L,12)</f>
        <v>60.5</v>
      </c>
      <c r="C371" s="41">
        <v>95.529999000000004</v>
      </c>
      <c r="D371" s="46">
        <f>(Table7[[#This Row],[S&amp;P]]-C359)/C359</f>
        <v>-4.9263573369917123E-2</v>
      </c>
      <c r="F371" s="3"/>
      <c r="K371" s="2"/>
    </row>
    <row r="372" spans="1:11" x14ac:dyDescent="0.35">
      <c r="A372" s="39">
        <v>28672</v>
      </c>
      <c r="B372" s="40">
        <f>VLOOKUP(Table7[[#This Row],[Date]],'DB Details'!$A:$L,12)</f>
        <v>62.2</v>
      </c>
      <c r="C372" s="41">
        <v>100.68</v>
      </c>
      <c r="D372" s="46">
        <f>(Table7[[#This Row],[S&amp;P]]-C360)/C360</f>
        <v>1.8512918938045981E-2</v>
      </c>
      <c r="F372" s="3"/>
      <c r="K372" s="2"/>
    </row>
    <row r="373" spans="1:11" x14ac:dyDescent="0.35">
      <c r="A373" s="39">
        <v>28703</v>
      </c>
      <c r="B373" s="40">
        <f>VLOOKUP(Table7[[#This Row],[Date]],'DB Details'!$A:$L,12)</f>
        <v>60.3</v>
      </c>
      <c r="C373" s="41">
        <v>103.290001</v>
      </c>
      <c r="D373" s="46">
        <f>(Table7[[#This Row],[S&amp;P]]-C361)/C361</f>
        <v>6.73762963948423E-2</v>
      </c>
      <c r="F373" s="3"/>
      <c r="K373" s="2"/>
    </row>
    <row r="374" spans="1:11" x14ac:dyDescent="0.35">
      <c r="A374" s="39">
        <v>28734</v>
      </c>
      <c r="B374" s="40">
        <f>VLOOKUP(Table7[[#This Row],[Date]],'DB Details'!$A:$L,12)</f>
        <v>60.5</v>
      </c>
      <c r="C374" s="41">
        <v>102.540001</v>
      </c>
      <c r="D374" s="46">
        <f>(Table7[[#This Row],[S&amp;P]]-C362)/C362</f>
        <v>6.2260458533724833E-2</v>
      </c>
      <c r="F374" s="3"/>
      <c r="K374" s="2"/>
    </row>
    <row r="375" spans="1:11" x14ac:dyDescent="0.35">
      <c r="A375" s="39">
        <v>28764</v>
      </c>
      <c r="B375" s="40">
        <f>VLOOKUP(Table7[[#This Row],[Date]],'DB Details'!$A:$L,12)</f>
        <v>60.1</v>
      </c>
      <c r="C375" s="41">
        <v>93.150002000000001</v>
      </c>
      <c r="D375" s="46">
        <f>(Table7[[#This Row],[S&amp;P]]-C363)/C363</f>
        <v>8.7719951818061737E-3</v>
      </c>
      <c r="F375" s="3"/>
      <c r="K375" s="2"/>
    </row>
    <row r="376" spans="1:11" x14ac:dyDescent="0.35">
      <c r="A376" s="39">
        <v>28795</v>
      </c>
      <c r="B376" s="40">
        <f>VLOOKUP(Table7[[#This Row],[Date]],'DB Details'!$A:$L,12)</f>
        <v>61.3</v>
      </c>
      <c r="C376" s="41">
        <v>94.699996999999996</v>
      </c>
      <c r="D376" s="46">
        <f>(Table7[[#This Row],[S&amp;P]]-C364)/C364</f>
        <v>-1.3709268929467811E-3</v>
      </c>
      <c r="F376" s="3"/>
      <c r="K376" s="2"/>
    </row>
    <row r="377" spans="1:11" x14ac:dyDescent="0.35">
      <c r="A377" s="39">
        <v>28825</v>
      </c>
      <c r="B377" s="40">
        <f>VLOOKUP(Table7[[#This Row],[Date]],'DB Details'!$A:$L,12)</f>
        <v>59.4</v>
      </c>
      <c r="C377" s="41">
        <v>96.110000999999997</v>
      </c>
      <c r="D377" s="46">
        <f>(Table7[[#This Row],[S&amp;P]]-C365)/C365</f>
        <v>1.0620431348484335E-2</v>
      </c>
      <c r="F377" s="3"/>
      <c r="K377" s="2"/>
    </row>
    <row r="378" spans="1:11" x14ac:dyDescent="0.35">
      <c r="A378" s="39">
        <v>28856</v>
      </c>
      <c r="B378" s="40">
        <f>VLOOKUP(Table7[[#This Row],[Date]],'DB Details'!$A:$L,12)</f>
        <v>58.5</v>
      </c>
      <c r="C378" s="41">
        <v>99.93</v>
      </c>
      <c r="D378" s="46">
        <f>(Table7[[#This Row],[S&amp;P]]-C366)/C366</f>
        <v>0.11966386554621856</v>
      </c>
      <c r="F378" s="3"/>
      <c r="K378" s="2"/>
    </row>
    <row r="379" spans="1:11" x14ac:dyDescent="0.35">
      <c r="A379" s="39">
        <v>28887</v>
      </c>
      <c r="B379" s="40">
        <f>VLOOKUP(Table7[[#This Row],[Date]],'DB Details'!$A:$L,12)</f>
        <v>58.2</v>
      </c>
      <c r="C379" s="41">
        <v>96.279999000000004</v>
      </c>
      <c r="D379" s="46">
        <f>(Table7[[#This Row],[S&amp;P]]-C367)/C367</f>
        <v>0.10615806403770606</v>
      </c>
      <c r="F379" s="3"/>
      <c r="K379" s="2"/>
    </row>
    <row r="380" spans="1:11" x14ac:dyDescent="0.35">
      <c r="A380" s="39">
        <v>28915</v>
      </c>
      <c r="B380" s="40">
        <f>VLOOKUP(Table7[[#This Row],[Date]],'DB Details'!$A:$L,12)</f>
        <v>57.7</v>
      </c>
      <c r="C380" s="41">
        <v>101.589996</v>
      </c>
      <c r="D380" s="46">
        <f>(Table7[[#This Row],[S&amp;P]]-C368)/C368</f>
        <v>0.1387736480077755</v>
      </c>
      <c r="F380" s="3"/>
      <c r="K380" s="2"/>
    </row>
    <row r="381" spans="1:11" x14ac:dyDescent="0.35">
      <c r="A381" s="39">
        <v>28946</v>
      </c>
      <c r="B381" s="40">
        <f>VLOOKUP(Table7[[#This Row],[Date]],'DB Details'!$A:$L,12)</f>
        <v>56.2</v>
      </c>
      <c r="C381" s="41">
        <v>101.760002</v>
      </c>
      <c r="D381" s="46">
        <f>(Table7[[#This Row],[S&amp;P]]-C369)/C369</f>
        <v>5.0913971890654379E-2</v>
      </c>
      <c r="F381" s="3"/>
      <c r="K381" s="2"/>
    </row>
    <row r="382" spans="1:11" x14ac:dyDescent="0.35">
      <c r="A382" s="39">
        <v>28976</v>
      </c>
      <c r="B382" s="40">
        <f>VLOOKUP(Table7[[#This Row],[Date]],'DB Details'!$A:$L,12)</f>
        <v>54.4</v>
      </c>
      <c r="C382" s="41">
        <v>99.080001999999993</v>
      </c>
      <c r="D382" s="46">
        <f>(Table7[[#This Row],[S&amp;P]]-C370)/C370</f>
        <v>1.8922295740894539E-2</v>
      </c>
      <c r="F382" s="3"/>
      <c r="K382" s="2"/>
    </row>
    <row r="383" spans="1:11" x14ac:dyDescent="0.35">
      <c r="A383" s="39">
        <v>29007</v>
      </c>
      <c r="B383" s="40">
        <f>VLOOKUP(Table7[[#This Row],[Date]],'DB Details'!$A:$L,12)</f>
        <v>52.7</v>
      </c>
      <c r="C383" s="41">
        <v>102.910004</v>
      </c>
      <c r="D383" s="46">
        <f>(Table7[[#This Row],[S&amp;P]]-C371)/C371</f>
        <v>7.7253272032380083E-2</v>
      </c>
      <c r="F383" s="3"/>
      <c r="K383" s="2"/>
    </row>
    <row r="384" spans="1:11" x14ac:dyDescent="0.35">
      <c r="A384" s="39">
        <v>29037</v>
      </c>
      <c r="B384" s="40">
        <f>VLOOKUP(Table7[[#This Row],[Date]],'DB Details'!$A:$L,12)</f>
        <v>51.3</v>
      </c>
      <c r="C384" s="41">
        <v>103.80999799999999</v>
      </c>
      <c r="D384" s="46">
        <f>(Table7[[#This Row],[S&amp;P]]-C372)/C372</f>
        <v>3.1088577671831406E-2</v>
      </c>
      <c r="F384" s="3"/>
      <c r="K384" s="2"/>
    </row>
    <row r="385" spans="1:11" x14ac:dyDescent="0.35">
      <c r="A385" s="39">
        <v>29068</v>
      </c>
      <c r="B385" s="40">
        <f>VLOOKUP(Table7[[#This Row],[Date]],'DB Details'!$A:$L,12)</f>
        <v>49.5</v>
      </c>
      <c r="C385" s="41">
        <v>109.32</v>
      </c>
      <c r="D385" s="46">
        <f>(Table7[[#This Row],[S&amp;P]]-C373)/C373</f>
        <v>5.8379310113473512E-2</v>
      </c>
      <c r="F385" s="3"/>
      <c r="K385" s="2"/>
    </row>
    <row r="386" spans="1:11" x14ac:dyDescent="0.35">
      <c r="A386" s="39">
        <v>29099</v>
      </c>
      <c r="B386" s="40">
        <f>VLOOKUP(Table7[[#This Row],[Date]],'DB Details'!$A:$L,12)</f>
        <v>49.6</v>
      </c>
      <c r="C386" s="41">
        <v>109.32</v>
      </c>
      <c r="D386" s="46">
        <f>(Table7[[#This Row],[S&amp;P]]-C374)/C374</f>
        <v>6.6120527929388148E-2</v>
      </c>
      <c r="F386" s="3"/>
      <c r="K386" s="2"/>
    </row>
    <row r="387" spans="1:11" x14ac:dyDescent="0.35">
      <c r="A387" s="39">
        <v>29129</v>
      </c>
      <c r="B387" s="40">
        <f>VLOOKUP(Table7[[#This Row],[Date]],'DB Details'!$A:$L,12)</f>
        <v>49</v>
      </c>
      <c r="C387" s="41">
        <v>101.82</v>
      </c>
      <c r="D387" s="46">
        <f>(Table7[[#This Row],[S&amp;P]]-C375)/C375</f>
        <v>9.3075660910882138E-2</v>
      </c>
      <c r="F387" s="3"/>
      <c r="K387" s="2"/>
    </row>
    <row r="388" spans="1:11" x14ac:dyDescent="0.35">
      <c r="A388" s="39">
        <v>29160</v>
      </c>
      <c r="B388" s="40">
        <f>VLOOKUP(Table7[[#This Row],[Date]],'DB Details'!$A:$L,12)</f>
        <v>48</v>
      </c>
      <c r="C388" s="41">
        <v>106.160004</v>
      </c>
      <c r="D388" s="46">
        <f>(Table7[[#This Row],[S&amp;P]]-C376)/C376</f>
        <v>0.12101380531194743</v>
      </c>
      <c r="F388" s="3"/>
      <c r="K388" s="2"/>
    </row>
    <row r="389" spans="1:11" x14ac:dyDescent="0.35">
      <c r="A389" s="39">
        <v>29190</v>
      </c>
      <c r="B389" s="40">
        <f>VLOOKUP(Table7[[#This Row],[Date]],'DB Details'!$A:$L,12)</f>
        <v>44.8</v>
      </c>
      <c r="C389" s="41">
        <v>107.94000200000001</v>
      </c>
      <c r="D389" s="46">
        <f>(Table7[[#This Row],[S&amp;P]]-C377)/C377</f>
        <v>0.12308813731049707</v>
      </c>
      <c r="F389" s="3"/>
      <c r="K389" s="2"/>
    </row>
    <row r="390" spans="1:11" x14ac:dyDescent="0.35">
      <c r="A390" s="39">
        <v>29221</v>
      </c>
      <c r="B390" s="40">
        <f>VLOOKUP(Table7[[#This Row],[Date]],'DB Details'!$A:$L,12)</f>
        <v>46.2</v>
      </c>
      <c r="C390" s="41">
        <v>114.160004</v>
      </c>
      <c r="D390" s="46">
        <f>(Table7[[#This Row],[S&amp;P]]-C378)/C378</f>
        <v>0.14239971980386262</v>
      </c>
      <c r="F390" s="3"/>
      <c r="K390" s="2"/>
    </row>
    <row r="391" spans="1:11" x14ac:dyDescent="0.35">
      <c r="A391" s="39">
        <v>29252</v>
      </c>
      <c r="B391" s="40">
        <f>VLOOKUP(Table7[[#This Row],[Date]],'DB Details'!$A:$L,12)</f>
        <v>50.2</v>
      </c>
      <c r="C391" s="41">
        <v>113.660004</v>
      </c>
      <c r="D391" s="46">
        <f>(Table7[[#This Row],[S&amp;P]]-C379)/C379</f>
        <v>0.18051521791145839</v>
      </c>
      <c r="F391" s="3"/>
      <c r="K391" s="2"/>
    </row>
    <row r="392" spans="1:11" x14ac:dyDescent="0.35">
      <c r="A392" s="39">
        <v>29281</v>
      </c>
      <c r="B392" s="40">
        <f>VLOOKUP(Table7[[#This Row],[Date]],'DB Details'!$A:$L,12)</f>
        <v>43.6</v>
      </c>
      <c r="C392" s="41">
        <v>102.089996</v>
      </c>
      <c r="D392" s="46">
        <f>(Table7[[#This Row],[S&amp;P]]-C380)/C380</f>
        <v>4.9217444599564709E-3</v>
      </c>
      <c r="F392" s="3"/>
      <c r="K392" s="2"/>
    </row>
    <row r="393" spans="1:11" x14ac:dyDescent="0.35">
      <c r="A393" s="39">
        <v>29312</v>
      </c>
      <c r="B393" s="40">
        <f>VLOOKUP(Table7[[#This Row],[Date]],'DB Details'!$A:$L,12)</f>
        <v>37.4</v>
      </c>
      <c r="C393" s="41">
        <v>106.290001</v>
      </c>
      <c r="D393" s="46">
        <f>(Table7[[#This Row],[S&amp;P]]-C381)/C381</f>
        <v>4.4516498731987091E-2</v>
      </c>
      <c r="F393" s="3"/>
      <c r="K393" s="2"/>
    </row>
    <row r="394" spans="1:11" x14ac:dyDescent="0.35">
      <c r="A394" s="39">
        <v>29342</v>
      </c>
      <c r="B394" s="40">
        <f>VLOOKUP(Table7[[#This Row],[Date]],'DB Details'!$A:$L,12)</f>
        <v>29.4</v>
      </c>
      <c r="C394" s="41">
        <v>111.239998</v>
      </c>
      <c r="D394" s="46">
        <f>(Table7[[#This Row],[S&amp;P]]-C382)/C382</f>
        <v>0.1227290649428934</v>
      </c>
      <c r="F394" s="3"/>
      <c r="K394" s="2"/>
    </row>
    <row r="395" spans="1:11" x14ac:dyDescent="0.35">
      <c r="A395" s="39">
        <v>29373</v>
      </c>
      <c r="B395" s="40">
        <f>VLOOKUP(Table7[[#This Row],[Date]],'DB Details'!$A:$L,12)</f>
        <v>30.3</v>
      </c>
      <c r="C395" s="41">
        <v>114.239998</v>
      </c>
      <c r="D395" s="46">
        <f>(Table7[[#This Row],[S&amp;P]]-C383)/C383</f>
        <v>0.11009613798090999</v>
      </c>
      <c r="F395" s="3"/>
      <c r="K395" s="2"/>
    </row>
    <row r="396" spans="1:11" x14ac:dyDescent="0.35">
      <c r="A396" s="39">
        <v>29403</v>
      </c>
      <c r="B396" s="40">
        <f>VLOOKUP(Table7[[#This Row],[Date]],'DB Details'!$A:$L,12)</f>
        <v>35</v>
      </c>
      <c r="C396" s="41">
        <v>121.66999800000001</v>
      </c>
      <c r="D396" s="46">
        <f>(Table7[[#This Row],[S&amp;P]]-C384)/C384</f>
        <v>0.17204508567662255</v>
      </c>
      <c r="F396" s="3"/>
      <c r="K396" s="2"/>
    </row>
    <row r="397" spans="1:11" x14ac:dyDescent="0.35">
      <c r="A397" s="39">
        <v>29434</v>
      </c>
      <c r="B397" s="40">
        <f>VLOOKUP(Table7[[#This Row],[Date]],'DB Details'!$A:$L,12)</f>
        <v>45.5</v>
      </c>
      <c r="C397" s="41">
        <v>122.379997</v>
      </c>
      <c r="D397" s="46">
        <f>(Table7[[#This Row],[S&amp;P]]-C385)/C385</f>
        <v>0.11946576106842308</v>
      </c>
      <c r="F397" s="3"/>
      <c r="K397" s="2"/>
    </row>
    <row r="398" spans="1:11" x14ac:dyDescent="0.35">
      <c r="A398" s="39">
        <v>29465</v>
      </c>
      <c r="B398" s="40">
        <f>VLOOKUP(Table7[[#This Row],[Date]],'DB Details'!$A:$L,12)</f>
        <v>50.1</v>
      </c>
      <c r="C398" s="41">
        <v>125.459999</v>
      </c>
      <c r="D398" s="46">
        <f>(Table7[[#This Row],[S&amp;P]]-C386)/C386</f>
        <v>0.14763994694474938</v>
      </c>
      <c r="F398" s="3"/>
      <c r="K398" s="2"/>
    </row>
    <row r="399" spans="1:11" x14ac:dyDescent="0.35">
      <c r="A399" s="39">
        <v>29495</v>
      </c>
      <c r="B399" s="40">
        <f>VLOOKUP(Table7[[#This Row],[Date]],'DB Details'!$A:$L,12)</f>
        <v>55.5</v>
      </c>
      <c r="C399" s="41">
        <v>127.470001</v>
      </c>
      <c r="D399" s="46">
        <f>(Table7[[#This Row],[S&amp;P]]-C387)/C387</f>
        <v>0.25191515419367516</v>
      </c>
      <c r="F399" s="3"/>
      <c r="K399" s="2"/>
    </row>
    <row r="400" spans="1:11" x14ac:dyDescent="0.35">
      <c r="A400" s="39">
        <v>29526</v>
      </c>
      <c r="B400" s="40">
        <f>VLOOKUP(Table7[[#This Row],[Date]],'DB Details'!$A:$L,12)</f>
        <v>58.2</v>
      </c>
      <c r="C400" s="41">
        <v>140.520004</v>
      </c>
      <c r="D400" s="46">
        <f>(Table7[[#This Row],[S&amp;P]]-C388)/C388</f>
        <v>0.32366238418755144</v>
      </c>
      <c r="F400" s="3"/>
      <c r="K400" s="2"/>
    </row>
    <row r="401" spans="1:11" x14ac:dyDescent="0.35">
      <c r="A401" s="39">
        <v>29556</v>
      </c>
      <c r="B401" s="40">
        <f>VLOOKUP(Table7[[#This Row],[Date]],'DB Details'!$A:$L,12)</f>
        <v>53</v>
      </c>
      <c r="C401" s="41">
        <v>135.759995</v>
      </c>
      <c r="D401" s="46">
        <f>(Table7[[#This Row],[S&amp;P]]-C389)/C389</f>
        <v>0.25773570951017766</v>
      </c>
      <c r="F401" s="3"/>
      <c r="K401" s="2"/>
    </row>
    <row r="402" spans="1:11" x14ac:dyDescent="0.35">
      <c r="A402" s="39">
        <v>29587</v>
      </c>
      <c r="B402" s="40">
        <f>VLOOKUP(Table7[[#This Row],[Date]],'DB Details'!$A:$L,12)</f>
        <v>49.2</v>
      </c>
      <c r="C402" s="41">
        <v>129.550003</v>
      </c>
      <c r="D402" s="46">
        <f>(Table7[[#This Row],[S&amp;P]]-C390)/C390</f>
        <v>0.13481077838784941</v>
      </c>
      <c r="F402" s="3"/>
      <c r="K402" s="2"/>
    </row>
    <row r="403" spans="1:11" x14ac:dyDescent="0.35">
      <c r="A403" s="39">
        <v>29618</v>
      </c>
      <c r="B403" s="40">
        <f>VLOOKUP(Table7[[#This Row],[Date]],'DB Details'!$A:$L,12)</f>
        <v>48.8</v>
      </c>
      <c r="C403" s="41">
        <v>131.270004</v>
      </c>
      <c r="D403" s="46">
        <f>(Table7[[#This Row],[S&amp;P]]-C391)/C391</f>
        <v>0.1549357679065364</v>
      </c>
      <c r="F403" s="3"/>
      <c r="K403" s="2"/>
    </row>
    <row r="404" spans="1:11" x14ac:dyDescent="0.35">
      <c r="A404" s="39">
        <v>29646</v>
      </c>
      <c r="B404" s="40">
        <f>VLOOKUP(Table7[[#This Row],[Date]],'DB Details'!$A:$L,12)</f>
        <v>49.6</v>
      </c>
      <c r="C404" s="41">
        <v>136</v>
      </c>
      <c r="D404" s="46">
        <f>(Table7[[#This Row],[S&amp;P]]-C392)/C392</f>
        <v>0.33215795208768545</v>
      </c>
      <c r="F404" s="3"/>
      <c r="K404" s="2"/>
    </row>
    <row r="405" spans="1:11" x14ac:dyDescent="0.35">
      <c r="A405" s="39">
        <v>29677</v>
      </c>
      <c r="B405" s="40">
        <f>VLOOKUP(Table7[[#This Row],[Date]],'DB Details'!$A:$L,12)</f>
        <v>51.6</v>
      </c>
      <c r="C405" s="41">
        <v>132.80999800000001</v>
      </c>
      <c r="D405" s="46">
        <f>(Table7[[#This Row],[S&amp;P]]-C393)/C393</f>
        <v>0.24950603773162069</v>
      </c>
      <c r="F405" s="3"/>
      <c r="K405" s="2"/>
    </row>
    <row r="406" spans="1:11" x14ac:dyDescent="0.35">
      <c r="A406" s="39">
        <v>29707</v>
      </c>
      <c r="B406" s="40">
        <f>VLOOKUP(Table7[[#This Row],[Date]],'DB Details'!$A:$L,12)</f>
        <v>53.5</v>
      </c>
      <c r="C406" s="41">
        <v>132.58999600000001</v>
      </c>
      <c r="D406" s="46">
        <f>(Table7[[#This Row],[S&amp;P]]-C394)/C394</f>
        <v>0.19192734972900677</v>
      </c>
      <c r="F406" s="3"/>
      <c r="K406" s="2"/>
    </row>
    <row r="407" spans="1:11" x14ac:dyDescent="0.35">
      <c r="A407" s="39">
        <v>29738</v>
      </c>
      <c r="B407" s="40">
        <f>VLOOKUP(Table7[[#This Row],[Date]],'DB Details'!$A:$L,12)</f>
        <v>50.7</v>
      </c>
      <c r="C407" s="41">
        <v>131.21000699999999</v>
      </c>
      <c r="D407" s="46">
        <f>(Table7[[#This Row],[S&amp;P]]-C395)/C395</f>
        <v>0.14854700014963226</v>
      </c>
      <c r="F407" s="3"/>
      <c r="K407" s="2"/>
    </row>
    <row r="408" spans="1:11" x14ac:dyDescent="0.35">
      <c r="A408" s="39">
        <v>29768</v>
      </c>
      <c r="B408" s="40">
        <f>VLOOKUP(Table7[[#This Row],[Date]],'DB Details'!$A:$L,12)</f>
        <v>46.7</v>
      </c>
      <c r="C408" s="41">
        <v>130.91999799999999</v>
      </c>
      <c r="D408" s="46">
        <f>(Table7[[#This Row],[S&amp;P]]-C396)/C396</f>
        <v>7.6025315624645484E-2</v>
      </c>
      <c r="F408" s="3"/>
      <c r="K408" s="2"/>
    </row>
    <row r="409" spans="1:11" x14ac:dyDescent="0.35">
      <c r="A409" s="39">
        <v>29799</v>
      </c>
      <c r="B409" s="40">
        <f>VLOOKUP(Table7[[#This Row],[Date]],'DB Details'!$A:$L,12)</f>
        <v>48.3</v>
      </c>
      <c r="C409" s="41">
        <v>122.790001</v>
      </c>
      <c r="D409" s="46">
        <f>(Table7[[#This Row],[S&amp;P]]-C397)/C397</f>
        <v>3.350253391491754E-3</v>
      </c>
      <c r="F409" s="3"/>
      <c r="K409" s="2"/>
    </row>
    <row r="410" spans="1:11" x14ac:dyDescent="0.35">
      <c r="A410" s="39">
        <v>29830</v>
      </c>
      <c r="B410" s="40">
        <f>VLOOKUP(Table7[[#This Row],[Date]],'DB Details'!$A:$L,12)</f>
        <v>42.5</v>
      </c>
      <c r="C410" s="41">
        <v>116.18</v>
      </c>
      <c r="D410" s="46">
        <f>(Table7[[#This Row],[S&amp;P]]-C398)/C398</f>
        <v>-7.396779112041911E-2</v>
      </c>
      <c r="F410" s="3"/>
      <c r="K410" s="2"/>
    </row>
    <row r="411" spans="1:11" x14ac:dyDescent="0.35">
      <c r="A411" s="39">
        <v>29860</v>
      </c>
      <c r="B411" s="40">
        <f>VLOOKUP(Table7[[#This Row],[Date]],'DB Details'!$A:$L,12)</f>
        <v>40</v>
      </c>
      <c r="C411" s="41">
        <v>121.889999</v>
      </c>
      <c r="D411" s="46">
        <f>(Table7[[#This Row],[S&amp;P]]-C399)/C399</f>
        <v>-4.3775021230289264E-2</v>
      </c>
      <c r="F411" s="3"/>
      <c r="K411" s="2"/>
    </row>
    <row r="412" spans="1:11" x14ac:dyDescent="0.35">
      <c r="A412" s="39">
        <v>29891</v>
      </c>
      <c r="B412" s="40">
        <f>VLOOKUP(Table7[[#This Row],[Date]],'DB Details'!$A:$L,12)</f>
        <v>36.1</v>
      </c>
      <c r="C412" s="41">
        <v>126.349998</v>
      </c>
      <c r="D412" s="46">
        <f>(Table7[[#This Row],[S&amp;P]]-C400)/C400</f>
        <v>-0.10083977794364424</v>
      </c>
      <c r="F412" s="3"/>
      <c r="K412" s="2"/>
    </row>
    <row r="413" spans="1:11" x14ac:dyDescent="0.35">
      <c r="A413" s="39">
        <v>29921</v>
      </c>
      <c r="B413" s="40">
        <f>VLOOKUP(Table7[[#This Row],[Date]],'DB Details'!$A:$L,12)</f>
        <v>37.799999999999997</v>
      </c>
      <c r="C413" s="41">
        <v>122.550003</v>
      </c>
      <c r="D413" s="46">
        <f>(Table7[[#This Row],[S&amp;P]]-C401)/C401</f>
        <v>-9.7304010654979761E-2</v>
      </c>
      <c r="F413" s="3"/>
      <c r="K413" s="2"/>
    </row>
    <row r="414" spans="1:11" x14ac:dyDescent="0.35">
      <c r="A414" s="39">
        <v>29952</v>
      </c>
      <c r="B414" s="40">
        <f>VLOOKUP(Table7[[#This Row],[Date]],'DB Details'!$A:$L,12)</f>
        <v>38.200000000000003</v>
      </c>
      <c r="C414" s="41">
        <v>120.400002</v>
      </c>
      <c r="D414" s="46">
        <f>(Table7[[#This Row],[S&amp;P]]-C402)/C402</f>
        <v>-7.0629106816770995E-2</v>
      </c>
      <c r="F414" s="3"/>
      <c r="K414" s="2"/>
    </row>
    <row r="415" spans="1:11" x14ac:dyDescent="0.35">
      <c r="A415" s="39">
        <v>29983</v>
      </c>
      <c r="B415" s="40">
        <f>VLOOKUP(Table7[[#This Row],[Date]],'DB Details'!$A:$L,12)</f>
        <v>38.299999999999997</v>
      </c>
      <c r="C415" s="41">
        <v>113.110001</v>
      </c>
      <c r="D415" s="46">
        <f>(Table7[[#This Row],[S&amp;P]]-C403)/C403</f>
        <v>-0.13834084289355247</v>
      </c>
      <c r="F415" s="3"/>
      <c r="K415" s="2"/>
    </row>
    <row r="416" spans="1:11" x14ac:dyDescent="0.35">
      <c r="A416" s="39">
        <v>30011</v>
      </c>
      <c r="B416" s="40">
        <f>VLOOKUP(Table7[[#This Row],[Date]],'DB Details'!$A:$L,12)</f>
        <v>36.799999999999997</v>
      </c>
      <c r="C416" s="41">
        <v>111.959999</v>
      </c>
      <c r="D416" s="46">
        <f>(Table7[[#This Row],[S&amp;P]]-C404)/C404</f>
        <v>-0.17676471323529414</v>
      </c>
      <c r="F416" s="3"/>
      <c r="K416" s="2"/>
    </row>
    <row r="417" spans="1:11" x14ac:dyDescent="0.35">
      <c r="A417" s="39">
        <v>30042</v>
      </c>
      <c r="B417" s="40">
        <f>VLOOKUP(Table7[[#This Row],[Date]],'DB Details'!$A:$L,12)</f>
        <v>37.799999999999997</v>
      </c>
      <c r="C417" s="41">
        <v>116.44000200000001</v>
      </c>
      <c r="D417" s="46">
        <f>(Table7[[#This Row],[S&amp;P]]-C405)/C405</f>
        <v>-0.12325876249166121</v>
      </c>
      <c r="F417" s="3"/>
      <c r="K417" s="2"/>
    </row>
    <row r="418" spans="1:11" x14ac:dyDescent="0.35">
      <c r="A418" s="39">
        <v>30072</v>
      </c>
      <c r="B418" s="40">
        <f>VLOOKUP(Table7[[#This Row],[Date]],'DB Details'!$A:$L,12)</f>
        <v>35.5</v>
      </c>
      <c r="C418" s="41">
        <v>111.879997</v>
      </c>
      <c r="D418" s="46">
        <f>(Table7[[#This Row],[S&amp;P]]-C406)/C406</f>
        <v>-0.15619578870792039</v>
      </c>
      <c r="F418" s="3"/>
      <c r="K418" s="2"/>
    </row>
    <row r="419" spans="1:11" x14ac:dyDescent="0.35">
      <c r="A419" s="39">
        <v>30103</v>
      </c>
      <c r="B419" s="40">
        <f>VLOOKUP(Table7[[#This Row],[Date]],'DB Details'!$A:$L,12)</f>
        <v>38.299999999999997</v>
      </c>
      <c r="C419" s="41">
        <v>109.610001</v>
      </c>
      <c r="D419" s="46">
        <f>(Table7[[#This Row],[S&amp;P]]-C407)/C407</f>
        <v>-0.16462163590921838</v>
      </c>
      <c r="F419" s="3"/>
      <c r="K419" s="2"/>
    </row>
    <row r="420" spans="1:11" x14ac:dyDescent="0.35">
      <c r="A420" s="39">
        <v>30133</v>
      </c>
      <c r="B420" s="40">
        <f>VLOOKUP(Table7[[#This Row],[Date]],'DB Details'!$A:$L,12)</f>
        <v>38.4</v>
      </c>
      <c r="C420" s="41">
        <v>107.089996</v>
      </c>
      <c r="D420" s="46">
        <f>(Table7[[#This Row],[S&amp;P]]-C408)/C408</f>
        <v>-0.18201957198318927</v>
      </c>
      <c r="F420" s="3"/>
      <c r="K420" s="2"/>
    </row>
    <row r="421" spans="1:11" x14ac:dyDescent="0.35">
      <c r="A421" s="39">
        <v>30164</v>
      </c>
      <c r="B421" s="40">
        <f>VLOOKUP(Table7[[#This Row],[Date]],'DB Details'!$A:$L,12)</f>
        <v>38.299999999999997</v>
      </c>
      <c r="C421" s="41">
        <v>119.510002</v>
      </c>
      <c r="D421" s="46">
        <f>(Table7[[#This Row],[S&amp;P]]-C409)/C409</f>
        <v>-2.6712264624869607E-2</v>
      </c>
      <c r="F421" s="3"/>
      <c r="K421" s="2"/>
    </row>
    <row r="422" spans="1:11" x14ac:dyDescent="0.35">
      <c r="A422" s="39">
        <v>30195</v>
      </c>
      <c r="B422" s="40">
        <f>VLOOKUP(Table7[[#This Row],[Date]],'DB Details'!$A:$L,12)</f>
        <v>38.799999999999997</v>
      </c>
      <c r="C422" s="41">
        <v>120.41999800000001</v>
      </c>
      <c r="D422" s="46">
        <f>(Table7[[#This Row],[S&amp;P]]-C410)/C410</f>
        <v>3.6495076605267684E-2</v>
      </c>
      <c r="F422" s="3"/>
      <c r="K422" s="2"/>
    </row>
    <row r="423" spans="1:11" x14ac:dyDescent="0.35">
      <c r="A423" s="39">
        <v>30225</v>
      </c>
      <c r="B423" s="40">
        <f>VLOOKUP(Table7[[#This Row],[Date]],'DB Details'!$A:$L,12)</f>
        <v>39.4</v>
      </c>
      <c r="C423" s="41">
        <v>133.720001</v>
      </c>
      <c r="D423" s="46">
        <f>(Table7[[#This Row],[S&amp;P]]-C411)/C411</f>
        <v>9.7054738674663479E-2</v>
      </c>
      <c r="F423" s="3"/>
      <c r="K423" s="2"/>
    </row>
    <row r="424" spans="1:11" x14ac:dyDescent="0.35">
      <c r="A424" s="39">
        <v>30256</v>
      </c>
      <c r="B424" s="40">
        <f>VLOOKUP(Table7[[#This Row],[Date]],'DB Details'!$A:$L,12)</f>
        <v>39.200000000000003</v>
      </c>
      <c r="C424" s="41">
        <v>138.529999</v>
      </c>
      <c r="D424" s="46">
        <f>(Table7[[#This Row],[S&amp;P]]-C412)/C412</f>
        <v>9.6398901407184864E-2</v>
      </c>
      <c r="F424" s="3"/>
      <c r="K424" s="2"/>
    </row>
    <row r="425" spans="1:11" x14ac:dyDescent="0.35">
      <c r="A425" s="39">
        <v>30286</v>
      </c>
      <c r="B425" s="40">
        <f>VLOOKUP(Table7[[#This Row],[Date]],'DB Details'!$A:$L,12)</f>
        <v>42.8</v>
      </c>
      <c r="C425" s="41">
        <v>140.63999899999999</v>
      </c>
      <c r="D425" s="46">
        <f>(Table7[[#This Row],[S&amp;P]]-C413)/C413</f>
        <v>0.14761318284096642</v>
      </c>
      <c r="F425" s="3"/>
      <c r="K425" s="2"/>
    </row>
    <row r="426" spans="1:11" x14ac:dyDescent="0.35">
      <c r="A426" s="39">
        <v>30317</v>
      </c>
      <c r="B426" s="40">
        <f>VLOOKUP(Table7[[#This Row],[Date]],'DB Details'!$A:$L,12)</f>
        <v>46</v>
      </c>
      <c r="C426" s="41">
        <v>145.300003</v>
      </c>
      <c r="D426" s="46">
        <f>(Table7[[#This Row],[S&amp;P]]-C414)/C414</f>
        <v>0.20681063609949113</v>
      </c>
      <c r="F426" s="3"/>
      <c r="K426" s="2"/>
    </row>
    <row r="427" spans="1:11" x14ac:dyDescent="0.35">
      <c r="A427" s="39">
        <v>30348</v>
      </c>
      <c r="B427" s="40">
        <f>VLOOKUP(Table7[[#This Row],[Date]],'DB Details'!$A:$L,12)</f>
        <v>54.4</v>
      </c>
      <c r="C427" s="41">
        <v>148.05999800000001</v>
      </c>
      <c r="D427" s="46">
        <f>(Table7[[#This Row],[S&amp;P]]-C415)/C415</f>
        <v>0.30899121820359643</v>
      </c>
      <c r="F427" s="3"/>
      <c r="K427" s="2"/>
    </row>
    <row r="428" spans="1:11" x14ac:dyDescent="0.35">
      <c r="A428" s="39">
        <v>30376</v>
      </c>
      <c r="B428" s="40">
        <f>VLOOKUP(Table7[[#This Row],[Date]],'DB Details'!$A:$L,12)</f>
        <v>53.9</v>
      </c>
      <c r="C428" s="41">
        <v>152.96000699999999</v>
      </c>
      <c r="D428" s="46">
        <f>(Table7[[#This Row],[S&amp;P]]-C416)/C416</f>
        <v>0.3662022898017353</v>
      </c>
      <c r="F428" s="3"/>
      <c r="K428" s="2"/>
    </row>
    <row r="429" spans="1:11" x14ac:dyDescent="0.35">
      <c r="A429" s="39">
        <v>30407</v>
      </c>
      <c r="B429" s="40">
        <f>VLOOKUP(Table7[[#This Row],[Date]],'DB Details'!$A:$L,12)</f>
        <v>54.2</v>
      </c>
      <c r="C429" s="41">
        <v>164.429993</v>
      </c>
      <c r="D429" s="46">
        <f>(Table7[[#This Row],[S&amp;P]]-C417)/C417</f>
        <v>0.4121435088948211</v>
      </c>
      <c r="F429" s="3"/>
      <c r="K429" s="2"/>
    </row>
    <row r="430" spans="1:11" x14ac:dyDescent="0.35">
      <c r="A430" s="39">
        <v>30437</v>
      </c>
      <c r="B430" s="40">
        <f>VLOOKUP(Table7[[#This Row],[Date]],'DB Details'!$A:$L,12)</f>
        <v>56.1</v>
      </c>
      <c r="C430" s="41">
        <v>162.38999899999999</v>
      </c>
      <c r="D430" s="46">
        <f>(Table7[[#This Row],[S&amp;P]]-C418)/C418</f>
        <v>0.45146588625668255</v>
      </c>
      <c r="F430" s="3"/>
      <c r="K430" s="2"/>
    </row>
    <row r="431" spans="1:11" x14ac:dyDescent="0.35">
      <c r="A431" s="39">
        <v>30468</v>
      </c>
      <c r="B431" s="40">
        <f>VLOOKUP(Table7[[#This Row],[Date]],'DB Details'!$A:$L,12)</f>
        <v>57.5</v>
      </c>
      <c r="C431" s="41">
        <v>167.63999899999999</v>
      </c>
      <c r="D431" s="46">
        <f>(Table7[[#This Row],[S&amp;P]]-C419)/C419</f>
        <v>0.52942247487070082</v>
      </c>
      <c r="F431" s="3"/>
      <c r="K431" s="2"/>
    </row>
    <row r="432" spans="1:11" x14ac:dyDescent="0.35">
      <c r="A432" s="39">
        <v>30498</v>
      </c>
      <c r="B432" s="40">
        <f>VLOOKUP(Table7[[#This Row],[Date]],'DB Details'!$A:$L,12)</f>
        <v>63.6</v>
      </c>
      <c r="C432" s="41">
        <v>162.55999800000001</v>
      </c>
      <c r="D432" s="46">
        <f>(Table7[[#This Row],[S&amp;P]]-C420)/C420</f>
        <v>0.5179755726202474</v>
      </c>
      <c r="F432" s="3"/>
      <c r="K432" s="2"/>
    </row>
    <row r="433" spans="1:11" x14ac:dyDescent="0.35">
      <c r="A433" s="39">
        <v>30529</v>
      </c>
      <c r="B433" s="40">
        <f>VLOOKUP(Table7[[#This Row],[Date]],'DB Details'!$A:$L,12)</f>
        <v>63.1</v>
      </c>
      <c r="C433" s="41">
        <v>164.39999399999999</v>
      </c>
      <c r="D433" s="46">
        <f>(Table7[[#This Row],[S&amp;P]]-C421)/C421</f>
        <v>0.3756170299453262</v>
      </c>
      <c r="F433" s="3"/>
      <c r="K433" s="2"/>
    </row>
    <row r="434" spans="1:11" x14ac:dyDescent="0.35">
      <c r="A434" s="39">
        <v>30560</v>
      </c>
      <c r="B434" s="40">
        <f>VLOOKUP(Table7[[#This Row],[Date]],'DB Details'!$A:$L,12)</f>
        <v>62.5</v>
      </c>
      <c r="C434" s="41">
        <v>166.070007</v>
      </c>
      <c r="D434" s="46">
        <f>(Table7[[#This Row],[S&amp;P]]-C422)/C422</f>
        <v>0.37908993321856721</v>
      </c>
      <c r="F434" s="3"/>
      <c r="K434" s="2"/>
    </row>
    <row r="435" spans="1:11" x14ac:dyDescent="0.35">
      <c r="A435" s="39">
        <v>30590</v>
      </c>
      <c r="B435" s="40">
        <f>VLOOKUP(Table7[[#This Row],[Date]],'DB Details'!$A:$L,12)</f>
        <v>64.400000000000006</v>
      </c>
      <c r="C435" s="41">
        <v>163.550003</v>
      </c>
      <c r="D435" s="46">
        <f>(Table7[[#This Row],[S&amp;P]]-C423)/C423</f>
        <v>0.22307808687497699</v>
      </c>
      <c r="F435" s="3"/>
      <c r="K435" s="2"/>
    </row>
    <row r="436" spans="1:11" x14ac:dyDescent="0.35">
      <c r="A436" s="39">
        <v>30621</v>
      </c>
      <c r="B436" s="40">
        <f>VLOOKUP(Table7[[#This Row],[Date]],'DB Details'!$A:$L,12)</f>
        <v>66</v>
      </c>
      <c r="C436" s="41">
        <v>166.39999399999999</v>
      </c>
      <c r="D436" s="46">
        <f>(Table7[[#This Row],[S&amp;P]]-C424)/C424</f>
        <v>0.20118382445090457</v>
      </c>
      <c r="F436" s="3"/>
      <c r="K436" s="2"/>
    </row>
    <row r="437" spans="1:11" x14ac:dyDescent="0.35">
      <c r="A437" s="39">
        <v>30651</v>
      </c>
      <c r="B437" s="40">
        <f>VLOOKUP(Table7[[#This Row],[Date]],'DB Details'!$A:$L,12)</f>
        <v>69.900000000000006</v>
      </c>
      <c r="C437" s="41">
        <v>164.929993</v>
      </c>
      <c r="D437" s="46">
        <f>(Table7[[#This Row],[S&amp;P]]-C425)/C425</f>
        <v>0.17271042500505143</v>
      </c>
      <c r="F437" s="3"/>
      <c r="K437" s="2"/>
    </row>
    <row r="438" spans="1:11" x14ac:dyDescent="0.35">
      <c r="A438" s="39">
        <v>30682</v>
      </c>
      <c r="B438" s="40">
        <f>VLOOKUP(Table7[[#This Row],[Date]],'DB Details'!$A:$L,12)</f>
        <v>60.5</v>
      </c>
      <c r="C438" s="41">
        <v>163.41000399999999</v>
      </c>
      <c r="D438" s="46">
        <f>(Table7[[#This Row],[S&amp;P]]-C426)/C426</f>
        <v>0.12463868290491352</v>
      </c>
      <c r="F438" s="3"/>
      <c r="K438" s="2"/>
    </row>
    <row r="439" spans="1:11" x14ac:dyDescent="0.35">
      <c r="A439" s="39">
        <v>30713</v>
      </c>
      <c r="B439" s="40">
        <f>VLOOKUP(Table7[[#This Row],[Date]],'DB Details'!$A:$L,12)</f>
        <v>61.3</v>
      </c>
      <c r="C439" s="41">
        <v>157.05999800000001</v>
      </c>
      <c r="D439" s="46">
        <f>(Table7[[#This Row],[S&amp;P]]-C427)/C427</f>
        <v>6.0786168590924873E-2</v>
      </c>
      <c r="F439" s="3"/>
      <c r="K439" s="2"/>
    </row>
    <row r="440" spans="1:11" x14ac:dyDescent="0.35">
      <c r="A440" s="39">
        <v>30742</v>
      </c>
      <c r="B440" s="40">
        <f>VLOOKUP(Table7[[#This Row],[Date]],'DB Details'!$A:$L,12)</f>
        <v>58.9</v>
      </c>
      <c r="C440" s="41">
        <v>159.179993</v>
      </c>
      <c r="D440" s="46">
        <f>(Table7[[#This Row],[S&amp;P]]-C428)/C428</f>
        <v>4.0664132553288955E-2</v>
      </c>
      <c r="F440" s="3"/>
      <c r="K440" s="2"/>
    </row>
    <row r="441" spans="1:11" x14ac:dyDescent="0.35">
      <c r="A441" s="39">
        <v>30773</v>
      </c>
      <c r="B441" s="40">
        <f>VLOOKUP(Table7[[#This Row],[Date]],'DB Details'!$A:$L,12)</f>
        <v>61</v>
      </c>
      <c r="C441" s="41">
        <v>160.050003</v>
      </c>
      <c r="D441" s="46">
        <f>(Table7[[#This Row],[S&amp;P]]-C429)/C429</f>
        <v>-2.6637415231173744E-2</v>
      </c>
      <c r="F441" s="3"/>
      <c r="K441" s="2"/>
    </row>
    <row r="442" spans="1:11" x14ac:dyDescent="0.35">
      <c r="A442" s="39">
        <v>30803</v>
      </c>
      <c r="B442" s="40">
        <f>VLOOKUP(Table7[[#This Row],[Date]],'DB Details'!$A:$L,12)</f>
        <v>58.6</v>
      </c>
      <c r="C442" s="41">
        <v>150.550003</v>
      </c>
      <c r="D442" s="46">
        <f>(Table7[[#This Row],[S&amp;P]]-C430)/C430</f>
        <v>-7.2910869344854093E-2</v>
      </c>
      <c r="F442" s="3"/>
      <c r="K442" s="2"/>
    </row>
    <row r="443" spans="1:11" x14ac:dyDescent="0.35">
      <c r="A443" s="39">
        <v>30834</v>
      </c>
      <c r="B443" s="40">
        <f>VLOOKUP(Table7[[#This Row],[Date]],'DB Details'!$A:$L,12)</f>
        <v>58.1</v>
      </c>
      <c r="C443" s="41">
        <v>153.179993</v>
      </c>
      <c r="D443" s="46">
        <f>(Table7[[#This Row],[S&amp;P]]-C431)/C431</f>
        <v>-8.6256299727131308E-2</v>
      </c>
      <c r="F443" s="3"/>
      <c r="K443" s="2"/>
    </row>
    <row r="444" spans="1:11" x14ac:dyDescent="0.35">
      <c r="A444" s="39">
        <v>30864</v>
      </c>
      <c r="B444" s="40">
        <f>VLOOKUP(Table7[[#This Row],[Date]],'DB Details'!$A:$L,12)</f>
        <v>56.1</v>
      </c>
      <c r="C444" s="41">
        <v>150.66000399999999</v>
      </c>
      <c r="D444" s="46">
        <f>(Table7[[#This Row],[S&amp;P]]-C432)/C432</f>
        <v>-7.3203704148667739E-2</v>
      </c>
      <c r="F444" s="3"/>
      <c r="K444" s="2"/>
    </row>
    <row r="445" spans="1:11" x14ac:dyDescent="0.35">
      <c r="A445" s="39">
        <v>30895</v>
      </c>
      <c r="B445" s="40">
        <f>VLOOKUP(Table7[[#This Row],[Date]],'DB Details'!$A:$L,12)</f>
        <v>53</v>
      </c>
      <c r="C445" s="41">
        <v>166.679993</v>
      </c>
      <c r="D445" s="46">
        <f>(Table7[[#This Row],[S&amp;P]]-C433)/C433</f>
        <v>1.3868607562114655E-2</v>
      </c>
      <c r="F445" s="3"/>
      <c r="K445" s="2"/>
    </row>
    <row r="446" spans="1:11" x14ac:dyDescent="0.35">
      <c r="A446" s="39">
        <v>30926</v>
      </c>
      <c r="B446" s="40">
        <f>VLOOKUP(Table7[[#This Row],[Date]],'DB Details'!$A:$L,12)</f>
        <v>50</v>
      </c>
      <c r="C446" s="41">
        <v>166.10000600000001</v>
      </c>
      <c r="D446" s="46">
        <f>(Table7[[#This Row],[S&amp;P]]-C434)/C434</f>
        <v>1.8064068606924103E-4</v>
      </c>
      <c r="F446" s="3"/>
      <c r="K446" s="2"/>
    </row>
    <row r="447" spans="1:11" x14ac:dyDescent="0.35">
      <c r="A447" s="39">
        <v>30956</v>
      </c>
      <c r="B447" s="40">
        <f>VLOOKUP(Table7[[#This Row],[Date]],'DB Details'!$A:$L,12)</f>
        <v>50.8</v>
      </c>
      <c r="C447" s="41">
        <v>166.08999600000001</v>
      </c>
      <c r="D447" s="46">
        <f>(Table7[[#This Row],[S&amp;P]]-C435)/C435</f>
        <v>1.5530375746920712E-2</v>
      </c>
      <c r="F447" s="3"/>
      <c r="K447" s="2"/>
    </row>
    <row r="448" spans="1:11" x14ac:dyDescent="0.35">
      <c r="A448" s="39">
        <v>30987</v>
      </c>
      <c r="B448" s="40">
        <f>VLOOKUP(Table7[[#This Row],[Date]],'DB Details'!$A:$L,12)</f>
        <v>50.3</v>
      </c>
      <c r="C448" s="41">
        <v>163.58000200000001</v>
      </c>
      <c r="D448" s="46">
        <f>(Table7[[#This Row],[S&amp;P]]-C436)/C436</f>
        <v>-1.694706791876438E-2</v>
      </c>
      <c r="F448" s="3"/>
      <c r="K448" s="2"/>
    </row>
    <row r="449" spans="1:11" x14ac:dyDescent="0.35">
      <c r="A449" s="39">
        <v>31017</v>
      </c>
      <c r="B449" s="40">
        <f>VLOOKUP(Table7[[#This Row],[Date]],'DB Details'!$A:$L,12)</f>
        <v>50.6</v>
      </c>
      <c r="C449" s="41">
        <v>167.240005</v>
      </c>
      <c r="D449" s="46">
        <f>(Table7[[#This Row],[S&amp;P]]-C437)/C437</f>
        <v>1.400601526733831E-2</v>
      </c>
      <c r="F449" s="3"/>
      <c r="K449" s="2"/>
    </row>
    <row r="450" spans="1:11" x14ac:dyDescent="0.35">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35">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35">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35">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35">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35">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35">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35">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35">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35">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35">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35">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35">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35">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35">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35">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35">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35">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35">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35">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35">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35">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35">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35">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35">
      <c r="A474" s="39">
        <v>31778</v>
      </c>
      <c r="B474" s="40">
        <f>VLOOKUP(Table7[[#This Row],[Date]],'DB Details'!$A:$L,12)</f>
        <v>54.9</v>
      </c>
      <c r="C474" s="41">
        <f>VLOOKUP(Table7[[#This Row],[Date]],'DB Details'!$A:$Q,13)</f>
        <v>274.07998657226563</v>
      </c>
      <c r="D474" s="46">
        <f>(Table7[[#This Row],[S&amp;P]]-C462)/C462</f>
        <v>0.2941731426577901</v>
      </c>
      <c r="F474" s="3"/>
      <c r="K474" s="2"/>
    </row>
    <row r="475" spans="1:11" x14ac:dyDescent="0.35">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35">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35">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35">
      <c r="A478" s="39">
        <v>31898</v>
      </c>
      <c r="B478" s="40">
        <f>VLOOKUP(Table7[[#This Row],[Date]],'DB Details'!$A:$L,12)</f>
        <v>57.2</v>
      </c>
      <c r="C478" s="41">
        <f>VLOOKUP(Table7[[#This Row],[Date]],'DB Details'!$A:$Q,13)</f>
        <v>290.10000610351563</v>
      </c>
      <c r="D478" s="46">
        <f>(Table7[[#This Row],[S&amp;P]]-C466)/C466</f>
        <v>0.17283201514096272</v>
      </c>
      <c r="F478" s="3"/>
      <c r="K478" s="2"/>
    </row>
    <row r="479" spans="1:11" x14ac:dyDescent="0.35">
      <c r="A479" s="39">
        <v>31929</v>
      </c>
      <c r="B479" s="40">
        <f>VLOOKUP(Table7[[#This Row],[Date]],'DB Details'!$A:$L,12)</f>
        <v>57.4</v>
      </c>
      <c r="C479" s="41">
        <f>VLOOKUP(Table7[[#This Row],[Date]],'DB Details'!$A:$Q,13)</f>
        <v>304</v>
      </c>
      <c r="D479" s="46">
        <f>(Table7[[#This Row],[S&amp;P]]-C467)/C467</f>
        <v>0.21192793987487124</v>
      </c>
      <c r="F479" s="3"/>
      <c r="K479" s="2"/>
    </row>
    <row r="480" spans="1:11" x14ac:dyDescent="0.35">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35">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35">
      <c r="A482" s="39">
        <v>32021</v>
      </c>
      <c r="B482" s="40">
        <f>VLOOKUP(Table7[[#This Row],[Date]],'DB Details'!$A:$L,12)</f>
        <v>60</v>
      </c>
      <c r="C482" s="41">
        <f>VLOOKUP(Table7[[#This Row],[Date]],'DB Details'!$A:$Q,13)</f>
        <v>321.82998657226563</v>
      </c>
      <c r="D482" s="46">
        <f>(Table7[[#This Row],[S&amp;P]]-C470)/C470</f>
        <v>0.39127605214531991</v>
      </c>
      <c r="F482" s="3"/>
      <c r="K482" s="2"/>
    </row>
    <row r="483" spans="1:11" x14ac:dyDescent="0.35">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35">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35">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35">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35">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35">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35">
      <c r="A489" s="39">
        <v>32234</v>
      </c>
      <c r="B489" s="40">
        <f>VLOOKUP(Table7[[#This Row],[Date]],'DB Details'!$A:$L,12)</f>
        <v>55.8</v>
      </c>
      <c r="C489" s="41">
        <f>VLOOKUP(Table7[[#This Row],[Date]],'DB Details'!$A:$Q,13)</f>
        <v>261.32998657226563</v>
      </c>
      <c r="D489" s="46">
        <f>(Table7[[#This Row],[S&amp;P]]-C477)/C477</f>
        <v>-9.3736995950885707E-2</v>
      </c>
      <c r="F489" s="3"/>
      <c r="K489" s="2"/>
    </row>
    <row r="490" spans="1:11" x14ac:dyDescent="0.35">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35">
      <c r="A491" s="39">
        <v>32295</v>
      </c>
      <c r="B491" s="40">
        <f>VLOOKUP(Table7[[#This Row],[Date]],'DB Details'!$A:$L,12)</f>
        <v>59.3</v>
      </c>
      <c r="C491" s="41">
        <f>VLOOKUP(Table7[[#This Row],[Date]],'DB Details'!$A:$Q,13)</f>
        <v>273.5</v>
      </c>
      <c r="D491" s="46">
        <f>(Table7[[#This Row],[S&amp;P]]-C479)/C479</f>
        <v>-0.10032894736842106</v>
      </c>
      <c r="F491" s="3"/>
      <c r="K491" s="2"/>
    </row>
    <row r="492" spans="1:11" x14ac:dyDescent="0.35">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35">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35">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35">
      <c r="A495" s="39">
        <v>32417</v>
      </c>
      <c r="B495" s="40">
        <f>VLOOKUP(Table7[[#This Row],[Date]],'DB Details'!$A:$L,12)</f>
        <v>55.4</v>
      </c>
      <c r="C495" s="41">
        <f>VLOOKUP(Table7[[#This Row],[Date]],'DB Details'!$A:$Q,13)</f>
        <v>278.97000122070313</v>
      </c>
      <c r="D495" s="46">
        <f>(Table7[[#This Row],[S&amp;P]]-C483)/C483</f>
        <v>0.10794713316379931</v>
      </c>
      <c r="F495" s="3"/>
      <c r="K495" s="2"/>
    </row>
    <row r="496" spans="1:11" x14ac:dyDescent="0.35">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35">
      <c r="A497" s="39">
        <v>32478</v>
      </c>
      <c r="B497" s="40">
        <f>VLOOKUP(Table7[[#This Row],[Date]],'DB Details'!$A:$L,12)</f>
        <v>56</v>
      </c>
      <c r="C497" s="41">
        <f>VLOOKUP(Table7[[#This Row],[Date]],'DB Details'!$A:$Q,13)</f>
        <v>277.72000122070313</v>
      </c>
      <c r="D497" s="46">
        <f>(Table7[[#This Row],[S&amp;P]]-C485)/C485</f>
        <v>0.12400841493679071</v>
      </c>
      <c r="F497" s="3"/>
      <c r="K497" s="2"/>
    </row>
    <row r="498" spans="1:11" x14ac:dyDescent="0.35">
      <c r="A498" s="39">
        <v>32509</v>
      </c>
      <c r="B498" s="40">
        <f>VLOOKUP(Table7[[#This Row],[Date]],'DB Details'!$A:$L,12)</f>
        <v>54.7</v>
      </c>
      <c r="C498" s="41">
        <f>VLOOKUP(Table7[[#This Row],[Date]],'DB Details'!$A:$Q,13)</f>
        <v>297.47000122070313</v>
      </c>
      <c r="D498" s="46">
        <f>(Table7[[#This Row],[S&amp;P]]-C486)/C486</f>
        <v>0.15715561032186659</v>
      </c>
      <c r="F498" s="3"/>
      <c r="K498" s="2"/>
    </row>
    <row r="499" spans="1:11" x14ac:dyDescent="0.35">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35">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35">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35">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35">
      <c r="A503" s="39">
        <v>32660</v>
      </c>
      <c r="B503" s="40">
        <f>VLOOKUP(Table7[[#This Row],[Date]],'DB Details'!$A:$L,12)</f>
        <v>47.3</v>
      </c>
      <c r="C503" s="41">
        <f>VLOOKUP(Table7[[#This Row],[Date]],'DB Details'!$A:$Q,13)</f>
        <v>317.98001098632813</v>
      </c>
      <c r="D503" s="46">
        <f>(Table7[[#This Row],[S&amp;P]]-C491)/C491</f>
        <v>0.16263258130284505</v>
      </c>
      <c r="F503" s="3"/>
      <c r="K503" s="2"/>
    </row>
    <row r="504" spans="1:11" x14ac:dyDescent="0.35">
      <c r="A504" s="39">
        <v>32690</v>
      </c>
      <c r="B504" s="40">
        <f>VLOOKUP(Table7[[#This Row],[Date]],'DB Details'!$A:$L,12)</f>
        <v>45.9</v>
      </c>
      <c r="C504" s="41">
        <f>VLOOKUP(Table7[[#This Row],[Date]],'DB Details'!$A:$Q,13)</f>
        <v>346.07998657226563</v>
      </c>
      <c r="D504" s="46">
        <f>(Table7[[#This Row],[S&amp;P]]-C492)/C492</f>
        <v>0.27225939471261229</v>
      </c>
      <c r="F504" s="3"/>
      <c r="K504" s="2"/>
    </row>
    <row r="505" spans="1:11" x14ac:dyDescent="0.35">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35">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35">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35">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35">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35">
      <c r="A510" s="39">
        <v>32874</v>
      </c>
      <c r="B510" s="40">
        <f>VLOOKUP(Table7[[#This Row],[Date]],'DB Details'!$A:$L,12)</f>
        <v>47.2</v>
      </c>
      <c r="C510" s="41">
        <f>VLOOKUP(Table7[[#This Row],[Date]],'DB Details'!$A:$Q,13)</f>
        <v>329.07998657226563</v>
      </c>
      <c r="D510" s="46">
        <f>(Table7[[#This Row],[S&amp;P]]-C498)/C498</f>
        <v>0.1062627667389895</v>
      </c>
      <c r="F510" s="3"/>
      <c r="K510" s="2"/>
    </row>
    <row r="511" spans="1:11" x14ac:dyDescent="0.35">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35">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35">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35">
      <c r="A514" s="39">
        <v>32994</v>
      </c>
      <c r="B514" s="40">
        <f>VLOOKUP(Table7[[#This Row],[Date]],'DB Details'!$A:$L,12)</f>
        <v>49.5</v>
      </c>
      <c r="C514" s="41">
        <f>VLOOKUP(Table7[[#This Row],[Date]],'DB Details'!$A:$Q,13)</f>
        <v>361.23001098632813</v>
      </c>
      <c r="D514" s="46">
        <f>(Table7[[#This Row],[S&amp;P]]-C502)/C502</f>
        <v>0.12701242782995276</v>
      </c>
      <c r="F514" s="3"/>
      <c r="K514" s="2"/>
    </row>
    <row r="515" spans="1:11" x14ac:dyDescent="0.35">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35">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35">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35">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35">
      <c r="A519" s="39">
        <v>33147</v>
      </c>
      <c r="B519" s="40">
        <f>VLOOKUP(Table7[[#This Row],[Date]],'DB Details'!$A:$L,12)</f>
        <v>43.2</v>
      </c>
      <c r="C519" s="41">
        <f>VLOOKUP(Table7[[#This Row],[Date]],'DB Details'!$A:$Q,13)</f>
        <v>304</v>
      </c>
      <c r="D519" s="46">
        <f>(Table7[[#This Row],[S&amp;P]]-C507)/C507</f>
        <v>-0.10682802596199953</v>
      </c>
      <c r="F519" s="3"/>
      <c r="K519" s="2"/>
    </row>
    <row r="520" spans="1:11" x14ac:dyDescent="0.35">
      <c r="A520" s="39">
        <v>33178</v>
      </c>
      <c r="B520" s="40">
        <f>VLOOKUP(Table7[[#This Row],[Date]],'DB Details'!$A:$L,12)</f>
        <v>41.3</v>
      </c>
      <c r="C520" s="41">
        <f>VLOOKUP(Table7[[#This Row],[Date]],'DB Details'!$A:$Q,13)</f>
        <v>322.22000122070313</v>
      </c>
      <c r="D520" s="46">
        <f>(Table7[[#This Row],[S&amp;P]]-C508)/C508</f>
        <v>-6.8701377740928257E-2</v>
      </c>
      <c r="F520" s="3"/>
      <c r="K520" s="2"/>
    </row>
    <row r="521" spans="1:11" x14ac:dyDescent="0.35">
      <c r="A521" s="39">
        <v>33208</v>
      </c>
      <c r="B521" s="40">
        <f>VLOOKUP(Table7[[#This Row],[Date]],'DB Details'!$A:$L,12)</f>
        <v>40.799999999999997</v>
      </c>
      <c r="C521" s="41">
        <f>VLOOKUP(Table7[[#This Row],[Date]],'DB Details'!$A:$Q,13)</f>
        <v>330.22000122070313</v>
      </c>
      <c r="D521" s="46">
        <f>(Table7[[#This Row],[S&amp;P]]-C509)/C509</f>
        <v>-6.55913782572701E-2</v>
      </c>
      <c r="F521" s="3"/>
      <c r="K521" s="2"/>
    </row>
    <row r="522" spans="1:11" x14ac:dyDescent="0.35">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35">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35">
      <c r="A524" s="39">
        <v>33298</v>
      </c>
      <c r="B524" s="40">
        <f>VLOOKUP(Table7[[#This Row],[Date]],'DB Details'!$A:$L,12)</f>
        <v>40.700000000000003</v>
      </c>
      <c r="C524" s="41">
        <f>VLOOKUP(Table7[[#This Row],[Date]],'DB Details'!$A:$Q,13)</f>
        <v>375.22000122070313</v>
      </c>
      <c r="D524" s="46">
        <f>(Table7[[#This Row],[S&amp;P]]-C512)/C512</f>
        <v>0.10378301619674188</v>
      </c>
      <c r="F524" s="3"/>
      <c r="K524" s="2"/>
    </row>
    <row r="525" spans="1:11" x14ac:dyDescent="0.35">
      <c r="A525" s="39">
        <v>33329</v>
      </c>
      <c r="B525" s="40">
        <f>VLOOKUP(Table7[[#This Row],[Date]],'DB Details'!$A:$L,12)</f>
        <v>42.8</v>
      </c>
      <c r="C525" s="41">
        <f>VLOOKUP(Table7[[#This Row],[Date]],'DB Details'!$A:$Q,13)</f>
        <v>375.33999633789063</v>
      </c>
      <c r="D525" s="46">
        <f>(Table7[[#This Row],[S&amp;P]]-C513)/C513</f>
        <v>0.13464331979600067</v>
      </c>
      <c r="F525" s="3"/>
      <c r="K525" s="2"/>
    </row>
    <row r="526" spans="1:11" x14ac:dyDescent="0.35">
      <c r="A526" s="39">
        <v>33359</v>
      </c>
      <c r="B526" s="40">
        <f>VLOOKUP(Table7[[#This Row],[Date]],'DB Details'!$A:$L,12)</f>
        <v>44.5</v>
      </c>
      <c r="C526" s="41">
        <f>VLOOKUP(Table7[[#This Row],[Date]],'DB Details'!$A:$Q,13)</f>
        <v>389.82998657226563</v>
      </c>
      <c r="D526" s="46">
        <f>(Table7[[#This Row],[S&amp;P]]-C514)/C514</f>
        <v>7.9173863511080078E-2</v>
      </c>
      <c r="F526" s="3"/>
      <c r="K526" s="2"/>
    </row>
    <row r="527" spans="1:11" x14ac:dyDescent="0.35">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35">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35">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35">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35">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35">
      <c r="A532" s="39">
        <v>33543</v>
      </c>
      <c r="B532" s="40">
        <f>VLOOKUP(Table7[[#This Row],[Date]],'DB Details'!$A:$L,12)</f>
        <v>49.5</v>
      </c>
      <c r="C532" s="41">
        <f>VLOOKUP(Table7[[#This Row],[Date]],'DB Details'!$A:$Q,13)</f>
        <v>375.22000122070313</v>
      </c>
      <c r="D532" s="46">
        <f>(Table7[[#This Row],[S&amp;P]]-C520)/C520</f>
        <v>0.16448389236923219</v>
      </c>
      <c r="F532" s="3"/>
      <c r="K532" s="2"/>
    </row>
    <row r="533" spans="1:11" x14ac:dyDescent="0.35">
      <c r="A533" s="39">
        <v>33573</v>
      </c>
      <c r="B533" s="40">
        <f>VLOOKUP(Table7[[#This Row],[Date]],'DB Details'!$A:$L,12)</f>
        <v>46.8</v>
      </c>
      <c r="C533" s="41">
        <f>VLOOKUP(Table7[[#This Row],[Date]],'DB Details'!$A:$Q,13)</f>
        <v>417.08999633789063</v>
      </c>
      <c r="D533" s="46">
        <f>(Table7[[#This Row],[S&amp;P]]-C521)/C521</f>
        <v>0.26306703045260965</v>
      </c>
      <c r="F533" s="3"/>
      <c r="K533" s="2"/>
    </row>
    <row r="534" spans="1:11" x14ac:dyDescent="0.35">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35">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35">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35">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35">
      <c r="A538" s="39">
        <v>33725</v>
      </c>
      <c r="B538" s="40">
        <f>VLOOKUP(Table7[[#This Row],[Date]],'DB Details'!$A:$L,12)</f>
        <v>55.7</v>
      </c>
      <c r="C538" s="41">
        <f>VLOOKUP(Table7[[#This Row],[Date]],'DB Details'!$A:$Q,13)</f>
        <v>415.35000610351563</v>
      </c>
      <c r="D538" s="46">
        <f>(Table7[[#This Row],[S&amp;P]]-C526)/C526</f>
        <v>6.546448557137656E-2</v>
      </c>
      <c r="F538" s="3"/>
      <c r="K538" s="2"/>
    </row>
    <row r="539" spans="1:11" x14ac:dyDescent="0.35">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35">
      <c r="A540" s="39">
        <v>33786</v>
      </c>
      <c r="B540" s="40">
        <f>VLOOKUP(Table7[[#This Row],[Date]],'DB Details'!$A:$L,12)</f>
        <v>53.9</v>
      </c>
      <c r="C540" s="41">
        <f>VLOOKUP(Table7[[#This Row],[Date]],'DB Details'!$A:$Q,13)</f>
        <v>424.20999145507813</v>
      </c>
      <c r="D540" s="46">
        <f>(Table7[[#This Row],[S&amp;P]]-C528)/C528</f>
        <v>9.3860380406992169E-2</v>
      </c>
      <c r="F540" s="3"/>
      <c r="K540" s="2"/>
    </row>
    <row r="541" spans="1:11" x14ac:dyDescent="0.35">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35">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35">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35">
      <c r="A544" s="39">
        <v>33909</v>
      </c>
      <c r="B544" s="40">
        <f>VLOOKUP(Table7[[#This Row],[Date]],'DB Details'!$A:$L,12)</f>
        <v>53.6</v>
      </c>
      <c r="C544" s="41">
        <f>VLOOKUP(Table7[[#This Row],[Date]],'DB Details'!$A:$Q,13)</f>
        <v>431.35000610351563</v>
      </c>
      <c r="D544" s="46">
        <f>(Table7[[#This Row],[S&amp;P]]-C532)/C532</f>
        <v>0.14959225174618829</v>
      </c>
      <c r="F544" s="3"/>
      <c r="K544" s="2"/>
    </row>
    <row r="545" spans="1:11" x14ac:dyDescent="0.35">
      <c r="A545" s="39">
        <v>33939</v>
      </c>
      <c r="B545" s="40">
        <f>VLOOKUP(Table7[[#This Row],[Date]],'DB Details'!$A:$L,12)</f>
        <v>54.2</v>
      </c>
      <c r="C545" s="41">
        <f>VLOOKUP(Table7[[#This Row],[Date]],'DB Details'!$A:$Q,13)</f>
        <v>435.70999145507813</v>
      </c>
      <c r="D545" s="46">
        <f>(Table7[[#This Row],[S&amp;P]]-C533)/C533</f>
        <v>4.4642631759748974E-2</v>
      </c>
      <c r="F545" s="3"/>
      <c r="K545" s="2"/>
    </row>
    <row r="546" spans="1:11" x14ac:dyDescent="0.35">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35">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35">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35">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35">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35">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35">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35">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35">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35">
      <c r="A555" s="39">
        <v>34243</v>
      </c>
      <c r="B555" s="40">
        <f>VLOOKUP(Table7[[#This Row],[Date]],'DB Details'!$A:$L,12)</f>
        <v>53.4</v>
      </c>
      <c r="C555" s="41">
        <f>VLOOKUP(Table7[[#This Row],[Date]],'DB Details'!$A:$Q,13)</f>
        <v>467.82998657226563</v>
      </c>
      <c r="D555" s="46">
        <f>(Table7[[#This Row],[S&amp;P]]-C543)/C543</f>
        <v>0.11739274566803905</v>
      </c>
      <c r="F555" s="3"/>
      <c r="K555" s="2"/>
    </row>
    <row r="556" spans="1:11" x14ac:dyDescent="0.35">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35">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35">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35">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35">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35">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35">
      <c r="A562" s="39">
        <v>34455</v>
      </c>
      <c r="B562" s="40">
        <f>VLOOKUP(Table7[[#This Row],[Date]],'DB Details'!$A:$L,12)</f>
        <v>58.2</v>
      </c>
      <c r="C562" s="41">
        <f>VLOOKUP(Table7[[#This Row],[Date]],'DB Details'!$A:$Q,13)</f>
        <v>456.5</v>
      </c>
      <c r="D562" s="46">
        <f>(Table7[[#This Row],[S&amp;P]]-C550)/C550</f>
        <v>1.4016298728035559E-2</v>
      </c>
      <c r="F562" s="3"/>
      <c r="K562" s="2"/>
    </row>
    <row r="563" spans="1:11" x14ac:dyDescent="0.35">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35">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35">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35">
      <c r="A566" s="39">
        <v>34578</v>
      </c>
      <c r="B566" s="40">
        <f>VLOOKUP(Table7[[#This Row],[Date]],'DB Details'!$A:$L,12)</f>
        <v>59</v>
      </c>
      <c r="C566" s="41">
        <f>VLOOKUP(Table7[[#This Row],[Date]],'DB Details'!$A:$Q,13)</f>
        <v>462.70999145507813</v>
      </c>
      <c r="D566" s="46">
        <f>(Table7[[#This Row],[S&amp;P]]-C554)/C554</f>
        <v>8.2365477079798868E-3</v>
      </c>
      <c r="F566" s="3"/>
      <c r="K566" s="2"/>
    </row>
    <row r="567" spans="1:11" x14ac:dyDescent="0.35">
      <c r="A567" s="39">
        <v>34608</v>
      </c>
      <c r="B567" s="40">
        <f>VLOOKUP(Table7[[#This Row],[Date]],'DB Details'!$A:$L,12)</f>
        <v>59.4</v>
      </c>
      <c r="C567" s="41">
        <f>VLOOKUP(Table7[[#This Row],[Date]],'DB Details'!$A:$Q,13)</f>
        <v>472.35000610351563</v>
      </c>
      <c r="D567" s="46">
        <f>(Table7[[#This Row],[S&amp;P]]-C555)/C555</f>
        <v>9.6616712502070306E-3</v>
      </c>
      <c r="F567" s="3"/>
      <c r="K567" s="2"/>
    </row>
    <row r="568" spans="1:11" x14ac:dyDescent="0.35">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35">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35">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35">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35">
      <c r="A572" s="39">
        <v>34759</v>
      </c>
      <c r="B572" s="40">
        <f>VLOOKUP(Table7[[#This Row],[Date]],'DB Details'!$A:$L,12)</f>
        <v>52.1</v>
      </c>
      <c r="C572" s="41">
        <f>VLOOKUP(Table7[[#This Row],[Date]],'DB Details'!$A:$Q,13)</f>
        <v>500.70999145507813</v>
      </c>
      <c r="D572" s="46">
        <f>(Table7[[#This Row],[S&amp;P]]-C560)/C560</f>
        <v>0.1232474231003497</v>
      </c>
      <c r="F572" s="3"/>
      <c r="K572" s="2"/>
    </row>
    <row r="573" spans="1:11" x14ac:dyDescent="0.35">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35">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35">
      <c r="A575" s="39">
        <v>34851</v>
      </c>
      <c r="B575" s="40">
        <f>VLOOKUP(Table7[[#This Row],[Date]],'DB Details'!$A:$L,12)</f>
        <v>45.9</v>
      </c>
      <c r="C575" s="41">
        <f>VLOOKUP(Table7[[#This Row],[Date]],'DB Details'!$A:$Q,13)</f>
        <v>544.75</v>
      </c>
      <c r="D575" s="46">
        <f>(Table7[[#This Row],[S&amp;P]]-C563)/C563</f>
        <v>0.22616880156457286</v>
      </c>
      <c r="F575" s="3"/>
      <c r="K575" s="2"/>
    </row>
    <row r="576" spans="1:11" x14ac:dyDescent="0.35">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35">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35">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35">
      <c r="A579" s="39">
        <v>34973</v>
      </c>
      <c r="B579" s="40">
        <f>VLOOKUP(Table7[[#This Row],[Date]],'DB Details'!$A:$L,12)</f>
        <v>46.7</v>
      </c>
      <c r="C579" s="41">
        <f>VLOOKUP(Table7[[#This Row],[Date]],'DB Details'!$A:$Q,13)</f>
        <v>581.5</v>
      </c>
      <c r="D579" s="46">
        <f>(Table7[[#This Row],[S&amp;P]]-C567)/C567</f>
        <v>0.2310786333991581</v>
      </c>
      <c r="F579" s="3"/>
      <c r="K579" s="2"/>
    </row>
    <row r="580" spans="1:11" x14ac:dyDescent="0.35">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35">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35">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35">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35">
      <c r="A584" s="39">
        <v>35125</v>
      </c>
      <c r="B584" s="40">
        <f>VLOOKUP(Table7[[#This Row],[Date]],'DB Details'!$A:$L,12)</f>
        <v>46.9</v>
      </c>
      <c r="C584" s="41">
        <f>VLOOKUP(Table7[[#This Row],[Date]],'DB Details'!$A:$Q,13)</f>
        <v>645.5</v>
      </c>
      <c r="D584" s="46">
        <f>(Table7[[#This Row],[S&amp;P]]-C572)/C572</f>
        <v>0.28916940148159975</v>
      </c>
      <c r="F584" s="3"/>
      <c r="K584" s="2"/>
    </row>
    <row r="585" spans="1:11" x14ac:dyDescent="0.35">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35">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35">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35">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35">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35">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35">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35">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35">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35">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35">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35">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35">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35">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35">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35">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35">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35">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35">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35">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35">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35">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35">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35">
      <c r="A608" s="39">
        <v>35855</v>
      </c>
      <c r="B608" s="40">
        <f>VLOOKUP(Table7[[#This Row],[Date]],'DB Details'!$A:$L,12)</f>
        <v>52.9</v>
      </c>
      <c r="C608" s="41">
        <f>VLOOKUP(Table7[[#This Row],[Date]],'DB Details'!$A:$Q,13)</f>
        <v>1101.75</v>
      </c>
      <c r="D608" s="46">
        <f>(Table7[[#This Row],[S&amp;P]]-C596)/C596</f>
        <v>0.4551854489452104</v>
      </c>
      <c r="F608" s="3"/>
      <c r="K608" s="2"/>
    </row>
    <row r="609" spans="1:11" x14ac:dyDescent="0.35">
      <c r="A609" s="39">
        <v>35886</v>
      </c>
      <c r="B609" s="40">
        <f>VLOOKUP(Table7[[#This Row],[Date]],'DB Details'!$A:$L,12)</f>
        <v>52.2</v>
      </c>
      <c r="C609" s="41">
        <f>VLOOKUP(Table7[[#This Row],[Date]],'DB Details'!$A:$Q,13)</f>
        <v>1111.75</v>
      </c>
      <c r="D609" s="46">
        <f>(Table7[[#This Row],[S&amp;P]]-C597)/C597</f>
        <v>0.38736361936468872</v>
      </c>
      <c r="F609" s="3"/>
      <c r="K609" s="2"/>
    </row>
    <row r="610" spans="1:11" x14ac:dyDescent="0.35">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35">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35">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35">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35">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35">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35">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35">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35">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35">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35">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35">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35">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35">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35">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35">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35">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35">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35">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35">
      <c r="A629" s="39">
        <v>36495</v>
      </c>
      <c r="B629" s="40">
        <f>VLOOKUP(Table7[[#This Row],[Date]],'DB Details'!$A:$L,12)</f>
        <v>57.8</v>
      </c>
      <c r="C629" s="41">
        <f>VLOOKUP(Table7[[#This Row],[Date]],'DB Details'!$A:$Q,13)</f>
        <v>1469.25</v>
      </c>
      <c r="D629" s="46">
        <f>(Table7[[#This Row],[S&amp;P]]-C617)/C617</f>
        <v>0.19526046658878402</v>
      </c>
      <c r="F629" s="3"/>
      <c r="K629" s="2"/>
    </row>
    <row r="630" spans="1:11" x14ac:dyDescent="0.35">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35">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35">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35">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35">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35">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35">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35">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35">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35">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35">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35">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35">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35">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35">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35">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35">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35">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35">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35">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35">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35">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35">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35">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35">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35">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35">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35">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35">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35">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35">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35">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35">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35">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35">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35">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35">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35">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35">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35">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35">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35">
      <c r="A671" s="39">
        <v>37773</v>
      </c>
      <c r="B671" s="40">
        <f>VLOOKUP(Table7[[#This Row],[Date]],'DB Details'!$A:$L,12)</f>
        <v>49</v>
      </c>
      <c r="C671" s="41">
        <f>VLOOKUP(Table7[[#This Row],[Date]],'DB Details'!$A:$Q,13)</f>
        <v>974.5</v>
      </c>
      <c r="D671" s="46">
        <f>(Table7[[#This Row],[S&amp;P]]-C659)/C659</f>
        <v>-1.5477568861871502E-2</v>
      </c>
      <c r="F671" s="3"/>
      <c r="K671" s="2"/>
    </row>
    <row r="672" spans="1:11" x14ac:dyDescent="0.35">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35">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35">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35">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35">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35">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35">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35">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35">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35">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35">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35">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35">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35">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35">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35">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35">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35">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35">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35">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35">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35">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35">
      <c r="A694" s="39">
        <v>38473</v>
      </c>
      <c r="B694" s="40">
        <f>VLOOKUP(Table7[[#This Row],[Date]],'DB Details'!$A:$L,12)</f>
        <v>50.8</v>
      </c>
      <c r="C694" s="41">
        <f>VLOOKUP(Table7[[#This Row],[Date]],'DB Details'!$A:$Q,13)</f>
        <v>1191.5</v>
      </c>
      <c r="D694" s="46">
        <f>(Table7[[#This Row],[S&amp;P]]-C682)/C682</f>
        <v>6.3193724252121788E-2</v>
      </c>
      <c r="F694" s="3"/>
      <c r="K694" s="2"/>
    </row>
    <row r="695" spans="1:11" x14ac:dyDescent="0.35">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35">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35">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35">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35">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35">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35">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35">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35">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35">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35">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35">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35">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35">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35">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35">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35">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35">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35">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35">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35">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35">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35">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35">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35">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35">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35">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35">
      <c r="A722" s="39">
        <v>39326</v>
      </c>
      <c r="B722" s="40">
        <f>VLOOKUP(Table7[[#This Row],[Date]],'DB Details'!$A:$L,12)</f>
        <v>53.8</v>
      </c>
      <c r="C722" s="41">
        <f>VLOOKUP(Table7[[#This Row],[Date]],'DB Details'!$A:$Q,13)</f>
        <v>1526.75</v>
      </c>
      <c r="D722" s="46">
        <f>(Table7[[#This Row],[S&amp;P]]-C710)/C710</f>
        <v>0.1429052871976349</v>
      </c>
      <c r="F722" s="3"/>
      <c r="K722" s="2"/>
    </row>
    <row r="723" spans="1:11" x14ac:dyDescent="0.35">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35">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35">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35">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35">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35">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35">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35">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35">
      <c r="A731" s="39">
        <v>39600</v>
      </c>
      <c r="B731" s="40">
        <f>VLOOKUP(Table7[[#This Row],[Date]],'DB Details'!$A:$L,12)</f>
        <v>49.9</v>
      </c>
      <c r="C731" s="41">
        <f>VLOOKUP(Table7[[#This Row],[Date]],'DB Details'!$A:$Q,13)</f>
        <v>1280</v>
      </c>
      <c r="D731" s="46">
        <f>(Table7[[#This Row],[S&amp;P]]-C719)/C719</f>
        <v>-0.14856818386476256</v>
      </c>
      <c r="F731" s="3"/>
      <c r="K731" s="2"/>
    </row>
    <row r="732" spans="1:11" x14ac:dyDescent="0.35">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35">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35">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35">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35">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35">
      <c r="A737" s="39">
        <v>39783</v>
      </c>
      <c r="B737" s="40">
        <f>VLOOKUP(Table7[[#This Row],[Date]],'DB Details'!$A:$L,12)</f>
        <v>34.5</v>
      </c>
      <c r="C737" s="41">
        <f>VLOOKUP(Table7[[#This Row],[Date]],'DB Details'!$A:$Q,13)</f>
        <v>903.25</v>
      </c>
      <c r="D737" s="46">
        <f>(Table7[[#This Row],[S&amp;P]]-C725)/C725</f>
        <v>-0.38485793060906698</v>
      </c>
      <c r="F737" s="3"/>
      <c r="K737" s="2"/>
    </row>
    <row r="738" spans="1:11" x14ac:dyDescent="0.35">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35">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35">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35">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35">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35">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35">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35">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35">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35">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35">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35">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35">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35">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35">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35">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35">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35">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35">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35">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35">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35">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35">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35">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35">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35">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35">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35">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35">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35">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35">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35">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35">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35">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35">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35">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35">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35">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35">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35">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35">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35">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35">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35">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35">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35">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35">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35">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35">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35">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35">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35">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35">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35">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35">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35">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35">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35">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35">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35">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35">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35">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35">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35">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35">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35">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35">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35">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35">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35">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35">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35">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35">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35">
      <c r="A811" s="39">
        <v>42036</v>
      </c>
      <c r="B811" s="40">
        <f>VLOOKUP(Table7[[#This Row],[Date]],'DB Details'!$A:$L,12)</f>
        <v>53</v>
      </c>
      <c r="C811" s="41">
        <f>VLOOKUP(Table7[[#This Row],[Date]],'DB Details'!$A:$Q,13)</f>
        <v>2104.5</v>
      </c>
      <c r="D811" s="46">
        <f>(Table7[[#This Row],[S&amp;P]]-C799)/C799</f>
        <v>0.1317863106095907</v>
      </c>
      <c r="F811" s="3"/>
      <c r="K811" s="2"/>
    </row>
    <row r="812" spans="1:11" x14ac:dyDescent="0.35">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35">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35">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35">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35">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35">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35">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35">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35">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35">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35">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35">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35">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35">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35">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35">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35">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35">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35">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35">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35">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35">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35">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35">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35">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35">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35">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35">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35">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35">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35">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35">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35">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35">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35">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35">
      <c r="A847" s="45">
        <v>43132</v>
      </c>
      <c r="B847" s="40">
        <f>VLOOKUP(Table7[[#This Row],[Date]],'DB Details'!$A:$L,12)</f>
        <v>59.3</v>
      </c>
      <c r="C847" s="41">
        <f>VLOOKUP(Table7[[#This Row],[Date]],'DB Details'!$A:$Q,13)</f>
        <v>2713.830078125</v>
      </c>
      <c r="D847" s="46">
        <f>(Table7[[#This Row],[S&amp;P]]-C835)/C835</f>
        <v>0.14815716499221349</v>
      </c>
    </row>
    <row r="848" spans="1:11" x14ac:dyDescent="0.35">
      <c r="A848" s="39">
        <v>43160</v>
      </c>
      <c r="B848" s="40">
        <f>VLOOKUP(Table7[[#This Row],[Date]],'DB Details'!$A:$L,12)</f>
        <v>57.3</v>
      </c>
      <c r="C848" s="41">
        <f>VLOOKUP(Table7[[#This Row],[Date]],'DB Details'!$A:$Q,13)</f>
        <v>2640.8701171875</v>
      </c>
      <c r="D848" s="46">
        <f>(Table7[[#This Row],[S&amp;P]]-C836)/C836</f>
        <v>0.11772455048983224</v>
      </c>
    </row>
    <row r="849" spans="1:4" x14ac:dyDescent="0.35">
      <c r="A849" s="45">
        <v>43191</v>
      </c>
      <c r="B849" s="40">
        <f>VLOOKUP(Table7[[#This Row],[Date]],'DB Details'!$A:$L,12)</f>
        <v>57.3</v>
      </c>
      <c r="C849" s="41">
        <f>VLOOKUP(Table7[[#This Row],[Date]],'DB Details'!$A:$Q,13)</f>
        <v>2648.050048828125</v>
      </c>
      <c r="D849" s="46">
        <f>(Table7[[#This Row],[S&amp;P]]-C837)/C837</f>
        <v>0.11066609473193016</v>
      </c>
    </row>
    <row r="850" spans="1:4" x14ac:dyDescent="0.35">
      <c r="A850" s="39">
        <v>43221</v>
      </c>
      <c r="B850" s="40">
        <f>VLOOKUP(Table7[[#This Row],[Date]],'DB Details'!$A:$L,12)</f>
        <v>58.7</v>
      </c>
      <c r="C850" s="41">
        <f>VLOOKUP(Table7[[#This Row],[Date]],'DB Details'!$A:$Q,13)</f>
        <v>2705.27001953125</v>
      </c>
      <c r="D850" s="46">
        <f>(Table7[[#This Row],[S&amp;P]]-C838)/C838</f>
        <v>0.12168088761990024</v>
      </c>
    </row>
    <row r="851" spans="1:4" x14ac:dyDescent="0.35">
      <c r="A851" s="45">
        <v>43252</v>
      </c>
      <c r="B851" s="40">
        <f>VLOOKUP(Table7[[#This Row],[Date]],'DB Details'!$A:$L,12)</f>
        <v>60.2</v>
      </c>
      <c r="C851" s="41">
        <f>VLOOKUP(Table7[[#This Row],[Date]],'DB Details'!$A:$Q,13)</f>
        <v>2718.3701171875</v>
      </c>
      <c r="D851" s="46">
        <f>(Table7[[#This Row],[S&amp;P]]-C839)/C839</f>
        <v>0.12171288216832739</v>
      </c>
    </row>
    <row r="852" spans="1:4" x14ac:dyDescent="0.35">
      <c r="A852" s="45">
        <v>43282</v>
      </c>
      <c r="B852" s="40">
        <f>VLOOKUP(Table7[[#This Row],[Date]],'DB Details'!$A:$L,12)</f>
        <v>58.1</v>
      </c>
      <c r="C852" s="41">
        <f>VLOOKUP(Table7[[#This Row],[Date]],'DB Details'!$A:$Q,13)</f>
        <v>2816.2900390625</v>
      </c>
      <c r="D852" s="46">
        <f>(Table7[[#This Row],[S&amp;P]]-C840)/C840</f>
        <v>0.14005990502996091</v>
      </c>
    </row>
    <row r="853" spans="1:4" x14ac:dyDescent="0.35">
      <c r="A853" s="45">
        <v>43313</v>
      </c>
      <c r="B853" s="40">
        <f>VLOOKUP(Table7[[#This Row],[Date]],'DB Details'!$A:$L,12)</f>
        <v>61.3</v>
      </c>
      <c r="C853" s="41">
        <f>VLOOKUP(Table7[[#This Row],[Date]],'DB Details'!$A:$Q,13)</f>
        <v>2901.52001953125</v>
      </c>
      <c r="D853" s="46">
        <f>(Table7[[#This Row],[S&amp;P]]-C841)/C841</f>
        <v>0.17392030998398045</v>
      </c>
    </row>
    <row r="854" spans="1:4" x14ac:dyDescent="0.35">
      <c r="A854" s="45">
        <v>43344</v>
      </c>
      <c r="B854" s="40">
        <f>VLOOKUP(Table7[[#This Row],[Date]],'DB Details'!$A:$L,12)</f>
        <v>59.8</v>
      </c>
      <c r="C854" s="41">
        <f>VLOOKUP(Table7[[#This Row],[Date]],'DB Details'!$A:$Q,13)</f>
        <v>2913.97998046875</v>
      </c>
      <c r="D854" s="46">
        <f>(Table7[[#This Row],[S&amp;P]]-C842)/C842</f>
        <v>0.15663496134766519</v>
      </c>
    </row>
    <row r="855" spans="1:4" x14ac:dyDescent="0.35">
      <c r="A855" s="45">
        <v>43374</v>
      </c>
      <c r="B855" s="40">
        <f>VLOOKUP(Table7[[#This Row],[Date]],'DB Details'!$A:$L,12)</f>
        <v>57.7</v>
      </c>
      <c r="C855" s="41">
        <f>VLOOKUP(Table7[[#This Row],[Date]],'DB Details'!$A:$Q,13)</f>
        <v>2711.739990234375</v>
      </c>
      <c r="D855" s="46">
        <f>(Table7[[#This Row],[S&amp;P]]-C843)/C843</f>
        <v>5.2996582850355009E-2</v>
      </c>
    </row>
    <row r="856" spans="1:4" x14ac:dyDescent="0.35">
      <c r="A856" s="45">
        <v>43405</v>
      </c>
      <c r="B856" s="40">
        <f>VLOOKUP(Table7[[#This Row],[Date]],'DB Details'!$A:$L,12)</f>
        <v>59.3</v>
      </c>
      <c r="C856" s="41">
        <f>VLOOKUP(Table7[[#This Row],[Date]],'DB Details'!$A:$Q,13)</f>
        <v>2760.169921875</v>
      </c>
      <c r="D856" s="46">
        <f>(Table7[[#This Row],[S&amp;P]]-C844)/C844</f>
        <v>4.2525566905509966E-2</v>
      </c>
    </row>
    <row r="857" spans="1:4" x14ac:dyDescent="0.35">
      <c r="A857" s="45">
        <v>43435</v>
      </c>
      <c r="B857" s="40">
        <f>VLOOKUP(Table7[[#This Row],[Date]],'DB Details'!$A:$L,12)</f>
        <v>54.3</v>
      </c>
      <c r="C857" s="41">
        <f>VLOOKUP(Table7[[#This Row],[Date]],'DB Details'!$A:$Q,13)</f>
        <v>2506.85009765625</v>
      </c>
      <c r="D857" s="46">
        <f>(Table7[[#This Row],[S&amp;P]]-C845)/C845</f>
        <v>-6.237259849620682E-2</v>
      </c>
    </row>
    <row r="858" spans="1:4" x14ac:dyDescent="0.35">
      <c r="A858" s="45">
        <v>43466</v>
      </c>
      <c r="B858" s="40">
        <f>VLOOKUP(Table7[[#This Row],[Date]],'DB Details'!$A:$L,12)</f>
        <v>56.6</v>
      </c>
      <c r="C858" s="41">
        <f>VLOOKUP(Table7[[#This Row],[Date]],'DB Details'!$A:$Q,13)</f>
        <v>2704.10009765625</v>
      </c>
      <c r="D858" s="46">
        <f>(Table7[[#This Row],[S&amp;P]]-C846)/C846</f>
        <v>-4.2393064141543306E-2</v>
      </c>
    </row>
    <row r="859" spans="1:4" x14ac:dyDescent="0.35">
      <c r="A859" s="45">
        <v>43497</v>
      </c>
      <c r="B859" s="40">
        <f>VLOOKUP(Table7[[#This Row],[Date]],'DB Details'!$A:$L,12)</f>
        <v>54.2</v>
      </c>
      <c r="C859" s="41">
        <f>VLOOKUP(Table7[[#This Row],[Date]],'DB Details'!$A:$Q,13)</f>
        <v>2784.489990234375</v>
      </c>
      <c r="D859" s="46">
        <f>(Table7[[#This Row],[S&amp;P]]-C847)/C847</f>
        <v>2.6036969918984139E-2</v>
      </c>
    </row>
    <row r="860" spans="1:4" x14ac:dyDescent="0.35">
      <c r="A860" s="45">
        <v>43525</v>
      </c>
      <c r="B860" s="40">
        <f>VLOOKUP(Table7[[#This Row],[Date]],'DB Details'!$A:$L,12)</f>
        <v>55.3</v>
      </c>
      <c r="C860" s="41">
        <f>VLOOKUP(Table7[[#This Row],[Date]],'DB Details'!$A:$Q,13)</f>
        <v>2834.39990234375</v>
      </c>
      <c r="D860" s="46">
        <f>(Table7[[#This Row],[S&amp;P]]-C848)/C848</f>
        <v>7.3282583606329443E-2</v>
      </c>
    </row>
    <row r="861" spans="1:4" x14ac:dyDescent="0.35">
      <c r="A861" s="45">
        <v>43556</v>
      </c>
      <c r="B861" s="40">
        <f>VLOOKUP(Table7[[#This Row],[Date]],'DB Details'!$A:$L,12)</f>
        <v>52.8</v>
      </c>
      <c r="C861" s="41">
        <f>VLOOKUP(Table7[[#This Row],[Date]],'DB Details'!$A:$Q,13)</f>
        <v>2945.830078125</v>
      </c>
      <c r="D861" s="46">
        <f>(Table7[[#This Row],[S&amp;P]]-C849)/C849</f>
        <v>0.11245256842054603</v>
      </c>
    </row>
    <row r="862" spans="1:4" x14ac:dyDescent="0.35">
      <c r="A862" s="45">
        <v>43586</v>
      </c>
      <c r="B862" s="40">
        <f>VLOOKUP(Table7[[#This Row],[Date]],'DB Details'!$A:$L,12)</f>
        <v>52.1</v>
      </c>
      <c r="C862" s="41">
        <f>VLOOKUP(Table7[[#This Row],[Date]],'DB Details'!$A:$Q,13)</f>
        <v>2752.06005859375</v>
      </c>
      <c r="D862" s="46">
        <f>(Table7[[#This Row],[S&amp;P]]-C850)/C850</f>
        <v>1.729588496700505E-2</v>
      </c>
    </row>
    <row r="863" spans="1:4" x14ac:dyDescent="0.35">
      <c r="A863" s="45">
        <v>43617</v>
      </c>
      <c r="B863" s="40">
        <f>VLOOKUP(Table7[[#This Row],[Date]],'DB Details'!$A:$L,12)</f>
        <v>51.7</v>
      </c>
      <c r="C863" s="41">
        <f>VLOOKUP(Table7[[#This Row],[Date]],'DB Details'!$A:$Q,13)</f>
        <v>2941.760009765625</v>
      </c>
      <c r="D863" s="46">
        <f>(Table7[[#This Row],[S&amp;P]]-C851)/C851</f>
        <v>8.2177879739661897E-2</v>
      </c>
    </row>
    <row r="864" spans="1:4" x14ac:dyDescent="0.35">
      <c r="A864" s="45">
        <v>43647</v>
      </c>
      <c r="B864" s="40">
        <f>VLOOKUP(Table7[[#This Row],[Date]],'DB Details'!$A:$L,12)</f>
        <v>51.2</v>
      </c>
      <c r="C864" s="41">
        <f>VLOOKUP(Table7[[#This Row],[Date]],'DB Details'!$A:$Q,13)</f>
        <v>2980.3798828125</v>
      </c>
      <c r="D864" s="46">
        <f>(Table7[[#This Row],[S&amp;P]]-C852)/C852</f>
        <v>5.8264540041700751E-2</v>
      </c>
    </row>
    <row r="865" spans="1:4" x14ac:dyDescent="0.35">
      <c r="A865" s="45">
        <v>43678</v>
      </c>
      <c r="B865" s="40">
        <f>VLOOKUP(Table7[[#This Row],[Date]],'DB Details'!$A:$L,12)</f>
        <v>49.1</v>
      </c>
      <c r="C865" s="41">
        <f>VLOOKUP(Table7[[#This Row],[Date]],'DB Details'!$A:$Q,13)</f>
        <v>2926.4599609375</v>
      </c>
      <c r="D865" s="46">
        <f>(Table7[[#This Row],[S&amp;P]]-C853)/C853</f>
        <v>8.5954745231360246E-3</v>
      </c>
    </row>
    <row r="866" spans="1:4" x14ac:dyDescent="0.35">
      <c r="A866" s="45">
        <v>43709</v>
      </c>
      <c r="B866" s="40">
        <f>VLOOKUP(Table7[[#This Row],[Date]],'DB Details'!$A:$L,12)</f>
        <v>47.8</v>
      </c>
      <c r="C866" s="41">
        <f>VLOOKUP(Table7[[#This Row],[Date]],'DB Details'!$A:$Q,13)</f>
        <v>2976.739990234375</v>
      </c>
      <c r="D866" s="46">
        <f>(Table7[[#This Row],[S&amp;P]]-C854)/C854</f>
        <v>2.1537556944893378E-2</v>
      </c>
    </row>
    <row r="867" spans="1:4" x14ac:dyDescent="0.35">
      <c r="A867" s="45">
        <v>43739</v>
      </c>
      <c r="B867" s="40">
        <f>VLOOKUP(Table7[[#This Row],[Date]],'DB Details'!$A:$L,12)</f>
        <v>48.3</v>
      </c>
      <c r="C867" s="41">
        <f>VLOOKUP(Table7[[#This Row],[Date]],'DB Details'!$A:$Q,13)</f>
        <v>3037.56005859375</v>
      </c>
      <c r="D867" s="46">
        <f>(Table7[[#This Row],[S&amp;P]]-C855)/C855</f>
        <v>0.12015166259771626</v>
      </c>
    </row>
    <row r="868" spans="1:4" x14ac:dyDescent="0.35">
      <c r="A868" s="45">
        <v>43770</v>
      </c>
      <c r="B868" s="40">
        <f>VLOOKUP(Table7[[#This Row],[Date]],'DB Details'!$A:$L,12)</f>
        <v>48.1</v>
      </c>
      <c r="C868" s="41">
        <f>VLOOKUP(Table7[[#This Row],[Date]],'DB Details'!$A:$Q,13)</f>
        <v>3140.97998046875</v>
      </c>
      <c r="D868" s="46">
        <f>(Table7[[#This Row],[S&amp;P]]-C856)/C856</f>
        <v>0.13796616490011726</v>
      </c>
    </row>
    <row r="869" spans="1:4" x14ac:dyDescent="0.35">
      <c r="A869" s="45">
        <v>43800</v>
      </c>
      <c r="B869" s="40">
        <f>VLOOKUP(Table7[[#This Row],[Date]],'DB Details'!$A:$L,12)</f>
        <v>47.8</v>
      </c>
      <c r="C869" s="41">
        <f>VLOOKUP(Table7[[#This Row],[Date]],'DB Details'!$A:$Q,13)</f>
        <v>3230.780029296875</v>
      </c>
      <c r="D869" s="46">
        <f>(Table7[[#This Row],[S&amp;P]]-C857)/C857</f>
        <v>0.28878070225158448</v>
      </c>
    </row>
    <row r="870" spans="1:4" x14ac:dyDescent="0.35">
      <c r="A870" s="45">
        <v>43831</v>
      </c>
      <c r="B870" s="40">
        <f>VLOOKUP(Table7[[#This Row],[Date]],'DB Details'!$A:$L,12)</f>
        <v>50.9</v>
      </c>
      <c r="C870" s="41">
        <f>VLOOKUP(Table7[[#This Row],[Date]],'DB Details'!$A:$Q,13)</f>
        <v>3225.52001953125</v>
      </c>
      <c r="D870" s="46">
        <f>(Table7[[#This Row],[S&amp;P]]-C858)/C858</f>
        <v>0.19282567325334413</v>
      </c>
    </row>
    <row r="871" spans="1:4" x14ac:dyDescent="0.35">
      <c r="A871" s="45">
        <v>43862</v>
      </c>
      <c r="B871" s="40">
        <f>VLOOKUP(Table7[[#This Row],[Date]],'DB Details'!$A:$L,12)</f>
        <v>50.1</v>
      </c>
      <c r="C871" s="41">
        <f>VLOOKUP(Table7[[#This Row],[Date]],'DB Details'!$A:$Q,13)</f>
        <v>2954.219970703125</v>
      </c>
      <c r="D871" s="46">
        <f>(Table7[[#This Row],[S&amp;P]]-C859)/C859</f>
        <v>6.0955500312092542E-2</v>
      </c>
    </row>
    <row r="872" spans="1:4" x14ac:dyDescent="0.35">
      <c r="A872" s="45">
        <v>43891</v>
      </c>
      <c r="B872" s="40">
        <f>VLOOKUP(Table7[[#This Row],[Date]],'DB Details'!$A:$L,12)</f>
        <v>49.1</v>
      </c>
      <c r="C872" s="41">
        <f>VLOOKUP(Table7[[#This Row],[Date]],'DB Details'!$A:$Q,13)</f>
        <v>2584.590087890625</v>
      </c>
      <c r="D872" s="46">
        <f>(Table7[[#This Row],[S&amp;P]]-C860)/C860</f>
        <v>-8.813499261221347E-2</v>
      </c>
    </row>
    <row r="873" spans="1:4" x14ac:dyDescent="0.35">
      <c r="A873" s="45">
        <v>43922</v>
      </c>
      <c r="B873" s="40">
        <f>VLOOKUP(Table7[[#This Row],[Date]],'DB Details'!$A:$L,12)</f>
        <v>41.5</v>
      </c>
      <c r="C873" s="41">
        <f>VLOOKUP(Table7[[#This Row],[Date]],'DB Details'!$A:$Q,13)</f>
        <v>2912.429931640625</v>
      </c>
      <c r="D873" s="46">
        <f>(Table7[[#This Row],[S&amp;P]]-C861)/C861</f>
        <v>-1.1338110345330561E-2</v>
      </c>
    </row>
    <row r="874" spans="1:4" x14ac:dyDescent="0.35">
      <c r="A874" s="45">
        <v>43952</v>
      </c>
      <c r="B874" s="40">
        <f>VLOOKUP(Table7[[#This Row],[Date]],'DB Details'!$A:$L,12)</f>
        <v>43.1</v>
      </c>
      <c r="C874" s="41">
        <f>VLOOKUP(Table7[[#This Row],[Date]],'DB Details'!$A:$Q,13)</f>
        <v>3044.31005859375</v>
      </c>
      <c r="D874" s="46">
        <f>(Table7[[#This Row],[S&amp;P]]-C862)/C862</f>
        <v>0.10619317666683994</v>
      </c>
    </row>
    <row r="875" spans="1:4" x14ac:dyDescent="0.35">
      <c r="A875" s="45">
        <v>43983</v>
      </c>
      <c r="B875" s="40">
        <f>VLOOKUP(Table7[[#This Row],[Date]],'DB Details'!$A:$L,12)</f>
        <v>52.6</v>
      </c>
      <c r="C875" s="41">
        <f>VLOOKUP(Table7[[#This Row],[Date]],'DB Details'!$A:$Q,13)</f>
        <v>3100.2900390625</v>
      </c>
      <c r="D875" s="46">
        <f>(Table7[[#This Row],[S&amp;P]]-C863)/C863</f>
        <v>5.3889518101616102E-2</v>
      </c>
    </row>
    <row r="876" spans="1:4" x14ac:dyDescent="0.35">
      <c r="A876" s="45">
        <v>44013</v>
      </c>
      <c r="B876" s="40">
        <f>VLOOKUP(Table7[[#This Row],[Date]],'DB Details'!$A:$L,12)</f>
        <v>54.2</v>
      </c>
      <c r="C876" s="41">
        <f>VLOOKUP(Table7[[#This Row],[Date]],'DB Details'!$A:$Q,13)</f>
        <v>3271.1201171875</v>
      </c>
      <c r="D876" s="46">
        <f>(Table7[[#This Row],[S&amp;P]]-C864)/C864</f>
        <v>9.7551401434315371E-2</v>
      </c>
    </row>
    <row r="877" spans="1:4" x14ac:dyDescent="0.35">
      <c r="A877" s="45">
        <v>44044</v>
      </c>
      <c r="B877" s="40">
        <f>VLOOKUP(Table7[[#This Row],[Date]],'DB Details'!$A:$L,12)</f>
        <v>56</v>
      </c>
      <c r="C877" s="41">
        <f>VLOOKUP(Table7[[#This Row],[Date]],'DB Details'!$A:$Q,13)</f>
        <v>3500.31005859375</v>
      </c>
      <c r="D877" s="46">
        <f>(Table7[[#This Row],[S&amp;P]]-C865)/C865</f>
        <v>0.19609019269561967</v>
      </c>
    </row>
    <row r="878" spans="1:4" x14ac:dyDescent="0.35">
      <c r="A878" s="45">
        <v>44075</v>
      </c>
      <c r="B878" s="40">
        <f>VLOOKUP(Table7[[#This Row],[Date]],'DB Details'!$A:$L,12)</f>
        <v>55.4</v>
      </c>
      <c r="C878" s="41">
        <f>VLOOKUP(Table7[[#This Row],[Date]],'DB Details'!$A:$Q,13)</f>
        <v>3363</v>
      </c>
      <c r="D878" s="46">
        <f>(Table7[[#This Row],[S&amp;P]]-C866)/C866</f>
        <v>0.12975940493049667</v>
      </c>
    </row>
    <row r="879" spans="1:4" x14ac:dyDescent="0.35">
      <c r="A879" s="45">
        <v>44105</v>
      </c>
      <c r="B879" s="40">
        <f>VLOOKUP(Table7[[#This Row],[Date]],'DB Details'!$A:$L,12)</f>
        <v>59.3</v>
      </c>
      <c r="C879" s="41">
        <f>VLOOKUP(Table7[[#This Row],[Date]],'DB Details'!$A:$Q,13)</f>
        <v>3269.9599609375</v>
      </c>
      <c r="D879" s="46">
        <f>(Table7[[#This Row],[S&amp;P]]-C867)/C867</f>
        <v>7.6508743155959333E-2</v>
      </c>
    </row>
    <row r="880" spans="1:4" x14ac:dyDescent="0.35">
      <c r="A880" s="45">
        <v>44136</v>
      </c>
      <c r="B880" s="40">
        <f>VLOOKUP(Table7[[#This Row],[Date]],'DB Details'!$A:$L,12)</f>
        <v>57.5</v>
      </c>
      <c r="C880" s="41">
        <f>VLOOKUP(Table7[[#This Row],[Date]],'DB Details'!$A:$Q,13)</f>
        <v>3621.6298828125</v>
      </c>
      <c r="D880" s="46">
        <f>(Table7[[#This Row],[S&amp;P]]-C868)/C868</f>
        <v>0.15302545872069498</v>
      </c>
    </row>
    <row r="881" spans="1:4" x14ac:dyDescent="0.35">
      <c r="A881" s="45">
        <v>44166</v>
      </c>
      <c r="B881" s="40">
        <f>VLOOKUP(Table7[[#This Row],[Date]],'DB Details'!$A:$L,12)</f>
        <v>60.5</v>
      </c>
      <c r="C881" s="41">
        <f>VLOOKUP(Table7[[#This Row],[Date]],'DB Details'!$A:$Q,13)</f>
        <v>3756.070068359375</v>
      </c>
      <c r="D881" s="46">
        <f>(Table7[[#This Row],[S&amp;P]]-C869)/C869</f>
        <v>0.16258923055706165</v>
      </c>
    </row>
    <row r="882" spans="1:4" x14ac:dyDescent="0.35">
      <c r="A882" s="45">
        <v>44197</v>
      </c>
      <c r="B882" s="40">
        <f>VLOOKUP(Table7[[#This Row],[Date]],'DB Details'!$A:$L,12)</f>
        <v>58.7</v>
      </c>
      <c r="C882" s="41">
        <f>VLOOKUP(Table7[[#This Row],[Date]],'DB Details'!$A:$Q,13)</f>
        <v>3714.239990234375</v>
      </c>
      <c r="D882" s="46">
        <f>(Table7[[#This Row],[S&amp;P]]-C870)/C870</f>
        <v>0.15151664467863027</v>
      </c>
    </row>
    <row r="883" spans="1:4" x14ac:dyDescent="0.35">
      <c r="A883" s="45">
        <v>44228</v>
      </c>
      <c r="B883" s="40">
        <f>VLOOKUP(Table7[[#This Row],[Date]],'DB Details'!$A:$L,12)</f>
        <v>60.8</v>
      </c>
      <c r="C883" s="41">
        <f>VLOOKUP(Table7[[#This Row],[Date]],'DB Details'!$A:$Q,13)</f>
        <v>3811.14990234375</v>
      </c>
      <c r="D883" s="46">
        <f>(Table7[[#This Row],[S&amp;P]]-C871)/C871</f>
        <v>0.29006977819484098</v>
      </c>
    </row>
    <row r="884" spans="1:4" x14ac:dyDescent="0.35">
      <c r="A884" s="45">
        <v>44256</v>
      </c>
      <c r="B884" s="40">
        <f>VLOOKUP(Table7[[#This Row],[Date]],'DB Details'!$A:$L,12)</f>
        <v>64.7</v>
      </c>
      <c r="C884" s="41">
        <f>VLOOKUP(Table7[[#This Row],[Date]],'DB Details'!$A:$Q,13)</f>
        <v>3972.889892578125</v>
      </c>
      <c r="D884" s="46">
        <f>(Table7[[#This Row],[S&amp;P]]-C872)/C872</f>
        <v>0.53714506265113027</v>
      </c>
    </row>
    <row r="885" spans="1:4" x14ac:dyDescent="0.35">
      <c r="A885" s="45">
        <v>44287</v>
      </c>
      <c r="B885" s="40">
        <f>VLOOKUP(Table7[[#This Row],[Date]],'DB Details'!$A:$L,12)</f>
        <v>60.7</v>
      </c>
      <c r="C885" s="41">
        <f>VLOOKUP(Table7[[#This Row],[Date]],'DB Details'!$A:$Q,13)</f>
        <v>4181.169921875</v>
      </c>
      <c r="D885" s="46">
        <f>(Table7[[#This Row],[S&amp;P]]-C873)/C873</f>
        <v>0.43562936105373379</v>
      </c>
    </row>
    <row r="886" spans="1:4" x14ac:dyDescent="0.35">
      <c r="A886" s="45">
        <v>44317</v>
      </c>
      <c r="B886" s="40">
        <f>VLOOKUP(Table7[[#This Row],[Date]],'DB Details'!$A:$L,12)</f>
        <v>61.2</v>
      </c>
      <c r="C886" s="41">
        <f>VLOOKUP(Table7[[#This Row],[Date]],'DB Details'!$A:$Q,13)</f>
        <v>4204.10986328125</v>
      </c>
      <c r="D886" s="46">
        <f>(Table7[[#This Row],[S&amp;P]]-C874)/C874</f>
        <v>0.38097295688181093</v>
      </c>
    </row>
    <row r="887" spans="1:4" x14ac:dyDescent="0.35">
      <c r="A887" s="45">
        <v>44348</v>
      </c>
      <c r="B887" s="40">
        <f>VLOOKUP(Table7[[#This Row],[Date]],'DB Details'!$A:$L,12)</f>
        <v>60.6</v>
      </c>
      <c r="C887" s="41">
        <f>VLOOKUP(Table7[[#This Row],[Date]],'DB Details'!$A:$Q,13)</f>
        <v>4297.5</v>
      </c>
      <c r="D887" s="46">
        <f>(Table7[[#This Row],[S&amp;P]]-C875)/C875</f>
        <v>0.3861606320225206</v>
      </c>
    </row>
    <row r="888" spans="1:4" x14ac:dyDescent="0.35">
      <c r="A888" s="45">
        <v>44378</v>
      </c>
      <c r="B888" s="40">
        <f>VLOOKUP(Table7[[#This Row],[Date]],'DB Details'!$A:$L,12)</f>
        <v>59.5</v>
      </c>
      <c r="C888" s="41">
        <f>VLOOKUP(Table7[[#This Row],[Date]],'DB Details'!$A:$Q,13)</f>
        <v>4395.259765625</v>
      </c>
      <c r="D888" s="46">
        <f>(Table7[[#This Row],[S&amp;P]]-C876)/C876</f>
        <v>0.34365587571392275</v>
      </c>
    </row>
    <row r="889" spans="1:4" x14ac:dyDescent="0.35">
      <c r="A889" s="45">
        <v>44409</v>
      </c>
      <c r="B889" s="40">
        <f>VLOOKUP(Table7[[#This Row],[Date]],'DB Details'!$A:$L,12)</f>
        <v>59.9</v>
      </c>
      <c r="C889" s="41">
        <f>VLOOKUP(Table7[[#This Row],[Date]],'DB Details'!$A:$Q,13)</f>
        <v>4522.68017578125</v>
      </c>
      <c r="D889" s="46">
        <f>(Table7[[#This Row],[S&amp;P]]-C877)/C877</f>
        <v>0.29207987294652327</v>
      </c>
    </row>
    <row r="890" spans="1:4" x14ac:dyDescent="0.35">
      <c r="A890" s="45">
        <v>44440</v>
      </c>
      <c r="B890" s="40">
        <f>VLOOKUP(Table7[[#This Row],[Date]],'DB Details'!$A:$L,12)</f>
        <v>61.1</v>
      </c>
      <c r="C890" s="41">
        <f>VLOOKUP(Table7[[#This Row],[Date]],'DB Details'!$A:$Q,13)</f>
        <v>4307.5400390625</v>
      </c>
      <c r="D890" s="46">
        <f>(Table7[[#This Row],[S&amp;P]]-C878)/C878</f>
        <v>0.28086233692016055</v>
      </c>
    </row>
    <row r="891" spans="1:4" x14ac:dyDescent="0.35">
      <c r="A891" s="45">
        <v>44470</v>
      </c>
      <c r="B891" s="40">
        <f>VLOOKUP(Table7[[#This Row],[Date]],'DB Details'!$A:$L,12)</f>
        <v>60.8</v>
      </c>
      <c r="C891" s="41">
        <f>VLOOKUP(Table7[[#This Row],[Date]],'DB Details'!$A:$Q,13)</f>
        <v>4605.3798828125</v>
      </c>
      <c r="D891" s="46">
        <f>(Table7[[#This Row],[S&amp;P]]-C879)/C879</f>
        <v>0.40839029768796742</v>
      </c>
    </row>
    <row r="892" spans="1:4" x14ac:dyDescent="0.35">
      <c r="A892" s="45">
        <v>44501</v>
      </c>
      <c r="B892" s="40">
        <f>VLOOKUP(Table7[[#This Row],[Date]],'DB Details'!$A:$L,12)</f>
        <v>61.1</v>
      </c>
      <c r="C892" s="41">
        <f>VLOOKUP(Table7[[#This Row],[Date]],'DB Details'!$A:$Q,13)</f>
        <v>4567</v>
      </c>
      <c r="D892" s="46">
        <f>(Table7[[#This Row],[S&amp;P]]-C880)/C880</f>
        <v>0.26103443691859002</v>
      </c>
    </row>
    <row r="893" spans="1:4" x14ac:dyDescent="0.35">
      <c r="A893" s="45">
        <v>44531</v>
      </c>
      <c r="B893" s="40">
        <f>VLOOKUP(Table7[[#This Row],[Date]],'DB Details'!$A:$L,12)</f>
        <v>58.7</v>
      </c>
      <c r="C893" s="41">
        <f>VLOOKUP(Table7[[#This Row],[Date]],'DB Details'!$A:$Q,13)</f>
        <v>4766.18017578125</v>
      </c>
      <c r="D893" s="46">
        <f>(Table7[[#This Row],[S&amp;P]]-C881)/C881</f>
        <v>0.26892738661371246</v>
      </c>
    </row>
    <row r="894" spans="1:4" x14ac:dyDescent="0.35">
      <c r="A894" s="45">
        <v>44562</v>
      </c>
      <c r="B894" s="40">
        <f>VLOOKUP(Table7[[#This Row],[Date]],'DB Details'!$A:$L,12)</f>
        <v>57.6</v>
      </c>
      <c r="C894" s="41">
        <f>VLOOKUP(Table7[[#This Row],[Date]],'DB Details'!$A:$Q,13)</f>
        <v>4515.5498046875</v>
      </c>
      <c r="D894" s="46">
        <f>(Table7[[#This Row],[S&amp;P]]-C882)/C882</f>
        <v>0.21573991356507929</v>
      </c>
    </row>
    <row r="895" spans="1:4" x14ac:dyDescent="0.35">
      <c r="A895" s="45">
        <v>44593</v>
      </c>
      <c r="B895" s="40">
        <f>VLOOKUP(Table7[[#This Row],[Date]],'DB Details'!$A:$L,12)</f>
        <v>58.6</v>
      </c>
      <c r="C895" s="41">
        <f>VLOOKUP(Table7[[#This Row],[Date]],'DB Details'!$A:$Q,13)</f>
        <v>4373.93994140625</v>
      </c>
      <c r="D895" s="46">
        <f>(Table7[[#This Row],[S&amp;P]]-C883)/C883</f>
        <v>0.14766935268444834</v>
      </c>
    </row>
    <row r="896" spans="1:4" x14ac:dyDescent="0.35">
      <c r="A896" s="45">
        <v>44621</v>
      </c>
      <c r="B896" s="40">
        <f>VLOOKUP(Table7[[#This Row],[Date]],'DB Details'!$A:$L,12)</f>
        <v>57.1</v>
      </c>
      <c r="C896" s="41">
        <f>VLOOKUP(Table7[[#This Row],[Date]],'DB Details'!$A:$Q,13)</f>
        <v>4530.41015625</v>
      </c>
      <c r="D896" s="46">
        <f>(Table7[[#This Row],[S&amp;P]]-C884)/C884</f>
        <v>0.14033116415166585</v>
      </c>
    </row>
    <row r="897" spans="1:4" x14ac:dyDescent="0.35">
      <c r="A897" s="45">
        <v>44652</v>
      </c>
      <c r="B897" s="40">
        <f>VLOOKUP(Table7[[#This Row],[Date]],'DB Details'!$A:$L,12)</f>
        <v>55.4</v>
      </c>
      <c r="C897" s="41">
        <f>VLOOKUP(Table7[[#This Row],[Date]],'DB Details'!$A:$Q,13)</f>
        <v>4131.93017578125</v>
      </c>
      <c r="D897" s="46">
        <f>(Table7[[#This Row],[S&amp;P]]-C885)/C885</f>
        <v>-1.1776547476852835E-2</v>
      </c>
    </row>
    <row r="898" spans="1:4" x14ac:dyDescent="0.35">
      <c r="A898" s="45">
        <v>44682</v>
      </c>
      <c r="B898" s="40">
        <f>VLOOKUP(Table7[[#This Row],[Date]],'DB Details'!$A:$L,12)</f>
        <v>56.1</v>
      </c>
      <c r="C898" s="41">
        <f>VLOOKUP(Table7[[#This Row],[Date]],'DB Details'!$A:$Q,13)</f>
        <v>4132.14990234375</v>
      </c>
      <c r="D898" s="46">
        <f>(Table7[[#This Row],[S&amp;P]]-C886)/C886</f>
        <v>-1.7116574798865088E-2</v>
      </c>
    </row>
    <row r="899" spans="1:4" x14ac:dyDescent="0.35">
      <c r="A899" s="45">
        <v>44713</v>
      </c>
      <c r="B899" s="40">
        <f>VLOOKUP(Table7[[#This Row],[Date]],'DB Details'!$A:$L,12)</f>
        <v>53</v>
      </c>
      <c r="C899" s="41">
        <f>VLOOKUP(Table7[[#This Row],[Date]],'DB Details'!$A:$Q,13)</f>
        <v>3785.3798828125</v>
      </c>
      <c r="D899" s="46">
        <f>(Table7[[#This Row],[S&amp;P]]-C887)/C887</f>
        <v>-0.11916698480221059</v>
      </c>
    </row>
    <row r="900" spans="1:4" x14ac:dyDescent="0.35">
      <c r="A900" s="45">
        <v>44743</v>
      </c>
      <c r="B900" s="40">
        <f>VLOOKUP(Table7[[#This Row],[Date]],'DB Details'!$A:$L,12)</f>
        <v>52.8</v>
      </c>
      <c r="C900" s="41">
        <f>VLOOKUP(Table7[[#This Row],[Date]],'DB Details'!$A:$Q,13)</f>
        <v>4130.2900390625</v>
      </c>
      <c r="D900" s="46">
        <f>(Table7[[#This Row],[S&amp;P]]-C888)/C888</f>
        <v>-6.0285339363741031E-2</v>
      </c>
    </row>
    <row r="901" spans="1:4" x14ac:dyDescent="0.35">
      <c r="A901" s="45">
        <v>44774</v>
      </c>
      <c r="B901" s="40">
        <f>VLOOKUP(Table7[[#This Row],[Date]],'DB Details'!$A:$L,12)</f>
        <v>52.8</v>
      </c>
      <c r="C901" s="41">
        <f>VLOOKUP(Table7[[#This Row],[Date]],'DB Details'!$A:$Q,13)</f>
        <v>3955</v>
      </c>
      <c r="D901" s="46">
        <f>(Table7[[#This Row],[S&amp;P]]-C889)/C889</f>
        <v>-0.12551853186991907</v>
      </c>
    </row>
    <row r="902" spans="1:4" x14ac:dyDescent="0.35">
      <c r="A902" s="45">
        <v>44805</v>
      </c>
      <c r="B902" s="40">
        <f>VLOOKUP(Table7[[#This Row],[Date]],'DB Details'!$A:$L,12)</f>
        <v>50.9</v>
      </c>
      <c r="C902" s="41">
        <f>VLOOKUP(Table7[[#This Row],[Date]],'DB Details'!$A:$Q,13)</f>
        <v>3585.6201171875</v>
      </c>
      <c r="D902" s="46">
        <f>(Table7[[#This Row],[S&amp;P]]-C890)/C890</f>
        <v>-0.16759447743453124</v>
      </c>
    </row>
    <row r="903" spans="1:4" x14ac:dyDescent="0.35">
      <c r="A903" s="45">
        <v>44835</v>
      </c>
      <c r="B903" s="40">
        <f>VLOOKUP(Table7[[#This Row],[Date]],'DB Details'!$A:$L,12)</f>
        <v>50.2</v>
      </c>
      <c r="C903" s="41">
        <f>VLOOKUP(Table7[[#This Row],[Date]],'DB Details'!$A:$Q,13)</f>
        <v>3871.97998046875</v>
      </c>
      <c r="D903" s="46">
        <f>(Table7[[#This Row],[S&amp;P]]-C891)/C891</f>
        <v>-0.15924851391322437</v>
      </c>
    </row>
    <row r="904" spans="1:4" x14ac:dyDescent="0.35">
      <c r="A904" s="45">
        <v>44866</v>
      </c>
      <c r="B904" s="40">
        <f>VLOOKUP(Table7[[#This Row],[Date]],'DB Details'!$A:$L,12)</f>
        <v>49</v>
      </c>
      <c r="C904" s="41">
        <f>VLOOKUP(Table7[[#This Row],[Date]],'DB Details'!$A:$Q,13)</f>
        <v>4080.110107421875</v>
      </c>
      <c r="D904" s="46">
        <f>(Table7[[#This Row],[S&amp;P]]-C892)/C892</f>
        <v>-0.10661044286799322</v>
      </c>
    </row>
    <row r="905" spans="1:4" x14ac:dyDescent="0.35">
      <c r="A905" s="45">
        <v>44896</v>
      </c>
      <c r="B905" s="40">
        <f>VLOOKUP(Table7[[#This Row],[Date]],'DB Details'!$A:$L,12)</f>
        <v>48.4</v>
      </c>
      <c r="C905" s="41">
        <f>VLOOKUP(Table7[[#This Row],[Date]],'DB Details'!$A:$Q,13)</f>
        <v>3839.5</v>
      </c>
      <c r="D905" s="46">
        <f>(Table7[[#This Row],[S&amp;P]]-C893)/C893</f>
        <v>-0.19442827203429272</v>
      </c>
    </row>
    <row r="906" spans="1:4" x14ac:dyDescent="0.35">
      <c r="A906" s="45">
        <v>44927</v>
      </c>
      <c r="B906" s="40">
        <f>VLOOKUP(Table7[[#This Row],[Date]],'DB Details'!$A:$L,12)</f>
        <v>47.4</v>
      </c>
      <c r="C906" s="41">
        <f>VLOOKUP(Table7[[#This Row],[Date]],'DB Details'!$A:$Q,13)</f>
        <v>4076.60009765625</v>
      </c>
      <c r="D906" s="46">
        <f>(Table7[[#This Row],[S&amp;P]]-C894)/C894</f>
        <v>-9.7208474276063855E-2</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906"/>
  <sheetViews>
    <sheetView zoomScaleNormal="100" workbookViewId="0">
      <pane ySplit="5" topLeftCell="A861" activePane="bottomLeft" state="frozen"/>
      <selection activeCell="C68" sqref="C68"/>
      <selection pane="bottomLeft" activeCell="W897" sqref="W897"/>
    </sheetView>
  </sheetViews>
  <sheetFormatPr defaultColWidth="9.1796875" defaultRowHeight="14.5" x14ac:dyDescent="0.35"/>
  <cols>
    <col min="1" max="1" width="18.36328125" style="90" customWidth="1"/>
    <col min="2" max="3" width="11" style="90" customWidth="1"/>
    <col min="4" max="6" width="9.1796875" style="90" customWidth="1"/>
    <col min="7" max="7" width="12.81640625" style="90" customWidth="1"/>
    <col min="8" max="8" width="14.36328125" style="90" customWidth="1"/>
    <col min="9" max="9" width="9.1796875" style="90" customWidth="1"/>
    <col min="10" max="10" width="14.81640625" style="90" customWidth="1"/>
    <col min="11" max="51" width="9.1796875" style="90" customWidth="1"/>
    <col min="52" max="16384" width="9.1796875" style="90"/>
  </cols>
  <sheetData>
    <row r="1" spans="1:9" x14ac:dyDescent="0.35">
      <c r="A1" s="93" t="s">
        <v>27</v>
      </c>
      <c r="I1" s="92"/>
    </row>
    <row r="2" spans="1:9" x14ac:dyDescent="0.35">
      <c r="B2" s="92"/>
      <c r="C2" s="92"/>
    </row>
    <row r="3" spans="1:9" x14ac:dyDescent="0.35">
      <c r="B3" s="92"/>
      <c r="C3" s="92"/>
    </row>
    <row r="4" spans="1:9" ht="16" customHeight="1" thickBot="1" x14ac:dyDescent="0.4">
      <c r="B4" s="92"/>
      <c r="C4" s="92"/>
    </row>
    <row r="5" spans="1:9" x14ac:dyDescent="0.35">
      <c r="A5" s="42" t="s">
        <v>82</v>
      </c>
      <c r="B5" s="43" t="s">
        <v>84</v>
      </c>
      <c r="C5" s="44" t="s">
        <v>90</v>
      </c>
    </row>
    <row r="6" spans="1:9" x14ac:dyDescent="0.35">
      <c r="A6" s="39">
        <v>17533</v>
      </c>
      <c r="B6" s="40">
        <f>VLOOKUP(Table9[[#This Row],[Date]],'DB Details'!$A:$L,12)</f>
        <v>51.7</v>
      </c>
      <c r="C6" s="40"/>
    </row>
    <row r="7" spans="1:9" x14ac:dyDescent="0.35">
      <c r="A7" s="39">
        <v>17564</v>
      </c>
      <c r="B7" s="40">
        <f>VLOOKUP(Table9[[#This Row],[Date]],'DB Details'!$A:$L,12)</f>
        <v>50.2</v>
      </c>
      <c r="C7" s="40">
        <f>Table9[[#This Row],[PMI]]-B6</f>
        <v>-1.5</v>
      </c>
    </row>
    <row r="8" spans="1:9" x14ac:dyDescent="0.35">
      <c r="A8" s="39">
        <v>17593</v>
      </c>
      <c r="B8" s="40">
        <f>VLOOKUP(Table9[[#This Row],[Date]],'DB Details'!$A:$L,12)</f>
        <v>43.3</v>
      </c>
      <c r="C8" s="40">
        <f>Table9[[#This Row],[PMI]]-B7</f>
        <v>-6.9000000000000057</v>
      </c>
    </row>
    <row r="9" spans="1:9" x14ac:dyDescent="0.35">
      <c r="A9" s="39">
        <v>17624</v>
      </c>
      <c r="B9" s="40">
        <f>VLOOKUP(Table9[[#This Row],[Date]],'DB Details'!$A:$L,12)</f>
        <v>45.4</v>
      </c>
      <c r="C9" s="40">
        <f>Table9[[#This Row],[PMI]]-B8</f>
        <v>2.1000000000000014</v>
      </c>
    </row>
    <row r="10" spans="1:9" x14ac:dyDescent="0.35">
      <c r="A10" s="39">
        <v>17654</v>
      </c>
      <c r="B10" s="40">
        <f>VLOOKUP(Table9[[#This Row],[Date]],'DB Details'!$A:$L,12)</f>
        <v>49.5</v>
      </c>
      <c r="C10" s="40">
        <f>Table9[[#This Row],[PMI]]-B9</f>
        <v>4.1000000000000014</v>
      </c>
    </row>
    <row r="11" spans="1:9" x14ac:dyDescent="0.35">
      <c r="A11" s="39">
        <v>17685</v>
      </c>
      <c r="B11" s="40">
        <f>VLOOKUP(Table9[[#This Row],[Date]],'DB Details'!$A:$L,12)</f>
        <v>53</v>
      </c>
      <c r="C11" s="40">
        <f>Table9[[#This Row],[PMI]]-B10</f>
        <v>3.5</v>
      </c>
    </row>
    <row r="12" spans="1:9" x14ac:dyDescent="0.35">
      <c r="A12" s="39">
        <v>17715</v>
      </c>
      <c r="B12" s="40">
        <f>VLOOKUP(Table9[[#This Row],[Date]],'DB Details'!$A:$L,12)</f>
        <v>48.4</v>
      </c>
      <c r="C12" s="40">
        <f>Table9[[#This Row],[PMI]]-B11</f>
        <v>-4.6000000000000014</v>
      </c>
    </row>
    <row r="13" spans="1:9" x14ac:dyDescent="0.35">
      <c r="A13" s="39">
        <v>17746</v>
      </c>
      <c r="B13" s="40">
        <f>VLOOKUP(Table9[[#This Row],[Date]],'DB Details'!$A:$L,12)</f>
        <v>45.1</v>
      </c>
      <c r="C13" s="40">
        <f>Table9[[#This Row],[PMI]]-B12</f>
        <v>-3.2999999999999972</v>
      </c>
    </row>
    <row r="14" spans="1:9" x14ac:dyDescent="0.35">
      <c r="A14" s="39">
        <v>17777</v>
      </c>
      <c r="B14" s="40">
        <f>VLOOKUP(Table9[[#This Row],[Date]],'DB Details'!$A:$L,12)</f>
        <v>42.1</v>
      </c>
      <c r="C14" s="40">
        <f>Table9[[#This Row],[PMI]]-B13</f>
        <v>-3</v>
      </c>
    </row>
    <row r="15" spans="1:9" x14ac:dyDescent="0.35">
      <c r="A15" s="39">
        <v>17807</v>
      </c>
      <c r="B15" s="40">
        <f>VLOOKUP(Table9[[#This Row],[Date]],'DB Details'!$A:$L,12)</f>
        <v>47.2</v>
      </c>
      <c r="C15" s="40">
        <f>Table9[[#This Row],[PMI]]-B14</f>
        <v>5.1000000000000014</v>
      </c>
    </row>
    <row r="16" spans="1:9" x14ac:dyDescent="0.35">
      <c r="A16" s="39">
        <v>17838</v>
      </c>
      <c r="B16" s="40">
        <f>VLOOKUP(Table9[[#This Row],[Date]],'DB Details'!$A:$L,12)</f>
        <v>42.4</v>
      </c>
      <c r="C16" s="40">
        <f>Table9[[#This Row],[PMI]]-B15</f>
        <v>-4.8000000000000043</v>
      </c>
    </row>
    <row r="17" spans="1:3" x14ac:dyDescent="0.35">
      <c r="A17" s="39">
        <v>17868</v>
      </c>
      <c r="B17" s="40">
        <f>VLOOKUP(Table9[[#This Row],[Date]],'DB Details'!$A:$L,12)</f>
        <v>35</v>
      </c>
      <c r="C17" s="40">
        <f>Table9[[#This Row],[PMI]]-B16</f>
        <v>-7.3999999999999986</v>
      </c>
    </row>
    <row r="18" spans="1:3" x14ac:dyDescent="0.35">
      <c r="A18" s="39">
        <v>17899</v>
      </c>
      <c r="B18" s="40">
        <f>VLOOKUP(Table9[[#This Row],[Date]],'DB Details'!$A:$L,12)</f>
        <v>32.9</v>
      </c>
      <c r="C18" s="40">
        <f>Table9[[#This Row],[PMI]]-B17</f>
        <v>-2.1000000000000014</v>
      </c>
    </row>
    <row r="19" spans="1:3" x14ac:dyDescent="0.35">
      <c r="A19" s="39">
        <v>17930</v>
      </c>
      <c r="B19" s="40">
        <f>VLOOKUP(Table9[[#This Row],[Date]],'DB Details'!$A:$L,12)</f>
        <v>31.3</v>
      </c>
      <c r="C19" s="40">
        <f>Table9[[#This Row],[PMI]]-B18</f>
        <v>-1.5999999999999979</v>
      </c>
    </row>
    <row r="20" spans="1:3" x14ac:dyDescent="0.35">
      <c r="A20" s="39">
        <v>17958</v>
      </c>
      <c r="B20" s="40">
        <f>VLOOKUP(Table9[[#This Row],[Date]],'DB Details'!$A:$L,12)</f>
        <v>34.5</v>
      </c>
      <c r="C20" s="40">
        <f>Table9[[#This Row],[PMI]]-B19</f>
        <v>3.1999999999999993</v>
      </c>
    </row>
    <row r="21" spans="1:3" x14ac:dyDescent="0.35">
      <c r="A21" s="39">
        <v>17989</v>
      </c>
      <c r="B21" s="40">
        <f>VLOOKUP(Table9[[#This Row],[Date]],'DB Details'!$A:$L,12)</f>
        <v>35.5</v>
      </c>
      <c r="C21" s="40">
        <f>Table9[[#This Row],[PMI]]-B20</f>
        <v>1</v>
      </c>
    </row>
    <row r="22" spans="1:3" x14ac:dyDescent="0.35">
      <c r="A22" s="39">
        <v>18019</v>
      </c>
      <c r="B22" s="40">
        <f>VLOOKUP(Table9[[#This Row],[Date]],'DB Details'!$A:$L,12)</f>
        <v>32.6</v>
      </c>
      <c r="C22" s="40">
        <f>Table9[[#This Row],[PMI]]-B21</f>
        <v>-2.8999999999999986</v>
      </c>
    </row>
    <row r="23" spans="1:3" x14ac:dyDescent="0.35">
      <c r="A23" s="39">
        <v>18050</v>
      </c>
      <c r="B23" s="40">
        <f>VLOOKUP(Table9[[#This Row],[Date]],'DB Details'!$A:$L,12)</f>
        <v>31.6</v>
      </c>
      <c r="C23" s="40">
        <f>Table9[[#This Row],[PMI]]-B22</f>
        <v>-1</v>
      </c>
    </row>
    <row r="24" spans="1:3" x14ac:dyDescent="0.35">
      <c r="A24" s="39">
        <v>18080</v>
      </c>
      <c r="B24" s="40">
        <f>VLOOKUP(Table9[[#This Row],[Date]],'DB Details'!$A:$L,12)</f>
        <v>39</v>
      </c>
      <c r="C24" s="40">
        <f>Table9[[#This Row],[PMI]]-B23</f>
        <v>7.3999999999999986</v>
      </c>
    </row>
    <row r="25" spans="1:3" x14ac:dyDescent="0.35">
      <c r="A25" s="39">
        <v>18111</v>
      </c>
      <c r="B25" s="40">
        <f>VLOOKUP(Table9[[#This Row],[Date]],'DB Details'!$A:$L,12)</f>
        <v>47</v>
      </c>
      <c r="C25" s="40">
        <f>Table9[[#This Row],[PMI]]-B24</f>
        <v>8</v>
      </c>
    </row>
    <row r="26" spans="1:3" x14ac:dyDescent="0.35">
      <c r="A26" s="39">
        <v>18142</v>
      </c>
      <c r="B26" s="40">
        <f>VLOOKUP(Table9[[#This Row],[Date]],'DB Details'!$A:$L,12)</f>
        <v>52.3</v>
      </c>
      <c r="C26" s="40">
        <f>Table9[[#This Row],[PMI]]-B25</f>
        <v>5.2999999999999972</v>
      </c>
    </row>
    <row r="27" spans="1:3" x14ac:dyDescent="0.35">
      <c r="A27" s="39">
        <v>18172</v>
      </c>
      <c r="B27" s="40">
        <f>VLOOKUP(Table9[[#This Row],[Date]],'DB Details'!$A:$L,12)</f>
        <v>51</v>
      </c>
      <c r="C27" s="40">
        <f>Table9[[#This Row],[PMI]]-B26</f>
        <v>-1.2999999999999972</v>
      </c>
    </row>
    <row r="28" spans="1:3" x14ac:dyDescent="0.35">
      <c r="A28" s="39">
        <v>18203</v>
      </c>
      <c r="B28" s="40">
        <f>VLOOKUP(Table9[[#This Row],[Date]],'DB Details'!$A:$L,12)</f>
        <v>51</v>
      </c>
      <c r="C28" s="40">
        <f>Table9[[#This Row],[PMI]]-B27</f>
        <v>0</v>
      </c>
    </row>
    <row r="29" spans="1:3" x14ac:dyDescent="0.35">
      <c r="A29" s="39">
        <v>18233</v>
      </c>
      <c r="B29" s="40">
        <f>VLOOKUP(Table9[[#This Row],[Date]],'DB Details'!$A:$L,12)</f>
        <v>57.3</v>
      </c>
      <c r="C29" s="40">
        <f>Table9[[#This Row],[PMI]]-B28</f>
        <v>6.2999999999999972</v>
      </c>
    </row>
    <row r="30" spans="1:3" x14ac:dyDescent="0.35">
      <c r="A30" s="39">
        <v>18264</v>
      </c>
      <c r="B30" s="40">
        <f>VLOOKUP(Table9[[#This Row],[Date]],'DB Details'!$A:$L,12)</f>
        <v>59.1</v>
      </c>
      <c r="C30" s="40">
        <f>Table9[[#This Row],[PMI]]-B29</f>
        <v>1.8000000000000043</v>
      </c>
    </row>
    <row r="31" spans="1:3" x14ac:dyDescent="0.35">
      <c r="A31" s="39">
        <v>18295</v>
      </c>
      <c r="B31" s="40">
        <f>VLOOKUP(Table9[[#This Row],[Date]],'DB Details'!$A:$L,12)</f>
        <v>60.5</v>
      </c>
      <c r="C31" s="40">
        <f>Table9[[#This Row],[PMI]]-B30</f>
        <v>1.3999999999999986</v>
      </c>
    </row>
    <row r="32" spans="1:3" x14ac:dyDescent="0.35">
      <c r="A32" s="39">
        <v>18323</v>
      </c>
      <c r="B32" s="40">
        <f>VLOOKUP(Table9[[#This Row],[Date]],'DB Details'!$A:$L,12)</f>
        <v>62.1</v>
      </c>
      <c r="C32" s="40">
        <f>Table9[[#This Row],[PMI]]-B31</f>
        <v>1.6000000000000014</v>
      </c>
    </row>
    <row r="33" spans="1:3" x14ac:dyDescent="0.35">
      <c r="A33" s="39">
        <v>18354</v>
      </c>
      <c r="B33" s="40">
        <f>VLOOKUP(Table9[[#This Row],[Date]],'DB Details'!$A:$L,12)</f>
        <v>68.099999999999994</v>
      </c>
      <c r="C33" s="40">
        <f>Table9[[#This Row],[PMI]]-B32</f>
        <v>5.9999999999999929</v>
      </c>
    </row>
    <row r="34" spans="1:3" x14ac:dyDescent="0.35">
      <c r="A34" s="39">
        <v>18384</v>
      </c>
      <c r="B34" s="40">
        <f>VLOOKUP(Table9[[#This Row],[Date]],'DB Details'!$A:$L,12)</f>
        <v>74.7</v>
      </c>
      <c r="C34" s="40">
        <f>Table9[[#This Row],[PMI]]-B33</f>
        <v>6.6000000000000085</v>
      </c>
    </row>
    <row r="35" spans="1:3" x14ac:dyDescent="0.35">
      <c r="A35" s="39">
        <v>18415</v>
      </c>
      <c r="B35" s="40">
        <f>VLOOKUP(Table9[[#This Row],[Date]],'DB Details'!$A:$L,12)</f>
        <v>76.599999999999994</v>
      </c>
      <c r="C35" s="40">
        <f>Table9[[#This Row],[PMI]]-B34</f>
        <v>1.8999999999999915</v>
      </c>
    </row>
    <row r="36" spans="1:3" x14ac:dyDescent="0.35">
      <c r="A36" s="39">
        <v>18445</v>
      </c>
      <c r="B36" s="40">
        <f>VLOOKUP(Table9[[#This Row],[Date]],'DB Details'!$A:$L,12)</f>
        <v>77.5</v>
      </c>
      <c r="C36" s="40">
        <f>Table9[[#This Row],[PMI]]-B35</f>
        <v>0.90000000000000568</v>
      </c>
    </row>
    <row r="37" spans="1:3" x14ac:dyDescent="0.35">
      <c r="A37" s="39">
        <v>18476</v>
      </c>
      <c r="B37" s="40">
        <f>VLOOKUP(Table9[[#This Row],[Date]],'DB Details'!$A:$L,12)</f>
        <v>75.8</v>
      </c>
      <c r="C37" s="40">
        <f>Table9[[#This Row],[PMI]]-B36</f>
        <v>-1.7000000000000028</v>
      </c>
    </row>
    <row r="38" spans="1:3" x14ac:dyDescent="0.35">
      <c r="A38" s="39">
        <v>18507</v>
      </c>
      <c r="B38" s="40">
        <f>VLOOKUP(Table9[[#This Row],[Date]],'DB Details'!$A:$L,12)</f>
        <v>68.099999999999994</v>
      </c>
      <c r="C38" s="40">
        <f>Table9[[#This Row],[PMI]]-B37</f>
        <v>-7.7000000000000028</v>
      </c>
    </row>
    <row r="39" spans="1:3" x14ac:dyDescent="0.35">
      <c r="A39" s="39">
        <v>18537</v>
      </c>
      <c r="B39" s="40">
        <f>VLOOKUP(Table9[[#This Row],[Date]],'DB Details'!$A:$L,12)</f>
        <v>59.2</v>
      </c>
      <c r="C39" s="40">
        <f>Table9[[#This Row],[PMI]]-B38</f>
        <v>-8.8999999999999915</v>
      </c>
    </row>
    <row r="40" spans="1:3" x14ac:dyDescent="0.35">
      <c r="A40" s="39">
        <v>18568</v>
      </c>
      <c r="B40" s="40">
        <f>VLOOKUP(Table9[[#This Row],[Date]],'DB Details'!$A:$L,12)</f>
        <v>63.1</v>
      </c>
      <c r="C40" s="40">
        <f>Table9[[#This Row],[PMI]]-B39</f>
        <v>3.8999999999999986</v>
      </c>
    </row>
    <row r="41" spans="1:3" x14ac:dyDescent="0.35">
      <c r="A41" s="39">
        <v>18598</v>
      </c>
      <c r="B41" s="40">
        <f>VLOOKUP(Table9[[#This Row],[Date]],'DB Details'!$A:$L,12)</f>
        <v>67.099999999999994</v>
      </c>
      <c r="C41" s="40">
        <f>Table9[[#This Row],[PMI]]-B40</f>
        <v>3.9999999999999929</v>
      </c>
    </row>
    <row r="42" spans="1:3" x14ac:dyDescent="0.35">
      <c r="A42" s="39">
        <v>18629</v>
      </c>
      <c r="B42" s="40">
        <f>VLOOKUP(Table9[[#This Row],[Date]],'DB Details'!$A:$L,12)</f>
        <v>67.8</v>
      </c>
      <c r="C42" s="40">
        <f>Table9[[#This Row],[PMI]]-B41</f>
        <v>0.70000000000000284</v>
      </c>
    </row>
    <row r="43" spans="1:3" x14ac:dyDescent="0.35">
      <c r="A43" s="39">
        <v>18660</v>
      </c>
      <c r="B43" s="40">
        <f>VLOOKUP(Table9[[#This Row],[Date]],'DB Details'!$A:$L,12)</f>
        <v>69.3</v>
      </c>
      <c r="C43" s="40">
        <f>Table9[[#This Row],[PMI]]-B42</f>
        <v>1.5</v>
      </c>
    </row>
    <row r="44" spans="1:3" x14ac:dyDescent="0.35">
      <c r="A44" s="39">
        <v>18688</v>
      </c>
      <c r="B44" s="40">
        <f>VLOOKUP(Table9[[#This Row],[Date]],'DB Details'!$A:$L,12)</f>
        <v>65.5</v>
      </c>
      <c r="C44" s="40">
        <f>Table9[[#This Row],[PMI]]-B43</f>
        <v>-3.7999999999999972</v>
      </c>
    </row>
    <row r="45" spans="1:3" x14ac:dyDescent="0.35">
      <c r="A45" s="39">
        <v>18719</v>
      </c>
      <c r="B45" s="40">
        <f>VLOOKUP(Table9[[#This Row],[Date]],'DB Details'!$A:$L,12)</f>
        <v>53.5</v>
      </c>
      <c r="C45" s="40">
        <f>Table9[[#This Row],[PMI]]-B44</f>
        <v>-12</v>
      </c>
    </row>
    <row r="46" spans="1:3" x14ac:dyDescent="0.35">
      <c r="A46" s="39">
        <v>18749</v>
      </c>
      <c r="B46" s="40">
        <f>VLOOKUP(Table9[[#This Row],[Date]],'DB Details'!$A:$L,12)</f>
        <v>50.7</v>
      </c>
      <c r="C46" s="40">
        <f>Table9[[#This Row],[PMI]]-B45</f>
        <v>-2.7999999999999972</v>
      </c>
    </row>
    <row r="47" spans="1:3" x14ac:dyDescent="0.35">
      <c r="A47" s="39">
        <v>18780</v>
      </c>
      <c r="B47" s="40">
        <f>VLOOKUP(Table9[[#This Row],[Date]],'DB Details'!$A:$L,12)</f>
        <v>45.5</v>
      </c>
      <c r="C47" s="40">
        <f>Table9[[#This Row],[PMI]]-B46</f>
        <v>-5.2000000000000028</v>
      </c>
    </row>
    <row r="48" spans="1:3" x14ac:dyDescent="0.35">
      <c r="A48" s="39">
        <v>18810</v>
      </c>
      <c r="B48" s="40">
        <f>VLOOKUP(Table9[[#This Row],[Date]],'DB Details'!$A:$L,12)</f>
        <v>42.1</v>
      </c>
      <c r="C48" s="40">
        <f>Table9[[#This Row],[PMI]]-B47</f>
        <v>-3.3999999999999986</v>
      </c>
    </row>
    <row r="49" spans="1:3" x14ac:dyDescent="0.35">
      <c r="A49" s="39">
        <v>18841</v>
      </c>
      <c r="B49" s="40">
        <f>VLOOKUP(Table9[[#This Row],[Date]],'DB Details'!$A:$L,12)</f>
        <v>43.6</v>
      </c>
      <c r="C49" s="40">
        <f>Table9[[#This Row],[PMI]]-B48</f>
        <v>1.5</v>
      </c>
    </row>
    <row r="50" spans="1:3" x14ac:dyDescent="0.35">
      <c r="A50" s="39">
        <v>18872</v>
      </c>
      <c r="B50" s="40">
        <f>VLOOKUP(Table9[[#This Row],[Date]],'DB Details'!$A:$L,12)</f>
        <v>48.1</v>
      </c>
      <c r="C50" s="40">
        <f>Table9[[#This Row],[PMI]]-B49</f>
        <v>4.5</v>
      </c>
    </row>
    <row r="51" spans="1:3" x14ac:dyDescent="0.35">
      <c r="A51" s="39">
        <v>18902</v>
      </c>
      <c r="B51" s="40">
        <f>VLOOKUP(Table9[[#This Row],[Date]],'DB Details'!$A:$L,12)</f>
        <v>49.6</v>
      </c>
      <c r="C51" s="40">
        <f>Table9[[#This Row],[PMI]]-B50</f>
        <v>1.5</v>
      </c>
    </row>
    <row r="52" spans="1:3" x14ac:dyDescent="0.35">
      <c r="A52" s="39">
        <v>18933</v>
      </c>
      <c r="B52" s="40">
        <f>VLOOKUP(Table9[[#This Row],[Date]],'DB Details'!$A:$L,12)</f>
        <v>47.2</v>
      </c>
      <c r="C52" s="40">
        <f>Table9[[#This Row],[PMI]]-B51</f>
        <v>-2.3999999999999986</v>
      </c>
    </row>
    <row r="53" spans="1:3" x14ac:dyDescent="0.35">
      <c r="A53" s="39">
        <v>18963</v>
      </c>
      <c r="B53" s="40">
        <f>VLOOKUP(Table9[[#This Row],[Date]],'DB Details'!$A:$L,12)</f>
        <v>46.5</v>
      </c>
      <c r="C53" s="40">
        <f>Table9[[#This Row],[PMI]]-B52</f>
        <v>-0.70000000000000284</v>
      </c>
    </row>
    <row r="54" spans="1:3" x14ac:dyDescent="0.35">
      <c r="A54" s="39">
        <v>18994</v>
      </c>
      <c r="B54" s="40">
        <f>VLOOKUP(Table9[[#This Row],[Date]],'DB Details'!$A:$L,12)</f>
        <v>44.7</v>
      </c>
      <c r="C54" s="40">
        <f>Table9[[#This Row],[PMI]]-B53</f>
        <v>-1.7999999999999972</v>
      </c>
    </row>
    <row r="55" spans="1:3" x14ac:dyDescent="0.35">
      <c r="A55" s="39">
        <v>19025</v>
      </c>
      <c r="B55" s="40">
        <f>VLOOKUP(Table9[[#This Row],[Date]],'DB Details'!$A:$L,12)</f>
        <v>41.8</v>
      </c>
      <c r="C55" s="40">
        <f>Table9[[#This Row],[PMI]]-B54</f>
        <v>-2.9000000000000057</v>
      </c>
    </row>
    <row r="56" spans="1:3" x14ac:dyDescent="0.35">
      <c r="A56" s="39">
        <v>19054</v>
      </c>
      <c r="B56" s="40">
        <f>VLOOKUP(Table9[[#This Row],[Date]],'DB Details'!$A:$L,12)</f>
        <v>40</v>
      </c>
      <c r="C56" s="40">
        <f>Table9[[#This Row],[PMI]]-B55</f>
        <v>-1.7999999999999972</v>
      </c>
    </row>
    <row r="57" spans="1:3" x14ac:dyDescent="0.35">
      <c r="A57" s="39">
        <v>19085</v>
      </c>
      <c r="B57" s="40">
        <f>VLOOKUP(Table9[[#This Row],[Date]],'DB Details'!$A:$L,12)</f>
        <v>36.700000000000003</v>
      </c>
      <c r="C57" s="40">
        <f>Table9[[#This Row],[PMI]]-B56</f>
        <v>-3.2999999999999972</v>
      </c>
    </row>
    <row r="58" spans="1:3" x14ac:dyDescent="0.35">
      <c r="A58" s="39">
        <v>19115</v>
      </c>
      <c r="B58" s="40">
        <f>VLOOKUP(Table9[[#This Row],[Date]],'DB Details'!$A:$L,12)</f>
        <v>39.5</v>
      </c>
      <c r="C58" s="40">
        <f>Table9[[#This Row],[PMI]]-B57</f>
        <v>2.7999999999999972</v>
      </c>
    </row>
    <row r="59" spans="1:3" x14ac:dyDescent="0.35">
      <c r="A59" s="39">
        <v>19146</v>
      </c>
      <c r="B59" s="40">
        <f>VLOOKUP(Table9[[#This Row],[Date]],'DB Details'!$A:$L,12)</f>
        <v>43.3</v>
      </c>
      <c r="C59" s="40">
        <f>Table9[[#This Row],[PMI]]-B58</f>
        <v>3.7999999999999972</v>
      </c>
    </row>
    <row r="60" spans="1:3" x14ac:dyDescent="0.35">
      <c r="A60" s="39">
        <v>19176</v>
      </c>
      <c r="B60" s="40">
        <f>VLOOKUP(Table9[[#This Row],[Date]],'DB Details'!$A:$L,12)</f>
        <v>48.3</v>
      </c>
      <c r="C60" s="40">
        <f>Table9[[#This Row],[PMI]]-B59</f>
        <v>5</v>
      </c>
    </row>
    <row r="61" spans="1:3" x14ac:dyDescent="0.35">
      <c r="A61" s="39">
        <v>19207</v>
      </c>
      <c r="B61" s="40">
        <f>VLOOKUP(Table9[[#This Row],[Date]],'DB Details'!$A:$L,12)</f>
        <v>60.4</v>
      </c>
      <c r="C61" s="40">
        <f>Table9[[#This Row],[PMI]]-B60</f>
        <v>12.100000000000001</v>
      </c>
    </row>
    <row r="62" spans="1:3" x14ac:dyDescent="0.35">
      <c r="A62" s="39">
        <v>19238</v>
      </c>
      <c r="B62" s="40">
        <f>VLOOKUP(Table9[[#This Row],[Date]],'DB Details'!$A:$L,12)</f>
        <v>56.1</v>
      </c>
      <c r="C62" s="40">
        <f>Table9[[#This Row],[PMI]]-B61</f>
        <v>-4.2999999999999972</v>
      </c>
    </row>
    <row r="63" spans="1:3" x14ac:dyDescent="0.35">
      <c r="A63" s="39">
        <v>19268</v>
      </c>
      <c r="B63" s="40">
        <f>VLOOKUP(Table9[[#This Row],[Date]],'DB Details'!$A:$L,12)</f>
        <v>56.2</v>
      </c>
      <c r="C63" s="40">
        <f>Table9[[#This Row],[PMI]]-B62</f>
        <v>0.10000000000000142</v>
      </c>
    </row>
    <row r="64" spans="1:3" x14ac:dyDescent="0.35">
      <c r="A64" s="39">
        <v>19299</v>
      </c>
      <c r="B64" s="40">
        <f>VLOOKUP(Table9[[#This Row],[Date]],'DB Details'!$A:$L,12)</f>
        <v>56.8</v>
      </c>
      <c r="C64" s="40">
        <f>Table9[[#This Row],[PMI]]-B63</f>
        <v>0.59999999999999432</v>
      </c>
    </row>
    <row r="65" spans="1:3" x14ac:dyDescent="0.35">
      <c r="A65" s="39">
        <v>19329</v>
      </c>
      <c r="B65" s="40">
        <f>VLOOKUP(Table9[[#This Row],[Date]],'DB Details'!$A:$L,12)</f>
        <v>55.8</v>
      </c>
      <c r="C65" s="40">
        <f>Table9[[#This Row],[PMI]]-B64</f>
        <v>-1</v>
      </c>
    </row>
    <row r="66" spans="1:3" x14ac:dyDescent="0.35">
      <c r="A66" s="39">
        <v>19360</v>
      </c>
      <c r="B66" s="40">
        <f>VLOOKUP(Table9[[#This Row],[Date]],'DB Details'!$A:$L,12)</f>
        <v>59.4</v>
      </c>
      <c r="C66" s="40">
        <f>Table9[[#This Row],[PMI]]-B65</f>
        <v>3.6000000000000014</v>
      </c>
    </row>
    <row r="67" spans="1:3" x14ac:dyDescent="0.35">
      <c r="A67" s="39">
        <v>19391</v>
      </c>
      <c r="B67" s="40">
        <f>VLOOKUP(Table9[[#This Row],[Date]],'DB Details'!$A:$L,12)</f>
        <v>55.4</v>
      </c>
      <c r="C67" s="40">
        <f>Table9[[#This Row],[PMI]]-B66</f>
        <v>-4</v>
      </c>
    </row>
    <row r="68" spans="1:3" x14ac:dyDescent="0.35">
      <c r="A68" s="39">
        <v>19419</v>
      </c>
      <c r="B68" s="40">
        <f>VLOOKUP(Table9[[#This Row],[Date]],'DB Details'!$A:$L,12)</f>
        <v>50.5</v>
      </c>
      <c r="C68" s="40">
        <f>Table9[[#This Row],[PMI]]-B67</f>
        <v>-4.8999999999999986</v>
      </c>
    </row>
    <row r="69" spans="1:3" x14ac:dyDescent="0.35">
      <c r="A69" s="39">
        <v>19450</v>
      </c>
      <c r="B69" s="40">
        <f>VLOOKUP(Table9[[#This Row],[Date]],'DB Details'!$A:$L,12)</f>
        <v>51.1</v>
      </c>
      <c r="C69" s="40">
        <f>Table9[[#This Row],[PMI]]-B68</f>
        <v>0.60000000000000142</v>
      </c>
    </row>
    <row r="70" spans="1:3" x14ac:dyDescent="0.35">
      <c r="A70" s="39">
        <v>19480</v>
      </c>
      <c r="B70" s="40">
        <f>VLOOKUP(Table9[[#This Row],[Date]],'DB Details'!$A:$L,12)</f>
        <v>48.9</v>
      </c>
      <c r="C70" s="40">
        <f>Table9[[#This Row],[PMI]]-B69</f>
        <v>-2.2000000000000028</v>
      </c>
    </row>
    <row r="71" spans="1:3" x14ac:dyDescent="0.35">
      <c r="A71" s="39">
        <v>19511</v>
      </c>
      <c r="B71" s="40">
        <f>VLOOKUP(Table9[[#This Row],[Date]],'DB Details'!$A:$L,12)</f>
        <v>48.5</v>
      </c>
      <c r="C71" s="40">
        <f>Table9[[#This Row],[PMI]]-B70</f>
        <v>-0.39999999999999858</v>
      </c>
    </row>
    <row r="72" spans="1:3" x14ac:dyDescent="0.35">
      <c r="A72" s="39">
        <v>19541</v>
      </c>
      <c r="B72" s="40">
        <f>VLOOKUP(Table9[[#This Row],[Date]],'DB Details'!$A:$L,12)</f>
        <v>46.3</v>
      </c>
      <c r="C72" s="40">
        <f>Table9[[#This Row],[PMI]]-B71</f>
        <v>-2.2000000000000028</v>
      </c>
    </row>
    <row r="73" spans="1:3" x14ac:dyDescent="0.35">
      <c r="A73" s="39">
        <v>19572</v>
      </c>
      <c r="B73" s="40">
        <f>VLOOKUP(Table9[[#This Row],[Date]],'DB Details'!$A:$L,12)</f>
        <v>43.5</v>
      </c>
      <c r="C73" s="40">
        <f>Table9[[#This Row],[PMI]]-B72</f>
        <v>-2.7999999999999972</v>
      </c>
    </row>
    <row r="74" spans="1:3" x14ac:dyDescent="0.35">
      <c r="A74" s="39">
        <v>19603</v>
      </c>
      <c r="B74" s="40">
        <f>VLOOKUP(Table9[[#This Row],[Date]],'DB Details'!$A:$L,12)</f>
        <v>40.200000000000003</v>
      </c>
      <c r="C74" s="40">
        <f>Table9[[#This Row],[PMI]]-B73</f>
        <v>-3.2999999999999972</v>
      </c>
    </row>
    <row r="75" spans="1:3" x14ac:dyDescent="0.35">
      <c r="A75" s="39">
        <v>19633</v>
      </c>
      <c r="B75" s="40">
        <f>VLOOKUP(Table9[[#This Row],[Date]],'DB Details'!$A:$L,12)</f>
        <v>37.4</v>
      </c>
      <c r="C75" s="40">
        <f>Table9[[#This Row],[PMI]]-B74</f>
        <v>-2.8000000000000043</v>
      </c>
    </row>
    <row r="76" spans="1:3" x14ac:dyDescent="0.35">
      <c r="A76" s="39">
        <v>19664</v>
      </c>
      <c r="B76" s="40">
        <f>VLOOKUP(Table9[[#This Row],[Date]],'DB Details'!$A:$L,12)</f>
        <v>36.9</v>
      </c>
      <c r="C76" s="40">
        <f>Table9[[#This Row],[PMI]]-B75</f>
        <v>-0.5</v>
      </c>
    </row>
    <row r="77" spans="1:3" x14ac:dyDescent="0.35">
      <c r="A77" s="39">
        <v>19694</v>
      </c>
      <c r="B77" s="40">
        <f>VLOOKUP(Table9[[#This Row],[Date]],'DB Details'!$A:$L,12)</f>
        <v>35.6</v>
      </c>
      <c r="C77" s="40">
        <f>Table9[[#This Row],[PMI]]-B76</f>
        <v>-1.2999999999999972</v>
      </c>
    </row>
    <row r="78" spans="1:3" x14ac:dyDescent="0.35">
      <c r="A78" s="39">
        <v>19725</v>
      </c>
      <c r="B78" s="40">
        <f>VLOOKUP(Table9[[#This Row],[Date]],'DB Details'!$A:$L,12)</f>
        <v>37.4</v>
      </c>
      <c r="C78" s="40">
        <f>Table9[[#This Row],[PMI]]-B77</f>
        <v>1.7999999999999972</v>
      </c>
    </row>
    <row r="79" spans="1:3" x14ac:dyDescent="0.35">
      <c r="A79" s="39">
        <v>19756</v>
      </c>
      <c r="B79" s="40">
        <f>VLOOKUP(Table9[[#This Row],[Date]],'DB Details'!$A:$L,12)</f>
        <v>40.700000000000003</v>
      </c>
      <c r="C79" s="40">
        <f>Table9[[#This Row],[PMI]]-B78</f>
        <v>3.3000000000000043</v>
      </c>
    </row>
    <row r="80" spans="1:3" x14ac:dyDescent="0.35">
      <c r="A80" s="39">
        <v>19784</v>
      </c>
      <c r="B80" s="40">
        <f>VLOOKUP(Table9[[#This Row],[Date]],'DB Details'!$A:$L,12)</f>
        <v>44.7</v>
      </c>
      <c r="C80" s="40">
        <f>Table9[[#This Row],[PMI]]-B79</f>
        <v>4</v>
      </c>
    </row>
    <row r="81" spans="1:3" x14ac:dyDescent="0.35">
      <c r="A81" s="39">
        <v>19815</v>
      </c>
      <c r="B81" s="40">
        <f>VLOOKUP(Table9[[#This Row],[Date]],'DB Details'!$A:$L,12)</f>
        <v>47.7</v>
      </c>
      <c r="C81" s="40">
        <f>Table9[[#This Row],[PMI]]-B80</f>
        <v>3</v>
      </c>
    </row>
    <row r="82" spans="1:3" x14ac:dyDescent="0.35">
      <c r="A82" s="39">
        <v>19845</v>
      </c>
      <c r="B82" s="40">
        <f>VLOOKUP(Table9[[#This Row],[Date]],'DB Details'!$A:$L,12)</f>
        <v>50.1</v>
      </c>
      <c r="C82" s="40">
        <f>Table9[[#This Row],[PMI]]-B81</f>
        <v>2.3999999999999986</v>
      </c>
    </row>
    <row r="83" spans="1:3" x14ac:dyDescent="0.35">
      <c r="A83" s="39">
        <v>19876</v>
      </c>
      <c r="B83" s="40">
        <f>VLOOKUP(Table9[[#This Row],[Date]],'DB Details'!$A:$L,12)</f>
        <v>52.1</v>
      </c>
      <c r="C83" s="40">
        <f>Table9[[#This Row],[PMI]]-B82</f>
        <v>2</v>
      </c>
    </row>
    <row r="84" spans="1:3" x14ac:dyDescent="0.35">
      <c r="A84" s="39">
        <v>19906</v>
      </c>
      <c r="B84" s="40">
        <f>VLOOKUP(Table9[[#This Row],[Date]],'DB Details'!$A:$L,12)</f>
        <v>51.7</v>
      </c>
      <c r="C84" s="40">
        <f>Table9[[#This Row],[PMI]]-B83</f>
        <v>-0.39999999999999858</v>
      </c>
    </row>
    <row r="85" spans="1:3" x14ac:dyDescent="0.35">
      <c r="A85" s="39">
        <v>19937</v>
      </c>
      <c r="B85" s="40">
        <f>VLOOKUP(Table9[[#This Row],[Date]],'DB Details'!$A:$L,12)</f>
        <v>54.4</v>
      </c>
      <c r="C85" s="40">
        <f>Table9[[#This Row],[PMI]]-B84</f>
        <v>2.6999999999999957</v>
      </c>
    </row>
    <row r="86" spans="1:3" x14ac:dyDescent="0.35">
      <c r="A86" s="39">
        <v>19968</v>
      </c>
      <c r="B86" s="40">
        <f>VLOOKUP(Table9[[#This Row],[Date]],'DB Details'!$A:$L,12)</f>
        <v>53.5</v>
      </c>
      <c r="C86" s="40">
        <f>Table9[[#This Row],[PMI]]-B85</f>
        <v>-0.89999999999999858</v>
      </c>
    </row>
    <row r="87" spans="1:3" x14ac:dyDescent="0.35">
      <c r="A87" s="39">
        <v>19998</v>
      </c>
      <c r="B87" s="40">
        <f>VLOOKUP(Table9[[#This Row],[Date]],'DB Details'!$A:$L,12)</f>
        <v>58.2</v>
      </c>
      <c r="C87" s="40">
        <f>Table9[[#This Row],[PMI]]-B86</f>
        <v>4.7000000000000028</v>
      </c>
    </row>
    <row r="88" spans="1:3" x14ac:dyDescent="0.35">
      <c r="A88" s="39">
        <v>20029</v>
      </c>
      <c r="B88" s="40">
        <f>VLOOKUP(Table9[[#This Row],[Date]],'DB Details'!$A:$L,12)</f>
        <v>58.8</v>
      </c>
      <c r="C88" s="40">
        <f>Table9[[#This Row],[PMI]]-B87</f>
        <v>0.59999999999999432</v>
      </c>
    </row>
    <row r="89" spans="1:3" x14ac:dyDescent="0.35">
      <c r="A89" s="39">
        <v>20059</v>
      </c>
      <c r="B89" s="40">
        <f>VLOOKUP(Table9[[#This Row],[Date]],'DB Details'!$A:$L,12)</f>
        <v>63.8</v>
      </c>
      <c r="C89" s="40">
        <f>Table9[[#This Row],[PMI]]-B88</f>
        <v>5</v>
      </c>
    </row>
    <row r="90" spans="1:3" x14ac:dyDescent="0.35">
      <c r="A90" s="39">
        <v>20090</v>
      </c>
      <c r="B90" s="40">
        <f>VLOOKUP(Table9[[#This Row],[Date]],'DB Details'!$A:$L,12)</f>
        <v>63</v>
      </c>
      <c r="C90" s="40">
        <f>Table9[[#This Row],[PMI]]-B89</f>
        <v>-0.79999999999999716</v>
      </c>
    </row>
    <row r="91" spans="1:3" x14ac:dyDescent="0.35">
      <c r="A91" s="39">
        <v>20121</v>
      </c>
      <c r="B91" s="40">
        <f>VLOOKUP(Table9[[#This Row],[Date]],'DB Details'!$A:$L,12)</f>
        <v>67.8</v>
      </c>
      <c r="C91" s="40">
        <f>Table9[[#This Row],[PMI]]-B90</f>
        <v>4.7999999999999972</v>
      </c>
    </row>
    <row r="92" spans="1:3" x14ac:dyDescent="0.35">
      <c r="A92" s="39">
        <v>20149</v>
      </c>
      <c r="B92" s="40">
        <f>VLOOKUP(Table9[[#This Row],[Date]],'DB Details'!$A:$L,12)</f>
        <v>67.5</v>
      </c>
      <c r="C92" s="40">
        <f>Table9[[#This Row],[PMI]]-B91</f>
        <v>-0.29999999999999716</v>
      </c>
    </row>
    <row r="93" spans="1:3" x14ac:dyDescent="0.35">
      <c r="A93" s="39">
        <v>20180</v>
      </c>
      <c r="B93" s="40">
        <f>VLOOKUP(Table9[[#This Row],[Date]],'DB Details'!$A:$L,12)</f>
        <v>68.7</v>
      </c>
      <c r="C93" s="40">
        <f>Table9[[#This Row],[PMI]]-B92</f>
        <v>1.2000000000000028</v>
      </c>
    </row>
    <row r="94" spans="1:3" x14ac:dyDescent="0.35">
      <c r="A94" s="39">
        <v>20210</v>
      </c>
      <c r="B94" s="40">
        <f>VLOOKUP(Table9[[#This Row],[Date]],'DB Details'!$A:$L,12)</f>
        <v>69.5</v>
      </c>
      <c r="C94" s="40">
        <f>Table9[[#This Row],[PMI]]-B93</f>
        <v>0.79999999999999716</v>
      </c>
    </row>
    <row r="95" spans="1:3" x14ac:dyDescent="0.35">
      <c r="A95" s="39">
        <v>20241</v>
      </c>
      <c r="B95" s="40">
        <f>VLOOKUP(Table9[[#This Row],[Date]],'DB Details'!$A:$L,12)</f>
        <v>63.3</v>
      </c>
      <c r="C95" s="40">
        <f>Table9[[#This Row],[PMI]]-B94</f>
        <v>-6.2000000000000028</v>
      </c>
    </row>
    <row r="96" spans="1:3" x14ac:dyDescent="0.35">
      <c r="A96" s="39">
        <v>20271</v>
      </c>
      <c r="B96" s="40">
        <f>VLOOKUP(Table9[[#This Row],[Date]],'DB Details'!$A:$L,12)</f>
        <v>66.2</v>
      </c>
      <c r="C96" s="40">
        <f>Table9[[#This Row],[PMI]]-B95</f>
        <v>2.9000000000000057</v>
      </c>
    </row>
    <row r="97" spans="1:3" x14ac:dyDescent="0.35">
      <c r="A97" s="39">
        <v>20302</v>
      </c>
      <c r="B97" s="40">
        <f>VLOOKUP(Table9[[#This Row],[Date]],'DB Details'!$A:$L,12)</f>
        <v>64.8</v>
      </c>
      <c r="C97" s="40">
        <f>Table9[[#This Row],[PMI]]-B96</f>
        <v>-1.4000000000000057</v>
      </c>
    </row>
    <row r="98" spans="1:3" x14ac:dyDescent="0.35">
      <c r="A98" s="39">
        <v>20333</v>
      </c>
      <c r="B98" s="40">
        <f>VLOOKUP(Table9[[#This Row],[Date]],'DB Details'!$A:$L,12)</f>
        <v>62.4</v>
      </c>
      <c r="C98" s="40">
        <f>Table9[[#This Row],[PMI]]-B97</f>
        <v>-2.3999999999999986</v>
      </c>
    </row>
    <row r="99" spans="1:3" x14ac:dyDescent="0.35">
      <c r="A99" s="39">
        <v>20363</v>
      </c>
      <c r="B99" s="40">
        <f>VLOOKUP(Table9[[#This Row],[Date]],'DB Details'!$A:$L,12)</f>
        <v>63.7</v>
      </c>
      <c r="C99" s="40">
        <f>Table9[[#This Row],[PMI]]-B98</f>
        <v>1.3000000000000043</v>
      </c>
    </row>
    <row r="100" spans="1:3" x14ac:dyDescent="0.35">
      <c r="A100" s="39">
        <v>20394</v>
      </c>
      <c r="B100" s="40">
        <f>VLOOKUP(Table9[[#This Row],[Date]],'DB Details'!$A:$L,12)</f>
        <v>62</v>
      </c>
      <c r="C100" s="40">
        <f>Table9[[#This Row],[PMI]]-B99</f>
        <v>-1.7000000000000028</v>
      </c>
    </row>
    <row r="101" spans="1:3" x14ac:dyDescent="0.35">
      <c r="A101" s="39">
        <v>20424</v>
      </c>
      <c r="B101" s="40">
        <f>VLOOKUP(Table9[[#This Row],[Date]],'DB Details'!$A:$L,12)</f>
        <v>65.599999999999994</v>
      </c>
      <c r="C101" s="40">
        <f>Table9[[#This Row],[PMI]]-B100</f>
        <v>3.5999999999999943</v>
      </c>
    </row>
    <row r="102" spans="1:3" x14ac:dyDescent="0.35">
      <c r="A102" s="39">
        <v>20455</v>
      </c>
      <c r="B102" s="40">
        <f>VLOOKUP(Table9[[#This Row],[Date]],'DB Details'!$A:$L,12)</f>
        <v>60.2</v>
      </c>
      <c r="C102" s="40">
        <f>Table9[[#This Row],[PMI]]-B101</f>
        <v>-5.3999999999999915</v>
      </c>
    </row>
    <row r="103" spans="1:3" x14ac:dyDescent="0.35">
      <c r="A103" s="39">
        <v>20486</v>
      </c>
      <c r="B103" s="40">
        <f>VLOOKUP(Table9[[#This Row],[Date]],'DB Details'!$A:$L,12)</f>
        <v>58.2</v>
      </c>
      <c r="C103" s="40">
        <f>Table9[[#This Row],[PMI]]-B102</f>
        <v>-2</v>
      </c>
    </row>
    <row r="104" spans="1:3" x14ac:dyDescent="0.35">
      <c r="A104" s="39">
        <v>20515</v>
      </c>
      <c r="B104" s="40">
        <f>VLOOKUP(Table9[[#This Row],[Date]],'DB Details'!$A:$L,12)</f>
        <v>57.2</v>
      </c>
      <c r="C104" s="40">
        <f>Table9[[#This Row],[PMI]]-B103</f>
        <v>-1</v>
      </c>
    </row>
    <row r="105" spans="1:3" x14ac:dyDescent="0.35">
      <c r="A105" s="39">
        <v>20546</v>
      </c>
      <c r="B105" s="40">
        <f>VLOOKUP(Table9[[#This Row],[Date]],'DB Details'!$A:$L,12)</f>
        <v>55.9</v>
      </c>
      <c r="C105" s="40">
        <f>Table9[[#This Row],[PMI]]-B104</f>
        <v>-1.3000000000000043</v>
      </c>
    </row>
    <row r="106" spans="1:3" x14ac:dyDescent="0.35">
      <c r="A106" s="39">
        <v>20576</v>
      </c>
      <c r="B106" s="40">
        <f>VLOOKUP(Table9[[#This Row],[Date]],'DB Details'!$A:$L,12)</f>
        <v>51.2</v>
      </c>
      <c r="C106" s="40">
        <f>Table9[[#This Row],[PMI]]-B105</f>
        <v>-4.6999999999999957</v>
      </c>
    </row>
    <row r="107" spans="1:3" x14ac:dyDescent="0.35">
      <c r="A107" s="39">
        <v>20607</v>
      </c>
      <c r="B107" s="40">
        <f>VLOOKUP(Table9[[#This Row],[Date]],'DB Details'!$A:$L,12)</f>
        <v>47.7</v>
      </c>
      <c r="C107" s="40">
        <f>Table9[[#This Row],[PMI]]-B106</f>
        <v>-3.5</v>
      </c>
    </row>
    <row r="108" spans="1:3" x14ac:dyDescent="0.35">
      <c r="A108" s="39">
        <v>20637</v>
      </c>
      <c r="B108" s="40">
        <f>VLOOKUP(Table9[[#This Row],[Date]],'DB Details'!$A:$L,12)</f>
        <v>44.2</v>
      </c>
      <c r="C108" s="40">
        <f>Table9[[#This Row],[PMI]]-B107</f>
        <v>-3.5</v>
      </c>
    </row>
    <row r="109" spans="1:3" x14ac:dyDescent="0.35">
      <c r="A109" s="39">
        <v>20668</v>
      </c>
      <c r="B109" s="40">
        <f>VLOOKUP(Table9[[#This Row],[Date]],'DB Details'!$A:$L,12)</f>
        <v>51.5</v>
      </c>
      <c r="C109" s="40">
        <f>Table9[[#This Row],[PMI]]-B108</f>
        <v>7.2999999999999972</v>
      </c>
    </row>
    <row r="110" spans="1:3" x14ac:dyDescent="0.35">
      <c r="A110" s="39">
        <v>20699</v>
      </c>
      <c r="B110" s="40">
        <f>VLOOKUP(Table9[[#This Row],[Date]],'DB Details'!$A:$L,12)</f>
        <v>55.5</v>
      </c>
      <c r="C110" s="40">
        <f>Table9[[#This Row],[PMI]]-B109</f>
        <v>4</v>
      </c>
    </row>
    <row r="111" spans="1:3" x14ac:dyDescent="0.35">
      <c r="A111" s="39">
        <v>20729</v>
      </c>
      <c r="B111" s="40">
        <f>VLOOKUP(Table9[[#This Row],[Date]],'DB Details'!$A:$L,12)</f>
        <v>52.7</v>
      </c>
      <c r="C111" s="40">
        <f>Table9[[#This Row],[PMI]]-B110</f>
        <v>-2.7999999999999972</v>
      </c>
    </row>
    <row r="112" spans="1:3" x14ac:dyDescent="0.35">
      <c r="A112" s="39">
        <v>20760</v>
      </c>
      <c r="B112" s="40">
        <f>VLOOKUP(Table9[[#This Row],[Date]],'DB Details'!$A:$L,12)</f>
        <v>55</v>
      </c>
      <c r="C112" s="40">
        <f>Table9[[#This Row],[PMI]]-B111</f>
        <v>2.2999999999999972</v>
      </c>
    </row>
    <row r="113" spans="1:3" x14ac:dyDescent="0.35">
      <c r="A113" s="39">
        <v>20790</v>
      </c>
      <c r="B113" s="40">
        <f>VLOOKUP(Table9[[#This Row],[Date]],'DB Details'!$A:$L,12)</f>
        <v>52.7</v>
      </c>
      <c r="C113" s="40">
        <f>Table9[[#This Row],[PMI]]-B112</f>
        <v>-2.2999999999999972</v>
      </c>
    </row>
    <row r="114" spans="1:3" x14ac:dyDescent="0.35">
      <c r="A114" s="39">
        <v>20821</v>
      </c>
      <c r="B114" s="40">
        <f>VLOOKUP(Table9[[#This Row],[Date]],'DB Details'!$A:$L,12)</f>
        <v>53.6</v>
      </c>
      <c r="C114" s="40">
        <f>Table9[[#This Row],[PMI]]-B113</f>
        <v>0.89999999999999858</v>
      </c>
    </row>
    <row r="115" spans="1:3" x14ac:dyDescent="0.35">
      <c r="A115" s="39">
        <v>20852</v>
      </c>
      <c r="B115" s="40">
        <f>VLOOKUP(Table9[[#This Row],[Date]],'DB Details'!$A:$L,12)</f>
        <v>51</v>
      </c>
      <c r="C115" s="40">
        <f>Table9[[#This Row],[PMI]]-B114</f>
        <v>-2.6000000000000014</v>
      </c>
    </row>
    <row r="116" spans="1:3" x14ac:dyDescent="0.35">
      <c r="A116" s="39">
        <v>20880</v>
      </c>
      <c r="B116" s="40">
        <f>VLOOKUP(Table9[[#This Row],[Date]],'DB Details'!$A:$L,12)</f>
        <v>47.5</v>
      </c>
      <c r="C116" s="40">
        <f>Table9[[#This Row],[PMI]]-B115</f>
        <v>-3.5</v>
      </c>
    </row>
    <row r="117" spans="1:3" x14ac:dyDescent="0.35">
      <c r="A117" s="39">
        <v>20911</v>
      </c>
      <c r="B117" s="40">
        <f>VLOOKUP(Table9[[#This Row],[Date]],'DB Details'!$A:$L,12)</f>
        <v>43.1</v>
      </c>
      <c r="C117" s="40">
        <f>Table9[[#This Row],[PMI]]-B116</f>
        <v>-4.3999999999999986</v>
      </c>
    </row>
    <row r="118" spans="1:3" x14ac:dyDescent="0.35">
      <c r="A118" s="39">
        <v>20941</v>
      </c>
      <c r="B118" s="40">
        <f>VLOOKUP(Table9[[#This Row],[Date]],'DB Details'!$A:$L,12)</f>
        <v>43.4</v>
      </c>
      <c r="C118" s="40">
        <f>Table9[[#This Row],[PMI]]-B117</f>
        <v>0.29999999999999716</v>
      </c>
    </row>
    <row r="119" spans="1:3" x14ac:dyDescent="0.35">
      <c r="A119" s="39">
        <v>20972</v>
      </c>
      <c r="B119" s="40">
        <f>VLOOKUP(Table9[[#This Row],[Date]],'DB Details'!$A:$L,12)</f>
        <v>45.9</v>
      </c>
      <c r="C119" s="40">
        <f>Table9[[#This Row],[PMI]]-B118</f>
        <v>2.5</v>
      </c>
    </row>
    <row r="120" spans="1:3" x14ac:dyDescent="0.35">
      <c r="A120" s="39">
        <v>21002</v>
      </c>
      <c r="B120" s="40">
        <f>VLOOKUP(Table9[[#This Row],[Date]],'DB Details'!$A:$L,12)</f>
        <v>45.7</v>
      </c>
      <c r="C120" s="40">
        <f>Table9[[#This Row],[PMI]]-B119</f>
        <v>-0.19999999999999574</v>
      </c>
    </row>
    <row r="121" spans="1:3" x14ac:dyDescent="0.35">
      <c r="A121" s="39">
        <v>21033</v>
      </c>
      <c r="B121" s="40">
        <f>VLOOKUP(Table9[[#This Row],[Date]],'DB Details'!$A:$L,12)</f>
        <v>45.3</v>
      </c>
      <c r="C121" s="40">
        <f>Table9[[#This Row],[PMI]]-B120</f>
        <v>-0.40000000000000568</v>
      </c>
    </row>
    <row r="122" spans="1:3" x14ac:dyDescent="0.35">
      <c r="A122" s="39">
        <v>21064</v>
      </c>
      <c r="B122" s="40">
        <f>VLOOKUP(Table9[[#This Row],[Date]],'DB Details'!$A:$L,12)</f>
        <v>45.8</v>
      </c>
      <c r="C122" s="40">
        <f>Table9[[#This Row],[PMI]]-B121</f>
        <v>0.5</v>
      </c>
    </row>
    <row r="123" spans="1:3" x14ac:dyDescent="0.35">
      <c r="A123" s="39">
        <v>21094</v>
      </c>
      <c r="B123" s="40">
        <f>VLOOKUP(Table9[[#This Row],[Date]],'DB Details'!$A:$L,12)</f>
        <v>41.1</v>
      </c>
      <c r="C123" s="40">
        <f>Table9[[#This Row],[PMI]]-B122</f>
        <v>-4.6999999999999957</v>
      </c>
    </row>
    <row r="124" spans="1:3" x14ac:dyDescent="0.35">
      <c r="A124" s="39">
        <v>21125</v>
      </c>
      <c r="B124" s="40">
        <f>VLOOKUP(Table9[[#This Row],[Date]],'DB Details'!$A:$L,12)</f>
        <v>40.4</v>
      </c>
      <c r="C124" s="40">
        <f>Table9[[#This Row],[PMI]]-B123</f>
        <v>-0.70000000000000284</v>
      </c>
    </row>
    <row r="125" spans="1:3" x14ac:dyDescent="0.35">
      <c r="A125" s="39">
        <v>21155</v>
      </c>
      <c r="B125" s="40">
        <f>VLOOKUP(Table9[[#This Row],[Date]],'DB Details'!$A:$L,12)</f>
        <v>36.799999999999997</v>
      </c>
      <c r="C125" s="40">
        <f>Table9[[#This Row],[PMI]]-B124</f>
        <v>-3.6000000000000014</v>
      </c>
    </row>
    <row r="126" spans="1:3" x14ac:dyDescent="0.35">
      <c r="A126" s="39">
        <v>21186</v>
      </c>
      <c r="B126" s="40">
        <f>VLOOKUP(Table9[[#This Row],[Date]],'DB Details'!$A:$L,12)</f>
        <v>33.4</v>
      </c>
      <c r="C126" s="40">
        <f>Table9[[#This Row],[PMI]]-B125</f>
        <v>-3.3999999999999986</v>
      </c>
    </row>
    <row r="127" spans="1:3" x14ac:dyDescent="0.35">
      <c r="A127" s="39">
        <v>21217</v>
      </c>
      <c r="B127" s="40">
        <f>VLOOKUP(Table9[[#This Row],[Date]],'DB Details'!$A:$L,12)</f>
        <v>37.200000000000003</v>
      </c>
      <c r="C127" s="40">
        <f>Table9[[#This Row],[PMI]]-B126</f>
        <v>3.8000000000000043</v>
      </c>
    </row>
    <row r="128" spans="1:3" x14ac:dyDescent="0.35">
      <c r="A128" s="39">
        <v>21245</v>
      </c>
      <c r="B128" s="40">
        <f>VLOOKUP(Table9[[#This Row],[Date]],'DB Details'!$A:$L,12)</f>
        <v>39.799999999999997</v>
      </c>
      <c r="C128" s="40">
        <f>Table9[[#This Row],[PMI]]-B127</f>
        <v>2.5999999999999943</v>
      </c>
    </row>
    <row r="129" spans="1:3" x14ac:dyDescent="0.35">
      <c r="A129" s="39">
        <v>21276</v>
      </c>
      <c r="B129" s="40">
        <f>VLOOKUP(Table9[[#This Row],[Date]],'DB Details'!$A:$L,12)</f>
        <v>39.1</v>
      </c>
      <c r="C129" s="40">
        <f>Table9[[#This Row],[PMI]]-B128</f>
        <v>-0.69999999999999574</v>
      </c>
    </row>
    <row r="130" spans="1:3" x14ac:dyDescent="0.35">
      <c r="A130" s="39">
        <v>21306</v>
      </c>
      <c r="B130" s="40">
        <f>VLOOKUP(Table9[[#This Row],[Date]],'DB Details'!$A:$L,12)</f>
        <v>46.6</v>
      </c>
      <c r="C130" s="40">
        <f>Table9[[#This Row],[PMI]]-B129</f>
        <v>7.5</v>
      </c>
    </row>
    <row r="131" spans="1:3" x14ac:dyDescent="0.35">
      <c r="A131" s="39">
        <v>21337</v>
      </c>
      <c r="B131" s="40">
        <f>VLOOKUP(Table9[[#This Row],[Date]],'DB Details'!$A:$L,12)</f>
        <v>51.4</v>
      </c>
      <c r="C131" s="40">
        <f>Table9[[#This Row],[PMI]]-B130</f>
        <v>4.7999999999999972</v>
      </c>
    </row>
    <row r="132" spans="1:3" x14ac:dyDescent="0.35">
      <c r="A132" s="39">
        <v>21367</v>
      </c>
      <c r="B132" s="40">
        <f>VLOOKUP(Table9[[#This Row],[Date]],'DB Details'!$A:$L,12)</f>
        <v>54.7</v>
      </c>
      <c r="C132" s="40">
        <f>Table9[[#This Row],[PMI]]-B131</f>
        <v>3.3000000000000043</v>
      </c>
    </row>
    <row r="133" spans="1:3" x14ac:dyDescent="0.35">
      <c r="A133" s="39">
        <v>21398</v>
      </c>
      <c r="B133" s="40">
        <f>VLOOKUP(Table9[[#This Row],[Date]],'DB Details'!$A:$L,12)</f>
        <v>57.3</v>
      </c>
      <c r="C133" s="40">
        <f>Table9[[#This Row],[PMI]]-B132</f>
        <v>2.5999999999999943</v>
      </c>
    </row>
    <row r="134" spans="1:3" x14ac:dyDescent="0.35">
      <c r="A134" s="39">
        <v>21429</v>
      </c>
      <c r="B134" s="40">
        <f>VLOOKUP(Table9[[#This Row],[Date]],'DB Details'!$A:$L,12)</f>
        <v>59.8</v>
      </c>
      <c r="C134" s="40">
        <f>Table9[[#This Row],[PMI]]-B133</f>
        <v>2.5</v>
      </c>
    </row>
    <row r="135" spans="1:3" x14ac:dyDescent="0.35">
      <c r="A135" s="39">
        <v>21459</v>
      </c>
      <c r="B135" s="40">
        <f>VLOOKUP(Table9[[#This Row],[Date]],'DB Details'!$A:$L,12)</f>
        <v>62.3</v>
      </c>
      <c r="C135" s="40">
        <f>Table9[[#This Row],[PMI]]-B134</f>
        <v>2.5</v>
      </c>
    </row>
    <row r="136" spans="1:3" x14ac:dyDescent="0.35">
      <c r="A136" s="39">
        <v>21490</v>
      </c>
      <c r="B136" s="40">
        <f>VLOOKUP(Table9[[#This Row],[Date]],'DB Details'!$A:$L,12)</f>
        <v>62.7</v>
      </c>
      <c r="C136" s="40">
        <f>Table9[[#This Row],[PMI]]-B135</f>
        <v>0.40000000000000568</v>
      </c>
    </row>
    <row r="137" spans="1:3" x14ac:dyDescent="0.35">
      <c r="A137" s="39">
        <v>21520</v>
      </c>
      <c r="B137" s="40">
        <f>VLOOKUP(Table9[[#This Row],[Date]],'DB Details'!$A:$L,12)</f>
        <v>60.5</v>
      </c>
      <c r="C137" s="40">
        <f>Table9[[#This Row],[PMI]]-B136</f>
        <v>-2.2000000000000028</v>
      </c>
    </row>
    <row r="138" spans="1:3" x14ac:dyDescent="0.35">
      <c r="A138" s="39">
        <v>21551</v>
      </c>
      <c r="B138" s="40">
        <f>VLOOKUP(Table9[[#This Row],[Date]],'DB Details'!$A:$L,12)</f>
        <v>64.400000000000006</v>
      </c>
      <c r="C138" s="40">
        <f>Table9[[#This Row],[PMI]]-B137</f>
        <v>3.9000000000000057</v>
      </c>
    </row>
    <row r="139" spans="1:3" x14ac:dyDescent="0.35">
      <c r="A139" s="39">
        <v>21582</v>
      </c>
      <c r="B139" s="40">
        <f>VLOOKUP(Table9[[#This Row],[Date]],'DB Details'!$A:$L,12)</f>
        <v>66.900000000000006</v>
      </c>
      <c r="C139" s="40">
        <f>Table9[[#This Row],[PMI]]-B138</f>
        <v>2.5</v>
      </c>
    </row>
    <row r="140" spans="1:3" x14ac:dyDescent="0.35">
      <c r="A140" s="39">
        <v>21610</v>
      </c>
      <c r="B140" s="40">
        <f>VLOOKUP(Table9[[#This Row],[Date]],'DB Details'!$A:$L,12)</f>
        <v>67.099999999999994</v>
      </c>
      <c r="C140" s="40">
        <f>Table9[[#This Row],[PMI]]-B139</f>
        <v>0.19999999999998863</v>
      </c>
    </row>
    <row r="141" spans="1:3" x14ac:dyDescent="0.35">
      <c r="A141" s="39">
        <v>21641</v>
      </c>
      <c r="B141" s="40">
        <f>VLOOKUP(Table9[[#This Row],[Date]],'DB Details'!$A:$L,12)</f>
        <v>66.900000000000006</v>
      </c>
      <c r="C141" s="40">
        <f>Table9[[#This Row],[PMI]]-B140</f>
        <v>-0.19999999999998863</v>
      </c>
    </row>
    <row r="142" spans="1:3" x14ac:dyDescent="0.35">
      <c r="A142" s="39">
        <v>21671</v>
      </c>
      <c r="B142" s="40">
        <f>VLOOKUP(Table9[[#This Row],[Date]],'DB Details'!$A:$L,12)</f>
        <v>68.2</v>
      </c>
      <c r="C142" s="40">
        <f>Table9[[#This Row],[PMI]]-B141</f>
        <v>1.2999999999999972</v>
      </c>
    </row>
    <row r="143" spans="1:3" x14ac:dyDescent="0.35">
      <c r="A143" s="39">
        <v>21702</v>
      </c>
      <c r="B143" s="40">
        <f>VLOOKUP(Table9[[#This Row],[Date]],'DB Details'!$A:$L,12)</f>
        <v>64.400000000000006</v>
      </c>
      <c r="C143" s="40">
        <f>Table9[[#This Row],[PMI]]-B142</f>
        <v>-3.7999999999999972</v>
      </c>
    </row>
    <row r="144" spans="1:3" x14ac:dyDescent="0.35">
      <c r="A144" s="39">
        <v>21732</v>
      </c>
      <c r="B144" s="40">
        <f>VLOOKUP(Table9[[#This Row],[Date]],'DB Details'!$A:$L,12)</f>
        <v>61.5</v>
      </c>
      <c r="C144" s="40">
        <f>Table9[[#This Row],[PMI]]-B143</f>
        <v>-2.9000000000000057</v>
      </c>
    </row>
    <row r="145" spans="1:3" x14ac:dyDescent="0.35">
      <c r="A145" s="39">
        <v>21763</v>
      </c>
      <c r="B145" s="40">
        <f>VLOOKUP(Table9[[#This Row],[Date]],'DB Details'!$A:$L,12)</f>
        <v>55.1</v>
      </c>
      <c r="C145" s="40">
        <f>Table9[[#This Row],[PMI]]-B144</f>
        <v>-6.3999999999999986</v>
      </c>
    </row>
    <row r="146" spans="1:3" x14ac:dyDescent="0.35">
      <c r="A146" s="39">
        <v>21794</v>
      </c>
      <c r="B146" s="40">
        <f>VLOOKUP(Table9[[#This Row],[Date]],'DB Details'!$A:$L,12)</f>
        <v>48.3</v>
      </c>
      <c r="C146" s="40">
        <f>Table9[[#This Row],[PMI]]-B145</f>
        <v>-6.8000000000000043</v>
      </c>
    </row>
    <row r="147" spans="1:3" x14ac:dyDescent="0.35">
      <c r="A147" s="39">
        <v>21824</v>
      </c>
      <c r="B147" s="40">
        <f>VLOOKUP(Table9[[#This Row],[Date]],'DB Details'!$A:$L,12)</f>
        <v>49.7</v>
      </c>
      <c r="C147" s="40">
        <f>Table9[[#This Row],[PMI]]-B146</f>
        <v>1.4000000000000057</v>
      </c>
    </row>
    <row r="148" spans="1:3" x14ac:dyDescent="0.35">
      <c r="A148" s="39">
        <v>21855</v>
      </c>
      <c r="B148" s="40">
        <f>VLOOKUP(Table9[[#This Row],[Date]],'DB Details'!$A:$L,12)</f>
        <v>50.6</v>
      </c>
      <c r="C148" s="40">
        <f>Table9[[#This Row],[PMI]]-B147</f>
        <v>0.89999999999999858</v>
      </c>
    </row>
    <row r="149" spans="1:3" x14ac:dyDescent="0.35">
      <c r="A149" s="39">
        <v>21885</v>
      </c>
      <c r="B149" s="40">
        <f>VLOOKUP(Table9[[#This Row],[Date]],'DB Details'!$A:$L,12)</f>
        <v>58.2</v>
      </c>
      <c r="C149" s="40">
        <f>Table9[[#This Row],[PMI]]-B148</f>
        <v>7.6000000000000014</v>
      </c>
    </row>
    <row r="150" spans="1:3" x14ac:dyDescent="0.35">
      <c r="A150" s="39">
        <v>21916</v>
      </c>
      <c r="B150" s="40">
        <f>VLOOKUP(Table9[[#This Row],[Date]],'DB Details'!$A:$L,12)</f>
        <v>61.5</v>
      </c>
      <c r="C150" s="40">
        <f>Table9[[#This Row],[PMI]]-B149</f>
        <v>3.2999999999999972</v>
      </c>
    </row>
    <row r="151" spans="1:3" x14ac:dyDescent="0.35">
      <c r="A151" s="39">
        <v>21947</v>
      </c>
      <c r="B151" s="40">
        <f>VLOOKUP(Table9[[#This Row],[Date]],'DB Details'!$A:$L,12)</f>
        <v>52.3</v>
      </c>
      <c r="C151" s="40">
        <f>Table9[[#This Row],[PMI]]-B150</f>
        <v>-9.2000000000000028</v>
      </c>
    </row>
    <row r="152" spans="1:3" x14ac:dyDescent="0.35">
      <c r="A152" s="39">
        <v>21976</v>
      </c>
      <c r="B152" s="40">
        <f>VLOOKUP(Table9[[#This Row],[Date]],'DB Details'!$A:$L,12)</f>
        <v>47.8</v>
      </c>
      <c r="C152" s="40">
        <f>Table9[[#This Row],[PMI]]-B151</f>
        <v>-4.5</v>
      </c>
    </row>
    <row r="153" spans="1:3" x14ac:dyDescent="0.35">
      <c r="A153" s="39">
        <v>22007</v>
      </c>
      <c r="B153" s="40">
        <f>VLOOKUP(Table9[[#This Row],[Date]],'DB Details'!$A:$L,12)</f>
        <v>45.3</v>
      </c>
      <c r="C153" s="40">
        <f>Table9[[#This Row],[PMI]]-B152</f>
        <v>-2.5</v>
      </c>
    </row>
    <row r="154" spans="1:3" x14ac:dyDescent="0.35">
      <c r="A154" s="39">
        <v>22037</v>
      </c>
      <c r="B154" s="40">
        <f>VLOOKUP(Table9[[#This Row],[Date]],'DB Details'!$A:$L,12)</f>
        <v>42.6</v>
      </c>
      <c r="C154" s="40">
        <f>Table9[[#This Row],[PMI]]-B153</f>
        <v>-2.6999999999999957</v>
      </c>
    </row>
    <row r="155" spans="1:3" x14ac:dyDescent="0.35">
      <c r="A155" s="39">
        <v>22068</v>
      </c>
      <c r="B155" s="40">
        <f>VLOOKUP(Table9[[#This Row],[Date]],'DB Details'!$A:$L,12)</f>
        <v>44.4</v>
      </c>
      <c r="C155" s="40">
        <f>Table9[[#This Row],[PMI]]-B154</f>
        <v>1.7999999999999972</v>
      </c>
    </row>
    <row r="156" spans="1:3" x14ac:dyDescent="0.35">
      <c r="A156" s="39">
        <v>22098</v>
      </c>
      <c r="B156" s="40">
        <f>VLOOKUP(Table9[[#This Row],[Date]],'DB Details'!$A:$L,12)</f>
        <v>43.7</v>
      </c>
      <c r="C156" s="40">
        <f>Table9[[#This Row],[PMI]]-B155</f>
        <v>-0.69999999999999574</v>
      </c>
    </row>
    <row r="157" spans="1:3" x14ac:dyDescent="0.35">
      <c r="A157" s="39">
        <v>22129</v>
      </c>
      <c r="B157" s="40">
        <f>VLOOKUP(Table9[[#This Row],[Date]],'DB Details'!$A:$L,12)</f>
        <v>47.6</v>
      </c>
      <c r="C157" s="40">
        <f>Table9[[#This Row],[PMI]]-B156</f>
        <v>3.8999999999999986</v>
      </c>
    </row>
    <row r="158" spans="1:3" x14ac:dyDescent="0.35">
      <c r="A158" s="39">
        <v>22160</v>
      </c>
      <c r="B158" s="40">
        <f>VLOOKUP(Table9[[#This Row],[Date]],'DB Details'!$A:$L,12)</f>
        <v>45.4</v>
      </c>
      <c r="C158" s="40">
        <f>Table9[[#This Row],[PMI]]-B157</f>
        <v>-2.2000000000000028</v>
      </c>
    </row>
    <row r="159" spans="1:3" x14ac:dyDescent="0.35">
      <c r="A159" s="39">
        <v>22190</v>
      </c>
      <c r="B159" s="40">
        <f>VLOOKUP(Table9[[#This Row],[Date]],'DB Details'!$A:$L,12)</f>
        <v>46</v>
      </c>
      <c r="C159" s="40">
        <f>Table9[[#This Row],[PMI]]-B158</f>
        <v>0.60000000000000142</v>
      </c>
    </row>
    <row r="160" spans="1:3" x14ac:dyDescent="0.35">
      <c r="A160" s="39">
        <v>22221</v>
      </c>
      <c r="B160" s="40">
        <f>VLOOKUP(Table9[[#This Row],[Date]],'DB Details'!$A:$L,12)</f>
        <v>44.3</v>
      </c>
      <c r="C160" s="40">
        <f>Table9[[#This Row],[PMI]]-B159</f>
        <v>-1.7000000000000028</v>
      </c>
    </row>
    <row r="161" spans="1:3" x14ac:dyDescent="0.35">
      <c r="A161" s="39">
        <v>22251</v>
      </c>
      <c r="B161" s="40">
        <f>VLOOKUP(Table9[[#This Row],[Date]],'DB Details'!$A:$L,12)</f>
        <v>44.3</v>
      </c>
      <c r="C161" s="40">
        <f>Table9[[#This Row],[PMI]]-B160</f>
        <v>0</v>
      </c>
    </row>
    <row r="162" spans="1:3" x14ac:dyDescent="0.35">
      <c r="A162" s="39">
        <v>22282</v>
      </c>
      <c r="B162" s="40">
        <f>VLOOKUP(Table9[[#This Row],[Date]],'DB Details'!$A:$L,12)</f>
        <v>43.9</v>
      </c>
      <c r="C162" s="40">
        <f>Table9[[#This Row],[PMI]]-B161</f>
        <v>-0.39999999999999858</v>
      </c>
    </row>
    <row r="163" spans="1:3" x14ac:dyDescent="0.35">
      <c r="A163" s="39">
        <v>22313</v>
      </c>
      <c r="B163" s="40">
        <f>VLOOKUP(Table9[[#This Row],[Date]],'DB Details'!$A:$L,12)</f>
        <v>43.6</v>
      </c>
      <c r="C163" s="40">
        <f>Table9[[#This Row],[PMI]]-B162</f>
        <v>-0.29999999999999716</v>
      </c>
    </row>
    <row r="164" spans="1:3" x14ac:dyDescent="0.35">
      <c r="A164" s="39">
        <v>22341</v>
      </c>
      <c r="B164" s="40">
        <f>VLOOKUP(Table9[[#This Row],[Date]],'DB Details'!$A:$L,12)</f>
        <v>49.1</v>
      </c>
      <c r="C164" s="40">
        <f>Table9[[#This Row],[PMI]]-B163</f>
        <v>5.5</v>
      </c>
    </row>
    <row r="165" spans="1:3" x14ac:dyDescent="0.35">
      <c r="A165" s="39">
        <v>22372</v>
      </c>
      <c r="B165" s="40">
        <f>VLOOKUP(Table9[[#This Row],[Date]],'DB Details'!$A:$L,12)</f>
        <v>57.6</v>
      </c>
      <c r="C165" s="40">
        <f>Table9[[#This Row],[PMI]]-B164</f>
        <v>8.5</v>
      </c>
    </row>
    <row r="166" spans="1:3" x14ac:dyDescent="0.35">
      <c r="A166" s="39">
        <v>22402</v>
      </c>
      <c r="B166" s="40">
        <f>VLOOKUP(Table9[[#This Row],[Date]],'DB Details'!$A:$L,12)</f>
        <v>58.9</v>
      </c>
      <c r="C166" s="40">
        <f>Table9[[#This Row],[PMI]]-B165</f>
        <v>1.2999999999999972</v>
      </c>
    </row>
    <row r="167" spans="1:3" x14ac:dyDescent="0.35">
      <c r="A167" s="39">
        <v>22433</v>
      </c>
      <c r="B167" s="40">
        <f>VLOOKUP(Table9[[#This Row],[Date]],'DB Details'!$A:$L,12)</f>
        <v>58.1</v>
      </c>
      <c r="C167" s="40">
        <f>Table9[[#This Row],[PMI]]-B166</f>
        <v>-0.79999999999999716</v>
      </c>
    </row>
    <row r="168" spans="1:3" x14ac:dyDescent="0.35">
      <c r="A168" s="39">
        <v>22463</v>
      </c>
      <c r="B168" s="40">
        <f>VLOOKUP(Table9[[#This Row],[Date]],'DB Details'!$A:$L,12)</f>
        <v>58.2</v>
      </c>
      <c r="C168" s="40">
        <f>Table9[[#This Row],[PMI]]-B167</f>
        <v>0.10000000000000142</v>
      </c>
    </row>
    <row r="169" spans="1:3" x14ac:dyDescent="0.35">
      <c r="A169" s="39">
        <v>22494</v>
      </c>
      <c r="B169" s="40">
        <f>VLOOKUP(Table9[[#This Row],[Date]],'DB Details'!$A:$L,12)</f>
        <v>60.7</v>
      </c>
      <c r="C169" s="40">
        <f>Table9[[#This Row],[PMI]]-B168</f>
        <v>2.5</v>
      </c>
    </row>
    <row r="170" spans="1:3" x14ac:dyDescent="0.35">
      <c r="A170" s="39">
        <v>22525</v>
      </c>
      <c r="B170" s="40">
        <f>VLOOKUP(Table9[[#This Row],[Date]],'DB Details'!$A:$L,12)</f>
        <v>63</v>
      </c>
      <c r="C170" s="40">
        <f>Table9[[#This Row],[PMI]]-B169</f>
        <v>2.2999999999999972</v>
      </c>
    </row>
    <row r="171" spans="1:3" x14ac:dyDescent="0.35">
      <c r="A171" s="39">
        <v>22555</v>
      </c>
      <c r="B171" s="40">
        <f>VLOOKUP(Table9[[#This Row],[Date]],'DB Details'!$A:$L,12)</f>
        <v>62.2</v>
      </c>
      <c r="C171" s="40">
        <f>Table9[[#This Row],[PMI]]-B170</f>
        <v>-0.79999999999999716</v>
      </c>
    </row>
    <row r="172" spans="1:3" x14ac:dyDescent="0.35">
      <c r="A172" s="39">
        <v>22586</v>
      </c>
      <c r="B172" s="40">
        <f>VLOOKUP(Table9[[#This Row],[Date]],'DB Details'!$A:$L,12)</f>
        <v>59</v>
      </c>
      <c r="C172" s="40">
        <f>Table9[[#This Row],[PMI]]-B171</f>
        <v>-3.2000000000000028</v>
      </c>
    </row>
    <row r="173" spans="1:3" x14ac:dyDescent="0.35">
      <c r="A173" s="39">
        <v>22616</v>
      </c>
      <c r="B173" s="40">
        <f>VLOOKUP(Table9[[#This Row],[Date]],'DB Details'!$A:$L,12)</f>
        <v>64.2</v>
      </c>
      <c r="C173" s="40">
        <f>Table9[[#This Row],[PMI]]-B172</f>
        <v>5.2000000000000028</v>
      </c>
    </row>
    <row r="174" spans="1:3" x14ac:dyDescent="0.35">
      <c r="A174" s="39">
        <v>22647</v>
      </c>
      <c r="B174" s="40">
        <f>VLOOKUP(Table9[[#This Row],[Date]],'DB Details'!$A:$L,12)</f>
        <v>60.9</v>
      </c>
      <c r="C174" s="40">
        <f>Table9[[#This Row],[PMI]]-B173</f>
        <v>-3.3000000000000043</v>
      </c>
    </row>
    <row r="175" spans="1:3" x14ac:dyDescent="0.35">
      <c r="A175" s="39">
        <v>22678</v>
      </c>
      <c r="B175" s="40">
        <f>VLOOKUP(Table9[[#This Row],[Date]],'DB Details'!$A:$L,12)</f>
        <v>61.1</v>
      </c>
      <c r="C175" s="40">
        <f>Table9[[#This Row],[PMI]]-B174</f>
        <v>0.20000000000000284</v>
      </c>
    </row>
    <row r="176" spans="1:3" x14ac:dyDescent="0.35">
      <c r="A176" s="39">
        <v>22706</v>
      </c>
      <c r="B176" s="40">
        <f>VLOOKUP(Table9[[#This Row],[Date]],'DB Details'!$A:$L,12)</f>
        <v>60.6</v>
      </c>
      <c r="C176" s="40">
        <f>Table9[[#This Row],[PMI]]-B175</f>
        <v>-0.5</v>
      </c>
    </row>
    <row r="177" spans="1:3" x14ac:dyDescent="0.35">
      <c r="A177" s="39">
        <v>22737</v>
      </c>
      <c r="B177" s="40">
        <f>VLOOKUP(Table9[[#This Row],[Date]],'DB Details'!$A:$L,12)</f>
        <v>55.1</v>
      </c>
      <c r="C177" s="40">
        <f>Table9[[#This Row],[PMI]]-B176</f>
        <v>-5.5</v>
      </c>
    </row>
    <row r="178" spans="1:3" x14ac:dyDescent="0.35">
      <c r="A178" s="39">
        <v>22767</v>
      </c>
      <c r="B178" s="40">
        <f>VLOOKUP(Table9[[#This Row],[Date]],'DB Details'!$A:$L,12)</f>
        <v>52.2</v>
      </c>
      <c r="C178" s="40">
        <f>Table9[[#This Row],[PMI]]-B177</f>
        <v>-2.8999999999999986</v>
      </c>
    </row>
    <row r="179" spans="1:3" x14ac:dyDescent="0.35">
      <c r="A179" s="39">
        <v>22798</v>
      </c>
      <c r="B179" s="40">
        <f>VLOOKUP(Table9[[#This Row],[Date]],'DB Details'!$A:$L,12)</f>
        <v>50.8</v>
      </c>
      <c r="C179" s="40">
        <f>Table9[[#This Row],[PMI]]-B178</f>
        <v>-1.4000000000000057</v>
      </c>
    </row>
    <row r="180" spans="1:3" x14ac:dyDescent="0.35">
      <c r="A180" s="39">
        <v>22828</v>
      </c>
      <c r="B180" s="40">
        <f>VLOOKUP(Table9[[#This Row],[Date]],'DB Details'!$A:$L,12)</f>
        <v>51</v>
      </c>
      <c r="C180" s="40">
        <f>Table9[[#This Row],[PMI]]-B179</f>
        <v>0.20000000000000284</v>
      </c>
    </row>
    <row r="181" spans="1:3" x14ac:dyDescent="0.35">
      <c r="A181" s="39">
        <v>22859</v>
      </c>
      <c r="B181" s="40">
        <f>VLOOKUP(Table9[[#This Row],[Date]],'DB Details'!$A:$L,12)</f>
        <v>49.5</v>
      </c>
      <c r="C181" s="40">
        <f>Table9[[#This Row],[PMI]]-B180</f>
        <v>-1.5</v>
      </c>
    </row>
    <row r="182" spans="1:3" x14ac:dyDescent="0.35">
      <c r="A182" s="39">
        <v>22890</v>
      </c>
      <c r="B182" s="40">
        <f>VLOOKUP(Table9[[#This Row],[Date]],'DB Details'!$A:$L,12)</f>
        <v>50</v>
      </c>
      <c r="C182" s="40">
        <f>Table9[[#This Row],[PMI]]-B181</f>
        <v>0.5</v>
      </c>
    </row>
    <row r="183" spans="1:3" x14ac:dyDescent="0.35">
      <c r="A183" s="39">
        <v>22920</v>
      </c>
      <c r="B183" s="40">
        <f>VLOOKUP(Table9[[#This Row],[Date]],'DB Details'!$A:$L,12)</f>
        <v>51.2</v>
      </c>
      <c r="C183" s="40">
        <f>Table9[[#This Row],[PMI]]-B182</f>
        <v>1.2000000000000028</v>
      </c>
    </row>
    <row r="184" spans="1:3" x14ac:dyDescent="0.35">
      <c r="A184" s="39">
        <v>22951</v>
      </c>
      <c r="B184" s="40">
        <f>VLOOKUP(Table9[[#This Row],[Date]],'DB Details'!$A:$L,12)</f>
        <v>53.8</v>
      </c>
      <c r="C184" s="40">
        <f>Table9[[#This Row],[PMI]]-B183</f>
        <v>2.5999999999999943</v>
      </c>
    </row>
    <row r="185" spans="1:3" x14ac:dyDescent="0.35">
      <c r="A185" s="39">
        <v>22981</v>
      </c>
      <c r="B185" s="40">
        <f>VLOOKUP(Table9[[#This Row],[Date]],'DB Details'!$A:$L,12)</f>
        <v>57.2</v>
      </c>
      <c r="C185" s="40">
        <f>Table9[[#This Row],[PMI]]-B184</f>
        <v>3.4000000000000057</v>
      </c>
    </row>
    <row r="186" spans="1:3" x14ac:dyDescent="0.35">
      <c r="A186" s="39">
        <v>23012</v>
      </c>
      <c r="B186" s="40">
        <f>VLOOKUP(Table9[[#This Row],[Date]],'DB Details'!$A:$L,12)</f>
        <v>55.2</v>
      </c>
      <c r="C186" s="40">
        <f>Table9[[#This Row],[PMI]]-B185</f>
        <v>-2</v>
      </c>
    </row>
    <row r="187" spans="1:3" x14ac:dyDescent="0.35">
      <c r="A187" s="39">
        <v>23043</v>
      </c>
      <c r="B187" s="40">
        <f>VLOOKUP(Table9[[#This Row],[Date]],'DB Details'!$A:$L,12)</f>
        <v>55.1</v>
      </c>
      <c r="C187" s="40">
        <f>Table9[[#This Row],[PMI]]-B186</f>
        <v>-0.10000000000000142</v>
      </c>
    </row>
    <row r="188" spans="1:3" x14ac:dyDescent="0.35">
      <c r="A188" s="39">
        <v>23071</v>
      </c>
      <c r="B188" s="40">
        <f>VLOOKUP(Table9[[#This Row],[Date]],'DB Details'!$A:$L,12)</f>
        <v>54.7</v>
      </c>
      <c r="C188" s="40">
        <f>Table9[[#This Row],[PMI]]-B187</f>
        <v>-0.39999999999999858</v>
      </c>
    </row>
    <row r="189" spans="1:3" x14ac:dyDescent="0.35">
      <c r="A189" s="39">
        <v>23102</v>
      </c>
      <c r="B189" s="40">
        <f>VLOOKUP(Table9[[#This Row],[Date]],'DB Details'!$A:$L,12)</f>
        <v>57.6</v>
      </c>
      <c r="C189" s="40">
        <f>Table9[[#This Row],[PMI]]-B188</f>
        <v>2.8999999999999986</v>
      </c>
    </row>
    <row r="190" spans="1:3" x14ac:dyDescent="0.35">
      <c r="A190" s="39">
        <v>23132</v>
      </c>
      <c r="B190" s="40">
        <f>VLOOKUP(Table9[[#This Row],[Date]],'DB Details'!$A:$L,12)</f>
        <v>59.8</v>
      </c>
      <c r="C190" s="40">
        <f>Table9[[#This Row],[PMI]]-B189</f>
        <v>2.1999999999999957</v>
      </c>
    </row>
    <row r="191" spans="1:3" x14ac:dyDescent="0.35">
      <c r="A191" s="39">
        <v>23163</v>
      </c>
      <c r="B191" s="40">
        <f>VLOOKUP(Table9[[#This Row],[Date]],'DB Details'!$A:$L,12)</f>
        <v>58.2</v>
      </c>
      <c r="C191" s="40">
        <f>Table9[[#This Row],[PMI]]-B190</f>
        <v>-1.5999999999999943</v>
      </c>
    </row>
    <row r="192" spans="1:3" x14ac:dyDescent="0.35">
      <c r="A192" s="39">
        <v>23193</v>
      </c>
      <c r="B192" s="40">
        <f>VLOOKUP(Table9[[#This Row],[Date]],'DB Details'!$A:$L,12)</f>
        <v>55.5</v>
      </c>
      <c r="C192" s="40">
        <f>Table9[[#This Row],[PMI]]-B191</f>
        <v>-2.7000000000000028</v>
      </c>
    </row>
    <row r="193" spans="1:3" x14ac:dyDescent="0.35">
      <c r="A193" s="39">
        <v>23224</v>
      </c>
      <c r="B193" s="40">
        <f>VLOOKUP(Table9[[#This Row],[Date]],'DB Details'!$A:$L,12)</f>
        <v>55.1</v>
      </c>
      <c r="C193" s="40">
        <f>Table9[[#This Row],[PMI]]-B192</f>
        <v>-0.39999999999999858</v>
      </c>
    </row>
    <row r="194" spans="1:3" x14ac:dyDescent="0.35">
      <c r="A194" s="39">
        <v>23255</v>
      </c>
      <c r="B194" s="40">
        <f>VLOOKUP(Table9[[#This Row],[Date]],'DB Details'!$A:$L,12)</f>
        <v>56.9</v>
      </c>
      <c r="C194" s="40">
        <f>Table9[[#This Row],[PMI]]-B193</f>
        <v>1.7999999999999972</v>
      </c>
    </row>
    <row r="195" spans="1:3" x14ac:dyDescent="0.35">
      <c r="A195" s="39">
        <v>23285</v>
      </c>
      <c r="B195" s="40">
        <f>VLOOKUP(Table9[[#This Row],[Date]],'DB Details'!$A:$L,12)</f>
        <v>57.7</v>
      </c>
      <c r="C195" s="40">
        <f>Table9[[#This Row],[PMI]]-B194</f>
        <v>0.80000000000000426</v>
      </c>
    </row>
    <row r="196" spans="1:3" x14ac:dyDescent="0.35">
      <c r="A196" s="39">
        <v>23316</v>
      </c>
      <c r="B196" s="40">
        <f>VLOOKUP(Table9[[#This Row],[Date]],'DB Details'!$A:$L,12)</f>
        <v>57.5</v>
      </c>
      <c r="C196" s="40">
        <f>Table9[[#This Row],[PMI]]-B195</f>
        <v>-0.20000000000000284</v>
      </c>
    </row>
    <row r="197" spans="1:3" x14ac:dyDescent="0.35">
      <c r="A197" s="39">
        <v>23346</v>
      </c>
      <c r="B197" s="40">
        <f>VLOOKUP(Table9[[#This Row],[Date]],'DB Details'!$A:$L,12)</f>
        <v>54</v>
      </c>
      <c r="C197" s="40">
        <f>Table9[[#This Row],[PMI]]-B196</f>
        <v>-3.5</v>
      </c>
    </row>
    <row r="198" spans="1:3" x14ac:dyDescent="0.35">
      <c r="A198" s="39">
        <v>23377</v>
      </c>
      <c r="B198" s="40">
        <f>VLOOKUP(Table9[[#This Row],[Date]],'DB Details'!$A:$L,12)</f>
        <v>57.1</v>
      </c>
      <c r="C198" s="40">
        <f>Table9[[#This Row],[PMI]]-B197</f>
        <v>3.1000000000000014</v>
      </c>
    </row>
    <row r="199" spans="1:3" x14ac:dyDescent="0.35">
      <c r="A199" s="39">
        <v>23408</v>
      </c>
      <c r="B199" s="40">
        <f>VLOOKUP(Table9[[#This Row],[Date]],'DB Details'!$A:$L,12)</f>
        <v>57.9</v>
      </c>
      <c r="C199" s="40">
        <f>Table9[[#This Row],[PMI]]-B198</f>
        <v>0.79999999999999716</v>
      </c>
    </row>
    <row r="200" spans="1:3" x14ac:dyDescent="0.35">
      <c r="A200" s="39">
        <v>23437</v>
      </c>
      <c r="B200" s="40">
        <f>VLOOKUP(Table9[[#This Row],[Date]],'DB Details'!$A:$L,12)</f>
        <v>60.2</v>
      </c>
      <c r="C200" s="40">
        <f>Table9[[#This Row],[PMI]]-B199</f>
        <v>2.3000000000000043</v>
      </c>
    </row>
    <row r="201" spans="1:3" x14ac:dyDescent="0.35">
      <c r="A201" s="39">
        <v>23468</v>
      </c>
      <c r="B201" s="40">
        <f>VLOOKUP(Table9[[#This Row],[Date]],'DB Details'!$A:$L,12)</f>
        <v>59.2</v>
      </c>
      <c r="C201" s="40">
        <f>Table9[[#This Row],[PMI]]-B200</f>
        <v>-1</v>
      </c>
    </row>
    <row r="202" spans="1:3" x14ac:dyDescent="0.35">
      <c r="A202" s="39">
        <v>23498</v>
      </c>
      <c r="B202" s="40">
        <f>VLOOKUP(Table9[[#This Row],[Date]],'DB Details'!$A:$L,12)</f>
        <v>58.7</v>
      </c>
      <c r="C202" s="40">
        <f>Table9[[#This Row],[PMI]]-B201</f>
        <v>-0.5</v>
      </c>
    </row>
    <row r="203" spans="1:3" x14ac:dyDescent="0.35">
      <c r="A203" s="39">
        <v>23529</v>
      </c>
      <c r="B203" s="40">
        <f>VLOOKUP(Table9[[#This Row],[Date]],'DB Details'!$A:$L,12)</f>
        <v>60.1</v>
      </c>
      <c r="C203" s="40">
        <f>Table9[[#This Row],[PMI]]-B202</f>
        <v>1.3999999999999986</v>
      </c>
    </row>
    <row r="204" spans="1:3" x14ac:dyDescent="0.35">
      <c r="A204" s="39">
        <v>23559</v>
      </c>
      <c r="B204" s="40">
        <f>VLOOKUP(Table9[[#This Row],[Date]],'DB Details'!$A:$L,12)</f>
        <v>62.9</v>
      </c>
      <c r="C204" s="40">
        <f>Table9[[#This Row],[PMI]]-B203</f>
        <v>2.7999999999999972</v>
      </c>
    </row>
    <row r="205" spans="1:3" x14ac:dyDescent="0.35">
      <c r="A205" s="39">
        <v>23590</v>
      </c>
      <c r="B205" s="40">
        <f>VLOOKUP(Table9[[#This Row],[Date]],'DB Details'!$A:$L,12)</f>
        <v>63.3</v>
      </c>
      <c r="C205" s="40">
        <f>Table9[[#This Row],[PMI]]-B204</f>
        <v>0.39999999999999858</v>
      </c>
    </row>
    <row r="206" spans="1:3" x14ac:dyDescent="0.35">
      <c r="A206" s="39">
        <v>23621</v>
      </c>
      <c r="B206" s="40">
        <f>VLOOKUP(Table9[[#This Row],[Date]],'DB Details'!$A:$L,12)</f>
        <v>63.3</v>
      </c>
      <c r="C206" s="40">
        <f>Table9[[#This Row],[PMI]]-B205</f>
        <v>0</v>
      </c>
    </row>
    <row r="207" spans="1:3" x14ac:dyDescent="0.35">
      <c r="A207" s="39">
        <v>23651</v>
      </c>
      <c r="B207" s="40">
        <f>VLOOKUP(Table9[[#This Row],[Date]],'DB Details'!$A:$L,12)</f>
        <v>60.7</v>
      </c>
      <c r="C207" s="40">
        <f>Table9[[#This Row],[PMI]]-B206</f>
        <v>-2.5999999999999943</v>
      </c>
    </row>
    <row r="208" spans="1:3" x14ac:dyDescent="0.35">
      <c r="A208" s="39">
        <v>23682</v>
      </c>
      <c r="B208" s="40">
        <f>VLOOKUP(Table9[[#This Row],[Date]],'DB Details'!$A:$L,12)</f>
        <v>61.8</v>
      </c>
      <c r="C208" s="40">
        <f>Table9[[#This Row],[PMI]]-B207</f>
        <v>1.0999999999999943</v>
      </c>
    </row>
    <row r="209" spans="1:3" x14ac:dyDescent="0.35">
      <c r="A209" s="39">
        <v>23712</v>
      </c>
      <c r="B209" s="40">
        <f>VLOOKUP(Table9[[#This Row],[Date]],'DB Details'!$A:$L,12)</f>
        <v>62.4</v>
      </c>
      <c r="C209" s="40">
        <f>Table9[[#This Row],[PMI]]-B208</f>
        <v>0.60000000000000142</v>
      </c>
    </row>
    <row r="210" spans="1:3" x14ac:dyDescent="0.35">
      <c r="A210" s="39">
        <v>23743</v>
      </c>
      <c r="B210" s="40">
        <f>VLOOKUP(Table9[[#This Row],[Date]],'DB Details'!$A:$L,12)</f>
        <v>61</v>
      </c>
      <c r="C210" s="40">
        <f>Table9[[#This Row],[PMI]]-B209</f>
        <v>-1.3999999999999986</v>
      </c>
    </row>
    <row r="211" spans="1:3" x14ac:dyDescent="0.35">
      <c r="A211" s="39">
        <v>23774</v>
      </c>
      <c r="B211" s="40">
        <f>VLOOKUP(Table9[[#This Row],[Date]],'DB Details'!$A:$L,12)</f>
        <v>62.1</v>
      </c>
      <c r="C211" s="40">
        <f>Table9[[#This Row],[PMI]]-B210</f>
        <v>1.1000000000000014</v>
      </c>
    </row>
    <row r="212" spans="1:3" x14ac:dyDescent="0.35">
      <c r="A212" s="39">
        <v>23802</v>
      </c>
      <c r="B212" s="40">
        <f>VLOOKUP(Table9[[#This Row],[Date]],'DB Details'!$A:$L,12)</f>
        <v>64.900000000000006</v>
      </c>
      <c r="C212" s="40">
        <f>Table9[[#This Row],[PMI]]-B211</f>
        <v>2.8000000000000043</v>
      </c>
    </row>
    <row r="213" spans="1:3" x14ac:dyDescent="0.35">
      <c r="A213" s="39">
        <v>23833</v>
      </c>
      <c r="B213" s="40">
        <f>VLOOKUP(Table9[[#This Row],[Date]],'DB Details'!$A:$L,12)</f>
        <v>62</v>
      </c>
      <c r="C213" s="40">
        <f>Table9[[#This Row],[PMI]]-B212</f>
        <v>-2.9000000000000057</v>
      </c>
    </row>
    <row r="214" spans="1:3" x14ac:dyDescent="0.35">
      <c r="A214" s="39">
        <v>23863</v>
      </c>
      <c r="B214" s="40">
        <f>VLOOKUP(Table9[[#This Row],[Date]],'DB Details'!$A:$L,12)</f>
        <v>61.3</v>
      </c>
      <c r="C214" s="40">
        <f>Table9[[#This Row],[PMI]]-B213</f>
        <v>-0.70000000000000284</v>
      </c>
    </row>
    <row r="215" spans="1:3" x14ac:dyDescent="0.35">
      <c r="A215" s="39">
        <v>23894</v>
      </c>
      <c r="B215" s="40">
        <f>VLOOKUP(Table9[[#This Row],[Date]],'DB Details'!$A:$L,12)</f>
        <v>58.7</v>
      </c>
      <c r="C215" s="40">
        <f>Table9[[#This Row],[PMI]]-B214</f>
        <v>-2.5999999999999943</v>
      </c>
    </row>
    <row r="216" spans="1:3" x14ac:dyDescent="0.35">
      <c r="A216" s="39">
        <v>23924</v>
      </c>
      <c r="B216" s="40">
        <f>VLOOKUP(Table9[[#This Row],[Date]],'DB Details'!$A:$L,12)</f>
        <v>58.1</v>
      </c>
      <c r="C216" s="40">
        <f>Table9[[#This Row],[PMI]]-B215</f>
        <v>-0.60000000000000142</v>
      </c>
    </row>
    <row r="217" spans="1:3" x14ac:dyDescent="0.35">
      <c r="A217" s="39">
        <v>23955</v>
      </c>
      <c r="B217" s="40">
        <f>VLOOKUP(Table9[[#This Row],[Date]],'DB Details'!$A:$L,12)</f>
        <v>58.1</v>
      </c>
      <c r="C217" s="40">
        <f>Table9[[#This Row],[PMI]]-B216</f>
        <v>0</v>
      </c>
    </row>
    <row r="218" spans="1:3" x14ac:dyDescent="0.35">
      <c r="A218" s="39">
        <v>23986</v>
      </c>
      <c r="B218" s="40">
        <f>VLOOKUP(Table9[[#This Row],[Date]],'DB Details'!$A:$L,12)</f>
        <v>61</v>
      </c>
      <c r="C218" s="40">
        <f>Table9[[#This Row],[PMI]]-B217</f>
        <v>2.8999999999999986</v>
      </c>
    </row>
    <row r="219" spans="1:3" x14ac:dyDescent="0.35">
      <c r="A219" s="39">
        <v>24016</v>
      </c>
      <c r="B219" s="40">
        <f>VLOOKUP(Table9[[#This Row],[Date]],'DB Details'!$A:$L,12)</f>
        <v>58.6</v>
      </c>
      <c r="C219" s="40">
        <f>Table9[[#This Row],[PMI]]-B218</f>
        <v>-2.3999999999999986</v>
      </c>
    </row>
    <row r="220" spans="1:3" x14ac:dyDescent="0.35">
      <c r="A220" s="39">
        <v>24047</v>
      </c>
      <c r="B220" s="40">
        <f>VLOOKUP(Table9[[#This Row],[Date]],'DB Details'!$A:$L,12)</f>
        <v>59.4</v>
      </c>
      <c r="C220" s="40">
        <f>Table9[[#This Row],[PMI]]-B219</f>
        <v>0.79999999999999716</v>
      </c>
    </row>
    <row r="221" spans="1:3" x14ac:dyDescent="0.35">
      <c r="A221" s="39">
        <v>24077</v>
      </c>
      <c r="B221" s="40">
        <f>VLOOKUP(Table9[[#This Row],[Date]],'DB Details'!$A:$L,12)</f>
        <v>62.8</v>
      </c>
      <c r="C221" s="40">
        <f>Table9[[#This Row],[PMI]]-B220</f>
        <v>3.3999999999999986</v>
      </c>
    </row>
    <row r="222" spans="1:3" x14ac:dyDescent="0.35">
      <c r="A222" s="39">
        <v>24108</v>
      </c>
      <c r="B222" s="40">
        <f>VLOOKUP(Table9[[#This Row],[Date]],'DB Details'!$A:$L,12)</f>
        <v>65.8</v>
      </c>
      <c r="C222" s="40">
        <f>Table9[[#This Row],[PMI]]-B221</f>
        <v>3</v>
      </c>
    </row>
    <row r="223" spans="1:3" x14ac:dyDescent="0.35">
      <c r="A223" s="39">
        <v>24139</v>
      </c>
      <c r="B223" s="40">
        <f>VLOOKUP(Table9[[#This Row],[Date]],'DB Details'!$A:$L,12)</f>
        <v>65.5</v>
      </c>
      <c r="C223" s="40">
        <f>Table9[[#This Row],[PMI]]-B222</f>
        <v>-0.29999999999999716</v>
      </c>
    </row>
    <row r="224" spans="1:3" x14ac:dyDescent="0.35">
      <c r="A224" s="39">
        <v>24167</v>
      </c>
      <c r="B224" s="40">
        <f>VLOOKUP(Table9[[#This Row],[Date]],'DB Details'!$A:$L,12)</f>
        <v>65.7</v>
      </c>
      <c r="C224" s="40">
        <f>Table9[[#This Row],[PMI]]-B223</f>
        <v>0.20000000000000284</v>
      </c>
    </row>
    <row r="225" spans="1:3" x14ac:dyDescent="0.35">
      <c r="A225" s="39">
        <v>24198</v>
      </c>
      <c r="B225" s="40">
        <f>VLOOKUP(Table9[[#This Row],[Date]],'DB Details'!$A:$L,12)</f>
        <v>64.2</v>
      </c>
      <c r="C225" s="40">
        <f>Table9[[#This Row],[PMI]]-B224</f>
        <v>-1.5</v>
      </c>
    </row>
    <row r="226" spans="1:3" x14ac:dyDescent="0.35">
      <c r="A226" s="39">
        <v>24228</v>
      </c>
      <c r="B226" s="40">
        <f>VLOOKUP(Table9[[#This Row],[Date]],'DB Details'!$A:$L,12)</f>
        <v>57.7</v>
      </c>
      <c r="C226" s="40">
        <f>Table9[[#This Row],[PMI]]-B225</f>
        <v>-6.5</v>
      </c>
    </row>
    <row r="227" spans="1:3" x14ac:dyDescent="0.35">
      <c r="A227" s="39">
        <v>24259</v>
      </c>
      <c r="B227" s="40">
        <f>VLOOKUP(Table9[[#This Row],[Date]],'DB Details'!$A:$L,12)</f>
        <v>59</v>
      </c>
      <c r="C227" s="40">
        <f>Table9[[#This Row],[PMI]]-B226</f>
        <v>1.2999999999999972</v>
      </c>
    </row>
    <row r="228" spans="1:3" x14ac:dyDescent="0.35">
      <c r="A228" s="39">
        <v>24289</v>
      </c>
      <c r="B228" s="40">
        <f>VLOOKUP(Table9[[#This Row],[Date]],'DB Details'!$A:$L,12)</f>
        <v>60.3</v>
      </c>
      <c r="C228" s="40">
        <f>Table9[[#This Row],[PMI]]-B227</f>
        <v>1.2999999999999972</v>
      </c>
    </row>
    <row r="229" spans="1:3" x14ac:dyDescent="0.35">
      <c r="A229" s="39">
        <v>24320</v>
      </c>
      <c r="B229" s="40">
        <f>VLOOKUP(Table9[[#This Row],[Date]],'DB Details'!$A:$L,12)</f>
        <v>58.5</v>
      </c>
      <c r="C229" s="40">
        <f>Table9[[#This Row],[PMI]]-B228</f>
        <v>-1.7999999999999972</v>
      </c>
    </row>
    <row r="230" spans="1:3" x14ac:dyDescent="0.35">
      <c r="A230" s="39">
        <v>24351</v>
      </c>
      <c r="B230" s="40">
        <f>VLOOKUP(Table9[[#This Row],[Date]],'DB Details'!$A:$L,12)</f>
        <v>58.7</v>
      </c>
      <c r="C230" s="40">
        <f>Table9[[#This Row],[PMI]]-B229</f>
        <v>0.20000000000000284</v>
      </c>
    </row>
    <row r="231" spans="1:3" x14ac:dyDescent="0.35">
      <c r="A231" s="39">
        <v>24381</v>
      </c>
      <c r="B231" s="40">
        <f>VLOOKUP(Table9[[#This Row],[Date]],'DB Details'!$A:$L,12)</f>
        <v>57.2</v>
      </c>
      <c r="C231" s="40">
        <f>Table9[[#This Row],[PMI]]-B230</f>
        <v>-1.5</v>
      </c>
    </row>
    <row r="232" spans="1:3" x14ac:dyDescent="0.35">
      <c r="A232" s="39">
        <v>24412</v>
      </c>
      <c r="B232" s="40">
        <f>VLOOKUP(Table9[[#This Row],[Date]],'DB Details'!$A:$L,12)</f>
        <v>53.7</v>
      </c>
      <c r="C232" s="40">
        <f>Table9[[#This Row],[PMI]]-B231</f>
        <v>-3.5</v>
      </c>
    </row>
    <row r="233" spans="1:3" x14ac:dyDescent="0.35">
      <c r="A233" s="39">
        <v>24442</v>
      </c>
      <c r="B233" s="40">
        <f>VLOOKUP(Table9[[#This Row],[Date]],'DB Details'!$A:$L,12)</f>
        <v>52.4</v>
      </c>
      <c r="C233" s="40">
        <f>Table9[[#This Row],[PMI]]-B232</f>
        <v>-1.3000000000000043</v>
      </c>
    </row>
    <row r="234" spans="1:3" x14ac:dyDescent="0.35">
      <c r="A234" s="39">
        <v>24473</v>
      </c>
      <c r="B234" s="40">
        <f>VLOOKUP(Table9[[#This Row],[Date]],'DB Details'!$A:$L,12)</f>
        <v>49.1</v>
      </c>
      <c r="C234" s="40">
        <f>Table9[[#This Row],[PMI]]-B233</f>
        <v>-3.2999999999999972</v>
      </c>
    </row>
    <row r="235" spans="1:3" x14ac:dyDescent="0.35">
      <c r="A235" s="39">
        <v>24504</v>
      </c>
      <c r="B235" s="40">
        <f>VLOOKUP(Table9[[#This Row],[Date]],'DB Details'!$A:$L,12)</f>
        <v>47.6</v>
      </c>
      <c r="C235" s="40">
        <f>Table9[[#This Row],[PMI]]-B234</f>
        <v>-1.5</v>
      </c>
    </row>
    <row r="236" spans="1:3" x14ac:dyDescent="0.35">
      <c r="A236" s="39">
        <v>24532</v>
      </c>
      <c r="B236" s="40">
        <f>VLOOKUP(Table9[[#This Row],[Date]],'DB Details'!$A:$L,12)</f>
        <v>45.3</v>
      </c>
      <c r="C236" s="40">
        <f>Table9[[#This Row],[PMI]]-B235</f>
        <v>-2.3000000000000043</v>
      </c>
    </row>
    <row r="237" spans="1:3" x14ac:dyDescent="0.35">
      <c r="A237" s="39">
        <v>24563</v>
      </c>
      <c r="B237" s="40">
        <f>VLOOKUP(Table9[[#This Row],[Date]],'DB Details'!$A:$L,12)</f>
        <v>42.8</v>
      </c>
      <c r="C237" s="40">
        <f>Table9[[#This Row],[PMI]]-B236</f>
        <v>-2.5</v>
      </c>
    </row>
    <row r="238" spans="1:3" x14ac:dyDescent="0.35">
      <c r="A238" s="39">
        <v>24593</v>
      </c>
      <c r="B238" s="40">
        <f>VLOOKUP(Table9[[#This Row],[Date]],'DB Details'!$A:$L,12)</f>
        <v>44.5</v>
      </c>
      <c r="C238" s="40">
        <f>Table9[[#This Row],[PMI]]-B237</f>
        <v>1.7000000000000028</v>
      </c>
    </row>
    <row r="239" spans="1:3" x14ac:dyDescent="0.35">
      <c r="A239" s="39">
        <v>24624</v>
      </c>
      <c r="B239" s="40">
        <f>VLOOKUP(Table9[[#This Row],[Date]],'DB Details'!$A:$L,12)</f>
        <v>46.8</v>
      </c>
      <c r="C239" s="40">
        <f>Table9[[#This Row],[PMI]]-B238</f>
        <v>2.2999999999999972</v>
      </c>
    </row>
    <row r="240" spans="1:3" x14ac:dyDescent="0.35">
      <c r="A240" s="39">
        <v>24654</v>
      </c>
      <c r="B240" s="40">
        <f>VLOOKUP(Table9[[#This Row],[Date]],'DB Details'!$A:$L,12)</f>
        <v>49.5</v>
      </c>
      <c r="C240" s="40">
        <f>Table9[[#This Row],[PMI]]-B239</f>
        <v>2.7000000000000028</v>
      </c>
    </row>
    <row r="241" spans="1:10" x14ac:dyDescent="0.35">
      <c r="A241" s="39">
        <v>24685</v>
      </c>
      <c r="B241" s="40">
        <f>VLOOKUP(Table9[[#This Row],[Date]],'DB Details'!$A:$L,12)</f>
        <v>52.2</v>
      </c>
      <c r="C241" s="40">
        <f>Table9[[#This Row],[PMI]]-B240</f>
        <v>2.7000000000000028</v>
      </c>
    </row>
    <row r="242" spans="1:10" x14ac:dyDescent="0.35">
      <c r="A242" s="39">
        <v>24716</v>
      </c>
      <c r="B242" s="40">
        <f>VLOOKUP(Table9[[#This Row],[Date]],'DB Details'!$A:$L,12)</f>
        <v>54.9</v>
      </c>
      <c r="C242" s="40">
        <f>Table9[[#This Row],[PMI]]-B241</f>
        <v>2.6999999999999957</v>
      </c>
    </row>
    <row r="243" spans="1:10" x14ac:dyDescent="0.35">
      <c r="A243" s="39">
        <v>24746</v>
      </c>
      <c r="B243" s="40">
        <f>VLOOKUP(Table9[[#This Row],[Date]],'DB Details'!$A:$L,12)</f>
        <v>54.1</v>
      </c>
      <c r="C243" s="40">
        <f>Table9[[#This Row],[PMI]]-B242</f>
        <v>-0.79999999999999716</v>
      </c>
    </row>
    <row r="244" spans="1:10" x14ac:dyDescent="0.35">
      <c r="A244" s="39">
        <v>24777</v>
      </c>
      <c r="B244" s="40">
        <f>VLOOKUP(Table9[[#This Row],[Date]],'DB Details'!$A:$L,12)</f>
        <v>54.2</v>
      </c>
      <c r="C244" s="40">
        <f>Table9[[#This Row],[PMI]]-B243</f>
        <v>0.10000000000000142</v>
      </c>
    </row>
    <row r="245" spans="1:10" x14ac:dyDescent="0.35">
      <c r="A245" s="39">
        <v>24807</v>
      </c>
      <c r="B245" s="40">
        <f>VLOOKUP(Table9[[#This Row],[Date]],'DB Details'!$A:$L,12)</f>
        <v>55.6</v>
      </c>
      <c r="C245" s="40">
        <f>Table9[[#This Row],[PMI]]-B244</f>
        <v>1.3999999999999986</v>
      </c>
    </row>
    <row r="246" spans="1:10" x14ac:dyDescent="0.35">
      <c r="A246" s="39">
        <v>24838</v>
      </c>
      <c r="B246" s="40">
        <f>VLOOKUP(Table9[[#This Row],[Date]],'DB Details'!$A:$L,12)</f>
        <v>56.6</v>
      </c>
      <c r="C246" s="40">
        <f>Table9[[#This Row],[PMI]]-B245</f>
        <v>1</v>
      </c>
      <c r="J246" s="4"/>
    </row>
    <row r="247" spans="1:10" x14ac:dyDescent="0.35">
      <c r="A247" s="39">
        <v>24869</v>
      </c>
      <c r="B247" s="40">
        <f>VLOOKUP(Table9[[#This Row],[Date]],'DB Details'!$A:$L,12)</f>
        <v>55</v>
      </c>
      <c r="C247" s="40">
        <f>Table9[[#This Row],[PMI]]-B246</f>
        <v>-1.6000000000000014</v>
      </c>
      <c r="J247" s="4"/>
    </row>
    <row r="248" spans="1:10" x14ac:dyDescent="0.35">
      <c r="A248" s="39">
        <v>24898</v>
      </c>
      <c r="B248" s="40">
        <f>VLOOKUP(Table9[[#This Row],[Date]],'DB Details'!$A:$L,12)</f>
        <v>53.8</v>
      </c>
      <c r="C248" s="40">
        <f>Table9[[#This Row],[PMI]]-B247</f>
        <v>-1.2000000000000028</v>
      </c>
      <c r="J248" s="4"/>
    </row>
    <row r="249" spans="1:10" x14ac:dyDescent="0.35">
      <c r="A249" s="39">
        <v>24929</v>
      </c>
      <c r="B249" s="40">
        <f>VLOOKUP(Table9[[#This Row],[Date]],'DB Details'!$A:$L,12)</f>
        <v>58</v>
      </c>
      <c r="C249" s="40">
        <f>Table9[[#This Row],[PMI]]-B248</f>
        <v>4.2000000000000028</v>
      </c>
      <c r="J249" s="4"/>
    </row>
    <row r="250" spans="1:10" x14ac:dyDescent="0.35">
      <c r="A250" s="39">
        <v>24959</v>
      </c>
      <c r="B250" s="40">
        <f>VLOOKUP(Table9[[#This Row],[Date]],'DB Details'!$A:$L,12)</f>
        <v>55.3</v>
      </c>
      <c r="C250" s="40">
        <f>Table9[[#This Row],[PMI]]-B249</f>
        <v>-2.7000000000000028</v>
      </c>
      <c r="J250" s="4"/>
    </row>
    <row r="251" spans="1:10" x14ac:dyDescent="0.35">
      <c r="A251" s="39">
        <v>24990</v>
      </c>
      <c r="B251" s="40">
        <f>VLOOKUP(Table9[[#This Row],[Date]],'DB Details'!$A:$L,12)</f>
        <v>53.5</v>
      </c>
      <c r="C251" s="40">
        <f>Table9[[#This Row],[PMI]]-B250</f>
        <v>-1.7999999999999972</v>
      </c>
      <c r="J251" s="4"/>
    </row>
    <row r="252" spans="1:10" x14ac:dyDescent="0.35">
      <c r="A252" s="39">
        <v>25020</v>
      </c>
      <c r="B252" s="40">
        <f>VLOOKUP(Table9[[#This Row],[Date]],'DB Details'!$A:$L,12)</f>
        <v>54.1</v>
      </c>
      <c r="C252" s="40">
        <f>Table9[[#This Row],[PMI]]-B251</f>
        <v>0.60000000000000142</v>
      </c>
      <c r="J252" s="4"/>
    </row>
    <row r="253" spans="1:10" x14ac:dyDescent="0.35">
      <c r="A253" s="39">
        <v>25051</v>
      </c>
      <c r="B253" s="40">
        <f>VLOOKUP(Table9[[#This Row],[Date]],'DB Details'!$A:$L,12)</f>
        <v>52.7</v>
      </c>
      <c r="C253" s="40">
        <f>Table9[[#This Row],[PMI]]-B252</f>
        <v>-1.3999999999999986</v>
      </c>
      <c r="J253" s="4"/>
    </row>
    <row r="254" spans="1:10" x14ac:dyDescent="0.35">
      <c r="A254" s="39">
        <v>25082</v>
      </c>
      <c r="B254" s="40">
        <f>VLOOKUP(Table9[[#This Row],[Date]],'DB Details'!$A:$L,12)</f>
        <v>51.8</v>
      </c>
      <c r="C254" s="40">
        <f>Table9[[#This Row],[PMI]]-B253</f>
        <v>-0.90000000000000568</v>
      </c>
      <c r="J254" s="4"/>
    </row>
    <row r="255" spans="1:10" x14ac:dyDescent="0.35">
      <c r="A255" s="39">
        <v>25112</v>
      </c>
      <c r="B255" s="40">
        <f>VLOOKUP(Table9[[#This Row],[Date]],'DB Details'!$A:$L,12)</f>
        <v>55.8</v>
      </c>
      <c r="C255" s="40">
        <f>Table9[[#This Row],[PMI]]-B254</f>
        <v>4</v>
      </c>
      <c r="J255" s="4"/>
    </row>
    <row r="256" spans="1:10" x14ac:dyDescent="0.35">
      <c r="A256" s="39">
        <v>25143</v>
      </c>
      <c r="B256" s="40">
        <f>VLOOKUP(Table9[[#This Row],[Date]],'DB Details'!$A:$L,12)</f>
        <v>58.1</v>
      </c>
      <c r="C256" s="40">
        <f>Table9[[#This Row],[PMI]]-B255</f>
        <v>2.3000000000000043</v>
      </c>
      <c r="J256" s="4"/>
    </row>
    <row r="257" spans="1:10" x14ac:dyDescent="0.35">
      <c r="A257" s="39">
        <v>25173</v>
      </c>
      <c r="B257" s="40">
        <f>VLOOKUP(Table9[[#This Row],[Date]],'DB Details'!$A:$L,12)</f>
        <v>56.1</v>
      </c>
      <c r="C257" s="40">
        <f>Table9[[#This Row],[PMI]]-B256</f>
        <v>-2</v>
      </c>
      <c r="J257" s="4"/>
    </row>
    <row r="258" spans="1:10" x14ac:dyDescent="0.35">
      <c r="A258" s="39">
        <v>25204</v>
      </c>
      <c r="B258" s="40">
        <f>VLOOKUP(Table9[[#This Row],[Date]],'DB Details'!$A:$L,12)</f>
        <v>54.9</v>
      </c>
      <c r="C258" s="40">
        <f>Table9[[#This Row],[PMI]]-B257</f>
        <v>-1.2000000000000028</v>
      </c>
      <c r="J258" s="4"/>
    </row>
    <row r="259" spans="1:10" x14ac:dyDescent="0.35">
      <c r="A259" s="39">
        <v>25235</v>
      </c>
      <c r="B259" s="40">
        <f>VLOOKUP(Table9[[#This Row],[Date]],'DB Details'!$A:$L,12)</f>
        <v>57</v>
      </c>
      <c r="C259" s="40">
        <f>Table9[[#This Row],[PMI]]-B258</f>
        <v>2.1000000000000014</v>
      </c>
      <c r="J259" s="4"/>
    </row>
    <row r="260" spans="1:10" x14ac:dyDescent="0.35">
      <c r="A260" s="39">
        <v>25263</v>
      </c>
      <c r="B260" s="40">
        <f>VLOOKUP(Table9[[#This Row],[Date]],'DB Details'!$A:$L,12)</f>
        <v>57.1</v>
      </c>
      <c r="C260" s="40">
        <f>Table9[[#This Row],[PMI]]-B259</f>
        <v>0.10000000000000142</v>
      </c>
      <c r="J260" s="4"/>
    </row>
    <row r="261" spans="1:10" x14ac:dyDescent="0.35">
      <c r="A261" s="39">
        <v>25294</v>
      </c>
      <c r="B261" s="40">
        <f>VLOOKUP(Table9[[#This Row],[Date]],'DB Details'!$A:$L,12)</f>
        <v>55.2</v>
      </c>
      <c r="C261" s="40">
        <f>Table9[[#This Row],[PMI]]-B260</f>
        <v>-1.8999999999999986</v>
      </c>
      <c r="J261" s="4"/>
    </row>
    <row r="262" spans="1:10" x14ac:dyDescent="0.35">
      <c r="A262" s="39">
        <v>25324</v>
      </c>
      <c r="B262" s="40">
        <f>VLOOKUP(Table9[[#This Row],[Date]],'DB Details'!$A:$L,12)</f>
        <v>56.7</v>
      </c>
      <c r="C262" s="40">
        <f>Table9[[#This Row],[PMI]]-B261</f>
        <v>1.5</v>
      </c>
      <c r="J262" s="4"/>
    </row>
    <row r="263" spans="1:10" x14ac:dyDescent="0.35">
      <c r="A263" s="39">
        <v>25355</v>
      </c>
      <c r="B263" s="40">
        <f>VLOOKUP(Table9[[#This Row],[Date]],'DB Details'!$A:$L,12)</f>
        <v>55.5</v>
      </c>
      <c r="C263" s="40">
        <f>Table9[[#This Row],[PMI]]-B262</f>
        <v>-1.2000000000000028</v>
      </c>
      <c r="J263" s="4"/>
    </row>
    <row r="264" spans="1:10" x14ac:dyDescent="0.35">
      <c r="A264" s="39">
        <v>25385</v>
      </c>
      <c r="B264" s="40">
        <f>VLOOKUP(Table9[[#This Row],[Date]],'DB Details'!$A:$L,12)</f>
        <v>53.1</v>
      </c>
      <c r="C264" s="40">
        <f>Table9[[#This Row],[PMI]]-B263</f>
        <v>-2.3999999999999986</v>
      </c>
      <c r="J264" s="4"/>
    </row>
    <row r="265" spans="1:10" x14ac:dyDescent="0.35">
      <c r="A265" s="39">
        <v>25416</v>
      </c>
      <c r="B265" s="40">
        <f>VLOOKUP(Table9[[#This Row],[Date]],'DB Details'!$A:$L,12)</f>
        <v>54.8</v>
      </c>
      <c r="C265" s="40">
        <f>Table9[[#This Row],[PMI]]-B264</f>
        <v>1.6999999999999957</v>
      </c>
      <c r="J265" s="4"/>
    </row>
    <row r="266" spans="1:10" x14ac:dyDescent="0.35">
      <c r="A266" s="39">
        <v>25447</v>
      </c>
      <c r="B266" s="40">
        <f>VLOOKUP(Table9[[#This Row],[Date]],'DB Details'!$A:$L,12)</f>
        <v>54.1</v>
      </c>
      <c r="C266" s="40">
        <f>Table9[[#This Row],[PMI]]-B265</f>
        <v>-0.69999999999999574</v>
      </c>
      <c r="J266" s="4"/>
    </row>
    <row r="267" spans="1:10" x14ac:dyDescent="0.35">
      <c r="A267" s="39">
        <v>25477</v>
      </c>
      <c r="B267" s="40">
        <f>VLOOKUP(Table9[[#This Row],[Date]],'DB Details'!$A:$L,12)</f>
        <v>54.6</v>
      </c>
      <c r="C267" s="40">
        <f>Table9[[#This Row],[PMI]]-B266</f>
        <v>0.5</v>
      </c>
      <c r="J267" s="4"/>
    </row>
    <row r="268" spans="1:10" x14ac:dyDescent="0.35">
      <c r="A268" s="39">
        <v>25508</v>
      </c>
      <c r="B268" s="40">
        <f>VLOOKUP(Table9[[#This Row],[Date]],'DB Details'!$A:$L,12)</f>
        <v>53.2</v>
      </c>
      <c r="C268" s="40">
        <f>Table9[[#This Row],[PMI]]-B267</f>
        <v>-1.3999999999999986</v>
      </c>
      <c r="J268" s="4"/>
    </row>
    <row r="269" spans="1:10" x14ac:dyDescent="0.35">
      <c r="A269" s="39">
        <v>25538</v>
      </c>
      <c r="B269" s="40">
        <f>VLOOKUP(Table9[[#This Row],[Date]],'DB Details'!$A:$L,12)</f>
        <v>52</v>
      </c>
      <c r="C269" s="40">
        <f>Table9[[#This Row],[PMI]]-B268</f>
        <v>-1.2000000000000028</v>
      </c>
      <c r="J269" s="4"/>
    </row>
    <row r="270" spans="1:10" x14ac:dyDescent="0.35">
      <c r="A270" s="39">
        <v>25569</v>
      </c>
      <c r="B270" s="40">
        <f>VLOOKUP(Table9[[#This Row],[Date]],'DB Details'!$A:$L,12)</f>
        <v>48.7</v>
      </c>
      <c r="C270" s="40">
        <f>Table9[[#This Row],[PMI]]-B269</f>
        <v>-3.2999999999999972</v>
      </c>
      <c r="J270" s="4"/>
    </row>
    <row r="271" spans="1:10" x14ac:dyDescent="0.35">
      <c r="A271" s="39">
        <v>25600</v>
      </c>
      <c r="B271" s="40">
        <f>VLOOKUP(Table9[[#This Row],[Date]],'DB Details'!$A:$L,12)</f>
        <v>47.4</v>
      </c>
      <c r="C271" s="40">
        <f>Table9[[#This Row],[PMI]]-B270</f>
        <v>-1.3000000000000043</v>
      </c>
      <c r="J271" s="4"/>
    </row>
    <row r="272" spans="1:10" x14ac:dyDescent="0.35">
      <c r="A272" s="39">
        <v>25628</v>
      </c>
      <c r="B272" s="40">
        <f>VLOOKUP(Table9[[#This Row],[Date]],'DB Details'!$A:$L,12)</f>
        <v>46.9</v>
      </c>
      <c r="C272" s="40">
        <f>Table9[[#This Row],[PMI]]-B271</f>
        <v>-0.5</v>
      </c>
      <c r="J272" s="4"/>
    </row>
    <row r="273" spans="1:10" x14ac:dyDescent="0.35">
      <c r="A273" s="39">
        <v>25659</v>
      </c>
      <c r="B273" s="40">
        <f>VLOOKUP(Table9[[#This Row],[Date]],'DB Details'!$A:$L,12)</f>
        <v>45</v>
      </c>
      <c r="C273" s="40">
        <f>Table9[[#This Row],[PMI]]-B272</f>
        <v>-1.8999999999999986</v>
      </c>
      <c r="J273" s="4"/>
    </row>
    <row r="274" spans="1:10" x14ac:dyDescent="0.35">
      <c r="A274" s="39">
        <v>25689</v>
      </c>
      <c r="B274" s="40">
        <f>VLOOKUP(Table9[[#This Row],[Date]],'DB Details'!$A:$L,12)</f>
        <v>47.2</v>
      </c>
      <c r="C274" s="40">
        <f>Table9[[#This Row],[PMI]]-B273</f>
        <v>2.2000000000000028</v>
      </c>
      <c r="J274" s="4"/>
    </row>
    <row r="275" spans="1:10" x14ac:dyDescent="0.35">
      <c r="A275" s="39">
        <v>25720</v>
      </c>
      <c r="B275" s="40">
        <f>VLOOKUP(Table9[[#This Row],[Date]],'DB Details'!$A:$L,12)</f>
        <v>51.1</v>
      </c>
      <c r="C275" s="40">
        <f>Table9[[#This Row],[PMI]]-B274</f>
        <v>3.8999999999999986</v>
      </c>
      <c r="J275" s="4"/>
    </row>
    <row r="276" spans="1:10" x14ac:dyDescent="0.35">
      <c r="A276" s="39">
        <v>25750</v>
      </c>
      <c r="B276" s="40">
        <f>VLOOKUP(Table9[[#This Row],[Date]],'DB Details'!$A:$L,12)</f>
        <v>49.5</v>
      </c>
      <c r="C276" s="40">
        <f>Table9[[#This Row],[PMI]]-B275</f>
        <v>-1.6000000000000014</v>
      </c>
      <c r="J276" s="4"/>
    </row>
    <row r="277" spans="1:10" x14ac:dyDescent="0.35">
      <c r="A277" s="39">
        <v>25781</v>
      </c>
      <c r="B277" s="40">
        <f>VLOOKUP(Table9[[#This Row],[Date]],'DB Details'!$A:$L,12)</f>
        <v>47.3</v>
      </c>
      <c r="C277" s="40">
        <f>Table9[[#This Row],[PMI]]-B276</f>
        <v>-2.2000000000000028</v>
      </c>
      <c r="J277" s="4"/>
    </row>
    <row r="278" spans="1:10" x14ac:dyDescent="0.35">
      <c r="A278" s="39">
        <v>25812</v>
      </c>
      <c r="B278" s="40">
        <f>VLOOKUP(Table9[[#This Row],[Date]],'DB Details'!$A:$L,12)</f>
        <v>44.1</v>
      </c>
      <c r="C278" s="40">
        <f>Table9[[#This Row],[PMI]]-B277</f>
        <v>-3.1999999999999957</v>
      </c>
      <c r="J278" s="4"/>
    </row>
    <row r="279" spans="1:10" x14ac:dyDescent="0.35">
      <c r="A279" s="39">
        <v>25842</v>
      </c>
      <c r="B279" s="40">
        <f>VLOOKUP(Table9[[#This Row],[Date]],'DB Details'!$A:$L,12)</f>
        <v>42.4</v>
      </c>
      <c r="C279" s="40">
        <f>Table9[[#This Row],[PMI]]-B278</f>
        <v>-1.7000000000000028</v>
      </c>
      <c r="J279" s="4"/>
    </row>
    <row r="280" spans="1:10" x14ac:dyDescent="0.35">
      <c r="A280" s="39">
        <v>25873</v>
      </c>
      <c r="B280" s="40">
        <f>VLOOKUP(Table9[[#This Row],[Date]],'DB Details'!$A:$L,12)</f>
        <v>39.700000000000003</v>
      </c>
      <c r="C280" s="40">
        <f>Table9[[#This Row],[PMI]]-B279</f>
        <v>-2.6999999999999957</v>
      </c>
      <c r="J280" s="4"/>
    </row>
    <row r="281" spans="1:10" x14ac:dyDescent="0.35">
      <c r="A281" s="39">
        <v>25903</v>
      </c>
      <c r="B281" s="40">
        <f>VLOOKUP(Table9[[#This Row],[Date]],'DB Details'!$A:$L,12)</f>
        <v>45.4</v>
      </c>
      <c r="C281" s="40">
        <f>Table9[[#This Row],[PMI]]-B280</f>
        <v>5.6999999999999957</v>
      </c>
      <c r="J281" s="4"/>
    </row>
    <row r="282" spans="1:10" x14ac:dyDescent="0.35">
      <c r="A282" s="39">
        <v>25934</v>
      </c>
      <c r="B282" s="40">
        <f>VLOOKUP(Table9[[#This Row],[Date]],'DB Details'!$A:$L,12)</f>
        <v>47.9</v>
      </c>
      <c r="C282" s="40">
        <f>Table9[[#This Row],[PMI]]-B281</f>
        <v>2.5</v>
      </c>
      <c r="J282" s="4"/>
    </row>
    <row r="283" spans="1:10" x14ac:dyDescent="0.35">
      <c r="A283" s="39">
        <v>25965</v>
      </c>
      <c r="B283" s="40">
        <f>VLOOKUP(Table9[[#This Row],[Date]],'DB Details'!$A:$L,12)</f>
        <v>54.8</v>
      </c>
      <c r="C283" s="40">
        <f>Table9[[#This Row],[PMI]]-B282</f>
        <v>6.8999999999999986</v>
      </c>
      <c r="J283" s="4"/>
    </row>
    <row r="284" spans="1:10" x14ac:dyDescent="0.35">
      <c r="A284" s="39">
        <v>25993</v>
      </c>
      <c r="B284" s="40">
        <f>VLOOKUP(Table9[[#This Row],[Date]],'DB Details'!$A:$L,12)</f>
        <v>51.2</v>
      </c>
      <c r="C284" s="40">
        <f>Table9[[#This Row],[PMI]]-B283</f>
        <v>-3.5999999999999943</v>
      </c>
      <c r="J284" s="4"/>
    </row>
    <row r="285" spans="1:10" x14ac:dyDescent="0.35">
      <c r="A285" s="39">
        <v>26024</v>
      </c>
      <c r="B285" s="40">
        <f>VLOOKUP(Table9[[#This Row],[Date]],'DB Details'!$A:$L,12)</f>
        <v>54.5</v>
      </c>
      <c r="C285" s="40">
        <f>Table9[[#This Row],[PMI]]-B284</f>
        <v>3.2999999999999972</v>
      </c>
      <c r="J285" s="4"/>
    </row>
    <row r="286" spans="1:10" x14ac:dyDescent="0.35">
      <c r="A286" s="39">
        <v>26054</v>
      </c>
      <c r="B286" s="40">
        <f>VLOOKUP(Table9[[#This Row],[Date]],'DB Details'!$A:$L,12)</f>
        <v>54.2</v>
      </c>
      <c r="C286" s="40">
        <f>Table9[[#This Row],[PMI]]-B285</f>
        <v>-0.29999999999999716</v>
      </c>
      <c r="J286" s="4"/>
    </row>
    <row r="287" spans="1:10" x14ac:dyDescent="0.35">
      <c r="A287" s="39">
        <v>26085</v>
      </c>
      <c r="B287" s="40">
        <f>VLOOKUP(Table9[[#This Row],[Date]],'DB Details'!$A:$L,12)</f>
        <v>53.8</v>
      </c>
      <c r="C287" s="40">
        <f>Table9[[#This Row],[PMI]]-B286</f>
        <v>-0.40000000000000568</v>
      </c>
      <c r="J287" s="4"/>
    </row>
    <row r="288" spans="1:10" x14ac:dyDescent="0.35">
      <c r="A288" s="39">
        <v>26115</v>
      </c>
      <c r="B288" s="40">
        <f>VLOOKUP(Table9[[#This Row],[Date]],'DB Details'!$A:$L,12)</f>
        <v>54.4</v>
      </c>
      <c r="C288" s="40">
        <f>Table9[[#This Row],[PMI]]-B287</f>
        <v>0.60000000000000142</v>
      </c>
      <c r="J288" s="4"/>
    </row>
    <row r="289" spans="1:10" x14ac:dyDescent="0.35">
      <c r="A289" s="39">
        <v>26146</v>
      </c>
      <c r="B289" s="40">
        <f>VLOOKUP(Table9[[#This Row],[Date]],'DB Details'!$A:$L,12)</f>
        <v>53.6</v>
      </c>
      <c r="C289" s="40">
        <f>Table9[[#This Row],[PMI]]-B288</f>
        <v>-0.79999999999999716</v>
      </c>
      <c r="J289" s="4"/>
    </row>
    <row r="290" spans="1:10" x14ac:dyDescent="0.35">
      <c r="A290" s="39">
        <v>26177</v>
      </c>
      <c r="B290" s="40">
        <f>VLOOKUP(Table9[[#This Row],[Date]],'DB Details'!$A:$L,12)</f>
        <v>55.1</v>
      </c>
      <c r="C290" s="40">
        <f>Table9[[#This Row],[PMI]]-B289</f>
        <v>1.5</v>
      </c>
      <c r="J290" s="4"/>
    </row>
    <row r="291" spans="1:10" x14ac:dyDescent="0.35">
      <c r="A291" s="39">
        <v>26207</v>
      </c>
      <c r="B291" s="40">
        <f>VLOOKUP(Table9[[#This Row],[Date]],'DB Details'!$A:$L,12)</f>
        <v>55</v>
      </c>
      <c r="C291" s="40">
        <f>Table9[[#This Row],[PMI]]-B290</f>
        <v>-0.10000000000000142</v>
      </c>
      <c r="J291" s="4"/>
    </row>
    <row r="292" spans="1:10" x14ac:dyDescent="0.35">
      <c r="A292" s="39">
        <v>26238</v>
      </c>
      <c r="B292" s="40">
        <f>VLOOKUP(Table9[[#This Row],[Date]],'DB Details'!$A:$L,12)</f>
        <v>52.3</v>
      </c>
      <c r="C292" s="40">
        <f>Table9[[#This Row],[PMI]]-B291</f>
        <v>-2.7000000000000028</v>
      </c>
      <c r="J292" s="4"/>
    </row>
    <row r="293" spans="1:10" x14ac:dyDescent="0.35">
      <c r="A293" s="39">
        <v>26268</v>
      </c>
      <c r="B293" s="40">
        <f>VLOOKUP(Table9[[#This Row],[Date]],'DB Details'!$A:$L,12)</f>
        <v>57.6</v>
      </c>
      <c r="C293" s="40">
        <f>Table9[[#This Row],[PMI]]-B292</f>
        <v>5.3000000000000043</v>
      </c>
      <c r="J293" s="4"/>
    </row>
    <row r="294" spans="1:10" x14ac:dyDescent="0.35">
      <c r="A294" s="39">
        <v>26299</v>
      </c>
      <c r="B294" s="40">
        <f>VLOOKUP(Table9[[#This Row],[Date]],'DB Details'!$A:$L,12)</f>
        <v>59.6</v>
      </c>
      <c r="C294" s="40">
        <f>Table9[[#This Row],[PMI]]-B293</f>
        <v>2</v>
      </c>
      <c r="J294" s="4"/>
    </row>
    <row r="295" spans="1:10" x14ac:dyDescent="0.35">
      <c r="A295" s="39">
        <v>26330</v>
      </c>
      <c r="B295" s="40">
        <f>VLOOKUP(Table9[[#This Row],[Date]],'DB Details'!$A:$L,12)</f>
        <v>60.6</v>
      </c>
      <c r="C295" s="40">
        <f>Table9[[#This Row],[PMI]]-B294</f>
        <v>1</v>
      </c>
      <c r="J295" s="4"/>
    </row>
    <row r="296" spans="1:10" x14ac:dyDescent="0.35">
      <c r="A296" s="39">
        <v>26359</v>
      </c>
      <c r="B296" s="40">
        <f>VLOOKUP(Table9[[#This Row],[Date]],'DB Details'!$A:$L,12)</f>
        <v>59.8</v>
      </c>
      <c r="C296" s="40">
        <f>Table9[[#This Row],[PMI]]-B295</f>
        <v>-0.80000000000000426</v>
      </c>
      <c r="J296" s="4"/>
    </row>
    <row r="297" spans="1:10" x14ac:dyDescent="0.35">
      <c r="A297" s="39">
        <v>26390</v>
      </c>
      <c r="B297" s="40">
        <f>VLOOKUP(Table9[[#This Row],[Date]],'DB Details'!$A:$L,12)</f>
        <v>59.3</v>
      </c>
      <c r="C297" s="40">
        <f>Table9[[#This Row],[PMI]]-B296</f>
        <v>-0.5</v>
      </c>
      <c r="J297" s="4"/>
    </row>
    <row r="298" spans="1:10" x14ac:dyDescent="0.35">
      <c r="A298" s="39">
        <v>26420</v>
      </c>
      <c r="B298" s="40">
        <f>VLOOKUP(Table9[[#This Row],[Date]],'DB Details'!$A:$L,12)</f>
        <v>61.4</v>
      </c>
      <c r="C298" s="40">
        <f>Table9[[#This Row],[PMI]]-B297</f>
        <v>2.1000000000000014</v>
      </c>
      <c r="J298" s="4"/>
    </row>
    <row r="299" spans="1:10" x14ac:dyDescent="0.35">
      <c r="A299" s="39">
        <v>26451</v>
      </c>
      <c r="B299" s="40">
        <f>VLOOKUP(Table9[[#This Row],[Date]],'DB Details'!$A:$L,12)</f>
        <v>58.6</v>
      </c>
      <c r="C299" s="40">
        <f>Table9[[#This Row],[PMI]]-B298</f>
        <v>-2.7999999999999972</v>
      </c>
      <c r="J299" s="4"/>
    </row>
    <row r="300" spans="1:10" x14ac:dyDescent="0.35">
      <c r="A300" s="39">
        <v>26481</v>
      </c>
      <c r="B300" s="40">
        <f>VLOOKUP(Table9[[#This Row],[Date]],'DB Details'!$A:$L,12)</f>
        <v>60.1</v>
      </c>
      <c r="C300" s="40">
        <f>Table9[[#This Row],[PMI]]-B299</f>
        <v>1.5</v>
      </c>
      <c r="J300" s="4"/>
    </row>
    <row r="301" spans="1:10" x14ac:dyDescent="0.35">
      <c r="A301" s="39">
        <v>26512</v>
      </c>
      <c r="B301" s="40">
        <f>VLOOKUP(Table9[[#This Row],[Date]],'DB Details'!$A:$L,12)</f>
        <v>61.7</v>
      </c>
      <c r="C301" s="40">
        <f>Table9[[#This Row],[PMI]]-B300</f>
        <v>1.6000000000000014</v>
      </c>
      <c r="J301" s="4"/>
    </row>
    <row r="302" spans="1:10" x14ac:dyDescent="0.35">
      <c r="A302" s="39">
        <v>26543</v>
      </c>
      <c r="B302" s="40">
        <f>VLOOKUP(Table9[[#This Row],[Date]],'DB Details'!$A:$L,12)</f>
        <v>65.099999999999994</v>
      </c>
      <c r="C302" s="40">
        <f>Table9[[#This Row],[PMI]]-B301</f>
        <v>3.3999999999999915</v>
      </c>
      <c r="J302" s="4"/>
    </row>
    <row r="303" spans="1:10" x14ac:dyDescent="0.35">
      <c r="A303" s="39">
        <v>26573</v>
      </c>
      <c r="B303" s="40">
        <f>VLOOKUP(Table9[[#This Row],[Date]],'DB Details'!$A:$L,12)</f>
        <v>67</v>
      </c>
      <c r="C303" s="40">
        <f>Table9[[#This Row],[PMI]]-B302</f>
        <v>1.9000000000000057</v>
      </c>
      <c r="J303" s="4"/>
    </row>
    <row r="304" spans="1:10" x14ac:dyDescent="0.35">
      <c r="A304" s="39">
        <v>26604</v>
      </c>
      <c r="B304" s="40">
        <f>VLOOKUP(Table9[[#This Row],[Date]],'DB Details'!$A:$L,12)</f>
        <v>69.900000000000006</v>
      </c>
      <c r="C304" s="40">
        <f>Table9[[#This Row],[PMI]]-B303</f>
        <v>2.9000000000000057</v>
      </c>
      <c r="J304" s="4"/>
    </row>
    <row r="305" spans="1:10" x14ac:dyDescent="0.35">
      <c r="A305" s="39">
        <v>26634</v>
      </c>
      <c r="B305" s="40">
        <f>VLOOKUP(Table9[[#This Row],[Date]],'DB Details'!$A:$L,12)</f>
        <v>70.5</v>
      </c>
      <c r="C305" s="40">
        <f>Table9[[#This Row],[PMI]]-B304</f>
        <v>0.59999999999999432</v>
      </c>
      <c r="J305" s="4"/>
    </row>
    <row r="306" spans="1:10" x14ac:dyDescent="0.35">
      <c r="A306" s="39">
        <v>26665</v>
      </c>
      <c r="B306" s="40">
        <f>VLOOKUP(Table9[[#This Row],[Date]],'DB Details'!$A:$L,12)</f>
        <v>72.099999999999994</v>
      </c>
      <c r="C306" s="40">
        <f>Table9[[#This Row],[PMI]]-B305</f>
        <v>1.5999999999999943</v>
      </c>
      <c r="J306" s="4"/>
    </row>
    <row r="307" spans="1:10" x14ac:dyDescent="0.35">
      <c r="A307" s="39">
        <v>26696</v>
      </c>
      <c r="B307" s="40">
        <f>VLOOKUP(Table9[[#This Row],[Date]],'DB Details'!$A:$L,12)</f>
        <v>69.599999999999994</v>
      </c>
      <c r="C307" s="40">
        <f>Table9[[#This Row],[PMI]]-B306</f>
        <v>-2.5</v>
      </c>
      <c r="J307" s="4"/>
    </row>
    <row r="308" spans="1:10" x14ac:dyDescent="0.35">
      <c r="A308" s="39">
        <v>26724</v>
      </c>
      <c r="B308" s="40">
        <f>VLOOKUP(Table9[[#This Row],[Date]],'DB Details'!$A:$L,12)</f>
        <v>69.599999999999994</v>
      </c>
      <c r="C308" s="40">
        <f>Table9[[#This Row],[PMI]]-B307</f>
        <v>0</v>
      </c>
      <c r="J308" s="4"/>
    </row>
    <row r="309" spans="1:10" x14ac:dyDescent="0.35">
      <c r="A309" s="39">
        <v>26755</v>
      </c>
      <c r="B309" s="40">
        <f>VLOOKUP(Table9[[#This Row],[Date]],'DB Details'!$A:$L,12)</f>
        <v>67.7</v>
      </c>
      <c r="C309" s="40">
        <f>Table9[[#This Row],[PMI]]-B308</f>
        <v>-1.8999999999999915</v>
      </c>
      <c r="J309" s="4"/>
    </row>
    <row r="310" spans="1:10" x14ac:dyDescent="0.35">
      <c r="A310" s="39">
        <v>26785</v>
      </c>
      <c r="B310" s="40">
        <f>VLOOKUP(Table9[[#This Row],[Date]],'DB Details'!$A:$L,12)</f>
        <v>64.8</v>
      </c>
      <c r="C310" s="40">
        <f>Table9[[#This Row],[PMI]]-B309</f>
        <v>-2.9000000000000057</v>
      </c>
      <c r="J310" s="4"/>
    </row>
    <row r="311" spans="1:10" x14ac:dyDescent="0.35">
      <c r="A311" s="39">
        <v>26816</v>
      </c>
      <c r="B311" s="40">
        <f>VLOOKUP(Table9[[#This Row],[Date]],'DB Details'!$A:$L,12)</f>
        <v>65</v>
      </c>
      <c r="C311" s="40">
        <f>Table9[[#This Row],[PMI]]-B310</f>
        <v>0.20000000000000284</v>
      </c>
      <c r="J311" s="4"/>
    </row>
    <row r="312" spans="1:10" x14ac:dyDescent="0.35">
      <c r="A312" s="39">
        <v>26846</v>
      </c>
      <c r="B312" s="40">
        <f>VLOOKUP(Table9[[#This Row],[Date]],'DB Details'!$A:$L,12)</f>
        <v>57.8</v>
      </c>
      <c r="C312" s="40">
        <f>Table9[[#This Row],[PMI]]-B311</f>
        <v>-7.2000000000000028</v>
      </c>
      <c r="J312" s="4"/>
    </row>
    <row r="313" spans="1:10" x14ac:dyDescent="0.35">
      <c r="A313" s="39">
        <v>26877</v>
      </c>
      <c r="B313" s="40">
        <f>VLOOKUP(Table9[[#This Row],[Date]],'DB Details'!$A:$L,12)</f>
        <v>62.7</v>
      </c>
      <c r="C313" s="40">
        <f>Table9[[#This Row],[PMI]]-B312</f>
        <v>4.9000000000000057</v>
      </c>
      <c r="J313" s="4"/>
    </row>
    <row r="314" spans="1:10" x14ac:dyDescent="0.35">
      <c r="A314" s="39">
        <v>26908</v>
      </c>
      <c r="B314" s="40">
        <f>VLOOKUP(Table9[[#This Row],[Date]],'DB Details'!$A:$L,12)</f>
        <v>63.5</v>
      </c>
      <c r="C314" s="40">
        <f>Table9[[#This Row],[PMI]]-B313</f>
        <v>0.79999999999999716</v>
      </c>
      <c r="J314" s="4"/>
    </row>
    <row r="315" spans="1:10" x14ac:dyDescent="0.35">
      <c r="A315" s="39">
        <v>26938</v>
      </c>
      <c r="B315" s="40">
        <f>VLOOKUP(Table9[[#This Row],[Date]],'DB Details'!$A:$L,12)</f>
        <v>66.2</v>
      </c>
      <c r="C315" s="40">
        <f>Table9[[#This Row],[PMI]]-B314</f>
        <v>2.7000000000000028</v>
      </c>
      <c r="J315" s="4"/>
    </row>
    <row r="316" spans="1:10" x14ac:dyDescent="0.35">
      <c r="A316" s="39">
        <v>26969</v>
      </c>
      <c r="B316" s="40">
        <f>VLOOKUP(Table9[[#This Row],[Date]],'DB Details'!$A:$L,12)</f>
        <v>68.099999999999994</v>
      </c>
      <c r="C316" s="40">
        <f>Table9[[#This Row],[PMI]]-B315</f>
        <v>1.8999999999999915</v>
      </c>
      <c r="J316" s="4"/>
    </row>
    <row r="317" spans="1:10" x14ac:dyDescent="0.35">
      <c r="A317" s="39">
        <v>26999</v>
      </c>
      <c r="B317" s="40">
        <f>VLOOKUP(Table9[[#This Row],[Date]],'DB Details'!$A:$L,12)</f>
        <v>63.6</v>
      </c>
      <c r="C317" s="40">
        <f>Table9[[#This Row],[PMI]]-B316</f>
        <v>-4.4999999999999929</v>
      </c>
      <c r="J317" s="4"/>
    </row>
    <row r="318" spans="1:10" x14ac:dyDescent="0.35">
      <c r="A318" s="39">
        <v>27030</v>
      </c>
      <c r="B318" s="40">
        <f>VLOOKUP(Table9[[#This Row],[Date]],'DB Details'!$A:$L,12)</f>
        <v>62.1</v>
      </c>
      <c r="C318" s="40">
        <f>Table9[[#This Row],[PMI]]-B317</f>
        <v>-1.5</v>
      </c>
      <c r="J318" s="4"/>
    </row>
    <row r="319" spans="1:10" x14ac:dyDescent="0.35">
      <c r="A319" s="39">
        <v>27061</v>
      </c>
      <c r="B319" s="40">
        <f>VLOOKUP(Table9[[#This Row],[Date]],'DB Details'!$A:$L,12)</f>
        <v>58.6</v>
      </c>
      <c r="C319" s="40">
        <f>Table9[[#This Row],[PMI]]-B318</f>
        <v>-3.5</v>
      </c>
      <c r="J319" s="4"/>
    </row>
    <row r="320" spans="1:10" x14ac:dyDescent="0.35">
      <c r="A320" s="39">
        <v>27089</v>
      </c>
      <c r="B320" s="40">
        <f>VLOOKUP(Table9[[#This Row],[Date]],'DB Details'!$A:$L,12)</f>
        <v>61.8</v>
      </c>
      <c r="C320" s="40">
        <f>Table9[[#This Row],[PMI]]-B319</f>
        <v>3.1999999999999957</v>
      </c>
      <c r="J320" s="4"/>
    </row>
    <row r="321" spans="1:10" x14ac:dyDescent="0.35">
      <c r="A321" s="39">
        <v>27120</v>
      </c>
      <c r="B321" s="40">
        <f>VLOOKUP(Table9[[#This Row],[Date]],'DB Details'!$A:$L,12)</f>
        <v>59.9</v>
      </c>
      <c r="C321" s="40">
        <f>Table9[[#This Row],[PMI]]-B320</f>
        <v>-1.8999999999999986</v>
      </c>
      <c r="J321" s="4"/>
    </row>
    <row r="322" spans="1:10" x14ac:dyDescent="0.35">
      <c r="A322" s="39">
        <v>27150</v>
      </c>
      <c r="B322" s="40">
        <f>VLOOKUP(Table9[[#This Row],[Date]],'DB Details'!$A:$L,12)</f>
        <v>55.7</v>
      </c>
      <c r="C322" s="40">
        <f>Table9[[#This Row],[PMI]]-B321</f>
        <v>-4.1999999999999957</v>
      </c>
      <c r="J322" s="4"/>
    </row>
    <row r="323" spans="1:10" x14ac:dyDescent="0.35">
      <c r="A323" s="39">
        <v>27181</v>
      </c>
      <c r="B323" s="40">
        <f>VLOOKUP(Table9[[#This Row],[Date]],'DB Details'!$A:$L,12)</f>
        <v>54.7</v>
      </c>
      <c r="C323" s="40">
        <f>Table9[[#This Row],[PMI]]-B322</f>
        <v>-1</v>
      </c>
      <c r="J323" s="4"/>
    </row>
    <row r="324" spans="1:10" x14ac:dyDescent="0.35">
      <c r="A324" s="39">
        <v>27211</v>
      </c>
      <c r="B324" s="40">
        <f>VLOOKUP(Table9[[#This Row],[Date]],'DB Details'!$A:$L,12)</f>
        <v>54.8</v>
      </c>
      <c r="C324" s="40">
        <f>Table9[[#This Row],[PMI]]-B323</f>
        <v>9.9999999999994316E-2</v>
      </c>
      <c r="J324" s="4"/>
    </row>
    <row r="325" spans="1:10" x14ac:dyDescent="0.35">
      <c r="A325" s="39">
        <v>27242</v>
      </c>
      <c r="B325" s="40">
        <f>VLOOKUP(Table9[[#This Row],[Date]],'DB Details'!$A:$L,12)</f>
        <v>52.9</v>
      </c>
      <c r="C325" s="40">
        <f>Table9[[#This Row],[PMI]]-B324</f>
        <v>-1.8999999999999986</v>
      </c>
      <c r="J325" s="4"/>
    </row>
    <row r="326" spans="1:10" x14ac:dyDescent="0.35">
      <c r="A326" s="39">
        <v>27273</v>
      </c>
      <c r="B326" s="40">
        <f>VLOOKUP(Table9[[#This Row],[Date]],'DB Details'!$A:$L,12)</f>
        <v>46.2</v>
      </c>
      <c r="C326" s="40">
        <f>Table9[[#This Row],[PMI]]-B325</f>
        <v>-6.6999999999999957</v>
      </c>
      <c r="J326" s="4"/>
    </row>
    <row r="327" spans="1:10" x14ac:dyDescent="0.35">
      <c r="A327" s="39">
        <v>27303</v>
      </c>
      <c r="B327" s="40">
        <f>VLOOKUP(Table9[[#This Row],[Date]],'DB Details'!$A:$L,12)</f>
        <v>42.7</v>
      </c>
      <c r="C327" s="40">
        <f>Table9[[#This Row],[PMI]]-B326</f>
        <v>-3.5</v>
      </c>
      <c r="J327" s="4"/>
    </row>
    <row r="328" spans="1:10" x14ac:dyDescent="0.35">
      <c r="A328" s="39">
        <v>27334</v>
      </c>
      <c r="B328" s="40">
        <f>VLOOKUP(Table9[[#This Row],[Date]],'DB Details'!$A:$L,12)</f>
        <v>37.9</v>
      </c>
      <c r="C328" s="40">
        <f>Table9[[#This Row],[PMI]]-B327</f>
        <v>-4.8000000000000043</v>
      </c>
      <c r="J328" s="4"/>
    </row>
    <row r="329" spans="1:10" x14ac:dyDescent="0.35">
      <c r="A329" s="39">
        <v>27364</v>
      </c>
      <c r="B329" s="40">
        <f>VLOOKUP(Table9[[#This Row],[Date]],'DB Details'!$A:$L,12)</f>
        <v>30.9</v>
      </c>
      <c r="C329" s="40">
        <f>Table9[[#This Row],[PMI]]-B328</f>
        <v>-7</v>
      </c>
    </row>
    <row r="330" spans="1:10" x14ac:dyDescent="0.35">
      <c r="A330" s="39">
        <v>27395</v>
      </c>
      <c r="B330" s="40">
        <f>VLOOKUP(Table9[[#This Row],[Date]],'DB Details'!$A:$L,12)</f>
        <v>30.7</v>
      </c>
      <c r="C330" s="40">
        <f>Table9[[#This Row],[PMI]]-B329</f>
        <v>-0.19999999999999929</v>
      </c>
    </row>
    <row r="331" spans="1:10" x14ac:dyDescent="0.35">
      <c r="A331" s="39">
        <v>27426</v>
      </c>
      <c r="B331" s="40">
        <f>VLOOKUP(Table9[[#This Row],[Date]],'DB Details'!$A:$L,12)</f>
        <v>34.4</v>
      </c>
      <c r="C331" s="40">
        <f>Table9[[#This Row],[PMI]]-B330</f>
        <v>3.6999999999999993</v>
      </c>
    </row>
    <row r="332" spans="1:10" x14ac:dyDescent="0.35">
      <c r="A332" s="39">
        <v>27454</v>
      </c>
      <c r="B332" s="40">
        <f>VLOOKUP(Table9[[#This Row],[Date]],'DB Details'!$A:$L,12)</f>
        <v>31.6</v>
      </c>
      <c r="C332" s="40">
        <f>Table9[[#This Row],[PMI]]-B331</f>
        <v>-2.7999999999999972</v>
      </c>
    </row>
    <row r="333" spans="1:10" x14ac:dyDescent="0.35">
      <c r="A333" s="39">
        <v>27485</v>
      </c>
      <c r="B333" s="40">
        <f>VLOOKUP(Table9[[#This Row],[Date]],'DB Details'!$A:$L,12)</f>
        <v>37.5</v>
      </c>
      <c r="C333" s="40">
        <f>Table9[[#This Row],[PMI]]-B332</f>
        <v>5.8999999999999986</v>
      </c>
    </row>
    <row r="334" spans="1:10" x14ac:dyDescent="0.35">
      <c r="A334" s="39">
        <v>27515</v>
      </c>
      <c r="B334" s="40">
        <f>VLOOKUP(Table9[[#This Row],[Date]],'DB Details'!$A:$L,12)</f>
        <v>41.2</v>
      </c>
      <c r="C334" s="40">
        <f>Table9[[#This Row],[PMI]]-B333</f>
        <v>3.7000000000000028</v>
      </c>
    </row>
    <row r="335" spans="1:10" x14ac:dyDescent="0.35">
      <c r="A335" s="39">
        <v>27546</v>
      </c>
      <c r="B335" s="40">
        <f>VLOOKUP(Table9[[#This Row],[Date]],'DB Details'!$A:$L,12)</f>
        <v>45.1</v>
      </c>
      <c r="C335" s="40">
        <f>Table9[[#This Row],[PMI]]-B334</f>
        <v>3.8999999999999986</v>
      </c>
    </row>
    <row r="336" spans="1:10" x14ac:dyDescent="0.35">
      <c r="A336" s="39">
        <v>27576</v>
      </c>
      <c r="B336" s="40">
        <f>VLOOKUP(Table9[[#This Row],[Date]],'DB Details'!$A:$L,12)</f>
        <v>47.2</v>
      </c>
      <c r="C336" s="40">
        <f>Table9[[#This Row],[PMI]]-B335</f>
        <v>2.1000000000000014</v>
      </c>
    </row>
    <row r="337" spans="1:3" x14ac:dyDescent="0.35">
      <c r="A337" s="39">
        <v>27607</v>
      </c>
      <c r="B337" s="40">
        <f>VLOOKUP(Table9[[#This Row],[Date]],'DB Details'!$A:$L,12)</f>
        <v>51.4</v>
      </c>
      <c r="C337" s="40">
        <f>Table9[[#This Row],[PMI]]-B336</f>
        <v>4.1999999999999957</v>
      </c>
    </row>
    <row r="338" spans="1:3" x14ac:dyDescent="0.35">
      <c r="A338" s="39">
        <v>27638</v>
      </c>
      <c r="B338" s="40">
        <f>VLOOKUP(Table9[[#This Row],[Date]],'DB Details'!$A:$L,12)</f>
        <v>54.4</v>
      </c>
      <c r="C338" s="40">
        <f>Table9[[#This Row],[PMI]]-B337</f>
        <v>3</v>
      </c>
    </row>
    <row r="339" spans="1:3" x14ac:dyDescent="0.35">
      <c r="A339" s="39">
        <v>27668</v>
      </c>
      <c r="B339" s="40">
        <f>VLOOKUP(Table9[[#This Row],[Date]],'DB Details'!$A:$L,12)</f>
        <v>55.5</v>
      </c>
      <c r="C339" s="40">
        <f>Table9[[#This Row],[PMI]]-B338</f>
        <v>1.1000000000000014</v>
      </c>
    </row>
    <row r="340" spans="1:3" x14ac:dyDescent="0.35">
      <c r="A340" s="39">
        <v>27699</v>
      </c>
      <c r="B340" s="40">
        <f>VLOOKUP(Table9[[#This Row],[Date]],'DB Details'!$A:$L,12)</f>
        <v>54.5</v>
      </c>
      <c r="C340" s="40">
        <f>Table9[[#This Row],[PMI]]-B339</f>
        <v>-1</v>
      </c>
    </row>
    <row r="341" spans="1:3" x14ac:dyDescent="0.35">
      <c r="A341" s="39">
        <v>27729</v>
      </c>
      <c r="B341" s="40">
        <f>VLOOKUP(Table9[[#This Row],[Date]],'DB Details'!$A:$L,12)</f>
        <v>54.9</v>
      </c>
      <c r="C341" s="40">
        <f>Table9[[#This Row],[PMI]]-B340</f>
        <v>0.39999999999999858</v>
      </c>
    </row>
    <row r="342" spans="1:3" x14ac:dyDescent="0.35">
      <c r="A342" s="39">
        <v>27760</v>
      </c>
      <c r="B342" s="40">
        <f>VLOOKUP(Table9[[#This Row],[Date]],'DB Details'!$A:$L,12)</f>
        <v>58.8</v>
      </c>
      <c r="C342" s="40">
        <f>Table9[[#This Row],[PMI]]-B341</f>
        <v>3.8999999999999986</v>
      </c>
    </row>
    <row r="343" spans="1:3" x14ac:dyDescent="0.35">
      <c r="A343" s="39">
        <v>27791</v>
      </c>
      <c r="B343" s="40">
        <f>VLOOKUP(Table9[[#This Row],[Date]],'DB Details'!$A:$L,12)</f>
        <v>61.5</v>
      </c>
      <c r="C343" s="40">
        <f>Table9[[#This Row],[PMI]]-B342</f>
        <v>2.7000000000000028</v>
      </c>
    </row>
    <row r="344" spans="1:3" x14ac:dyDescent="0.35">
      <c r="A344" s="39">
        <v>27820</v>
      </c>
      <c r="B344" s="40">
        <f>VLOOKUP(Table9[[#This Row],[Date]],'DB Details'!$A:$L,12)</f>
        <v>58.4</v>
      </c>
      <c r="C344" s="40">
        <f>Table9[[#This Row],[PMI]]-B343</f>
        <v>-3.1000000000000014</v>
      </c>
    </row>
    <row r="345" spans="1:3" x14ac:dyDescent="0.35">
      <c r="A345" s="39">
        <v>27851</v>
      </c>
      <c r="B345" s="40">
        <f>VLOOKUP(Table9[[#This Row],[Date]],'DB Details'!$A:$L,12)</f>
        <v>60.6</v>
      </c>
      <c r="C345" s="40">
        <f>Table9[[#This Row],[PMI]]-B344</f>
        <v>2.2000000000000028</v>
      </c>
    </row>
    <row r="346" spans="1:3" x14ac:dyDescent="0.35">
      <c r="A346" s="39">
        <v>27881</v>
      </c>
      <c r="B346" s="40">
        <f>VLOOKUP(Table9[[#This Row],[Date]],'DB Details'!$A:$L,12)</f>
        <v>58.8</v>
      </c>
      <c r="C346" s="40">
        <f>Table9[[#This Row],[PMI]]-B345</f>
        <v>-1.8000000000000043</v>
      </c>
    </row>
    <row r="347" spans="1:3" x14ac:dyDescent="0.35">
      <c r="A347" s="39">
        <v>27912</v>
      </c>
      <c r="B347" s="40">
        <f>VLOOKUP(Table9[[#This Row],[Date]],'DB Details'!$A:$L,12)</f>
        <v>58.2</v>
      </c>
      <c r="C347" s="40">
        <f>Table9[[#This Row],[PMI]]-B346</f>
        <v>-0.59999999999999432</v>
      </c>
    </row>
    <row r="348" spans="1:3" x14ac:dyDescent="0.35">
      <c r="A348" s="39">
        <v>27942</v>
      </c>
      <c r="B348" s="40">
        <f>VLOOKUP(Table9[[#This Row],[Date]],'DB Details'!$A:$L,12)</f>
        <v>55.9</v>
      </c>
      <c r="C348" s="40">
        <f>Table9[[#This Row],[PMI]]-B347</f>
        <v>-2.3000000000000043</v>
      </c>
    </row>
    <row r="349" spans="1:3" x14ac:dyDescent="0.35">
      <c r="A349" s="39">
        <v>27973</v>
      </c>
      <c r="B349" s="40">
        <f>VLOOKUP(Table9[[#This Row],[Date]],'DB Details'!$A:$L,12)</f>
        <v>54.5</v>
      </c>
      <c r="C349" s="40">
        <f>Table9[[#This Row],[PMI]]-B348</f>
        <v>-1.3999999999999986</v>
      </c>
    </row>
    <row r="350" spans="1:3" x14ac:dyDescent="0.35">
      <c r="A350" s="39">
        <v>28004</v>
      </c>
      <c r="B350" s="40">
        <f>VLOOKUP(Table9[[#This Row],[Date]],'DB Details'!$A:$L,12)</f>
        <v>53.6</v>
      </c>
      <c r="C350" s="40">
        <f>Table9[[#This Row],[PMI]]-B349</f>
        <v>-0.89999999999999858</v>
      </c>
    </row>
    <row r="351" spans="1:3" x14ac:dyDescent="0.35">
      <c r="A351" s="39">
        <v>28034</v>
      </c>
      <c r="B351" s="40">
        <f>VLOOKUP(Table9[[#This Row],[Date]],'DB Details'!$A:$L,12)</f>
        <v>53.5</v>
      </c>
      <c r="C351" s="40">
        <f>Table9[[#This Row],[PMI]]-B350</f>
        <v>-0.10000000000000142</v>
      </c>
    </row>
    <row r="352" spans="1:3" x14ac:dyDescent="0.35">
      <c r="A352" s="39">
        <v>28065</v>
      </c>
      <c r="B352" s="40">
        <f>VLOOKUP(Table9[[#This Row],[Date]],'DB Details'!$A:$L,12)</f>
        <v>51.7</v>
      </c>
      <c r="C352" s="40">
        <f>Table9[[#This Row],[PMI]]-B351</f>
        <v>-1.7999999999999972</v>
      </c>
    </row>
    <row r="353" spans="1:3" x14ac:dyDescent="0.35">
      <c r="A353" s="39">
        <v>28095</v>
      </c>
      <c r="B353" s="40">
        <f>VLOOKUP(Table9[[#This Row],[Date]],'DB Details'!$A:$L,12)</f>
        <v>56.6</v>
      </c>
      <c r="C353" s="40">
        <f>Table9[[#This Row],[PMI]]-B352</f>
        <v>4.8999999999999986</v>
      </c>
    </row>
    <row r="354" spans="1:3" x14ac:dyDescent="0.35">
      <c r="A354" s="39">
        <v>28126</v>
      </c>
      <c r="B354" s="40">
        <f>VLOOKUP(Table9[[#This Row],[Date]],'DB Details'!$A:$L,12)</f>
        <v>54.8</v>
      </c>
      <c r="C354" s="40">
        <f>Table9[[#This Row],[PMI]]-B353</f>
        <v>-1.8000000000000043</v>
      </c>
    </row>
    <row r="355" spans="1:3" x14ac:dyDescent="0.35">
      <c r="A355" s="39">
        <v>28157</v>
      </c>
      <c r="B355" s="40">
        <f>VLOOKUP(Table9[[#This Row],[Date]],'DB Details'!$A:$L,12)</f>
        <v>55</v>
      </c>
      <c r="C355" s="40">
        <f>Table9[[#This Row],[PMI]]-B354</f>
        <v>0.20000000000000284</v>
      </c>
    </row>
    <row r="356" spans="1:3" x14ac:dyDescent="0.35">
      <c r="A356" s="39">
        <v>28185</v>
      </c>
      <c r="B356" s="40">
        <f>VLOOKUP(Table9[[#This Row],[Date]],'DB Details'!$A:$L,12)</f>
        <v>58.4</v>
      </c>
      <c r="C356" s="40">
        <f>Table9[[#This Row],[PMI]]-B355</f>
        <v>3.3999999999999986</v>
      </c>
    </row>
    <row r="357" spans="1:3" x14ac:dyDescent="0.35">
      <c r="A357" s="39">
        <v>28216</v>
      </c>
      <c r="B357" s="40">
        <f>VLOOKUP(Table9[[#This Row],[Date]],'DB Details'!$A:$L,12)</f>
        <v>56.9</v>
      </c>
      <c r="C357" s="40">
        <f>Table9[[#This Row],[PMI]]-B356</f>
        <v>-1.5</v>
      </c>
    </row>
    <row r="358" spans="1:3" x14ac:dyDescent="0.35">
      <c r="A358" s="39">
        <v>28246</v>
      </c>
      <c r="B358" s="40">
        <f>VLOOKUP(Table9[[#This Row],[Date]],'DB Details'!$A:$L,12)</f>
        <v>59.7</v>
      </c>
      <c r="C358" s="40">
        <f>Table9[[#This Row],[PMI]]-B357</f>
        <v>2.8000000000000043</v>
      </c>
    </row>
    <row r="359" spans="1:3" x14ac:dyDescent="0.35">
      <c r="A359" s="39">
        <v>28277</v>
      </c>
      <c r="B359" s="40">
        <f>VLOOKUP(Table9[[#This Row],[Date]],'DB Details'!$A:$L,12)</f>
        <v>56.8</v>
      </c>
      <c r="C359" s="40">
        <f>Table9[[#This Row],[PMI]]-B358</f>
        <v>-2.9000000000000057</v>
      </c>
    </row>
    <row r="360" spans="1:3" x14ac:dyDescent="0.35">
      <c r="A360" s="39">
        <v>28307</v>
      </c>
      <c r="B360" s="40">
        <f>VLOOKUP(Table9[[#This Row],[Date]],'DB Details'!$A:$L,12)</f>
        <v>57.7</v>
      </c>
      <c r="C360" s="40">
        <f>Table9[[#This Row],[PMI]]-B359</f>
        <v>0.90000000000000568</v>
      </c>
    </row>
    <row r="361" spans="1:3" x14ac:dyDescent="0.35">
      <c r="A361" s="39">
        <v>28338</v>
      </c>
      <c r="B361" s="40">
        <f>VLOOKUP(Table9[[#This Row],[Date]],'DB Details'!$A:$L,12)</f>
        <v>54.9</v>
      </c>
      <c r="C361" s="40">
        <f>Table9[[#This Row],[PMI]]-B360</f>
        <v>-2.8000000000000043</v>
      </c>
    </row>
    <row r="362" spans="1:3" x14ac:dyDescent="0.35">
      <c r="A362" s="39">
        <v>28369</v>
      </c>
      <c r="B362" s="40">
        <f>VLOOKUP(Table9[[#This Row],[Date]],'DB Details'!$A:$L,12)</f>
        <v>53.9</v>
      </c>
      <c r="C362" s="40">
        <f>Table9[[#This Row],[PMI]]-B361</f>
        <v>-1</v>
      </c>
    </row>
    <row r="363" spans="1:3" x14ac:dyDescent="0.35">
      <c r="A363" s="39">
        <v>28399</v>
      </c>
      <c r="B363" s="40">
        <f>VLOOKUP(Table9[[#This Row],[Date]],'DB Details'!$A:$L,12)</f>
        <v>55.4</v>
      </c>
      <c r="C363" s="40">
        <f>Table9[[#This Row],[PMI]]-B362</f>
        <v>1.5</v>
      </c>
    </row>
    <row r="364" spans="1:3" x14ac:dyDescent="0.35">
      <c r="A364" s="39">
        <v>28430</v>
      </c>
      <c r="B364" s="40">
        <f>VLOOKUP(Table9[[#This Row],[Date]],'DB Details'!$A:$L,12)</f>
        <v>56.1</v>
      </c>
      <c r="C364" s="40">
        <f>Table9[[#This Row],[PMI]]-B363</f>
        <v>0.70000000000000284</v>
      </c>
    </row>
    <row r="365" spans="1:3" x14ac:dyDescent="0.35">
      <c r="A365" s="39">
        <v>28460</v>
      </c>
      <c r="B365" s="40">
        <f>VLOOKUP(Table9[[#This Row],[Date]],'DB Details'!$A:$L,12)</f>
        <v>59.8</v>
      </c>
      <c r="C365" s="40">
        <f>Table9[[#This Row],[PMI]]-B364</f>
        <v>3.6999999999999957</v>
      </c>
    </row>
    <row r="366" spans="1:3" x14ac:dyDescent="0.35">
      <c r="A366" s="39">
        <v>28491</v>
      </c>
      <c r="B366" s="40">
        <f>VLOOKUP(Table9[[#This Row],[Date]],'DB Details'!$A:$L,12)</f>
        <v>57.4</v>
      </c>
      <c r="C366" s="40">
        <f>Table9[[#This Row],[PMI]]-B365</f>
        <v>-2.3999999999999986</v>
      </c>
    </row>
    <row r="367" spans="1:3" x14ac:dyDescent="0.35">
      <c r="A367" s="39">
        <v>28522</v>
      </c>
      <c r="B367" s="40">
        <f>VLOOKUP(Table9[[#This Row],[Date]],'DB Details'!$A:$L,12)</f>
        <v>55.9</v>
      </c>
      <c r="C367" s="40">
        <f>Table9[[#This Row],[PMI]]-B366</f>
        <v>-1.5</v>
      </c>
    </row>
    <row r="368" spans="1:3" x14ac:dyDescent="0.35">
      <c r="A368" s="39">
        <v>28550</v>
      </c>
      <c r="B368" s="40">
        <f>VLOOKUP(Table9[[#This Row],[Date]],'DB Details'!$A:$L,12)</f>
        <v>55</v>
      </c>
      <c r="C368" s="40">
        <f>Table9[[#This Row],[PMI]]-B367</f>
        <v>-0.89999999999999858</v>
      </c>
    </row>
    <row r="369" spans="1:3" x14ac:dyDescent="0.35">
      <c r="A369" s="39">
        <v>28581</v>
      </c>
      <c r="B369" s="40">
        <f>VLOOKUP(Table9[[#This Row],[Date]],'DB Details'!$A:$L,12)</f>
        <v>57.7</v>
      </c>
      <c r="C369" s="40">
        <f>Table9[[#This Row],[PMI]]-B368</f>
        <v>2.7000000000000028</v>
      </c>
    </row>
    <row r="370" spans="1:3" x14ac:dyDescent="0.35">
      <c r="A370" s="39">
        <v>28611</v>
      </c>
      <c r="B370" s="40">
        <f>VLOOKUP(Table9[[#This Row],[Date]],'DB Details'!$A:$L,12)</f>
        <v>60.2</v>
      </c>
      <c r="C370" s="40">
        <f>Table9[[#This Row],[PMI]]-B369</f>
        <v>2.5</v>
      </c>
    </row>
    <row r="371" spans="1:3" x14ac:dyDescent="0.35">
      <c r="A371" s="39">
        <v>28642</v>
      </c>
      <c r="B371" s="40">
        <f>VLOOKUP(Table9[[#This Row],[Date]],'DB Details'!$A:$L,12)</f>
        <v>60.5</v>
      </c>
      <c r="C371" s="40">
        <f>Table9[[#This Row],[PMI]]-B370</f>
        <v>0.29999999999999716</v>
      </c>
    </row>
    <row r="372" spans="1:3" x14ac:dyDescent="0.35">
      <c r="A372" s="39">
        <v>28672</v>
      </c>
      <c r="B372" s="40">
        <f>VLOOKUP(Table9[[#This Row],[Date]],'DB Details'!$A:$L,12)</f>
        <v>62.2</v>
      </c>
      <c r="C372" s="40">
        <f>Table9[[#This Row],[PMI]]-B371</f>
        <v>1.7000000000000028</v>
      </c>
    </row>
    <row r="373" spans="1:3" x14ac:dyDescent="0.35">
      <c r="A373" s="39">
        <v>28703</v>
      </c>
      <c r="B373" s="40">
        <f>VLOOKUP(Table9[[#This Row],[Date]],'DB Details'!$A:$L,12)</f>
        <v>60.3</v>
      </c>
      <c r="C373" s="40">
        <f>Table9[[#This Row],[PMI]]-B372</f>
        <v>-1.9000000000000057</v>
      </c>
    </row>
    <row r="374" spans="1:3" x14ac:dyDescent="0.35">
      <c r="A374" s="39">
        <v>28734</v>
      </c>
      <c r="B374" s="40">
        <f>VLOOKUP(Table9[[#This Row],[Date]],'DB Details'!$A:$L,12)</f>
        <v>60.5</v>
      </c>
      <c r="C374" s="40">
        <f>Table9[[#This Row],[PMI]]-B373</f>
        <v>0.20000000000000284</v>
      </c>
    </row>
    <row r="375" spans="1:3" x14ac:dyDescent="0.35">
      <c r="A375" s="39">
        <v>28764</v>
      </c>
      <c r="B375" s="40">
        <f>VLOOKUP(Table9[[#This Row],[Date]],'DB Details'!$A:$L,12)</f>
        <v>60.1</v>
      </c>
      <c r="C375" s="40">
        <f>Table9[[#This Row],[PMI]]-B374</f>
        <v>-0.39999999999999858</v>
      </c>
    </row>
    <row r="376" spans="1:3" x14ac:dyDescent="0.35">
      <c r="A376" s="39">
        <v>28795</v>
      </c>
      <c r="B376" s="40">
        <f>VLOOKUP(Table9[[#This Row],[Date]],'DB Details'!$A:$L,12)</f>
        <v>61.3</v>
      </c>
      <c r="C376" s="40">
        <f>Table9[[#This Row],[PMI]]-B375</f>
        <v>1.1999999999999957</v>
      </c>
    </row>
    <row r="377" spans="1:3" x14ac:dyDescent="0.35">
      <c r="A377" s="39">
        <v>28825</v>
      </c>
      <c r="B377" s="40">
        <f>VLOOKUP(Table9[[#This Row],[Date]],'DB Details'!$A:$L,12)</f>
        <v>59.4</v>
      </c>
      <c r="C377" s="40">
        <f>Table9[[#This Row],[PMI]]-B376</f>
        <v>-1.8999999999999986</v>
      </c>
    </row>
    <row r="378" spans="1:3" x14ac:dyDescent="0.35">
      <c r="A378" s="39">
        <v>28856</v>
      </c>
      <c r="B378" s="40">
        <f>VLOOKUP(Table9[[#This Row],[Date]],'DB Details'!$A:$L,12)</f>
        <v>58.5</v>
      </c>
      <c r="C378" s="40">
        <f>Table9[[#This Row],[PMI]]-B377</f>
        <v>-0.89999999999999858</v>
      </c>
    </row>
    <row r="379" spans="1:3" x14ac:dyDescent="0.35">
      <c r="A379" s="39">
        <v>28887</v>
      </c>
      <c r="B379" s="40">
        <f>VLOOKUP(Table9[[#This Row],[Date]],'DB Details'!$A:$L,12)</f>
        <v>58.2</v>
      </c>
      <c r="C379" s="40">
        <f>Table9[[#This Row],[PMI]]-B378</f>
        <v>-0.29999999999999716</v>
      </c>
    </row>
    <row r="380" spans="1:3" x14ac:dyDescent="0.35">
      <c r="A380" s="39">
        <v>28915</v>
      </c>
      <c r="B380" s="40">
        <f>VLOOKUP(Table9[[#This Row],[Date]],'DB Details'!$A:$L,12)</f>
        <v>57.7</v>
      </c>
      <c r="C380" s="40">
        <f>Table9[[#This Row],[PMI]]-B379</f>
        <v>-0.5</v>
      </c>
    </row>
    <row r="381" spans="1:3" x14ac:dyDescent="0.35">
      <c r="A381" s="39">
        <v>28946</v>
      </c>
      <c r="B381" s="40">
        <f>VLOOKUP(Table9[[#This Row],[Date]],'DB Details'!$A:$L,12)</f>
        <v>56.2</v>
      </c>
      <c r="C381" s="40">
        <f>Table9[[#This Row],[PMI]]-B380</f>
        <v>-1.5</v>
      </c>
    </row>
    <row r="382" spans="1:3" x14ac:dyDescent="0.35">
      <c r="A382" s="39">
        <v>28976</v>
      </c>
      <c r="B382" s="40">
        <f>VLOOKUP(Table9[[#This Row],[Date]],'DB Details'!$A:$L,12)</f>
        <v>54.4</v>
      </c>
      <c r="C382" s="40">
        <f>Table9[[#This Row],[PMI]]-B381</f>
        <v>-1.8000000000000043</v>
      </c>
    </row>
    <row r="383" spans="1:3" x14ac:dyDescent="0.35">
      <c r="A383" s="39">
        <v>29007</v>
      </c>
      <c r="B383" s="40">
        <f>VLOOKUP(Table9[[#This Row],[Date]],'DB Details'!$A:$L,12)</f>
        <v>52.7</v>
      </c>
      <c r="C383" s="40">
        <f>Table9[[#This Row],[PMI]]-B382</f>
        <v>-1.6999999999999957</v>
      </c>
    </row>
    <row r="384" spans="1:3" x14ac:dyDescent="0.35">
      <c r="A384" s="39">
        <v>29037</v>
      </c>
      <c r="B384" s="40">
        <f>VLOOKUP(Table9[[#This Row],[Date]],'DB Details'!$A:$L,12)</f>
        <v>51.3</v>
      </c>
      <c r="C384" s="40">
        <f>Table9[[#This Row],[PMI]]-B383</f>
        <v>-1.4000000000000057</v>
      </c>
    </row>
    <row r="385" spans="1:3" x14ac:dyDescent="0.35">
      <c r="A385" s="39">
        <v>29068</v>
      </c>
      <c r="B385" s="40">
        <f>VLOOKUP(Table9[[#This Row],[Date]],'DB Details'!$A:$L,12)</f>
        <v>49.5</v>
      </c>
      <c r="C385" s="40">
        <f>Table9[[#This Row],[PMI]]-B384</f>
        <v>-1.7999999999999972</v>
      </c>
    </row>
    <row r="386" spans="1:3" x14ac:dyDescent="0.35">
      <c r="A386" s="39">
        <v>29099</v>
      </c>
      <c r="B386" s="40">
        <f>VLOOKUP(Table9[[#This Row],[Date]],'DB Details'!$A:$L,12)</f>
        <v>49.6</v>
      </c>
      <c r="C386" s="40">
        <f>Table9[[#This Row],[PMI]]-B385</f>
        <v>0.10000000000000142</v>
      </c>
    </row>
    <row r="387" spans="1:3" x14ac:dyDescent="0.35">
      <c r="A387" s="39">
        <v>29129</v>
      </c>
      <c r="B387" s="40">
        <f>VLOOKUP(Table9[[#This Row],[Date]],'DB Details'!$A:$L,12)</f>
        <v>49</v>
      </c>
      <c r="C387" s="40">
        <f>Table9[[#This Row],[PMI]]-B386</f>
        <v>-0.60000000000000142</v>
      </c>
    </row>
    <row r="388" spans="1:3" x14ac:dyDescent="0.35">
      <c r="A388" s="39">
        <v>29160</v>
      </c>
      <c r="B388" s="40">
        <f>VLOOKUP(Table9[[#This Row],[Date]],'DB Details'!$A:$L,12)</f>
        <v>48</v>
      </c>
      <c r="C388" s="40">
        <f>Table9[[#This Row],[PMI]]-B387</f>
        <v>-1</v>
      </c>
    </row>
    <row r="389" spans="1:3" x14ac:dyDescent="0.35">
      <c r="A389" s="39">
        <v>29190</v>
      </c>
      <c r="B389" s="40">
        <f>VLOOKUP(Table9[[#This Row],[Date]],'DB Details'!$A:$L,12)</f>
        <v>44.8</v>
      </c>
      <c r="C389" s="40">
        <f>Table9[[#This Row],[PMI]]-B388</f>
        <v>-3.2000000000000028</v>
      </c>
    </row>
    <row r="390" spans="1:3" x14ac:dyDescent="0.35">
      <c r="A390" s="39">
        <v>29221</v>
      </c>
      <c r="B390" s="40">
        <f>VLOOKUP(Table9[[#This Row],[Date]],'DB Details'!$A:$L,12)</f>
        <v>46.2</v>
      </c>
      <c r="C390" s="40">
        <f>Table9[[#This Row],[PMI]]-B389</f>
        <v>1.4000000000000057</v>
      </c>
    </row>
    <row r="391" spans="1:3" x14ac:dyDescent="0.35">
      <c r="A391" s="39">
        <v>29252</v>
      </c>
      <c r="B391" s="40">
        <f>VLOOKUP(Table9[[#This Row],[Date]],'DB Details'!$A:$L,12)</f>
        <v>50.2</v>
      </c>
      <c r="C391" s="40">
        <f>Table9[[#This Row],[PMI]]-B390</f>
        <v>4</v>
      </c>
    </row>
    <row r="392" spans="1:3" x14ac:dyDescent="0.35">
      <c r="A392" s="39">
        <v>29281</v>
      </c>
      <c r="B392" s="40">
        <f>VLOOKUP(Table9[[#This Row],[Date]],'DB Details'!$A:$L,12)</f>
        <v>43.6</v>
      </c>
      <c r="C392" s="40">
        <f>Table9[[#This Row],[PMI]]-B391</f>
        <v>-6.6000000000000014</v>
      </c>
    </row>
    <row r="393" spans="1:3" x14ac:dyDescent="0.35">
      <c r="A393" s="39">
        <v>29312</v>
      </c>
      <c r="B393" s="40">
        <f>VLOOKUP(Table9[[#This Row],[Date]],'DB Details'!$A:$L,12)</f>
        <v>37.4</v>
      </c>
      <c r="C393" s="40">
        <f>Table9[[#This Row],[PMI]]-B392</f>
        <v>-6.2000000000000028</v>
      </c>
    </row>
    <row r="394" spans="1:3" x14ac:dyDescent="0.35">
      <c r="A394" s="39">
        <v>29342</v>
      </c>
      <c r="B394" s="40">
        <f>VLOOKUP(Table9[[#This Row],[Date]],'DB Details'!$A:$L,12)</f>
        <v>29.4</v>
      </c>
      <c r="C394" s="40">
        <f>Table9[[#This Row],[PMI]]-B393</f>
        <v>-8</v>
      </c>
    </row>
    <row r="395" spans="1:3" x14ac:dyDescent="0.35">
      <c r="A395" s="39">
        <v>29373</v>
      </c>
      <c r="B395" s="40">
        <f>VLOOKUP(Table9[[#This Row],[Date]],'DB Details'!$A:$L,12)</f>
        <v>30.3</v>
      </c>
      <c r="C395" s="40">
        <f>Table9[[#This Row],[PMI]]-B394</f>
        <v>0.90000000000000213</v>
      </c>
    </row>
    <row r="396" spans="1:3" x14ac:dyDescent="0.35">
      <c r="A396" s="39">
        <v>29403</v>
      </c>
      <c r="B396" s="40">
        <f>VLOOKUP(Table9[[#This Row],[Date]],'DB Details'!$A:$L,12)</f>
        <v>35</v>
      </c>
      <c r="C396" s="40">
        <f>Table9[[#This Row],[PMI]]-B395</f>
        <v>4.6999999999999993</v>
      </c>
    </row>
    <row r="397" spans="1:3" x14ac:dyDescent="0.35">
      <c r="A397" s="39">
        <v>29434</v>
      </c>
      <c r="B397" s="40">
        <f>VLOOKUP(Table9[[#This Row],[Date]],'DB Details'!$A:$L,12)</f>
        <v>45.5</v>
      </c>
      <c r="C397" s="40">
        <f>Table9[[#This Row],[PMI]]-B396</f>
        <v>10.5</v>
      </c>
    </row>
    <row r="398" spans="1:3" x14ac:dyDescent="0.35">
      <c r="A398" s="39">
        <v>29465</v>
      </c>
      <c r="B398" s="40">
        <f>VLOOKUP(Table9[[#This Row],[Date]],'DB Details'!$A:$L,12)</f>
        <v>50.1</v>
      </c>
      <c r="C398" s="40">
        <f>Table9[[#This Row],[PMI]]-B397</f>
        <v>4.6000000000000014</v>
      </c>
    </row>
    <row r="399" spans="1:3" x14ac:dyDescent="0.35">
      <c r="A399" s="39">
        <v>29495</v>
      </c>
      <c r="B399" s="40">
        <f>VLOOKUP(Table9[[#This Row],[Date]],'DB Details'!$A:$L,12)</f>
        <v>55.5</v>
      </c>
      <c r="C399" s="40">
        <f>Table9[[#This Row],[PMI]]-B398</f>
        <v>5.3999999999999986</v>
      </c>
    </row>
    <row r="400" spans="1:3" x14ac:dyDescent="0.35">
      <c r="A400" s="39">
        <v>29526</v>
      </c>
      <c r="B400" s="40">
        <f>VLOOKUP(Table9[[#This Row],[Date]],'DB Details'!$A:$L,12)</f>
        <v>58.2</v>
      </c>
      <c r="C400" s="40">
        <f>Table9[[#This Row],[PMI]]-B399</f>
        <v>2.7000000000000028</v>
      </c>
    </row>
    <row r="401" spans="1:3" x14ac:dyDescent="0.35">
      <c r="A401" s="39">
        <v>29556</v>
      </c>
      <c r="B401" s="40">
        <f>VLOOKUP(Table9[[#This Row],[Date]],'DB Details'!$A:$L,12)</f>
        <v>53</v>
      </c>
      <c r="C401" s="40">
        <f>Table9[[#This Row],[PMI]]-B400</f>
        <v>-5.2000000000000028</v>
      </c>
    </row>
    <row r="402" spans="1:3" x14ac:dyDescent="0.35">
      <c r="A402" s="39">
        <v>29587</v>
      </c>
      <c r="B402" s="40">
        <f>VLOOKUP(Table9[[#This Row],[Date]],'DB Details'!$A:$L,12)</f>
        <v>49.2</v>
      </c>
      <c r="C402" s="40">
        <f>Table9[[#This Row],[PMI]]-B401</f>
        <v>-3.7999999999999972</v>
      </c>
    </row>
    <row r="403" spans="1:3" x14ac:dyDescent="0.35">
      <c r="A403" s="39">
        <v>29618</v>
      </c>
      <c r="B403" s="40">
        <f>VLOOKUP(Table9[[#This Row],[Date]],'DB Details'!$A:$L,12)</f>
        <v>48.8</v>
      </c>
      <c r="C403" s="40">
        <f>Table9[[#This Row],[PMI]]-B402</f>
        <v>-0.40000000000000568</v>
      </c>
    </row>
    <row r="404" spans="1:3" x14ac:dyDescent="0.35">
      <c r="A404" s="39">
        <v>29646</v>
      </c>
      <c r="B404" s="40">
        <f>VLOOKUP(Table9[[#This Row],[Date]],'DB Details'!$A:$L,12)</f>
        <v>49.6</v>
      </c>
      <c r="C404" s="40">
        <f>Table9[[#This Row],[PMI]]-B403</f>
        <v>0.80000000000000426</v>
      </c>
    </row>
    <row r="405" spans="1:3" x14ac:dyDescent="0.35">
      <c r="A405" s="39">
        <v>29677</v>
      </c>
      <c r="B405" s="40">
        <f>VLOOKUP(Table9[[#This Row],[Date]],'DB Details'!$A:$L,12)</f>
        <v>51.6</v>
      </c>
      <c r="C405" s="40">
        <f>Table9[[#This Row],[PMI]]-B404</f>
        <v>2</v>
      </c>
    </row>
    <row r="406" spans="1:3" x14ac:dyDescent="0.35">
      <c r="A406" s="39">
        <v>29707</v>
      </c>
      <c r="B406" s="40">
        <f>VLOOKUP(Table9[[#This Row],[Date]],'DB Details'!$A:$L,12)</f>
        <v>53.5</v>
      </c>
      <c r="C406" s="40">
        <f>Table9[[#This Row],[PMI]]-B405</f>
        <v>1.8999999999999986</v>
      </c>
    </row>
    <row r="407" spans="1:3" x14ac:dyDescent="0.35">
      <c r="A407" s="39">
        <v>29738</v>
      </c>
      <c r="B407" s="40">
        <f>VLOOKUP(Table9[[#This Row],[Date]],'DB Details'!$A:$L,12)</f>
        <v>50.7</v>
      </c>
      <c r="C407" s="40">
        <f>Table9[[#This Row],[PMI]]-B406</f>
        <v>-2.7999999999999972</v>
      </c>
    </row>
    <row r="408" spans="1:3" x14ac:dyDescent="0.35">
      <c r="A408" s="39">
        <v>29768</v>
      </c>
      <c r="B408" s="40">
        <f>VLOOKUP(Table9[[#This Row],[Date]],'DB Details'!$A:$L,12)</f>
        <v>46.7</v>
      </c>
      <c r="C408" s="40">
        <f>Table9[[#This Row],[PMI]]-B407</f>
        <v>-4</v>
      </c>
    </row>
    <row r="409" spans="1:3" x14ac:dyDescent="0.35">
      <c r="A409" s="39">
        <v>29799</v>
      </c>
      <c r="B409" s="40">
        <f>VLOOKUP(Table9[[#This Row],[Date]],'DB Details'!$A:$L,12)</f>
        <v>48.3</v>
      </c>
      <c r="C409" s="40">
        <f>Table9[[#This Row],[PMI]]-B408</f>
        <v>1.5999999999999943</v>
      </c>
    </row>
    <row r="410" spans="1:3" x14ac:dyDescent="0.35">
      <c r="A410" s="39">
        <v>29830</v>
      </c>
      <c r="B410" s="40">
        <f>VLOOKUP(Table9[[#This Row],[Date]],'DB Details'!$A:$L,12)</f>
        <v>42.5</v>
      </c>
      <c r="C410" s="40">
        <f>Table9[[#This Row],[PMI]]-B409</f>
        <v>-5.7999999999999972</v>
      </c>
    </row>
    <row r="411" spans="1:3" x14ac:dyDescent="0.35">
      <c r="A411" s="39">
        <v>29860</v>
      </c>
      <c r="B411" s="40">
        <f>VLOOKUP(Table9[[#This Row],[Date]],'DB Details'!$A:$L,12)</f>
        <v>40</v>
      </c>
      <c r="C411" s="40">
        <f>Table9[[#This Row],[PMI]]-B410</f>
        <v>-2.5</v>
      </c>
    </row>
    <row r="412" spans="1:3" x14ac:dyDescent="0.35">
      <c r="A412" s="39">
        <v>29891</v>
      </c>
      <c r="B412" s="40">
        <f>VLOOKUP(Table9[[#This Row],[Date]],'DB Details'!$A:$L,12)</f>
        <v>36.1</v>
      </c>
      <c r="C412" s="40">
        <f>Table9[[#This Row],[PMI]]-B411</f>
        <v>-3.8999999999999986</v>
      </c>
    </row>
    <row r="413" spans="1:3" x14ac:dyDescent="0.35">
      <c r="A413" s="39">
        <v>29921</v>
      </c>
      <c r="B413" s="40">
        <f>VLOOKUP(Table9[[#This Row],[Date]],'DB Details'!$A:$L,12)</f>
        <v>37.799999999999997</v>
      </c>
      <c r="C413" s="40">
        <f>Table9[[#This Row],[PMI]]-B412</f>
        <v>1.6999999999999957</v>
      </c>
    </row>
    <row r="414" spans="1:3" x14ac:dyDescent="0.35">
      <c r="A414" s="39">
        <v>29952</v>
      </c>
      <c r="B414" s="40">
        <f>VLOOKUP(Table9[[#This Row],[Date]],'DB Details'!$A:$L,12)</f>
        <v>38.200000000000003</v>
      </c>
      <c r="C414" s="40">
        <f>Table9[[#This Row],[PMI]]-B413</f>
        <v>0.40000000000000568</v>
      </c>
    </row>
    <row r="415" spans="1:3" x14ac:dyDescent="0.35">
      <c r="A415" s="39">
        <v>29983</v>
      </c>
      <c r="B415" s="40">
        <f>VLOOKUP(Table9[[#This Row],[Date]],'DB Details'!$A:$L,12)</f>
        <v>38.299999999999997</v>
      </c>
      <c r="C415" s="40">
        <f>Table9[[#This Row],[PMI]]-B414</f>
        <v>9.9999999999994316E-2</v>
      </c>
    </row>
    <row r="416" spans="1:3" x14ac:dyDescent="0.35">
      <c r="A416" s="39">
        <v>30011</v>
      </c>
      <c r="B416" s="40">
        <f>VLOOKUP(Table9[[#This Row],[Date]],'DB Details'!$A:$L,12)</f>
        <v>36.799999999999997</v>
      </c>
      <c r="C416" s="40">
        <f>Table9[[#This Row],[PMI]]-B415</f>
        <v>-1.5</v>
      </c>
    </row>
    <row r="417" spans="1:3" x14ac:dyDescent="0.35">
      <c r="A417" s="39">
        <v>30042</v>
      </c>
      <c r="B417" s="40">
        <f>VLOOKUP(Table9[[#This Row],[Date]],'DB Details'!$A:$L,12)</f>
        <v>37.799999999999997</v>
      </c>
      <c r="C417" s="40">
        <f>Table9[[#This Row],[PMI]]-B416</f>
        <v>1</v>
      </c>
    </row>
    <row r="418" spans="1:3" x14ac:dyDescent="0.35">
      <c r="A418" s="39">
        <v>30072</v>
      </c>
      <c r="B418" s="40">
        <f>VLOOKUP(Table9[[#This Row],[Date]],'DB Details'!$A:$L,12)</f>
        <v>35.5</v>
      </c>
      <c r="C418" s="40">
        <f>Table9[[#This Row],[PMI]]-B417</f>
        <v>-2.2999999999999972</v>
      </c>
    </row>
    <row r="419" spans="1:3" x14ac:dyDescent="0.35">
      <c r="A419" s="39">
        <v>30103</v>
      </c>
      <c r="B419" s="40">
        <f>VLOOKUP(Table9[[#This Row],[Date]],'DB Details'!$A:$L,12)</f>
        <v>38.299999999999997</v>
      </c>
      <c r="C419" s="40">
        <f>Table9[[#This Row],[PMI]]-B418</f>
        <v>2.7999999999999972</v>
      </c>
    </row>
    <row r="420" spans="1:3" x14ac:dyDescent="0.35">
      <c r="A420" s="39">
        <v>30133</v>
      </c>
      <c r="B420" s="40">
        <f>VLOOKUP(Table9[[#This Row],[Date]],'DB Details'!$A:$L,12)</f>
        <v>38.4</v>
      </c>
      <c r="C420" s="40">
        <f>Table9[[#This Row],[PMI]]-B419</f>
        <v>0.10000000000000142</v>
      </c>
    </row>
    <row r="421" spans="1:3" x14ac:dyDescent="0.35">
      <c r="A421" s="39">
        <v>30164</v>
      </c>
      <c r="B421" s="40">
        <f>VLOOKUP(Table9[[#This Row],[Date]],'DB Details'!$A:$L,12)</f>
        <v>38.299999999999997</v>
      </c>
      <c r="C421" s="40">
        <f>Table9[[#This Row],[PMI]]-B420</f>
        <v>-0.10000000000000142</v>
      </c>
    </row>
    <row r="422" spans="1:3" x14ac:dyDescent="0.35">
      <c r="A422" s="39">
        <v>30195</v>
      </c>
      <c r="B422" s="40">
        <f>VLOOKUP(Table9[[#This Row],[Date]],'DB Details'!$A:$L,12)</f>
        <v>38.799999999999997</v>
      </c>
      <c r="C422" s="40">
        <f>Table9[[#This Row],[PMI]]-B421</f>
        <v>0.5</v>
      </c>
    </row>
    <row r="423" spans="1:3" x14ac:dyDescent="0.35">
      <c r="A423" s="39">
        <v>30225</v>
      </c>
      <c r="B423" s="40">
        <f>VLOOKUP(Table9[[#This Row],[Date]],'DB Details'!$A:$L,12)</f>
        <v>39.4</v>
      </c>
      <c r="C423" s="40">
        <f>Table9[[#This Row],[PMI]]-B422</f>
        <v>0.60000000000000142</v>
      </c>
    </row>
    <row r="424" spans="1:3" x14ac:dyDescent="0.35">
      <c r="A424" s="39">
        <v>30256</v>
      </c>
      <c r="B424" s="40">
        <f>VLOOKUP(Table9[[#This Row],[Date]],'DB Details'!$A:$L,12)</f>
        <v>39.200000000000003</v>
      </c>
      <c r="C424" s="40">
        <f>Table9[[#This Row],[PMI]]-B423</f>
        <v>-0.19999999999999574</v>
      </c>
    </row>
    <row r="425" spans="1:3" x14ac:dyDescent="0.35">
      <c r="A425" s="39">
        <v>30286</v>
      </c>
      <c r="B425" s="40">
        <f>VLOOKUP(Table9[[#This Row],[Date]],'DB Details'!$A:$L,12)</f>
        <v>42.8</v>
      </c>
      <c r="C425" s="40">
        <f>Table9[[#This Row],[PMI]]-B424</f>
        <v>3.5999999999999943</v>
      </c>
    </row>
    <row r="426" spans="1:3" x14ac:dyDescent="0.35">
      <c r="A426" s="39">
        <v>30317</v>
      </c>
      <c r="B426" s="40">
        <f>VLOOKUP(Table9[[#This Row],[Date]],'DB Details'!$A:$L,12)</f>
        <v>46</v>
      </c>
      <c r="C426" s="40">
        <f>Table9[[#This Row],[PMI]]-B425</f>
        <v>3.2000000000000028</v>
      </c>
    </row>
    <row r="427" spans="1:3" x14ac:dyDescent="0.35">
      <c r="A427" s="39">
        <v>30348</v>
      </c>
      <c r="B427" s="40">
        <f>VLOOKUP(Table9[[#This Row],[Date]],'DB Details'!$A:$L,12)</f>
        <v>54.4</v>
      </c>
      <c r="C427" s="40">
        <f>Table9[[#This Row],[PMI]]-B426</f>
        <v>8.3999999999999986</v>
      </c>
    </row>
    <row r="428" spans="1:3" x14ac:dyDescent="0.35">
      <c r="A428" s="39">
        <v>30376</v>
      </c>
      <c r="B428" s="40">
        <f>VLOOKUP(Table9[[#This Row],[Date]],'DB Details'!$A:$L,12)</f>
        <v>53.9</v>
      </c>
      <c r="C428" s="40">
        <f>Table9[[#This Row],[PMI]]-B427</f>
        <v>-0.5</v>
      </c>
    </row>
    <row r="429" spans="1:3" x14ac:dyDescent="0.35">
      <c r="A429" s="39">
        <v>30407</v>
      </c>
      <c r="B429" s="40">
        <f>VLOOKUP(Table9[[#This Row],[Date]],'DB Details'!$A:$L,12)</f>
        <v>54.2</v>
      </c>
      <c r="C429" s="40">
        <f>Table9[[#This Row],[PMI]]-B428</f>
        <v>0.30000000000000426</v>
      </c>
    </row>
    <row r="430" spans="1:3" x14ac:dyDescent="0.35">
      <c r="A430" s="39">
        <v>30437</v>
      </c>
      <c r="B430" s="40">
        <f>VLOOKUP(Table9[[#This Row],[Date]],'DB Details'!$A:$L,12)</f>
        <v>56.1</v>
      </c>
      <c r="C430" s="40">
        <f>Table9[[#This Row],[PMI]]-B429</f>
        <v>1.8999999999999986</v>
      </c>
    </row>
    <row r="431" spans="1:3" x14ac:dyDescent="0.35">
      <c r="A431" s="39">
        <v>30468</v>
      </c>
      <c r="B431" s="40">
        <f>VLOOKUP(Table9[[#This Row],[Date]],'DB Details'!$A:$L,12)</f>
        <v>57.5</v>
      </c>
      <c r="C431" s="40">
        <f>Table9[[#This Row],[PMI]]-B430</f>
        <v>1.3999999999999986</v>
      </c>
    </row>
    <row r="432" spans="1:3" x14ac:dyDescent="0.35">
      <c r="A432" s="39">
        <v>30498</v>
      </c>
      <c r="B432" s="40">
        <f>VLOOKUP(Table9[[#This Row],[Date]],'DB Details'!$A:$L,12)</f>
        <v>63.6</v>
      </c>
      <c r="C432" s="40">
        <f>Table9[[#This Row],[PMI]]-B431</f>
        <v>6.1000000000000014</v>
      </c>
    </row>
    <row r="433" spans="1:3" x14ac:dyDescent="0.35">
      <c r="A433" s="39">
        <v>30529</v>
      </c>
      <c r="B433" s="40">
        <f>VLOOKUP(Table9[[#This Row],[Date]],'DB Details'!$A:$L,12)</f>
        <v>63.1</v>
      </c>
      <c r="C433" s="40">
        <f>Table9[[#This Row],[PMI]]-B432</f>
        <v>-0.5</v>
      </c>
    </row>
    <row r="434" spans="1:3" x14ac:dyDescent="0.35">
      <c r="A434" s="39">
        <v>30560</v>
      </c>
      <c r="B434" s="40">
        <f>VLOOKUP(Table9[[#This Row],[Date]],'DB Details'!$A:$L,12)</f>
        <v>62.5</v>
      </c>
      <c r="C434" s="40">
        <f>Table9[[#This Row],[PMI]]-B433</f>
        <v>-0.60000000000000142</v>
      </c>
    </row>
    <row r="435" spans="1:3" x14ac:dyDescent="0.35">
      <c r="A435" s="39">
        <v>30590</v>
      </c>
      <c r="B435" s="40">
        <f>VLOOKUP(Table9[[#This Row],[Date]],'DB Details'!$A:$L,12)</f>
        <v>64.400000000000006</v>
      </c>
      <c r="C435" s="40">
        <f>Table9[[#This Row],[PMI]]-B434</f>
        <v>1.9000000000000057</v>
      </c>
    </row>
    <row r="436" spans="1:3" x14ac:dyDescent="0.35">
      <c r="A436" s="39">
        <v>30621</v>
      </c>
      <c r="B436" s="40">
        <f>VLOOKUP(Table9[[#This Row],[Date]],'DB Details'!$A:$L,12)</f>
        <v>66</v>
      </c>
      <c r="C436" s="40">
        <f>Table9[[#This Row],[PMI]]-B435</f>
        <v>1.5999999999999943</v>
      </c>
    </row>
    <row r="437" spans="1:3" x14ac:dyDescent="0.35">
      <c r="A437" s="39">
        <v>30651</v>
      </c>
      <c r="B437" s="40">
        <f>VLOOKUP(Table9[[#This Row],[Date]],'DB Details'!$A:$L,12)</f>
        <v>69.900000000000006</v>
      </c>
      <c r="C437" s="40">
        <f>Table9[[#This Row],[PMI]]-B436</f>
        <v>3.9000000000000057</v>
      </c>
    </row>
    <row r="438" spans="1:3" x14ac:dyDescent="0.35">
      <c r="A438" s="39">
        <v>30682</v>
      </c>
      <c r="B438" s="40">
        <f>VLOOKUP(Table9[[#This Row],[Date]],'DB Details'!$A:$L,12)</f>
        <v>60.5</v>
      </c>
      <c r="C438" s="40">
        <f>Table9[[#This Row],[PMI]]-B437</f>
        <v>-9.4000000000000057</v>
      </c>
    </row>
    <row r="439" spans="1:3" x14ac:dyDescent="0.35">
      <c r="A439" s="39">
        <v>30713</v>
      </c>
      <c r="B439" s="40">
        <f>VLOOKUP(Table9[[#This Row],[Date]],'DB Details'!$A:$L,12)</f>
        <v>61.3</v>
      </c>
      <c r="C439" s="40">
        <f>Table9[[#This Row],[PMI]]-B438</f>
        <v>0.79999999999999716</v>
      </c>
    </row>
    <row r="440" spans="1:3" x14ac:dyDescent="0.35">
      <c r="A440" s="39">
        <v>30742</v>
      </c>
      <c r="B440" s="40">
        <f>VLOOKUP(Table9[[#This Row],[Date]],'DB Details'!$A:$L,12)</f>
        <v>58.9</v>
      </c>
      <c r="C440" s="40">
        <f>Table9[[#This Row],[PMI]]-B439</f>
        <v>-2.3999999999999986</v>
      </c>
    </row>
    <row r="441" spans="1:3" x14ac:dyDescent="0.35">
      <c r="A441" s="39">
        <v>30773</v>
      </c>
      <c r="B441" s="40">
        <f>VLOOKUP(Table9[[#This Row],[Date]],'DB Details'!$A:$L,12)</f>
        <v>61</v>
      </c>
      <c r="C441" s="40">
        <f>Table9[[#This Row],[PMI]]-B440</f>
        <v>2.1000000000000014</v>
      </c>
    </row>
    <row r="442" spans="1:3" x14ac:dyDescent="0.35">
      <c r="A442" s="39">
        <v>30803</v>
      </c>
      <c r="B442" s="40">
        <f>VLOOKUP(Table9[[#This Row],[Date]],'DB Details'!$A:$L,12)</f>
        <v>58.6</v>
      </c>
      <c r="C442" s="40">
        <f>Table9[[#This Row],[PMI]]-B441</f>
        <v>-2.3999999999999986</v>
      </c>
    </row>
    <row r="443" spans="1:3" x14ac:dyDescent="0.35">
      <c r="A443" s="39">
        <v>30834</v>
      </c>
      <c r="B443" s="40">
        <f>VLOOKUP(Table9[[#This Row],[Date]],'DB Details'!$A:$L,12)</f>
        <v>58.1</v>
      </c>
      <c r="C443" s="40">
        <f>Table9[[#This Row],[PMI]]-B442</f>
        <v>-0.5</v>
      </c>
    </row>
    <row r="444" spans="1:3" x14ac:dyDescent="0.35">
      <c r="A444" s="39">
        <v>30864</v>
      </c>
      <c r="B444" s="40">
        <f>VLOOKUP(Table9[[#This Row],[Date]],'DB Details'!$A:$L,12)</f>
        <v>56.1</v>
      </c>
      <c r="C444" s="40">
        <f>Table9[[#This Row],[PMI]]-B443</f>
        <v>-2</v>
      </c>
    </row>
    <row r="445" spans="1:3" x14ac:dyDescent="0.35">
      <c r="A445" s="39">
        <v>30895</v>
      </c>
      <c r="B445" s="40">
        <f>VLOOKUP(Table9[[#This Row],[Date]],'DB Details'!$A:$L,12)</f>
        <v>53</v>
      </c>
      <c r="C445" s="40">
        <f>Table9[[#This Row],[PMI]]-B444</f>
        <v>-3.1000000000000014</v>
      </c>
    </row>
    <row r="446" spans="1:3" x14ac:dyDescent="0.35">
      <c r="A446" s="39">
        <v>30926</v>
      </c>
      <c r="B446" s="40">
        <f>VLOOKUP(Table9[[#This Row],[Date]],'DB Details'!$A:$L,12)</f>
        <v>50</v>
      </c>
      <c r="C446" s="40">
        <f>Table9[[#This Row],[PMI]]-B445</f>
        <v>-3</v>
      </c>
    </row>
    <row r="447" spans="1:3" x14ac:dyDescent="0.35">
      <c r="A447" s="39">
        <v>30956</v>
      </c>
      <c r="B447" s="40">
        <f>VLOOKUP(Table9[[#This Row],[Date]],'DB Details'!$A:$L,12)</f>
        <v>50.8</v>
      </c>
      <c r="C447" s="40">
        <f>Table9[[#This Row],[PMI]]-B446</f>
        <v>0.79999999999999716</v>
      </c>
    </row>
    <row r="448" spans="1:3" x14ac:dyDescent="0.35">
      <c r="A448" s="39">
        <v>30987</v>
      </c>
      <c r="B448" s="40">
        <f>VLOOKUP(Table9[[#This Row],[Date]],'DB Details'!$A:$L,12)</f>
        <v>50.3</v>
      </c>
      <c r="C448" s="40">
        <f>Table9[[#This Row],[PMI]]-B447</f>
        <v>-0.5</v>
      </c>
    </row>
    <row r="449" spans="1:3" x14ac:dyDescent="0.35">
      <c r="A449" s="39">
        <v>31017</v>
      </c>
      <c r="B449" s="40">
        <f>VLOOKUP(Table9[[#This Row],[Date]],'DB Details'!$A:$L,12)</f>
        <v>50.6</v>
      </c>
      <c r="C449" s="40">
        <f>Table9[[#This Row],[PMI]]-B448</f>
        <v>0.30000000000000426</v>
      </c>
    </row>
    <row r="450" spans="1:3" x14ac:dyDescent="0.35">
      <c r="A450" s="39">
        <v>31048</v>
      </c>
      <c r="B450" s="40">
        <f>VLOOKUP(Table9[[#This Row],[Date]],'DB Details'!$A:$L,12)</f>
        <v>50.3</v>
      </c>
      <c r="C450" s="40">
        <f>Table9[[#This Row],[PMI]]-B449</f>
        <v>-0.30000000000000426</v>
      </c>
    </row>
    <row r="451" spans="1:3" x14ac:dyDescent="0.35">
      <c r="A451" s="39">
        <v>31079</v>
      </c>
      <c r="B451" s="40">
        <f>VLOOKUP(Table9[[#This Row],[Date]],'DB Details'!$A:$L,12)</f>
        <v>49.9</v>
      </c>
      <c r="C451" s="40">
        <f>Table9[[#This Row],[PMI]]-B450</f>
        <v>-0.39999999999999858</v>
      </c>
    </row>
    <row r="452" spans="1:3" x14ac:dyDescent="0.35">
      <c r="A452" s="39">
        <v>31107</v>
      </c>
      <c r="B452" s="40">
        <f>VLOOKUP(Table9[[#This Row],[Date]],'DB Details'!$A:$L,12)</f>
        <v>47.8</v>
      </c>
      <c r="C452" s="40">
        <f>Table9[[#This Row],[PMI]]-B451</f>
        <v>-2.1000000000000014</v>
      </c>
    </row>
    <row r="453" spans="1:3" x14ac:dyDescent="0.35">
      <c r="A453" s="39">
        <v>31138</v>
      </c>
      <c r="B453" s="40">
        <f>VLOOKUP(Table9[[#This Row],[Date]],'DB Details'!$A:$L,12)</f>
        <v>48.2</v>
      </c>
      <c r="C453" s="40">
        <f>Table9[[#This Row],[PMI]]-B452</f>
        <v>0.40000000000000568</v>
      </c>
    </row>
    <row r="454" spans="1:3" x14ac:dyDescent="0.35">
      <c r="A454" s="39">
        <v>31168</v>
      </c>
      <c r="B454" s="40">
        <f>VLOOKUP(Table9[[#This Row],[Date]],'DB Details'!$A:$L,12)</f>
        <v>47.1</v>
      </c>
      <c r="C454" s="40">
        <f>Table9[[#This Row],[PMI]]-B453</f>
        <v>-1.1000000000000014</v>
      </c>
    </row>
    <row r="455" spans="1:3" x14ac:dyDescent="0.35">
      <c r="A455" s="39">
        <v>31199</v>
      </c>
      <c r="B455" s="40">
        <f>VLOOKUP(Table9[[#This Row],[Date]],'DB Details'!$A:$L,12)</f>
        <v>47.8</v>
      </c>
      <c r="C455" s="40">
        <f>Table9[[#This Row],[PMI]]-B454</f>
        <v>0.69999999999999574</v>
      </c>
    </row>
    <row r="456" spans="1:3" x14ac:dyDescent="0.35">
      <c r="A456" s="39">
        <v>31229</v>
      </c>
      <c r="B456" s="40">
        <f>VLOOKUP(Table9[[#This Row],[Date]],'DB Details'!$A:$L,12)</f>
        <v>47.9</v>
      </c>
      <c r="C456" s="40">
        <f>Table9[[#This Row],[PMI]]-B455</f>
        <v>0.10000000000000142</v>
      </c>
    </row>
    <row r="457" spans="1:3" x14ac:dyDescent="0.35">
      <c r="A457" s="39">
        <v>31260</v>
      </c>
      <c r="B457" s="40">
        <f>VLOOKUP(Table9[[#This Row],[Date]],'DB Details'!$A:$L,12)</f>
        <v>47.7</v>
      </c>
      <c r="C457" s="40">
        <f>Table9[[#This Row],[PMI]]-B456</f>
        <v>-0.19999999999999574</v>
      </c>
    </row>
    <row r="458" spans="1:3" x14ac:dyDescent="0.35">
      <c r="A458" s="39">
        <v>31291</v>
      </c>
      <c r="B458" s="40">
        <f>VLOOKUP(Table9[[#This Row],[Date]],'DB Details'!$A:$L,12)</f>
        <v>49.9</v>
      </c>
      <c r="C458" s="40">
        <f>Table9[[#This Row],[PMI]]-B457</f>
        <v>2.1999999999999957</v>
      </c>
    </row>
    <row r="459" spans="1:3" x14ac:dyDescent="0.35">
      <c r="A459" s="39">
        <v>31321</v>
      </c>
      <c r="B459" s="40">
        <f>VLOOKUP(Table9[[#This Row],[Date]],'DB Details'!$A:$L,12)</f>
        <v>50.9</v>
      </c>
      <c r="C459" s="40">
        <f>Table9[[#This Row],[PMI]]-B458</f>
        <v>1</v>
      </c>
    </row>
    <row r="460" spans="1:3" x14ac:dyDescent="0.35">
      <c r="A460" s="39">
        <v>31352</v>
      </c>
      <c r="B460" s="40">
        <f>VLOOKUP(Table9[[#This Row],[Date]],'DB Details'!$A:$L,12)</f>
        <v>52</v>
      </c>
      <c r="C460" s="40">
        <f>Table9[[#This Row],[PMI]]-B459</f>
        <v>1.1000000000000014</v>
      </c>
    </row>
    <row r="461" spans="1:3" x14ac:dyDescent="0.35">
      <c r="A461" s="39">
        <v>31382</v>
      </c>
      <c r="B461" s="40">
        <f>VLOOKUP(Table9[[#This Row],[Date]],'DB Details'!$A:$L,12)</f>
        <v>50.7</v>
      </c>
      <c r="C461" s="40">
        <f>Table9[[#This Row],[PMI]]-B460</f>
        <v>-1.2999999999999972</v>
      </c>
    </row>
    <row r="462" spans="1:3" x14ac:dyDescent="0.35">
      <c r="A462" s="39">
        <v>31413</v>
      </c>
      <c r="B462" s="40">
        <f>VLOOKUP(Table9[[#This Row],[Date]],'DB Details'!$A:$L,12)</f>
        <v>51.2</v>
      </c>
      <c r="C462" s="40">
        <f>Table9[[#This Row],[PMI]]-B461</f>
        <v>0.5</v>
      </c>
    </row>
    <row r="463" spans="1:3" x14ac:dyDescent="0.35">
      <c r="A463" s="39">
        <v>31444</v>
      </c>
      <c r="B463" s="40">
        <f>VLOOKUP(Table9[[#This Row],[Date]],'DB Details'!$A:$L,12)</f>
        <v>51</v>
      </c>
      <c r="C463" s="40">
        <f>Table9[[#This Row],[PMI]]-B462</f>
        <v>-0.20000000000000284</v>
      </c>
    </row>
    <row r="464" spans="1:3" x14ac:dyDescent="0.35">
      <c r="A464" s="39">
        <v>31472</v>
      </c>
      <c r="B464" s="40">
        <f>VLOOKUP(Table9[[#This Row],[Date]],'DB Details'!$A:$L,12)</f>
        <v>51</v>
      </c>
      <c r="C464" s="40">
        <f>Table9[[#This Row],[PMI]]-B463</f>
        <v>0</v>
      </c>
    </row>
    <row r="465" spans="1:3" x14ac:dyDescent="0.35">
      <c r="A465" s="39">
        <v>31503</v>
      </c>
      <c r="B465" s="40">
        <f>VLOOKUP(Table9[[#This Row],[Date]],'DB Details'!$A:$L,12)</f>
        <v>49.7</v>
      </c>
      <c r="C465" s="40">
        <f>Table9[[#This Row],[PMI]]-B464</f>
        <v>-1.2999999999999972</v>
      </c>
    </row>
    <row r="466" spans="1:3" x14ac:dyDescent="0.35">
      <c r="A466" s="39">
        <v>31533</v>
      </c>
      <c r="B466" s="40">
        <f>VLOOKUP(Table9[[#This Row],[Date]],'DB Details'!$A:$L,12)</f>
        <v>53.4</v>
      </c>
      <c r="C466" s="40">
        <f>Table9[[#This Row],[PMI]]-B465</f>
        <v>3.6999999999999957</v>
      </c>
    </row>
    <row r="467" spans="1:3" x14ac:dyDescent="0.35">
      <c r="A467" s="39">
        <v>31564</v>
      </c>
      <c r="B467" s="40">
        <f>VLOOKUP(Table9[[#This Row],[Date]],'DB Details'!$A:$L,12)</f>
        <v>50.5</v>
      </c>
      <c r="C467" s="40">
        <f>Table9[[#This Row],[PMI]]-B466</f>
        <v>-2.8999999999999986</v>
      </c>
    </row>
    <row r="468" spans="1:3" x14ac:dyDescent="0.35">
      <c r="A468" s="39">
        <v>31594</v>
      </c>
      <c r="B468" s="40">
        <f>VLOOKUP(Table9[[#This Row],[Date]],'DB Details'!$A:$L,12)</f>
        <v>48</v>
      </c>
      <c r="C468" s="40">
        <f>Table9[[#This Row],[PMI]]-B467</f>
        <v>-2.5</v>
      </c>
    </row>
    <row r="469" spans="1:3" x14ac:dyDescent="0.35">
      <c r="A469" s="39">
        <v>31625</v>
      </c>
      <c r="B469" s="40">
        <f>VLOOKUP(Table9[[#This Row],[Date]],'DB Details'!$A:$L,12)</f>
        <v>52.6</v>
      </c>
      <c r="C469" s="40">
        <f>Table9[[#This Row],[PMI]]-B468</f>
        <v>4.6000000000000014</v>
      </c>
    </row>
    <row r="470" spans="1:3" x14ac:dyDescent="0.35">
      <c r="A470" s="39">
        <v>31656</v>
      </c>
      <c r="B470" s="40">
        <f>VLOOKUP(Table9[[#This Row],[Date]],'DB Details'!$A:$L,12)</f>
        <v>52.4</v>
      </c>
      <c r="C470" s="40">
        <f>Table9[[#This Row],[PMI]]-B469</f>
        <v>-0.20000000000000284</v>
      </c>
    </row>
    <row r="471" spans="1:3" x14ac:dyDescent="0.35">
      <c r="A471" s="39">
        <v>31686</v>
      </c>
      <c r="B471" s="40">
        <f>VLOOKUP(Table9[[#This Row],[Date]],'DB Details'!$A:$L,12)</f>
        <v>51.2</v>
      </c>
      <c r="C471" s="40">
        <f>Table9[[#This Row],[PMI]]-B470</f>
        <v>-1.1999999999999957</v>
      </c>
    </row>
    <row r="472" spans="1:3" x14ac:dyDescent="0.35">
      <c r="A472" s="39">
        <v>31717</v>
      </c>
      <c r="B472" s="40">
        <f>VLOOKUP(Table9[[#This Row],[Date]],'DB Details'!$A:$L,12)</f>
        <v>51.2</v>
      </c>
      <c r="C472" s="40">
        <f>Table9[[#This Row],[PMI]]-B471</f>
        <v>0</v>
      </c>
    </row>
    <row r="473" spans="1:3" x14ac:dyDescent="0.35">
      <c r="A473" s="39">
        <v>31747</v>
      </c>
      <c r="B473" s="40">
        <f>VLOOKUP(Table9[[#This Row],[Date]],'DB Details'!$A:$L,12)</f>
        <v>50.5</v>
      </c>
      <c r="C473" s="40">
        <f>Table9[[#This Row],[PMI]]-B472</f>
        <v>-0.70000000000000284</v>
      </c>
    </row>
    <row r="474" spans="1:3" x14ac:dyDescent="0.35">
      <c r="A474" s="39">
        <v>31778</v>
      </c>
      <c r="B474" s="40">
        <f>VLOOKUP(Table9[[#This Row],[Date]],'DB Details'!$A:$L,12)</f>
        <v>54.9</v>
      </c>
      <c r="C474" s="40">
        <f>Table9[[#This Row],[PMI]]-B473</f>
        <v>4.3999999999999986</v>
      </c>
    </row>
    <row r="475" spans="1:3" x14ac:dyDescent="0.35">
      <c r="A475" s="39">
        <v>31809</v>
      </c>
      <c r="B475" s="40">
        <f>VLOOKUP(Table9[[#This Row],[Date]],'DB Details'!$A:$L,12)</f>
        <v>52.6</v>
      </c>
      <c r="C475" s="40">
        <f>Table9[[#This Row],[PMI]]-B474</f>
        <v>-2.2999999999999972</v>
      </c>
    </row>
    <row r="476" spans="1:3" x14ac:dyDescent="0.35">
      <c r="A476" s="39">
        <v>31837</v>
      </c>
      <c r="B476" s="40">
        <f>VLOOKUP(Table9[[#This Row],[Date]],'DB Details'!$A:$L,12)</f>
        <v>55</v>
      </c>
      <c r="C476" s="40">
        <f>Table9[[#This Row],[PMI]]-B475</f>
        <v>2.3999999999999986</v>
      </c>
    </row>
    <row r="477" spans="1:3" x14ac:dyDescent="0.35">
      <c r="A477" s="39">
        <v>31868</v>
      </c>
      <c r="B477" s="40">
        <f>VLOOKUP(Table9[[#This Row],[Date]],'DB Details'!$A:$L,12)</f>
        <v>55.5</v>
      </c>
      <c r="C477" s="40">
        <f>Table9[[#This Row],[PMI]]-B476</f>
        <v>0.5</v>
      </c>
    </row>
    <row r="478" spans="1:3" x14ac:dyDescent="0.35">
      <c r="A478" s="39">
        <v>31898</v>
      </c>
      <c r="B478" s="40">
        <f>VLOOKUP(Table9[[#This Row],[Date]],'DB Details'!$A:$L,12)</f>
        <v>57.2</v>
      </c>
      <c r="C478" s="40">
        <f>Table9[[#This Row],[PMI]]-B477</f>
        <v>1.7000000000000028</v>
      </c>
    </row>
    <row r="479" spans="1:3" x14ac:dyDescent="0.35">
      <c r="A479" s="39">
        <v>31929</v>
      </c>
      <c r="B479" s="40">
        <f>VLOOKUP(Table9[[#This Row],[Date]],'DB Details'!$A:$L,12)</f>
        <v>57.4</v>
      </c>
      <c r="C479" s="40">
        <f>Table9[[#This Row],[PMI]]-B478</f>
        <v>0.19999999999999574</v>
      </c>
    </row>
    <row r="480" spans="1:3" x14ac:dyDescent="0.35">
      <c r="A480" s="39">
        <v>31959</v>
      </c>
      <c r="B480" s="40">
        <f>VLOOKUP(Table9[[#This Row],[Date]],'DB Details'!$A:$L,12)</f>
        <v>57.5</v>
      </c>
      <c r="C480" s="40">
        <f>Table9[[#This Row],[PMI]]-B479</f>
        <v>0.10000000000000142</v>
      </c>
    </row>
    <row r="481" spans="1:3" x14ac:dyDescent="0.35">
      <c r="A481" s="39">
        <v>31990</v>
      </c>
      <c r="B481" s="40">
        <f>VLOOKUP(Table9[[#This Row],[Date]],'DB Details'!$A:$L,12)</f>
        <v>59.3</v>
      </c>
      <c r="C481" s="40">
        <f>Table9[[#This Row],[PMI]]-B480</f>
        <v>1.7999999999999972</v>
      </c>
    </row>
    <row r="482" spans="1:3" x14ac:dyDescent="0.35">
      <c r="A482" s="39">
        <v>32021</v>
      </c>
      <c r="B482" s="40">
        <f>VLOOKUP(Table9[[#This Row],[Date]],'DB Details'!$A:$L,12)</f>
        <v>60</v>
      </c>
      <c r="C482" s="40">
        <f>Table9[[#This Row],[PMI]]-B481</f>
        <v>0.70000000000000284</v>
      </c>
    </row>
    <row r="483" spans="1:3" x14ac:dyDescent="0.35">
      <c r="A483" s="39">
        <v>32051</v>
      </c>
      <c r="B483" s="40">
        <f>VLOOKUP(Table9[[#This Row],[Date]],'DB Details'!$A:$L,12)</f>
        <v>60.7</v>
      </c>
      <c r="C483" s="40">
        <f>Table9[[#This Row],[PMI]]-B482</f>
        <v>0.70000000000000284</v>
      </c>
    </row>
    <row r="484" spans="1:3" x14ac:dyDescent="0.35">
      <c r="A484" s="39">
        <v>32082</v>
      </c>
      <c r="B484" s="40">
        <f>VLOOKUP(Table9[[#This Row],[Date]],'DB Details'!$A:$L,12)</f>
        <v>58.8</v>
      </c>
      <c r="C484" s="40">
        <f>Table9[[#This Row],[PMI]]-B483</f>
        <v>-1.9000000000000057</v>
      </c>
    </row>
    <row r="485" spans="1:3" x14ac:dyDescent="0.35">
      <c r="A485" s="39">
        <v>32112</v>
      </c>
      <c r="B485" s="40">
        <f>VLOOKUP(Table9[[#This Row],[Date]],'DB Details'!$A:$L,12)</f>
        <v>61</v>
      </c>
      <c r="C485" s="40">
        <f>Table9[[#This Row],[PMI]]-B484</f>
        <v>2.2000000000000028</v>
      </c>
    </row>
    <row r="486" spans="1:3" x14ac:dyDescent="0.35">
      <c r="A486" s="39">
        <v>32143</v>
      </c>
      <c r="B486" s="40">
        <f>VLOOKUP(Table9[[#This Row],[Date]],'DB Details'!$A:$L,12)</f>
        <v>57.5</v>
      </c>
      <c r="C486" s="40">
        <f>Table9[[#This Row],[PMI]]-B485</f>
        <v>-3.5</v>
      </c>
    </row>
    <row r="487" spans="1:3" x14ac:dyDescent="0.35">
      <c r="A487" s="39">
        <v>32174</v>
      </c>
      <c r="B487" s="40">
        <f>VLOOKUP(Table9[[#This Row],[Date]],'DB Details'!$A:$L,12)</f>
        <v>56.2</v>
      </c>
      <c r="C487" s="40">
        <f>Table9[[#This Row],[PMI]]-B486</f>
        <v>-1.2999999999999972</v>
      </c>
    </row>
    <row r="488" spans="1:3" x14ac:dyDescent="0.35">
      <c r="A488" s="39">
        <v>32203</v>
      </c>
      <c r="B488" s="40">
        <f>VLOOKUP(Table9[[#This Row],[Date]],'DB Details'!$A:$L,12)</f>
        <v>54.6</v>
      </c>
      <c r="C488" s="40">
        <f>Table9[[#This Row],[PMI]]-B487</f>
        <v>-1.6000000000000014</v>
      </c>
    </row>
    <row r="489" spans="1:3" x14ac:dyDescent="0.35">
      <c r="A489" s="39">
        <v>32234</v>
      </c>
      <c r="B489" s="40">
        <f>VLOOKUP(Table9[[#This Row],[Date]],'DB Details'!$A:$L,12)</f>
        <v>55.8</v>
      </c>
      <c r="C489" s="40">
        <f>Table9[[#This Row],[PMI]]-B488</f>
        <v>1.1999999999999957</v>
      </c>
    </row>
    <row r="490" spans="1:3" x14ac:dyDescent="0.35">
      <c r="A490" s="39">
        <v>32264</v>
      </c>
      <c r="B490" s="40">
        <f>VLOOKUP(Table9[[#This Row],[Date]],'DB Details'!$A:$L,12)</f>
        <v>55.5</v>
      </c>
      <c r="C490" s="40">
        <f>Table9[[#This Row],[PMI]]-B489</f>
        <v>-0.29999999999999716</v>
      </c>
    </row>
    <row r="491" spans="1:3" x14ac:dyDescent="0.35">
      <c r="A491" s="39">
        <v>32295</v>
      </c>
      <c r="B491" s="40">
        <f>VLOOKUP(Table9[[#This Row],[Date]],'DB Details'!$A:$L,12)</f>
        <v>59.3</v>
      </c>
      <c r="C491" s="40">
        <f>Table9[[#This Row],[PMI]]-B490</f>
        <v>3.7999999999999972</v>
      </c>
    </row>
    <row r="492" spans="1:3" x14ac:dyDescent="0.35">
      <c r="A492" s="39">
        <v>32325</v>
      </c>
      <c r="B492" s="40">
        <f>VLOOKUP(Table9[[#This Row],[Date]],'DB Details'!$A:$L,12)</f>
        <v>58.2</v>
      </c>
      <c r="C492" s="40">
        <f>Table9[[#This Row],[PMI]]-B491</f>
        <v>-1.0999999999999943</v>
      </c>
    </row>
    <row r="493" spans="1:3" x14ac:dyDescent="0.35">
      <c r="A493" s="39">
        <v>32356</v>
      </c>
      <c r="B493" s="40">
        <f>VLOOKUP(Table9[[#This Row],[Date]],'DB Details'!$A:$L,12)</f>
        <v>56</v>
      </c>
      <c r="C493" s="40">
        <f>Table9[[#This Row],[PMI]]-B492</f>
        <v>-2.2000000000000028</v>
      </c>
    </row>
    <row r="494" spans="1:3" x14ac:dyDescent="0.35">
      <c r="A494" s="39">
        <v>32387</v>
      </c>
      <c r="B494" s="40">
        <f>VLOOKUP(Table9[[#This Row],[Date]],'DB Details'!$A:$L,12)</f>
        <v>54.5</v>
      </c>
      <c r="C494" s="40">
        <f>Table9[[#This Row],[PMI]]-B493</f>
        <v>-1.5</v>
      </c>
    </row>
    <row r="495" spans="1:3" x14ac:dyDescent="0.35">
      <c r="A495" s="39">
        <v>32417</v>
      </c>
      <c r="B495" s="40">
        <f>VLOOKUP(Table9[[#This Row],[Date]],'DB Details'!$A:$L,12)</f>
        <v>55.4</v>
      </c>
      <c r="C495" s="40">
        <f>Table9[[#This Row],[PMI]]-B494</f>
        <v>0.89999999999999858</v>
      </c>
    </row>
    <row r="496" spans="1:3" x14ac:dyDescent="0.35">
      <c r="A496" s="39">
        <v>32448</v>
      </c>
      <c r="B496" s="40">
        <f>VLOOKUP(Table9[[#This Row],[Date]],'DB Details'!$A:$L,12)</f>
        <v>55.6</v>
      </c>
      <c r="C496" s="40">
        <f>Table9[[#This Row],[PMI]]-B495</f>
        <v>0.20000000000000284</v>
      </c>
    </row>
    <row r="497" spans="1:3" x14ac:dyDescent="0.35">
      <c r="A497" s="39">
        <v>32478</v>
      </c>
      <c r="B497" s="40">
        <f>VLOOKUP(Table9[[#This Row],[Date]],'DB Details'!$A:$L,12)</f>
        <v>56</v>
      </c>
      <c r="C497" s="40">
        <f>Table9[[#This Row],[PMI]]-B496</f>
        <v>0.39999999999999858</v>
      </c>
    </row>
    <row r="498" spans="1:3" x14ac:dyDescent="0.35">
      <c r="A498" s="39">
        <v>32509</v>
      </c>
      <c r="B498" s="40">
        <f>VLOOKUP(Table9[[#This Row],[Date]],'DB Details'!$A:$L,12)</f>
        <v>54.7</v>
      </c>
      <c r="C498" s="40">
        <f>Table9[[#This Row],[PMI]]-B497</f>
        <v>-1.2999999999999972</v>
      </c>
    </row>
    <row r="499" spans="1:3" x14ac:dyDescent="0.35">
      <c r="A499" s="39">
        <v>32540</v>
      </c>
      <c r="B499" s="40">
        <f>VLOOKUP(Table9[[#This Row],[Date]],'DB Details'!$A:$L,12)</f>
        <v>54.1</v>
      </c>
      <c r="C499" s="40">
        <f>Table9[[#This Row],[PMI]]-B498</f>
        <v>-0.60000000000000142</v>
      </c>
    </row>
    <row r="500" spans="1:3" x14ac:dyDescent="0.35">
      <c r="A500" s="39">
        <v>32568</v>
      </c>
      <c r="B500" s="40">
        <f>VLOOKUP(Table9[[#This Row],[Date]],'DB Details'!$A:$L,12)</f>
        <v>51.5</v>
      </c>
      <c r="C500" s="40">
        <f>Table9[[#This Row],[PMI]]-B499</f>
        <v>-2.6000000000000014</v>
      </c>
    </row>
    <row r="501" spans="1:3" x14ac:dyDescent="0.35">
      <c r="A501" s="39">
        <v>32599</v>
      </c>
      <c r="B501" s="40">
        <f>VLOOKUP(Table9[[#This Row],[Date]],'DB Details'!$A:$L,12)</f>
        <v>52.2</v>
      </c>
      <c r="C501" s="40">
        <f>Table9[[#This Row],[PMI]]-B500</f>
        <v>0.70000000000000284</v>
      </c>
    </row>
    <row r="502" spans="1:3" x14ac:dyDescent="0.35">
      <c r="A502" s="39">
        <v>32629</v>
      </c>
      <c r="B502" s="40">
        <f>VLOOKUP(Table9[[#This Row],[Date]],'DB Details'!$A:$L,12)</f>
        <v>49.3</v>
      </c>
      <c r="C502" s="40">
        <f>Table9[[#This Row],[PMI]]-B501</f>
        <v>-2.9000000000000057</v>
      </c>
    </row>
    <row r="503" spans="1:3" x14ac:dyDescent="0.35">
      <c r="A503" s="39">
        <v>32660</v>
      </c>
      <c r="B503" s="40">
        <f>VLOOKUP(Table9[[#This Row],[Date]],'DB Details'!$A:$L,12)</f>
        <v>47.3</v>
      </c>
      <c r="C503" s="40">
        <f>Table9[[#This Row],[PMI]]-B502</f>
        <v>-2</v>
      </c>
    </row>
    <row r="504" spans="1:3" x14ac:dyDescent="0.35">
      <c r="A504" s="39">
        <v>32690</v>
      </c>
      <c r="B504" s="40">
        <f>VLOOKUP(Table9[[#This Row],[Date]],'DB Details'!$A:$L,12)</f>
        <v>45.9</v>
      </c>
      <c r="C504" s="40">
        <f>Table9[[#This Row],[PMI]]-B503</f>
        <v>-1.3999999999999986</v>
      </c>
    </row>
    <row r="505" spans="1:3" x14ac:dyDescent="0.35">
      <c r="A505" s="39">
        <v>32721</v>
      </c>
      <c r="B505" s="40">
        <f>VLOOKUP(Table9[[#This Row],[Date]],'DB Details'!$A:$L,12)</f>
        <v>45.1</v>
      </c>
      <c r="C505" s="40">
        <f>Table9[[#This Row],[PMI]]-B504</f>
        <v>-0.79999999999999716</v>
      </c>
    </row>
    <row r="506" spans="1:3" x14ac:dyDescent="0.35">
      <c r="A506" s="39">
        <v>32752</v>
      </c>
      <c r="B506" s="40">
        <f>VLOOKUP(Table9[[#This Row],[Date]],'DB Details'!$A:$L,12)</f>
        <v>46</v>
      </c>
      <c r="C506" s="40">
        <f>Table9[[#This Row],[PMI]]-B505</f>
        <v>0.89999999999999858</v>
      </c>
    </row>
    <row r="507" spans="1:3" x14ac:dyDescent="0.35">
      <c r="A507" s="39">
        <v>32782</v>
      </c>
      <c r="B507" s="40">
        <f>VLOOKUP(Table9[[#This Row],[Date]],'DB Details'!$A:$L,12)</f>
        <v>46.8</v>
      </c>
      <c r="C507" s="40">
        <f>Table9[[#This Row],[PMI]]-B506</f>
        <v>0.79999999999999716</v>
      </c>
    </row>
    <row r="508" spans="1:3" x14ac:dyDescent="0.35">
      <c r="A508" s="39">
        <v>32813</v>
      </c>
      <c r="B508" s="40">
        <f>VLOOKUP(Table9[[#This Row],[Date]],'DB Details'!$A:$L,12)</f>
        <v>46.8</v>
      </c>
      <c r="C508" s="40">
        <f>Table9[[#This Row],[PMI]]-B507</f>
        <v>0</v>
      </c>
    </row>
    <row r="509" spans="1:3" x14ac:dyDescent="0.35">
      <c r="A509" s="39">
        <v>32843</v>
      </c>
      <c r="B509" s="40">
        <f>VLOOKUP(Table9[[#This Row],[Date]],'DB Details'!$A:$L,12)</f>
        <v>47.4</v>
      </c>
      <c r="C509" s="40">
        <f>Table9[[#This Row],[PMI]]-B508</f>
        <v>0.60000000000000142</v>
      </c>
    </row>
    <row r="510" spans="1:3" x14ac:dyDescent="0.35">
      <c r="A510" s="39">
        <v>32874</v>
      </c>
      <c r="B510" s="40">
        <f>VLOOKUP(Table9[[#This Row],[Date]],'DB Details'!$A:$L,12)</f>
        <v>47.2</v>
      </c>
      <c r="C510" s="40">
        <f>Table9[[#This Row],[PMI]]-B509</f>
        <v>-0.19999999999999574</v>
      </c>
    </row>
    <row r="511" spans="1:3" x14ac:dyDescent="0.35">
      <c r="A511" s="39">
        <v>32905</v>
      </c>
      <c r="B511" s="40">
        <f>VLOOKUP(Table9[[#This Row],[Date]],'DB Details'!$A:$L,12)</f>
        <v>49.1</v>
      </c>
      <c r="C511" s="40">
        <f>Table9[[#This Row],[PMI]]-B510</f>
        <v>1.8999999999999986</v>
      </c>
    </row>
    <row r="512" spans="1:3" x14ac:dyDescent="0.35">
      <c r="A512" s="39">
        <v>32933</v>
      </c>
      <c r="B512" s="40">
        <f>VLOOKUP(Table9[[#This Row],[Date]],'DB Details'!$A:$L,12)</f>
        <v>49.9</v>
      </c>
      <c r="C512" s="40">
        <f>Table9[[#This Row],[PMI]]-B511</f>
        <v>0.79999999999999716</v>
      </c>
    </row>
    <row r="513" spans="1:3" x14ac:dyDescent="0.35">
      <c r="A513" s="39">
        <v>32964</v>
      </c>
      <c r="B513" s="40">
        <f>VLOOKUP(Table9[[#This Row],[Date]],'DB Details'!$A:$L,12)</f>
        <v>50</v>
      </c>
      <c r="C513" s="40">
        <f>Table9[[#This Row],[PMI]]-B512</f>
        <v>0.10000000000000142</v>
      </c>
    </row>
    <row r="514" spans="1:3" x14ac:dyDescent="0.35">
      <c r="A514" s="39">
        <v>32994</v>
      </c>
      <c r="B514" s="40">
        <f>VLOOKUP(Table9[[#This Row],[Date]],'DB Details'!$A:$L,12)</f>
        <v>49.5</v>
      </c>
      <c r="C514" s="40">
        <f>Table9[[#This Row],[PMI]]-B513</f>
        <v>-0.5</v>
      </c>
    </row>
    <row r="515" spans="1:3" x14ac:dyDescent="0.35">
      <c r="A515" s="39">
        <v>33025</v>
      </c>
      <c r="B515" s="40">
        <f>VLOOKUP(Table9[[#This Row],[Date]],'DB Details'!$A:$L,12)</f>
        <v>49.2</v>
      </c>
      <c r="C515" s="40">
        <f>Table9[[#This Row],[PMI]]-B514</f>
        <v>-0.29999999999999716</v>
      </c>
    </row>
    <row r="516" spans="1:3" x14ac:dyDescent="0.35">
      <c r="A516" s="39">
        <v>33055</v>
      </c>
      <c r="B516" s="40">
        <f>VLOOKUP(Table9[[#This Row],[Date]],'DB Details'!$A:$L,12)</f>
        <v>46.6</v>
      </c>
      <c r="C516" s="40">
        <f>Table9[[#This Row],[PMI]]-B515</f>
        <v>-2.6000000000000014</v>
      </c>
    </row>
    <row r="517" spans="1:3" x14ac:dyDescent="0.35">
      <c r="A517" s="39">
        <v>33086</v>
      </c>
      <c r="B517" s="40">
        <f>VLOOKUP(Table9[[#This Row],[Date]],'DB Details'!$A:$L,12)</f>
        <v>46.1</v>
      </c>
      <c r="C517" s="40">
        <f>Table9[[#This Row],[PMI]]-B516</f>
        <v>-0.5</v>
      </c>
    </row>
    <row r="518" spans="1:3" x14ac:dyDescent="0.35">
      <c r="A518" s="39">
        <v>33117</v>
      </c>
      <c r="B518" s="40">
        <f>VLOOKUP(Table9[[#This Row],[Date]],'DB Details'!$A:$L,12)</f>
        <v>44.5</v>
      </c>
      <c r="C518" s="40">
        <f>Table9[[#This Row],[PMI]]-B517</f>
        <v>-1.6000000000000014</v>
      </c>
    </row>
    <row r="519" spans="1:3" x14ac:dyDescent="0.35">
      <c r="A519" s="39">
        <v>33147</v>
      </c>
      <c r="B519" s="40">
        <f>VLOOKUP(Table9[[#This Row],[Date]],'DB Details'!$A:$L,12)</f>
        <v>43.2</v>
      </c>
      <c r="C519" s="40">
        <f>Table9[[#This Row],[PMI]]-B518</f>
        <v>-1.2999999999999972</v>
      </c>
    </row>
    <row r="520" spans="1:3" x14ac:dyDescent="0.35">
      <c r="A520" s="39">
        <v>33178</v>
      </c>
      <c r="B520" s="40">
        <f>VLOOKUP(Table9[[#This Row],[Date]],'DB Details'!$A:$L,12)</f>
        <v>41.3</v>
      </c>
      <c r="C520" s="40">
        <f>Table9[[#This Row],[PMI]]-B519</f>
        <v>-1.9000000000000057</v>
      </c>
    </row>
    <row r="521" spans="1:3" x14ac:dyDescent="0.35">
      <c r="A521" s="39">
        <v>33208</v>
      </c>
      <c r="B521" s="40">
        <f>VLOOKUP(Table9[[#This Row],[Date]],'DB Details'!$A:$L,12)</f>
        <v>40.799999999999997</v>
      </c>
      <c r="C521" s="40">
        <f>Table9[[#This Row],[PMI]]-B520</f>
        <v>-0.5</v>
      </c>
    </row>
    <row r="522" spans="1:3" x14ac:dyDescent="0.35">
      <c r="A522" s="39">
        <v>33239</v>
      </c>
      <c r="B522" s="40">
        <f>VLOOKUP(Table9[[#This Row],[Date]],'DB Details'!$A:$L,12)</f>
        <v>39.200000000000003</v>
      </c>
      <c r="C522" s="40">
        <f>Table9[[#This Row],[PMI]]-B521</f>
        <v>-1.5999999999999943</v>
      </c>
    </row>
    <row r="523" spans="1:3" x14ac:dyDescent="0.35">
      <c r="A523" s="39">
        <v>33270</v>
      </c>
      <c r="B523" s="40">
        <f>VLOOKUP(Table9[[#This Row],[Date]],'DB Details'!$A:$L,12)</f>
        <v>39.4</v>
      </c>
      <c r="C523" s="40">
        <f>Table9[[#This Row],[PMI]]-B522</f>
        <v>0.19999999999999574</v>
      </c>
    </row>
    <row r="524" spans="1:3" x14ac:dyDescent="0.35">
      <c r="A524" s="39">
        <v>33298</v>
      </c>
      <c r="B524" s="40">
        <f>VLOOKUP(Table9[[#This Row],[Date]],'DB Details'!$A:$L,12)</f>
        <v>40.700000000000003</v>
      </c>
      <c r="C524" s="40">
        <f>Table9[[#This Row],[PMI]]-B523</f>
        <v>1.3000000000000043</v>
      </c>
    </row>
    <row r="525" spans="1:3" x14ac:dyDescent="0.35">
      <c r="A525" s="39">
        <v>33329</v>
      </c>
      <c r="B525" s="40">
        <f>VLOOKUP(Table9[[#This Row],[Date]],'DB Details'!$A:$L,12)</f>
        <v>42.8</v>
      </c>
      <c r="C525" s="40">
        <f>Table9[[#This Row],[PMI]]-B524</f>
        <v>2.0999999999999943</v>
      </c>
    </row>
    <row r="526" spans="1:3" x14ac:dyDescent="0.35">
      <c r="A526" s="39">
        <v>33359</v>
      </c>
      <c r="B526" s="40">
        <f>VLOOKUP(Table9[[#This Row],[Date]],'DB Details'!$A:$L,12)</f>
        <v>44.5</v>
      </c>
      <c r="C526" s="40">
        <f>Table9[[#This Row],[PMI]]-B525</f>
        <v>1.7000000000000028</v>
      </c>
    </row>
    <row r="527" spans="1:3" x14ac:dyDescent="0.35">
      <c r="A527" s="39">
        <v>33390</v>
      </c>
      <c r="B527" s="40">
        <f>VLOOKUP(Table9[[#This Row],[Date]],'DB Details'!$A:$L,12)</f>
        <v>50.3</v>
      </c>
      <c r="C527" s="40">
        <f>Table9[[#This Row],[PMI]]-B526</f>
        <v>5.7999999999999972</v>
      </c>
    </row>
    <row r="528" spans="1:3" x14ac:dyDescent="0.35">
      <c r="A528" s="39">
        <v>33420</v>
      </c>
      <c r="B528" s="40">
        <f>VLOOKUP(Table9[[#This Row],[Date]],'DB Details'!$A:$L,12)</f>
        <v>50.6</v>
      </c>
      <c r="C528" s="40">
        <f>Table9[[#This Row],[PMI]]-B527</f>
        <v>0.30000000000000426</v>
      </c>
    </row>
    <row r="529" spans="1:3" x14ac:dyDescent="0.35">
      <c r="A529" s="39">
        <v>33451</v>
      </c>
      <c r="B529" s="40">
        <f>VLOOKUP(Table9[[#This Row],[Date]],'DB Details'!$A:$L,12)</f>
        <v>52.9</v>
      </c>
      <c r="C529" s="40">
        <f>Table9[[#This Row],[PMI]]-B528</f>
        <v>2.2999999999999972</v>
      </c>
    </row>
    <row r="530" spans="1:3" x14ac:dyDescent="0.35">
      <c r="A530" s="39">
        <v>33482</v>
      </c>
      <c r="B530" s="40">
        <f>VLOOKUP(Table9[[#This Row],[Date]],'DB Details'!$A:$L,12)</f>
        <v>54.9</v>
      </c>
      <c r="C530" s="40">
        <f>Table9[[#This Row],[PMI]]-B529</f>
        <v>2</v>
      </c>
    </row>
    <row r="531" spans="1:3" x14ac:dyDescent="0.35">
      <c r="A531" s="39">
        <v>33512</v>
      </c>
      <c r="B531" s="40">
        <f>VLOOKUP(Table9[[#This Row],[Date]],'DB Details'!$A:$L,12)</f>
        <v>53.1</v>
      </c>
      <c r="C531" s="40">
        <f>Table9[[#This Row],[PMI]]-B530</f>
        <v>-1.7999999999999972</v>
      </c>
    </row>
    <row r="532" spans="1:3" x14ac:dyDescent="0.35">
      <c r="A532" s="39">
        <v>33543</v>
      </c>
      <c r="B532" s="40">
        <f>VLOOKUP(Table9[[#This Row],[Date]],'DB Details'!$A:$L,12)</f>
        <v>49.5</v>
      </c>
      <c r="C532" s="40">
        <f>Table9[[#This Row],[PMI]]-B531</f>
        <v>-3.6000000000000014</v>
      </c>
    </row>
    <row r="533" spans="1:3" x14ac:dyDescent="0.35">
      <c r="A533" s="39">
        <v>33573</v>
      </c>
      <c r="B533" s="40">
        <f>VLOOKUP(Table9[[#This Row],[Date]],'DB Details'!$A:$L,12)</f>
        <v>46.8</v>
      </c>
      <c r="C533" s="40">
        <f>Table9[[#This Row],[PMI]]-B532</f>
        <v>-2.7000000000000028</v>
      </c>
    </row>
    <row r="534" spans="1:3" x14ac:dyDescent="0.35">
      <c r="A534" s="39">
        <v>33604</v>
      </c>
      <c r="B534" s="40">
        <f>VLOOKUP(Table9[[#This Row],[Date]],'DB Details'!$A:$L,12)</f>
        <v>47.3</v>
      </c>
      <c r="C534" s="40">
        <f>Table9[[#This Row],[PMI]]-B533</f>
        <v>0.5</v>
      </c>
    </row>
    <row r="535" spans="1:3" x14ac:dyDescent="0.35">
      <c r="A535" s="39">
        <v>33635</v>
      </c>
      <c r="B535" s="40">
        <f>VLOOKUP(Table9[[#This Row],[Date]],'DB Details'!$A:$L,12)</f>
        <v>52.7</v>
      </c>
      <c r="C535" s="40">
        <f>Table9[[#This Row],[PMI]]-B534</f>
        <v>5.4000000000000057</v>
      </c>
    </row>
    <row r="536" spans="1:3" x14ac:dyDescent="0.35">
      <c r="A536" s="39">
        <v>33664</v>
      </c>
      <c r="B536" s="40">
        <f>VLOOKUP(Table9[[#This Row],[Date]],'DB Details'!$A:$L,12)</f>
        <v>54.6</v>
      </c>
      <c r="C536" s="40">
        <f>Table9[[#This Row],[PMI]]-B535</f>
        <v>1.8999999999999986</v>
      </c>
    </row>
    <row r="537" spans="1:3" x14ac:dyDescent="0.35">
      <c r="A537" s="39">
        <v>33695</v>
      </c>
      <c r="B537" s="40">
        <f>VLOOKUP(Table9[[#This Row],[Date]],'DB Details'!$A:$L,12)</f>
        <v>52.6</v>
      </c>
      <c r="C537" s="40">
        <f>Table9[[#This Row],[PMI]]-B536</f>
        <v>-2</v>
      </c>
    </row>
    <row r="538" spans="1:3" x14ac:dyDescent="0.35">
      <c r="A538" s="39">
        <v>33725</v>
      </c>
      <c r="B538" s="40">
        <f>VLOOKUP(Table9[[#This Row],[Date]],'DB Details'!$A:$L,12)</f>
        <v>55.7</v>
      </c>
      <c r="C538" s="40">
        <f>Table9[[#This Row],[PMI]]-B537</f>
        <v>3.1000000000000014</v>
      </c>
    </row>
    <row r="539" spans="1:3" x14ac:dyDescent="0.35">
      <c r="A539" s="39">
        <v>33756</v>
      </c>
      <c r="B539" s="40">
        <f>VLOOKUP(Table9[[#This Row],[Date]],'DB Details'!$A:$L,12)</f>
        <v>53.6</v>
      </c>
      <c r="C539" s="40">
        <f>Table9[[#This Row],[PMI]]-B538</f>
        <v>-2.1000000000000014</v>
      </c>
    </row>
    <row r="540" spans="1:3" x14ac:dyDescent="0.35">
      <c r="A540" s="39">
        <v>33786</v>
      </c>
      <c r="B540" s="40">
        <f>VLOOKUP(Table9[[#This Row],[Date]],'DB Details'!$A:$L,12)</f>
        <v>53.9</v>
      </c>
      <c r="C540" s="40">
        <f>Table9[[#This Row],[PMI]]-B539</f>
        <v>0.29999999999999716</v>
      </c>
    </row>
    <row r="541" spans="1:3" x14ac:dyDescent="0.35">
      <c r="A541" s="39">
        <v>33817</v>
      </c>
      <c r="B541" s="40">
        <f>VLOOKUP(Table9[[#This Row],[Date]],'DB Details'!$A:$L,12)</f>
        <v>53.4</v>
      </c>
      <c r="C541" s="40">
        <f>Table9[[#This Row],[PMI]]-B540</f>
        <v>-0.5</v>
      </c>
    </row>
    <row r="542" spans="1:3" x14ac:dyDescent="0.35">
      <c r="A542" s="39">
        <v>33848</v>
      </c>
      <c r="B542" s="40">
        <f>VLOOKUP(Table9[[#This Row],[Date]],'DB Details'!$A:$L,12)</f>
        <v>49.7</v>
      </c>
      <c r="C542" s="40">
        <f>Table9[[#This Row],[PMI]]-B541</f>
        <v>-3.6999999999999957</v>
      </c>
    </row>
    <row r="543" spans="1:3" x14ac:dyDescent="0.35">
      <c r="A543" s="39">
        <v>33878</v>
      </c>
      <c r="B543" s="40">
        <f>VLOOKUP(Table9[[#This Row],[Date]],'DB Details'!$A:$L,12)</f>
        <v>50.3</v>
      </c>
      <c r="C543" s="40">
        <f>Table9[[#This Row],[PMI]]-B542</f>
        <v>0.59999999999999432</v>
      </c>
    </row>
    <row r="544" spans="1:3" x14ac:dyDescent="0.35">
      <c r="A544" s="39">
        <v>33909</v>
      </c>
      <c r="B544" s="40">
        <f>VLOOKUP(Table9[[#This Row],[Date]],'DB Details'!$A:$L,12)</f>
        <v>53.6</v>
      </c>
      <c r="C544" s="40">
        <f>Table9[[#This Row],[PMI]]-B543</f>
        <v>3.3000000000000043</v>
      </c>
    </row>
    <row r="545" spans="1:3" x14ac:dyDescent="0.35">
      <c r="A545" s="39">
        <v>33939</v>
      </c>
      <c r="B545" s="40">
        <f>VLOOKUP(Table9[[#This Row],[Date]],'DB Details'!$A:$L,12)</f>
        <v>54.2</v>
      </c>
      <c r="C545" s="40">
        <f>Table9[[#This Row],[PMI]]-B544</f>
        <v>0.60000000000000142</v>
      </c>
    </row>
    <row r="546" spans="1:3" x14ac:dyDescent="0.35">
      <c r="A546" s="39">
        <v>33970</v>
      </c>
      <c r="B546" s="40">
        <f>VLOOKUP(Table9[[#This Row],[Date]],'DB Details'!$A:$L,12)</f>
        <v>55.8</v>
      </c>
      <c r="C546" s="40">
        <f>Table9[[#This Row],[PMI]]-B545</f>
        <v>1.5999999999999943</v>
      </c>
    </row>
    <row r="547" spans="1:3" x14ac:dyDescent="0.35">
      <c r="A547" s="39">
        <v>34001</v>
      </c>
      <c r="B547" s="40">
        <f>VLOOKUP(Table9[[#This Row],[Date]],'DB Details'!$A:$L,12)</f>
        <v>55.2</v>
      </c>
      <c r="C547" s="40">
        <f>Table9[[#This Row],[PMI]]-B546</f>
        <v>-0.59999999999999432</v>
      </c>
    </row>
    <row r="548" spans="1:3" x14ac:dyDescent="0.35">
      <c r="A548" s="39">
        <v>34029</v>
      </c>
      <c r="B548" s="40">
        <f>VLOOKUP(Table9[[#This Row],[Date]],'DB Details'!$A:$L,12)</f>
        <v>53.5</v>
      </c>
      <c r="C548" s="40">
        <f>Table9[[#This Row],[PMI]]-B547</f>
        <v>-1.7000000000000028</v>
      </c>
    </row>
    <row r="549" spans="1:3" x14ac:dyDescent="0.35">
      <c r="A549" s="39">
        <v>34060</v>
      </c>
      <c r="B549" s="40">
        <f>VLOOKUP(Table9[[#This Row],[Date]],'DB Details'!$A:$L,12)</f>
        <v>50.2</v>
      </c>
      <c r="C549" s="40">
        <f>Table9[[#This Row],[PMI]]-B548</f>
        <v>-3.2999999999999972</v>
      </c>
    </row>
    <row r="550" spans="1:3" x14ac:dyDescent="0.35">
      <c r="A550" s="39">
        <v>34090</v>
      </c>
      <c r="B550" s="40">
        <f>VLOOKUP(Table9[[#This Row],[Date]],'DB Details'!$A:$L,12)</f>
        <v>51.2</v>
      </c>
      <c r="C550" s="40">
        <f>Table9[[#This Row],[PMI]]-B549</f>
        <v>1</v>
      </c>
    </row>
    <row r="551" spans="1:3" x14ac:dyDescent="0.35">
      <c r="A551" s="39">
        <v>34121</v>
      </c>
      <c r="B551" s="40">
        <f>VLOOKUP(Table9[[#This Row],[Date]],'DB Details'!$A:$L,12)</f>
        <v>49.6</v>
      </c>
      <c r="C551" s="40">
        <f>Table9[[#This Row],[PMI]]-B550</f>
        <v>-1.6000000000000014</v>
      </c>
    </row>
    <row r="552" spans="1:3" x14ac:dyDescent="0.35">
      <c r="A552" s="39">
        <v>34151</v>
      </c>
      <c r="B552" s="40">
        <f>VLOOKUP(Table9[[#This Row],[Date]],'DB Details'!$A:$L,12)</f>
        <v>50.2</v>
      </c>
      <c r="C552" s="40">
        <f>Table9[[#This Row],[PMI]]-B551</f>
        <v>0.60000000000000142</v>
      </c>
    </row>
    <row r="553" spans="1:3" x14ac:dyDescent="0.35">
      <c r="A553" s="39">
        <v>34182</v>
      </c>
      <c r="B553" s="40">
        <f>VLOOKUP(Table9[[#This Row],[Date]],'DB Details'!$A:$L,12)</f>
        <v>50.7</v>
      </c>
      <c r="C553" s="40">
        <f>Table9[[#This Row],[PMI]]-B552</f>
        <v>0.5</v>
      </c>
    </row>
    <row r="554" spans="1:3" x14ac:dyDescent="0.35">
      <c r="A554" s="39">
        <v>34213</v>
      </c>
      <c r="B554" s="40">
        <f>VLOOKUP(Table9[[#This Row],[Date]],'DB Details'!$A:$L,12)</f>
        <v>50.8</v>
      </c>
      <c r="C554" s="40">
        <f>Table9[[#This Row],[PMI]]-B553</f>
        <v>9.9999999999994316E-2</v>
      </c>
    </row>
    <row r="555" spans="1:3" x14ac:dyDescent="0.35">
      <c r="A555" s="39">
        <v>34243</v>
      </c>
      <c r="B555" s="40">
        <f>VLOOKUP(Table9[[#This Row],[Date]],'DB Details'!$A:$L,12)</f>
        <v>53.4</v>
      </c>
      <c r="C555" s="40">
        <f>Table9[[#This Row],[PMI]]-B554</f>
        <v>2.6000000000000014</v>
      </c>
    </row>
    <row r="556" spans="1:3" x14ac:dyDescent="0.35">
      <c r="A556" s="39">
        <v>34274</v>
      </c>
      <c r="B556" s="40">
        <f>VLOOKUP(Table9[[#This Row],[Date]],'DB Details'!$A:$L,12)</f>
        <v>53.8</v>
      </c>
      <c r="C556" s="40">
        <f>Table9[[#This Row],[PMI]]-B555</f>
        <v>0.39999999999999858</v>
      </c>
    </row>
    <row r="557" spans="1:3" x14ac:dyDescent="0.35">
      <c r="A557" s="39">
        <v>34304</v>
      </c>
      <c r="B557" s="40">
        <f>VLOOKUP(Table9[[#This Row],[Date]],'DB Details'!$A:$L,12)</f>
        <v>55.6</v>
      </c>
      <c r="C557" s="40">
        <f>Table9[[#This Row],[PMI]]-B556</f>
        <v>1.8000000000000043</v>
      </c>
    </row>
    <row r="558" spans="1:3" x14ac:dyDescent="0.35">
      <c r="A558" s="39">
        <v>34335</v>
      </c>
      <c r="B558" s="40">
        <f>VLOOKUP(Table9[[#This Row],[Date]],'DB Details'!$A:$L,12)</f>
        <v>56</v>
      </c>
      <c r="C558" s="40">
        <f>Table9[[#This Row],[PMI]]-B557</f>
        <v>0.39999999999999858</v>
      </c>
    </row>
    <row r="559" spans="1:3" x14ac:dyDescent="0.35">
      <c r="A559" s="39">
        <v>34366</v>
      </c>
      <c r="B559" s="40">
        <f>VLOOKUP(Table9[[#This Row],[Date]],'DB Details'!$A:$L,12)</f>
        <v>56.5</v>
      </c>
      <c r="C559" s="40">
        <f>Table9[[#This Row],[PMI]]-B558</f>
        <v>0.5</v>
      </c>
    </row>
    <row r="560" spans="1:3" x14ac:dyDescent="0.35">
      <c r="A560" s="39">
        <v>34394</v>
      </c>
      <c r="B560" s="40">
        <f>VLOOKUP(Table9[[#This Row],[Date]],'DB Details'!$A:$L,12)</f>
        <v>56.9</v>
      </c>
      <c r="C560" s="40">
        <f>Table9[[#This Row],[PMI]]-B559</f>
        <v>0.39999999999999858</v>
      </c>
    </row>
    <row r="561" spans="1:3" x14ac:dyDescent="0.35">
      <c r="A561" s="39">
        <v>34425</v>
      </c>
      <c r="B561" s="40">
        <f>VLOOKUP(Table9[[#This Row],[Date]],'DB Details'!$A:$L,12)</f>
        <v>57.4</v>
      </c>
      <c r="C561" s="40">
        <f>Table9[[#This Row],[PMI]]-B560</f>
        <v>0.5</v>
      </c>
    </row>
    <row r="562" spans="1:3" x14ac:dyDescent="0.35">
      <c r="A562" s="39">
        <v>34455</v>
      </c>
      <c r="B562" s="40">
        <f>VLOOKUP(Table9[[#This Row],[Date]],'DB Details'!$A:$L,12)</f>
        <v>58.2</v>
      </c>
      <c r="C562" s="40">
        <f>Table9[[#This Row],[PMI]]-B561</f>
        <v>0.80000000000000426</v>
      </c>
    </row>
    <row r="563" spans="1:3" x14ac:dyDescent="0.35">
      <c r="A563" s="39">
        <v>34486</v>
      </c>
      <c r="B563" s="40">
        <f>VLOOKUP(Table9[[#This Row],[Date]],'DB Details'!$A:$L,12)</f>
        <v>58.8</v>
      </c>
      <c r="C563" s="40">
        <f>Table9[[#This Row],[PMI]]-B562</f>
        <v>0.59999999999999432</v>
      </c>
    </row>
    <row r="564" spans="1:3" x14ac:dyDescent="0.35">
      <c r="A564" s="39">
        <v>34516</v>
      </c>
      <c r="B564" s="40">
        <f>VLOOKUP(Table9[[#This Row],[Date]],'DB Details'!$A:$L,12)</f>
        <v>58.5</v>
      </c>
      <c r="C564" s="40">
        <f>Table9[[#This Row],[PMI]]-B563</f>
        <v>-0.29999999999999716</v>
      </c>
    </row>
    <row r="565" spans="1:3" x14ac:dyDescent="0.35">
      <c r="A565" s="39">
        <v>34547</v>
      </c>
      <c r="B565" s="40">
        <f>VLOOKUP(Table9[[#This Row],[Date]],'DB Details'!$A:$L,12)</f>
        <v>58</v>
      </c>
      <c r="C565" s="40">
        <f>Table9[[#This Row],[PMI]]-B564</f>
        <v>-0.5</v>
      </c>
    </row>
    <row r="566" spans="1:3" x14ac:dyDescent="0.35">
      <c r="A566" s="39">
        <v>34578</v>
      </c>
      <c r="B566" s="40">
        <f>VLOOKUP(Table9[[#This Row],[Date]],'DB Details'!$A:$L,12)</f>
        <v>59</v>
      </c>
      <c r="C566" s="40">
        <f>Table9[[#This Row],[PMI]]-B565</f>
        <v>1</v>
      </c>
    </row>
    <row r="567" spans="1:3" x14ac:dyDescent="0.35">
      <c r="A567" s="39">
        <v>34608</v>
      </c>
      <c r="B567" s="40">
        <f>VLOOKUP(Table9[[#This Row],[Date]],'DB Details'!$A:$L,12)</f>
        <v>59.4</v>
      </c>
      <c r="C567" s="40">
        <f>Table9[[#This Row],[PMI]]-B566</f>
        <v>0.39999999999999858</v>
      </c>
    </row>
    <row r="568" spans="1:3" x14ac:dyDescent="0.35">
      <c r="A568" s="39">
        <v>34639</v>
      </c>
      <c r="B568" s="40">
        <f>VLOOKUP(Table9[[#This Row],[Date]],'DB Details'!$A:$L,12)</f>
        <v>59.2</v>
      </c>
      <c r="C568" s="40">
        <f>Table9[[#This Row],[PMI]]-B567</f>
        <v>-0.19999999999999574</v>
      </c>
    </row>
    <row r="569" spans="1:3" x14ac:dyDescent="0.35">
      <c r="A569" s="39">
        <v>34669</v>
      </c>
      <c r="B569" s="40">
        <f>VLOOKUP(Table9[[#This Row],[Date]],'DB Details'!$A:$L,12)</f>
        <v>56.1</v>
      </c>
      <c r="C569" s="40">
        <f>Table9[[#This Row],[PMI]]-B568</f>
        <v>-3.1000000000000014</v>
      </c>
    </row>
    <row r="570" spans="1:3" x14ac:dyDescent="0.35">
      <c r="A570" s="39">
        <v>34700</v>
      </c>
      <c r="B570" s="40">
        <f>VLOOKUP(Table9[[#This Row],[Date]],'DB Details'!$A:$L,12)</f>
        <v>57.4</v>
      </c>
      <c r="C570" s="40">
        <f>Table9[[#This Row],[PMI]]-B569</f>
        <v>1.2999999999999972</v>
      </c>
    </row>
    <row r="571" spans="1:3" x14ac:dyDescent="0.35">
      <c r="A571" s="39">
        <v>34731</v>
      </c>
      <c r="B571" s="40">
        <f>VLOOKUP(Table9[[#This Row],[Date]],'DB Details'!$A:$L,12)</f>
        <v>55.1</v>
      </c>
      <c r="C571" s="40">
        <f>Table9[[#This Row],[PMI]]-B570</f>
        <v>-2.2999999999999972</v>
      </c>
    </row>
    <row r="572" spans="1:3" x14ac:dyDescent="0.35">
      <c r="A572" s="39">
        <v>34759</v>
      </c>
      <c r="B572" s="40">
        <f>VLOOKUP(Table9[[#This Row],[Date]],'DB Details'!$A:$L,12)</f>
        <v>52.1</v>
      </c>
      <c r="C572" s="40">
        <f>Table9[[#This Row],[PMI]]-B571</f>
        <v>-3</v>
      </c>
    </row>
    <row r="573" spans="1:3" x14ac:dyDescent="0.35">
      <c r="A573" s="39">
        <v>34790</v>
      </c>
      <c r="B573" s="40">
        <f>VLOOKUP(Table9[[#This Row],[Date]],'DB Details'!$A:$L,12)</f>
        <v>51.5</v>
      </c>
      <c r="C573" s="40">
        <f>Table9[[#This Row],[PMI]]-B572</f>
        <v>-0.60000000000000142</v>
      </c>
    </row>
    <row r="574" spans="1:3" x14ac:dyDescent="0.35">
      <c r="A574" s="39">
        <v>34820</v>
      </c>
      <c r="B574" s="40">
        <f>VLOOKUP(Table9[[#This Row],[Date]],'DB Details'!$A:$L,12)</f>
        <v>46.7</v>
      </c>
      <c r="C574" s="40">
        <f>Table9[[#This Row],[PMI]]-B573</f>
        <v>-4.7999999999999972</v>
      </c>
    </row>
    <row r="575" spans="1:3" x14ac:dyDescent="0.35">
      <c r="A575" s="39">
        <v>34851</v>
      </c>
      <c r="B575" s="40">
        <f>VLOOKUP(Table9[[#This Row],[Date]],'DB Details'!$A:$L,12)</f>
        <v>45.9</v>
      </c>
      <c r="C575" s="40">
        <f>Table9[[#This Row],[PMI]]-B574</f>
        <v>-0.80000000000000426</v>
      </c>
    </row>
    <row r="576" spans="1:3" x14ac:dyDescent="0.35">
      <c r="A576" s="39">
        <v>34881</v>
      </c>
      <c r="B576" s="40">
        <f>VLOOKUP(Table9[[#This Row],[Date]],'DB Details'!$A:$L,12)</f>
        <v>50.7</v>
      </c>
      <c r="C576" s="40">
        <f>Table9[[#This Row],[PMI]]-B575</f>
        <v>4.8000000000000043</v>
      </c>
    </row>
    <row r="577" spans="1:3" x14ac:dyDescent="0.35">
      <c r="A577" s="39">
        <v>34912</v>
      </c>
      <c r="B577" s="40">
        <f>VLOOKUP(Table9[[#This Row],[Date]],'DB Details'!$A:$L,12)</f>
        <v>47.1</v>
      </c>
      <c r="C577" s="40">
        <f>Table9[[#This Row],[PMI]]-B576</f>
        <v>-3.6000000000000014</v>
      </c>
    </row>
    <row r="578" spans="1:3" x14ac:dyDescent="0.35">
      <c r="A578" s="39">
        <v>34943</v>
      </c>
      <c r="B578" s="40">
        <f>VLOOKUP(Table9[[#This Row],[Date]],'DB Details'!$A:$L,12)</f>
        <v>48.1</v>
      </c>
      <c r="C578" s="40">
        <f>Table9[[#This Row],[PMI]]-B577</f>
        <v>1</v>
      </c>
    </row>
    <row r="579" spans="1:3" x14ac:dyDescent="0.35">
      <c r="A579" s="39">
        <v>34973</v>
      </c>
      <c r="B579" s="40">
        <f>VLOOKUP(Table9[[#This Row],[Date]],'DB Details'!$A:$L,12)</f>
        <v>46.7</v>
      </c>
      <c r="C579" s="40">
        <f>Table9[[#This Row],[PMI]]-B578</f>
        <v>-1.3999999999999986</v>
      </c>
    </row>
    <row r="580" spans="1:3" x14ac:dyDescent="0.35">
      <c r="A580" s="39">
        <v>35004</v>
      </c>
      <c r="B580" s="40">
        <f>VLOOKUP(Table9[[#This Row],[Date]],'DB Details'!$A:$L,12)</f>
        <v>45.9</v>
      </c>
      <c r="C580" s="40">
        <f>Table9[[#This Row],[PMI]]-B579</f>
        <v>-0.80000000000000426</v>
      </c>
    </row>
    <row r="581" spans="1:3" x14ac:dyDescent="0.35">
      <c r="A581" s="39">
        <v>35034</v>
      </c>
      <c r="B581" s="40">
        <f>VLOOKUP(Table9[[#This Row],[Date]],'DB Details'!$A:$L,12)</f>
        <v>46.2</v>
      </c>
      <c r="C581" s="40">
        <f>Table9[[#This Row],[PMI]]-B580</f>
        <v>0.30000000000000426</v>
      </c>
    </row>
    <row r="582" spans="1:3" x14ac:dyDescent="0.35">
      <c r="A582" s="39">
        <v>35065</v>
      </c>
      <c r="B582" s="40">
        <f>VLOOKUP(Table9[[#This Row],[Date]],'DB Details'!$A:$L,12)</f>
        <v>45.5</v>
      </c>
      <c r="C582" s="40">
        <f>Table9[[#This Row],[PMI]]-B581</f>
        <v>-0.70000000000000284</v>
      </c>
    </row>
    <row r="583" spans="1:3" x14ac:dyDescent="0.35">
      <c r="A583" s="39">
        <v>35096</v>
      </c>
      <c r="B583" s="40">
        <f>VLOOKUP(Table9[[#This Row],[Date]],'DB Details'!$A:$L,12)</f>
        <v>45.9</v>
      </c>
      <c r="C583" s="40">
        <f>Table9[[#This Row],[PMI]]-B582</f>
        <v>0.39999999999999858</v>
      </c>
    </row>
    <row r="584" spans="1:3" x14ac:dyDescent="0.35">
      <c r="A584" s="39">
        <v>35125</v>
      </c>
      <c r="B584" s="40">
        <f>VLOOKUP(Table9[[#This Row],[Date]],'DB Details'!$A:$L,12)</f>
        <v>46.9</v>
      </c>
      <c r="C584" s="40">
        <f>Table9[[#This Row],[PMI]]-B583</f>
        <v>1</v>
      </c>
    </row>
    <row r="585" spans="1:3" x14ac:dyDescent="0.35">
      <c r="A585" s="39">
        <v>35156</v>
      </c>
      <c r="B585" s="40">
        <f>VLOOKUP(Table9[[#This Row],[Date]],'DB Details'!$A:$L,12)</f>
        <v>49.3</v>
      </c>
      <c r="C585" s="40">
        <f>Table9[[#This Row],[PMI]]-B584</f>
        <v>2.3999999999999986</v>
      </c>
    </row>
    <row r="586" spans="1:3" x14ac:dyDescent="0.35">
      <c r="A586" s="39">
        <v>35186</v>
      </c>
      <c r="B586" s="40">
        <f>VLOOKUP(Table9[[#This Row],[Date]],'DB Details'!$A:$L,12)</f>
        <v>49.1</v>
      </c>
      <c r="C586" s="40">
        <f>Table9[[#This Row],[PMI]]-B585</f>
        <v>-0.19999999999999574</v>
      </c>
    </row>
    <row r="587" spans="1:3" x14ac:dyDescent="0.35">
      <c r="A587" s="39">
        <v>35217</v>
      </c>
      <c r="B587" s="40">
        <f>VLOOKUP(Table9[[#This Row],[Date]],'DB Details'!$A:$L,12)</f>
        <v>53.6</v>
      </c>
      <c r="C587" s="40">
        <f>Table9[[#This Row],[PMI]]-B586</f>
        <v>4.5</v>
      </c>
    </row>
    <row r="588" spans="1:3" x14ac:dyDescent="0.35">
      <c r="A588" s="39">
        <v>35247</v>
      </c>
      <c r="B588" s="40">
        <f>VLOOKUP(Table9[[#This Row],[Date]],'DB Details'!$A:$L,12)</f>
        <v>49.7</v>
      </c>
      <c r="C588" s="40">
        <f>Table9[[#This Row],[PMI]]-B587</f>
        <v>-3.8999999999999986</v>
      </c>
    </row>
    <row r="589" spans="1:3" x14ac:dyDescent="0.35">
      <c r="A589" s="39">
        <v>35278</v>
      </c>
      <c r="B589" s="40">
        <f>VLOOKUP(Table9[[#This Row],[Date]],'DB Details'!$A:$L,12)</f>
        <v>51.6</v>
      </c>
      <c r="C589" s="40">
        <f>Table9[[#This Row],[PMI]]-B588</f>
        <v>1.8999999999999986</v>
      </c>
    </row>
    <row r="590" spans="1:3" x14ac:dyDescent="0.35">
      <c r="A590" s="39">
        <v>35309</v>
      </c>
      <c r="B590" s="40">
        <f>VLOOKUP(Table9[[#This Row],[Date]],'DB Details'!$A:$L,12)</f>
        <v>51.1</v>
      </c>
      <c r="C590" s="40">
        <f>Table9[[#This Row],[PMI]]-B589</f>
        <v>-0.5</v>
      </c>
    </row>
    <row r="591" spans="1:3" x14ac:dyDescent="0.35">
      <c r="A591" s="39">
        <v>35339</v>
      </c>
      <c r="B591" s="40">
        <f>VLOOKUP(Table9[[#This Row],[Date]],'DB Details'!$A:$L,12)</f>
        <v>50.5</v>
      </c>
      <c r="C591" s="40">
        <f>Table9[[#This Row],[PMI]]-B590</f>
        <v>-0.60000000000000142</v>
      </c>
    </row>
    <row r="592" spans="1:3" x14ac:dyDescent="0.35">
      <c r="A592" s="39">
        <v>35370</v>
      </c>
      <c r="B592" s="40">
        <f>VLOOKUP(Table9[[#This Row],[Date]],'DB Details'!$A:$L,12)</f>
        <v>53</v>
      </c>
      <c r="C592" s="40">
        <f>Table9[[#This Row],[PMI]]-B591</f>
        <v>2.5</v>
      </c>
    </row>
    <row r="593" spans="1:3" x14ac:dyDescent="0.35">
      <c r="A593" s="39">
        <v>35400</v>
      </c>
      <c r="B593" s="40">
        <f>VLOOKUP(Table9[[#This Row],[Date]],'DB Details'!$A:$L,12)</f>
        <v>55.2</v>
      </c>
      <c r="C593" s="40">
        <f>Table9[[#This Row],[PMI]]-B592</f>
        <v>2.2000000000000028</v>
      </c>
    </row>
    <row r="594" spans="1:3" x14ac:dyDescent="0.35">
      <c r="A594" s="39">
        <v>35431</v>
      </c>
      <c r="B594" s="40">
        <f>VLOOKUP(Table9[[#This Row],[Date]],'DB Details'!$A:$L,12)</f>
        <v>53.8</v>
      </c>
      <c r="C594" s="40">
        <f>Table9[[#This Row],[PMI]]-B593</f>
        <v>-1.4000000000000057</v>
      </c>
    </row>
    <row r="595" spans="1:3" x14ac:dyDescent="0.35">
      <c r="A595" s="39">
        <v>35462</v>
      </c>
      <c r="B595" s="40">
        <f>VLOOKUP(Table9[[#This Row],[Date]],'DB Details'!$A:$L,12)</f>
        <v>53.1</v>
      </c>
      <c r="C595" s="40">
        <f>Table9[[#This Row],[PMI]]-B594</f>
        <v>-0.69999999999999574</v>
      </c>
    </row>
    <row r="596" spans="1:3" x14ac:dyDescent="0.35">
      <c r="A596" s="39">
        <v>35490</v>
      </c>
      <c r="B596" s="40">
        <f>VLOOKUP(Table9[[#This Row],[Date]],'DB Details'!$A:$L,12)</f>
        <v>53.8</v>
      </c>
      <c r="C596" s="40">
        <f>Table9[[#This Row],[PMI]]-B595</f>
        <v>0.69999999999999574</v>
      </c>
    </row>
    <row r="597" spans="1:3" x14ac:dyDescent="0.35">
      <c r="A597" s="39">
        <v>35521</v>
      </c>
      <c r="B597" s="40">
        <f>VLOOKUP(Table9[[#This Row],[Date]],'DB Details'!$A:$L,12)</f>
        <v>53.7</v>
      </c>
      <c r="C597" s="40">
        <f>Table9[[#This Row],[PMI]]-B596</f>
        <v>-9.9999999999994316E-2</v>
      </c>
    </row>
    <row r="598" spans="1:3" x14ac:dyDescent="0.35">
      <c r="A598" s="39">
        <v>35551</v>
      </c>
      <c r="B598" s="40">
        <f>VLOOKUP(Table9[[#This Row],[Date]],'DB Details'!$A:$L,12)</f>
        <v>56.1</v>
      </c>
      <c r="C598" s="40">
        <f>Table9[[#This Row],[PMI]]-B597</f>
        <v>2.3999999999999986</v>
      </c>
    </row>
    <row r="599" spans="1:3" x14ac:dyDescent="0.35">
      <c r="A599" s="39">
        <v>35582</v>
      </c>
      <c r="B599" s="40">
        <f>VLOOKUP(Table9[[#This Row],[Date]],'DB Details'!$A:$L,12)</f>
        <v>54.9</v>
      </c>
      <c r="C599" s="40">
        <f>Table9[[#This Row],[PMI]]-B598</f>
        <v>-1.2000000000000028</v>
      </c>
    </row>
    <row r="600" spans="1:3" x14ac:dyDescent="0.35">
      <c r="A600" s="39">
        <v>35612</v>
      </c>
      <c r="B600" s="40">
        <f>VLOOKUP(Table9[[#This Row],[Date]],'DB Details'!$A:$L,12)</f>
        <v>57.7</v>
      </c>
      <c r="C600" s="40">
        <f>Table9[[#This Row],[PMI]]-B599</f>
        <v>2.8000000000000043</v>
      </c>
    </row>
    <row r="601" spans="1:3" x14ac:dyDescent="0.35">
      <c r="A601" s="39">
        <v>35643</v>
      </c>
      <c r="B601" s="40">
        <f>VLOOKUP(Table9[[#This Row],[Date]],'DB Details'!$A:$L,12)</f>
        <v>56.3</v>
      </c>
      <c r="C601" s="40">
        <f>Table9[[#This Row],[PMI]]-B600</f>
        <v>-1.4000000000000057</v>
      </c>
    </row>
    <row r="602" spans="1:3" x14ac:dyDescent="0.35">
      <c r="A602" s="39">
        <v>35674</v>
      </c>
      <c r="B602" s="40">
        <f>VLOOKUP(Table9[[#This Row],[Date]],'DB Details'!$A:$L,12)</f>
        <v>53.9</v>
      </c>
      <c r="C602" s="40">
        <f>Table9[[#This Row],[PMI]]-B601</f>
        <v>-2.3999999999999986</v>
      </c>
    </row>
    <row r="603" spans="1:3" x14ac:dyDescent="0.35">
      <c r="A603" s="39">
        <v>35704</v>
      </c>
      <c r="B603" s="40">
        <f>VLOOKUP(Table9[[#This Row],[Date]],'DB Details'!$A:$L,12)</f>
        <v>56.4</v>
      </c>
      <c r="C603" s="40">
        <f>Table9[[#This Row],[PMI]]-B602</f>
        <v>2.5</v>
      </c>
    </row>
    <row r="604" spans="1:3" x14ac:dyDescent="0.35">
      <c r="A604" s="39">
        <v>35735</v>
      </c>
      <c r="B604" s="40">
        <f>VLOOKUP(Table9[[#This Row],[Date]],'DB Details'!$A:$L,12)</f>
        <v>55.7</v>
      </c>
      <c r="C604" s="40">
        <f>Table9[[#This Row],[PMI]]-B603</f>
        <v>-0.69999999999999574</v>
      </c>
    </row>
    <row r="605" spans="1:3" x14ac:dyDescent="0.35">
      <c r="A605" s="39">
        <v>35765</v>
      </c>
      <c r="B605" s="40">
        <f>VLOOKUP(Table9[[#This Row],[Date]],'DB Details'!$A:$L,12)</f>
        <v>54.5</v>
      </c>
      <c r="C605" s="40">
        <f>Table9[[#This Row],[PMI]]-B604</f>
        <v>-1.2000000000000028</v>
      </c>
    </row>
    <row r="606" spans="1:3" x14ac:dyDescent="0.35">
      <c r="A606" s="39">
        <v>35796</v>
      </c>
      <c r="B606" s="40">
        <f>VLOOKUP(Table9[[#This Row],[Date]],'DB Details'!$A:$L,12)</f>
        <v>53.8</v>
      </c>
      <c r="C606" s="40">
        <f>Table9[[#This Row],[PMI]]-B605</f>
        <v>-0.70000000000000284</v>
      </c>
    </row>
    <row r="607" spans="1:3" x14ac:dyDescent="0.35">
      <c r="A607" s="39">
        <v>35827</v>
      </c>
      <c r="B607" s="40">
        <f>VLOOKUP(Table9[[#This Row],[Date]],'DB Details'!$A:$L,12)</f>
        <v>52.9</v>
      </c>
      <c r="C607" s="40">
        <f>Table9[[#This Row],[PMI]]-B606</f>
        <v>-0.89999999999999858</v>
      </c>
    </row>
    <row r="608" spans="1:3" x14ac:dyDescent="0.35">
      <c r="A608" s="39">
        <v>35855</v>
      </c>
      <c r="B608" s="40">
        <f>VLOOKUP(Table9[[#This Row],[Date]],'DB Details'!$A:$L,12)</f>
        <v>52.9</v>
      </c>
      <c r="C608" s="40">
        <f>Table9[[#This Row],[PMI]]-B607</f>
        <v>0</v>
      </c>
    </row>
    <row r="609" spans="1:3" x14ac:dyDescent="0.35">
      <c r="A609" s="39">
        <v>35886</v>
      </c>
      <c r="B609" s="40">
        <f>VLOOKUP(Table9[[#This Row],[Date]],'DB Details'!$A:$L,12)</f>
        <v>52.2</v>
      </c>
      <c r="C609" s="40">
        <f>Table9[[#This Row],[PMI]]-B608</f>
        <v>-0.69999999999999574</v>
      </c>
    </row>
    <row r="610" spans="1:3" x14ac:dyDescent="0.35">
      <c r="A610" s="39">
        <v>35916</v>
      </c>
      <c r="B610" s="40">
        <f>VLOOKUP(Table9[[#This Row],[Date]],'DB Details'!$A:$L,12)</f>
        <v>50.9</v>
      </c>
      <c r="C610" s="40">
        <f>Table9[[#This Row],[PMI]]-B609</f>
        <v>-1.3000000000000043</v>
      </c>
    </row>
    <row r="611" spans="1:3" x14ac:dyDescent="0.35">
      <c r="A611" s="39">
        <v>35947</v>
      </c>
      <c r="B611" s="40">
        <f>VLOOKUP(Table9[[#This Row],[Date]],'DB Details'!$A:$L,12)</f>
        <v>48.9</v>
      </c>
      <c r="C611" s="40">
        <f>Table9[[#This Row],[PMI]]-B610</f>
        <v>-2</v>
      </c>
    </row>
    <row r="612" spans="1:3" x14ac:dyDescent="0.35">
      <c r="A612" s="39">
        <v>35977</v>
      </c>
      <c r="B612" s="40">
        <f>VLOOKUP(Table9[[#This Row],[Date]],'DB Details'!$A:$L,12)</f>
        <v>49.2</v>
      </c>
      <c r="C612" s="40">
        <f>Table9[[#This Row],[PMI]]-B611</f>
        <v>0.30000000000000426</v>
      </c>
    </row>
    <row r="613" spans="1:3" x14ac:dyDescent="0.35">
      <c r="A613" s="39">
        <v>36008</v>
      </c>
      <c r="B613" s="40">
        <f>VLOOKUP(Table9[[#This Row],[Date]],'DB Details'!$A:$L,12)</f>
        <v>49.3</v>
      </c>
      <c r="C613" s="40">
        <f>Table9[[#This Row],[PMI]]-B612</f>
        <v>9.9999999999994316E-2</v>
      </c>
    </row>
    <row r="614" spans="1:3" x14ac:dyDescent="0.35">
      <c r="A614" s="39">
        <v>36039</v>
      </c>
      <c r="B614" s="40">
        <f>VLOOKUP(Table9[[#This Row],[Date]],'DB Details'!$A:$L,12)</f>
        <v>48.7</v>
      </c>
      <c r="C614" s="40">
        <f>Table9[[#This Row],[PMI]]-B613</f>
        <v>-0.59999999999999432</v>
      </c>
    </row>
    <row r="615" spans="1:3" x14ac:dyDescent="0.35">
      <c r="A615" s="39">
        <v>36069</v>
      </c>
      <c r="B615" s="40">
        <f>VLOOKUP(Table9[[#This Row],[Date]],'DB Details'!$A:$L,12)</f>
        <v>48.7</v>
      </c>
      <c r="C615" s="40">
        <f>Table9[[#This Row],[PMI]]-B614</f>
        <v>0</v>
      </c>
    </row>
    <row r="616" spans="1:3" x14ac:dyDescent="0.35">
      <c r="A616" s="39">
        <v>36100</v>
      </c>
      <c r="B616" s="40">
        <f>VLOOKUP(Table9[[#This Row],[Date]],'DB Details'!$A:$L,12)</f>
        <v>48.2</v>
      </c>
      <c r="C616" s="40">
        <f>Table9[[#This Row],[PMI]]-B615</f>
        <v>-0.5</v>
      </c>
    </row>
    <row r="617" spans="1:3" x14ac:dyDescent="0.35">
      <c r="A617" s="39">
        <v>36130</v>
      </c>
      <c r="B617" s="40">
        <f>VLOOKUP(Table9[[#This Row],[Date]],'DB Details'!$A:$L,12)</f>
        <v>46.8</v>
      </c>
      <c r="C617" s="40">
        <f>Table9[[#This Row],[PMI]]-B616</f>
        <v>-1.4000000000000057</v>
      </c>
    </row>
    <row r="618" spans="1:3" x14ac:dyDescent="0.35">
      <c r="A618" s="39">
        <v>36161</v>
      </c>
      <c r="B618" s="40">
        <f>VLOOKUP(Table9[[#This Row],[Date]],'DB Details'!$A:$L,12)</f>
        <v>50.6</v>
      </c>
      <c r="C618" s="40">
        <f>Table9[[#This Row],[PMI]]-B617</f>
        <v>3.8000000000000043</v>
      </c>
    </row>
    <row r="619" spans="1:3" x14ac:dyDescent="0.35">
      <c r="A619" s="39">
        <v>36192</v>
      </c>
      <c r="B619" s="40">
        <f>VLOOKUP(Table9[[#This Row],[Date]],'DB Details'!$A:$L,12)</f>
        <v>51.7</v>
      </c>
      <c r="C619" s="40">
        <f>Table9[[#This Row],[PMI]]-B618</f>
        <v>1.1000000000000014</v>
      </c>
    </row>
    <row r="620" spans="1:3" x14ac:dyDescent="0.35">
      <c r="A620" s="39">
        <v>36220</v>
      </c>
      <c r="B620" s="40">
        <f>VLOOKUP(Table9[[#This Row],[Date]],'DB Details'!$A:$L,12)</f>
        <v>52.4</v>
      </c>
      <c r="C620" s="40">
        <f>Table9[[#This Row],[PMI]]-B619</f>
        <v>0.69999999999999574</v>
      </c>
    </row>
    <row r="621" spans="1:3" x14ac:dyDescent="0.35">
      <c r="A621" s="39">
        <v>36251</v>
      </c>
      <c r="B621" s="40">
        <f>VLOOKUP(Table9[[#This Row],[Date]],'DB Details'!$A:$L,12)</f>
        <v>52.3</v>
      </c>
      <c r="C621" s="40">
        <f>Table9[[#This Row],[PMI]]-B620</f>
        <v>-0.10000000000000142</v>
      </c>
    </row>
    <row r="622" spans="1:3" x14ac:dyDescent="0.35">
      <c r="A622" s="39">
        <v>36281</v>
      </c>
      <c r="B622" s="40">
        <f>VLOOKUP(Table9[[#This Row],[Date]],'DB Details'!$A:$L,12)</f>
        <v>54.3</v>
      </c>
      <c r="C622" s="40">
        <f>Table9[[#This Row],[PMI]]-B621</f>
        <v>2</v>
      </c>
    </row>
    <row r="623" spans="1:3" x14ac:dyDescent="0.35">
      <c r="A623" s="39">
        <v>36312</v>
      </c>
      <c r="B623" s="40">
        <f>VLOOKUP(Table9[[#This Row],[Date]],'DB Details'!$A:$L,12)</f>
        <v>55.8</v>
      </c>
      <c r="C623" s="40">
        <f>Table9[[#This Row],[PMI]]-B622</f>
        <v>1.5</v>
      </c>
    </row>
    <row r="624" spans="1:3" x14ac:dyDescent="0.35">
      <c r="A624" s="39">
        <v>36342</v>
      </c>
      <c r="B624" s="40">
        <f>VLOOKUP(Table9[[#This Row],[Date]],'DB Details'!$A:$L,12)</f>
        <v>53.6</v>
      </c>
      <c r="C624" s="40">
        <f>Table9[[#This Row],[PMI]]-B623</f>
        <v>-2.1999999999999957</v>
      </c>
    </row>
    <row r="625" spans="1:3" x14ac:dyDescent="0.35">
      <c r="A625" s="39">
        <v>36373</v>
      </c>
      <c r="B625" s="40">
        <f>VLOOKUP(Table9[[#This Row],[Date]],'DB Details'!$A:$L,12)</f>
        <v>54.8</v>
      </c>
      <c r="C625" s="40">
        <f>Table9[[#This Row],[PMI]]-B624</f>
        <v>1.1999999999999957</v>
      </c>
    </row>
    <row r="626" spans="1:3" x14ac:dyDescent="0.35">
      <c r="A626" s="39">
        <v>36404</v>
      </c>
      <c r="B626" s="40">
        <f>VLOOKUP(Table9[[#This Row],[Date]],'DB Details'!$A:$L,12)</f>
        <v>57</v>
      </c>
      <c r="C626" s="40">
        <f>Table9[[#This Row],[PMI]]-B625</f>
        <v>2.2000000000000028</v>
      </c>
    </row>
    <row r="627" spans="1:3" x14ac:dyDescent="0.35">
      <c r="A627" s="39">
        <v>36434</v>
      </c>
      <c r="B627" s="40">
        <f>VLOOKUP(Table9[[#This Row],[Date]],'DB Details'!$A:$L,12)</f>
        <v>57.2</v>
      </c>
      <c r="C627" s="40">
        <f>Table9[[#This Row],[PMI]]-B626</f>
        <v>0.20000000000000284</v>
      </c>
    </row>
    <row r="628" spans="1:3" x14ac:dyDescent="0.35">
      <c r="A628" s="39">
        <v>36465</v>
      </c>
      <c r="B628" s="40">
        <f>VLOOKUP(Table9[[#This Row],[Date]],'DB Details'!$A:$L,12)</f>
        <v>58.1</v>
      </c>
      <c r="C628" s="40">
        <f>Table9[[#This Row],[PMI]]-B627</f>
        <v>0.89999999999999858</v>
      </c>
    </row>
    <row r="629" spans="1:3" x14ac:dyDescent="0.35">
      <c r="A629" s="39">
        <v>36495</v>
      </c>
      <c r="B629" s="40">
        <f>VLOOKUP(Table9[[#This Row],[Date]],'DB Details'!$A:$L,12)</f>
        <v>57.8</v>
      </c>
      <c r="C629" s="40">
        <f>Table9[[#This Row],[PMI]]-B628</f>
        <v>-0.30000000000000426</v>
      </c>
    </row>
    <row r="630" spans="1:3" x14ac:dyDescent="0.35">
      <c r="A630" s="39">
        <v>36526</v>
      </c>
      <c r="B630" s="40">
        <f>VLOOKUP(Table9[[#This Row],[Date]],'DB Details'!$A:$L,12)</f>
        <v>56.7</v>
      </c>
      <c r="C630" s="40">
        <f>Table9[[#This Row],[PMI]]-B629</f>
        <v>-1.0999999999999943</v>
      </c>
    </row>
    <row r="631" spans="1:3" x14ac:dyDescent="0.35">
      <c r="A631" s="39">
        <v>36557</v>
      </c>
      <c r="B631" s="40">
        <f>VLOOKUP(Table9[[#This Row],[Date]],'DB Details'!$A:$L,12)</f>
        <v>55.8</v>
      </c>
      <c r="C631" s="40">
        <f>Table9[[#This Row],[PMI]]-B630</f>
        <v>-0.90000000000000568</v>
      </c>
    </row>
    <row r="632" spans="1:3" x14ac:dyDescent="0.35">
      <c r="A632" s="39">
        <v>36586</v>
      </c>
      <c r="B632" s="40">
        <f>VLOOKUP(Table9[[#This Row],[Date]],'DB Details'!$A:$L,12)</f>
        <v>54.9</v>
      </c>
      <c r="C632" s="40">
        <f>Table9[[#This Row],[PMI]]-B631</f>
        <v>-0.89999999999999858</v>
      </c>
    </row>
    <row r="633" spans="1:3" x14ac:dyDescent="0.35">
      <c r="A633" s="39">
        <v>36617</v>
      </c>
      <c r="B633" s="40">
        <f>VLOOKUP(Table9[[#This Row],[Date]],'DB Details'!$A:$L,12)</f>
        <v>54.7</v>
      </c>
      <c r="C633" s="40">
        <f>Table9[[#This Row],[PMI]]-B632</f>
        <v>-0.19999999999999574</v>
      </c>
    </row>
    <row r="634" spans="1:3" x14ac:dyDescent="0.35">
      <c r="A634" s="39">
        <v>36647</v>
      </c>
      <c r="B634" s="40">
        <f>VLOOKUP(Table9[[#This Row],[Date]],'DB Details'!$A:$L,12)</f>
        <v>53.2</v>
      </c>
      <c r="C634" s="40">
        <f>Table9[[#This Row],[PMI]]-B633</f>
        <v>-1.5</v>
      </c>
    </row>
    <row r="635" spans="1:3" x14ac:dyDescent="0.35">
      <c r="A635" s="39">
        <v>36678</v>
      </c>
      <c r="B635" s="40">
        <f>VLOOKUP(Table9[[#This Row],[Date]],'DB Details'!$A:$L,12)</f>
        <v>51.4</v>
      </c>
      <c r="C635" s="40">
        <f>Table9[[#This Row],[PMI]]-B634</f>
        <v>-1.8000000000000043</v>
      </c>
    </row>
    <row r="636" spans="1:3" x14ac:dyDescent="0.35">
      <c r="A636" s="39">
        <v>36708</v>
      </c>
      <c r="B636" s="40">
        <f>VLOOKUP(Table9[[#This Row],[Date]],'DB Details'!$A:$L,12)</f>
        <v>52.5</v>
      </c>
      <c r="C636" s="40">
        <f>Table9[[#This Row],[PMI]]-B635</f>
        <v>1.1000000000000014</v>
      </c>
    </row>
    <row r="637" spans="1:3" x14ac:dyDescent="0.35">
      <c r="A637" s="39">
        <v>36739</v>
      </c>
      <c r="B637" s="40">
        <f>VLOOKUP(Table9[[#This Row],[Date]],'DB Details'!$A:$L,12)</f>
        <v>49.9</v>
      </c>
      <c r="C637" s="40">
        <f>Table9[[#This Row],[PMI]]-B636</f>
        <v>-2.6000000000000014</v>
      </c>
    </row>
    <row r="638" spans="1:3" x14ac:dyDescent="0.35">
      <c r="A638" s="39">
        <v>36770</v>
      </c>
      <c r="B638" s="40">
        <f>VLOOKUP(Table9[[#This Row],[Date]],'DB Details'!$A:$L,12)</f>
        <v>49.7</v>
      </c>
      <c r="C638" s="40">
        <f>Table9[[#This Row],[PMI]]-B637</f>
        <v>-0.19999999999999574</v>
      </c>
    </row>
    <row r="639" spans="1:3" x14ac:dyDescent="0.35">
      <c r="A639" s="39">
        <v>36800</v>
      </c>
      <c r="B639" s="40">
        <f>VLOOKUP(Table9[[#This Row],[Date]],'DB Details'!$A:$L,12)</f>
        <v>48.7</v>
      </c>
      <c r="C639" s="40">
        <f>Table9[[#This Row],[PMI]]-B638</f>
        <v>-1</v>
      </c>
    </row>
    <row r="640" spans="1:3" x14ac:dyDescent="0.35">
      <c r="A640" s="39">
        <v>36831</v>
      </c>
      <c r="B640" s="40">
        <f>VLOOKUP(Table9[[#This Row],[Date]],'DB Details'!$A:$L,12)</f>
        <v>48.5</v>
      </c>
      <c r="C640" s="40">
        <f>Table9[[#This Row],[PMI]]-B639</f>
        <v>-0.20000000000000284</v>
      </c>
    </row>
    <row r="641" spans="1:3" x14ac:dyDescent="0.35">
      <c r="A641" s="39">
        <v>36861</v>
      </c>
      <c r="B641" s="40">
        <f>VLOOKUP(Table9[[#This Row],[Date]],'DB Details'!$A:$L,12)</f>
        <v>43.9</v>
      </c>
      <c r="C641" s="40">
        <f>Table9[[#This Row],[PMI]]-B640</f>
        <v>-4.6000000000000014</v>
      </c>
    </row>
    <row r="642" spans="1:3" x14ac:dyDescent="0.35">
      <c r="A642" s="39">
        <v>36892</v>
      </c>
      <c r="B642" s="40">
        <f>VLOOKUP(Table9[[#This Row],[Date]],'DB Details'!$A:$L,12)</f>
        <v>42.3</v>
      </c>
      <c r="C642" s="40">
        <f>Table9[[#This Row],[PMI]]-B641</f>
        <v>-1.6000000000000014</v>
      </c>
    </row>
    <row r="643" spans="1:3" x14ac:dyDescent="0.35">
      <c r="A643" s="39">
        <v>36923</v>
      </c>
      <c r="B643" s="40">
        <f>VLOOKUP(Table9[[#This Row],[Date]],'DB Details'!$A:$L,12)</f>
        <v>42.1</v>
      </c>
      <c r="C643" s="40">
        <f>Table9[[#This Row],[PMI]]-B642</f>
        <v>-0.19999999999999574</v>
      </c>
    </row>
    <row r="644" spans="1:3" x14ac:dyDescent="0.35">
      <c r="A644" s="39">
        <v>36951</v>
      </c>
      <c r="B644" s="40">
        <f>VLOOKUP(Table9[[#This Row],[Date]],'DB Details'!$A:$L,12)</f>
        <v>43.1</v>
      </c>
      <c r="C644" s="40">
        <f>Table9[[#This Row],[PMI]]-B643</f>
        <v>1</v>
      </c>
    </row>
    <row r="645" spans="1:3" x14ac:dyDescent="0.35">
      <c r="A645" s="39">
        <v>36982</v>
      </c>
      <c r="B645" s="40">
        <f>VLOOKUP(Table9[[#This Row],[Date]],'DB Details'!$A:$L,12)</f>
        <v>42.7</v>
      </c>
      <c r="C645" s="40">
        <f>Table9[[#This Row],[PMI]]-B644</f>
        <v>-0.39999999999999858</v>
      </c>
    </row>
    <row r="646" spans="1:3" x14ac:dyDescent="0.35">
      <c r="A646" s="39">
        <v>37012</v>
      </c>
      <c r="B646" s="40">
        <f>VLOOKUP(Table9[[#This Row],[Date]],'DB Details'!$A:$L,12)</f>
        <v>41.3</v>
      </c>
      <c r="C646" s="40">
        <f>Table9[[#This Row],[PMI]]-B645</f>
        <v>-1.4000000000000057</v>
      </c>
    </row>
    <row r="647" spans="1:3" x14ac:dyDescent="0.35">
      <c r="A647" s="39">
        <v>37043</v>
      </c>
      <c r="B647" s="40">
        <f>VLOOKUP(Table9[[#This Row],[Date]],'DB Details'!$A:$L,12)</f>
        <v>43.2</v>
      </c>
      <c r="C647" s="40">
        <f>Table9[[#This Row],[PMI]]-B646</f>
        <v>1.9000000000000057</v>
      </c>
    </row>
    <row r="648" spans="1:3" x14ac:dyDescent="0.35">
      <c r="A648" s="39">
        <v>37073</v>
      </c>
      <c r="B648" s="40">
        <f>VLOOKUP(Table9[[#This Row],[Date]],'DB Details'!$A:$L,12)</f>
        <v>43.5</v>
      </c>
      <c r="C648" s="40">
        <f>Table9[[#This Row],[PMI]]-B647</f>
        <v>0.29999999999999716</v>
      </c>
    </row>
    <row r="649" spans="1:3" x14ac:dyDescent="0.35">
      <c r="A649" s="39">
        <v>37104</v>
      </c>
      <c r="B649" s="40">
        <f>VLOOKUP(Table9[[#This Row],[Date]],'DB Details'!$A:$L,12)</f>
        <v>46.3</v>
      </c>
      <c r="C649" s="40">
        <f>Table9[[#This Row],[PMI]]-B648</f>
        <v>2.7999999999999972</v>
      </c>
    </row>
    <row r="650" spans="1:3" x14ac:dyDescent="0.35">
      <c r="A650" s="39">
        <v>37135</v>
      </c>
      <c r="B650" s="40">
        <f>VLOOKUP(Table9[[#This Row],[Date]],'DB Details'!$A:$L,12)</f>
        <v>46.2</v>
      </c>
      <c r="C650" s="40">
        <f>Table9[[#This Row],[PMI]]-B649</f>
        <v>-9.9999999999994316E-2</v>
      </c>
    </row>
    <row r="651" spans="1:3" x14ac:dyDescent="0.35">
      <c r="A651" s="39">
        <v>37165</v>
      </c>
      <c r="B651" s="40">
        <f>VLOOKUP(Table9[[#This Row],[Date]],'DB Details'!$A:$L,12)</f>
        <v>40.799999999999997</v>
      </c>
      <c r="C651" s="40">
        <f>Table9[[#This Row],[PMI]]-B650</f>
        <v>-5.4000000000000057</v>
      </c>
    </row>
    <row r="652" spans="1:3" x14ac:dyDescent="0.35">
      <c r="A652" s="39">
        <v>37196</v>
      </c>
      <c r="B652" s="40">
        <f>VLOOKUP(Table9[[#This Row],[Date]],'DB Details'!$A:$L,12)</f>
        <v>44.1</v>
      </c>
      <c r="C652" s="40">
        <f>Table9[[#This Row],[PMI]]-B651</f>
        <v>3.3000000000000043</v>
      </c>
    </row>
    <row r="653" spans="1:3" x14ac:dyDescent="0.35">
      <c r="A653" s="39">
        <v>37226</v>
      </c>
      <c r="B653" s="40">
        <f>VLOOKUP(Table9[[#This Row],[Date]],'DB Details'!$A:$L,12)</f>
        <v>45.3</v>
      </c>
      <c r="C653" s="40">
        <f>Table9[[#This Row],[PMI]]-B652</f>
        <v>1.1999999999999957</v>
      </c>
    </row>
    <row r="654" spans="1:3" x14ac:dyDescent="0.35">
      <c r="A654" s="39">
        <v>37257</v>
      </c>
      <c r="B654" s="40">
        <f>VLOOKUP(Table9[[#This Row],[Date]],'DB Details'!$A:$L,12)</f>
        <v>47.5</v>
      </c>
      <c r="C654" s="40">
        <f>Table9[[#This Row],[PMI]]-B653</f>
        <v>2.2000000000000028</v>
      </c>
    </row>
    <row r="655" spans="1:3" x14ac:dyDescent="0.35">
      <c r="A655" s="39">
        <v>37288</v>
      </c>
      <c r="B655" s="40">
        <f>VLOOKUP(Table9[[#This Row],[Date]],'DB Details'!$A:$L,12)</f>
        <v>50.7</v>
      </c>
      <c r="C655" s="40">
        <f>Table9[[#This Row],[PMI]]-B654</f>
        <v>3.2000000000000028</v>
      </c>
    </row>
    <row r="656" spans="1:3" x14ac:dyDescent="0.35">
      <c r="A656" s="39">
        <v>37316</v>
      </c>
      <c r="B656" s="40">
        <f>VLOOKUP(Table9[[#This Row],[Date]],'DB Details'!$A:$L,12)</f>
        <v>52.4</v>
      </c>
      <c r="C656" s="40">
        <f>Table9[[#This Row],[PMI]]-B655</f>
        <v>1.6999999999999957</v>
      </c>
    </row>
    <row r="657" spans="1:3" x14ac:dyDescent="0.35">
      <c r="A657" s="39">
        <v>37347</v>
      </c>
      <c r="B657" s="40">
        <f>VLOOKUP(Table9[[#This Row],[Date]],'DB Details'!$A:$L,12)</f>
        <v>52.4</v>
      </c>
      <c r="C657" s="40">
        <f>Table9[[#This Row],[PMI]]-B656</f>
        <v>0</v>
      </c>
    </row>
    <row r="658" spans="1:3" x14ac:dyDescent="0.35">
      <c r="A658" s="39">
        <v>37377</v>
      </c>
      <c r="B658" s="40">
        <f>VLOOKUP(Table9[[#This Row],[Date]],'DB Details'!$A:$L,12)</f>
        <v>53.1</v>
      </c>
      <c r="C658" s="40">
        <f>Table9[[#This Row],[PMI]]-B657</f>
        <v>0.70000000000000284</v>
      </c>
    </row>
    <row r="659" spans="1:3" x14ac:dyDescent="0.35">
      <c r="A659" s="39">
        <v>37408</v>
      </c>
      <c r="B659" s="40">
        <f>VLOOKUP(Table9[[#This Row],[Date]],'DB Details'!$A:$L,12)</f>
        <v>53.6</v>
      </c>
      <c r="C659" s="40">
        <f>Table9[[#This Row],[PMI]]-B658</f>
        <v>0.5</v>
      </c>
    </row>
    <row r="660" spans="1:3" x14ac:dyDescent="0.35">
      <c r="A660" s="39">
        <v>37438</v>
      </c>
      <c r="B660" s="40">
        <f>VLOOKUP(Table9[[#This Row],[Date]],'DB Details'!$A:$L,12)</f>
        <v>50.2</v>
      </c>
      <c r="C660" s="40">
        <f>Table9[[#This Row],[PMI]]-B659</f>
        <v>-3.3999999999999986</v>
      </c>
    </row>
    <row r="661" spans="1:3" x14ac:dyDescent="0.35">
      <c r="A661" s="39">
        <v>37469</v>
      </c>
      <c r="B661" s="40">
        <f>VLOOKUP(Table9[[#This Row],[Date]],'DB Details'!$A:$L,12)</f>
        <v>50.3</v>
      </c>
      <c r="C661" s="40">
        <f>Table9[[#This Row],[PMI]]-B660</f>
        <v>9.9999999999994316E-2</v>
      </c>
    </row>
    <row r="662" spans="1:3" x14ac:dyDescent="0.35">
      <c r="A662" s="39">
        <v>37500</v>
      </c>
      <c r="B662" s="40">
        <f>VLOOKUP(Table9[[#This Row],[Date]],'DB Details'!$A:$L,12)</f>
        <v>50.5</v>
      </c>
      <c r="C662" s="40">
        <f>Table9[[#This Row],[PMI]]-B661</f>
        <v>0.20000000000000284</v>
      </c>
    </row>
    <row r="663" spans="1:3" x14ac:dyDescent="0.35">
      <c r="A663" s="39">
        <v>37530</v>
      </c>
      <c r="B663" s="40">
        <f>VLOOKUP(Table9[[#This Row],[Date]],'DB Details'!$A:$L,12)</f>
        <v>49</v>
      </c>
      <c r="C663" s="40">
        <f>Table9[[#This Row],[PMI]]-B662</f>
        <v>-1.5</v>
      </c>
    </row>
    <row r="664" spans="1:3" x14ac:dyDescent="0.35">
      <c r="A664" s="39">
        <v>37561</v>
      </c>
      <c r="B664" s="40">
        <f>VLOOKUP(Table9[[#This Row],[Date]],'DB Details'!$A:$L,12)</f>
        <v>48.5</v>
      </c>
      <c r="C664" s="40">
        <f>Table9[[#This Row],[PMI]]-B663</f>
        <v>-0.5</v>
      </c>
    </row>
    <row r="665" spans="1:3" x14ac:dyDescent="0.35">
      <c r="A665" s="39">
        <v>37591</v>
      </c>
      <c r="B665" s="40">
        <f>VLOOKUP(Table9[[#This Row],[Date]],'DB Details'!$A:$L,12)</f>
        <v>51.6</v>
      </c>
      <c r="C665" s="40">
        <f>Table9[[#This Row],[PMI]]-B664</f>
        <v>3.1000000000000014</v>
      </c>
    </row>
    <row r="666" spans="1:3" x14ac:dyDescent="0.35">
      <c r="A666" s="39">
        <v>37622</v>
      </c>
      <c r="B666" s="40">
        <f>VLOOKUP(Table9[[#This Row],[Date]],'DB Details'!$A:$L,12)</f>
        <v>51.3</v>
      </c>
      <c r="C666" s="40">
        <f>Table9[[#This Row],[PMI]]-B665</f>
        <v>-0.30000000000000426</v>
      </c>
    </row>
    <row r="667" spans="1:3" x14ac:dyDescent="0.35">
      <c r="A667" s="39">
        <v>37653</v>
      </c>
      <c r="B667" s="40">
        <f>VLOOKUP(Table9[[#This Row],[Date]],'DB Details'!$A:$L,12)</f>
        <v>48.8</v>
      </c>
      <c r="C667" s="40">
        <f>Table9[[#This Row],[PMI]]-B666</f>
        <v>-2.5</v>
      </c>
    </row>
    <row r="668" spans="1:3" x14ac:dyDescent="0.35">
      <c r="A668" s="39">
        <v>37681</v>
      </c>
      <c r="B668" s="40">
        <f>VLOOKUP(Table9[[#This Row],[Date]],'DB Details'!$A:$L,12)</f>
        <v>46.3</v>
      </c>
      <c r="C668" s="40">
        <f>Table9[[#This Row],[PMI]]-B667</f>
        <v>-2.5</v>
      </c>
    </row>
    <row r="669" spans="1:3" x14ac:dyDescent="0.35">
      <c r="A669" s="39">
        <v>37712</v>
      </c>
      <c r="B669" s="40">
        <f>VLOOKUP(Table9[[#This Row],[Date]],'DB Details'!$A:$L,12)</f>
        <v>46.1</v>
      </c>
      <c r="C669" s="40">
        <f>Table9[[#This Row],[PMI]]-B668</f>
        <v>-0.19999999999999574</v>
      </c>
    </row>
    <row r="670" spans="1:3" x14ac:dyDescent="0.35">
      <c r="A670" s="39">
        <v>37742</v>
      </c>
      <c r="B670" s="40">
        <f>VLOOKUP(Table9[[#This Row],[Date]],'DB Details'!$A:$L,12)</f>
        <v>49</v>
      </c>
      <c r="C670" s="40">
        <f>Table9[[#This Row],[PMI]]-B669</f>
        <v>2.8999999999999986</v>
      </c>
    </row>
    <row r="671" spans="1:3" x14ac:dyDescent="0.35">
      <c r="A671" s="39">
        <v>37773</v>
      </c>
      <c r="B671" s="40">
        <f>VLOOKUP(Table9[[#This Row],[Date]],'DB Details'!$A:$L,12)</f>
        <v>49</v>
      </c>
      <c r="C671" s="40">
        <f>Table9[[#This Row],[PMI]]-B670</f>
        <v>0</v>
      </c>
    </row>
    <row r="672" spans="1:3" x14ac:dyDescent="0.35">
      <c r="A672" s="39">
        <v>37803</v>
      </c>
      <c r="B672" s="40">
        <f>VLOOKUP(Table9[[#This Row],[Date]],'DB Details'!$A:$L,12)</f>
        <v>51</v>
      </c>
      <c r="C672" s="40">
        <f>Table9[[#This Row],[PMI]]-B671</f>
        <v>2</v>
      </c>
    </row>
    <row r="673" spans="1:3" x14ac:dyDescent="0.35">
      <c r="A673" s="39">
        <v>37834</v>
      </c>
      <c r="B673" s="40">
        <f>VLOOKUP(Table9[[#This Row],[Date]],'DB Details'!$A:$L,12)</f>
        <v>53.2</v>
      </c>
      <c r="C673" s="40">
        <f>Table9[[#This Row],[PMI]]-B672</f>
        <v>2.2000000000000028</v>
      </c>
    </row>
    <row r="674" spans="1:3" x14ac:dyDescent="0.35">
      <c r="A674" s="39">
        <v>37865</v>
      </c>
      <c r="B674" s="40">
        <f>VLOOKUP(Table9[[#This Row],[Date]],'DB Details'!$A:$L,12)</f>
        <v>52.4</v>
      </c>
      <c r="C674" s="40">
        <f>Table9[[#This Row],[PMI]]-B673</f>
        <v>-0.80000000000000426</v>
      </c>
    </row>
    <row r="675" spans="1:3" x14ac:dyDescent="0.35">
      <c r="A675" s="39">
        <v>37895</v>
      </c>
      <c r="B675" s="40">
        <f>VLOOKUP(Table9[[#This Row],[Date]],'DB Details'!$A:$L,12)</f>
        <v>55.2</v>
      </c>
      <c r="C675" s="40">
        <f>Table9[[#This Row],[PMI]]-B674</f>
        <v>2.8000000000000043</v>
      </c>
    </row>
    <row r="676" spans="1:3" x14ac:dyDescent="0.35">
      <c r="A676" s="39">
        <v>37926</v>
      </c>
      <c r="B676" s="40">
        <f>VLOOKUP(Table9[[#This Row],[Date]],'DB Details'!$A:$L,12)</f>
        <v>58.4</v>
      </c>
      <c r="C676" s="40">
        <f>Table9[[#This Row],[PMI]]-B675</f>
        <v>3.1999999999999957</v>
      </c>
    </row>
    <row r="677" spans="1:3" x14ac:dyDescent="0.35">
      <c r="A677" s="39">
        <v>37956</v>
      </c>
      <c r="B677" s="40">
        <f>VLOOKUP(Table9[[#This Row],[Date]],'DB Details'!$A:$L,12)</f>
        <v>60.1</v>
      </c>
      <c r="C677" s="40">
        <f>Table9[[#This Row],[PMI]]-B676</f>
        <v>1.7000000000000028</v>
      </c>
    </row>
    <row r="678" spans="1:3" x14ac:dyDescent="0.35">
      <c r="A678" s="39">
        <v>37987</v>
      </c>
      <c r="B678" s="40">
        <f>VLOOKUP(Table9[[#This Row],[Date]],'DB Details'!$A:$L,12)</f>
        <v>60.8</v>
      </c>
      <c r="C678" s="40">
        <f>Table9[[#This Row],[PMI]]-B677</f>
        <v>0.69999999999999574</v>
      </c>
    </row>
    <row r="679" spans="1:3" x14ac:dyDescent="0.35">
      <c r="A679" s="39">
        <v>38018</v>
      </c>
      <c r="B679" s="40">
        <f>VLOOKUP(Table9[[#This Row],[Date]],'DB Details'!$A:$L,12)</f>
        <v>59.9</v>
      </c>
      <c r="C679" s="40">
        <f>Table9[[#This Row],[PMI]]-B678</f>
        <v>-0.89999999999999858</v>
      </c>
    </row>
    <row r="680" spans="1:3" x14ac:dyDescent="0.35">
      <c r="A680" s="39">
        <v>38047</v>
      </c>
      <c r="B680" s="40">
        <f>VLOOKUP(Table9[[#This Row],[Date]],'DB Details'!$A:$L,12)</f>
        <v>60.6</v>
      </c>
      <c r="C680" s="40">
        <f>Table9[[#This Row],[PMI]]-B679</f>
        <v>0.70000000000000284</v>
      </c>
    </row>
    <row r="681" spans="1:3" x14ac:dyDescent="0.35">
      <c r="A681" s="39">
        <v>38078</v>
      </c>
      <c r="B681" s="40">
        <f>VLOOKUP(Table9[[#This Row],[Date]],'DB Details'!$A:$L,12)</f>
        <v>60.6</v>
      </c>
      <c r="C681" s="40">
        <f>Table9[[#This Row],[PMI]]-B680</f>
        <v>0</v>
      </c>
    </row>
    <row r="682" spans="1:3" x14ac:dyDescent="0.35">
      <c r="A682" s="39">
        <v>38108</v>
      </c>
      <c r="B682" s="40">
        <f>VLOOKUP(Table9[[#This Row],[Date]],'DB Details'!$A:$L,12)</f>
        <v>61.4</v>
      </c>
      <c r="C682" s="40">
        <f>Table9[[#This Row],[PMI]]-B681</f>
        <v>0.79999999999999716</v>
      </c>
    </row>
    <row r="683" spans="1:3" x14ac:dyDescent="0.35">
      <c r="A683" s="39">
        <v>38139</v>
      </c>
      <c r="B683" s="40">
        <f>VLOOKUP(Table9[[#This Row],[Date]],'DB Details'!$A:$L,12)</f>
        <v>60.5</v>
      </c>
      <c r="C683" s="40">
        <f>Table9[[#This Row],[PMI]]-B682</f>
        <v>-0.89999999999999858</v>
      </c>
    </row>
    <row r="684" spans="1:3" x14ac:dyDescent="0.35">
      <c r="A684" s="39">
        <v>38169</v>
      </c>
      <c r="B684" s="40">
        <f>VLOOKUP(Table9[[#This Row],[Date]],'DB Details'!$A:$L,12)</f>
        <v>59.9</v>
      </c>
      <c r="C684" s="40">
        <f>Table9[[#This Row],[PMI]]-B683</f>
        <v>-0.60000000000000142</v>
      </c>
    </row>
    <row r="685" spans="1:3" x14ac:dyDescent="0.35">
      <c r="A685" s="39">
        <v>38200</v>
      </c>
      <c r="B685" s="40">
        <f>VLOOKUP(Table9[[#This Row],[Date]],'DB Details'!$A:$L,12)</f>
        <v>58.5</v>
      </c>
      <c r="C685" s="40">
        <f>Table9[[#This Row],[PMI]]-B684</f>
        <v>-1.3999999999999986</v>
      </c>
    </row>
    <row r="686" spans="1:3" x14ac:dyDescent="0.35">
      <c r="A686" s="39">
        <v>38231</v>
      </c>
      <c r="B686" s="40">
        <f>VLOOKUP(Table9[[#This Row],[Date]],'DB Details'!$A:$L,12)</f>
        <v>57.4</v>
      </c>
      <c r="C686" s="40">
        <f>Table9[[#This Row],[PMI]]-B685</f>
        <v>-1.1000000000000014</v>
      </c>
    </row>
    <row r="687" spans="1:3" x14ac:dyDescent="0.35">
      <c r="A687" s="39">
        <v>38261</v>
      </c>
      <c r="B687" s="40">
        <f>VLOOKUP(Table9[[#This Row],[Date]],'DB Details'!$A:$L,12)</f>
        <v>56.3</v>
      </c>
      <c r="C687" s="40">
        <f>Table9[[#This Row],[PMI]]-B686</f>
        <v>-1.1000000000000014</v>
      </c>
    </row>
    <row r="688" spans="1:3" x14ac:dyDescent="0.35">
      <c r="A688" s="39">
        <v>38292</v>
      </c>
      <c r="B688" s="40">
        <f>VLOOKUP(Table9[[#This Row],[Date]],'DB Details'!$A:$L,12)</f>
        <v>56.2</v>
      </c>
      <c r="C688" s="40">
        <f>Table9[[#This Row],[PMI]]-B687</f>
        <v>-9.9999999999994316E-2</v>
      </c>
    </row>
    <row r="689" spans="1:7" x14ac:dyDescent="0.35">
      <c r="A689" s="39">
        <v>38322</v>
      </c>
      <c r="B689" s="40">
        <f>VLOOKUP(Table9[[#This Row],[Date]],'DB Details'!$A:$L,12)</f>
        <v>57.2</v>
      </c>
      <c r="C689" s="40">
        <f>Table9[[#This Row],[PMI]]-B688</f>
        <v>1</v>
      </c>
      <c r="G689" s="4"/>
    </row>
    <row r="690" spans="1:7" x14ac:dyDescent="0.35">
      <c r="A690" s="39">
        <v>38353</v>
      </c>
      <c r="B690" s="40">
        <f>VLOOKUP(Table9[[#This Row],[Date]],'DB Details'!$A:$L,12)</f>
        <v>56.8</v>
      </c>
      <c r="C690" s="40">
        <f>Table9[[#This Row],[PMI]]-B689</f>
        <v>-0.40000000000000568</v>
      </c>
      <c r="G690" s="4"/>
    </row>
    <row r="691" spans="1:7" x14ac:dyDescent="0.35">
      <c r="A691" s="39">
        <v>38384</v>
      </c>
      <c r="B691" s="40">
        <f>VLOOKUP(Table9[[#This Row],[Date]],'DB Details'!$A:$L,12)</f>
        <v>55.5</v>
      </c>
      <c r="C691" s="40">
        <f>Table9[[#This Row],[PMI]]-B690</f>
        <v>-1.2999999999999972</v>
      </c>
      <c r="G691" s="4"/>
    </row>
    <row r="692" spans="1:7" x14ac:dyDescent="0.35">
      <c r="A692" s="39">
        <v>38412</v>
      </c>
      <c r="B692" s="40">
        <f>VLOOKUP(Table9[[#This Row],[Date]],'DB Details'!$A:$L,12)</f>
        <v>55.2</v>
      </c>
      <c r="C692" s="40">
        <f>Table9[[#This Row],[PMI]]-B691</f>
        <v>-0.29999999999999716</v>
      </c>
      <c r="G692" s="4"/>
    </row>
    <row r="693" spans="1:7" x14ac:dyDescent="0.35">
      <c r="A693" s="39">
        <v>38443</v>
      </c>
      <c r="B693" s="40">
        <f>VLOOKUP(Table9[[#This Row],[Date]],'DB Details'!$A:$L,12)</f>
        <v>52.2</v>
      </c>
      <c r="C693" s="40">
        <f>Table9[[#This Row],[PMI]]-B692</f>
        <v>-3</v>
      </c>
      <c r="G693" s="4"/>
    </row>
    <row r="694" spans="1:7" x14ac:dyDescent="0.35">
      <c r="A694" s="39">
        <v>38473</v>
      </c>
      <c r="B694" s="40">
        <f>VLOOKUP(Table9[[#This Row],[Date]],'DB Details'!$A:$L,12)</f>
        <v>50.8</v>
      </c>
      <c r="C694" s="40">
        <f>Table9[[#This Row],[PMI]]-B693</f>
        <v>-1.4000000000000057</v>
      </c>
      <c r="G694" s="4"/>
    </row>
    <row r="695" spans="1:7" x14ac:dyDescent="0.35">
      <c r="A695" s="39">
        <v>38504</v>
      </c>
      <c r="B695" s="40">
        <f>VLOOKUP(Table9[[#This Row],[Date]],'DB Details'!$A:$L,12)</f>
        <v>52.4</v>
      </c>
      <c r="C695" s="40">
        <f>Table9[[#This Row],[PMI]]-B694</f>
        <v>1.6000000000000014</v>
      </c>
      <c r="G695" s="4"/>
    </row>
    <row r="696" spans="1:7" x14ac:dyDescent="0.35">
      <c r="A696" s="39">
        <v>38534</v>
      </c>
      <c r="B696" s="40">
        <f>VLOOKUP(Table9[[#This Row],[Date]],'DB Details'!$A:$L,12)</f>
        <v>52.8</v>
      </c>
      <c r="C696" s="40">
        <f>Table9[[#This Row],[PMI]]-B695</f>
        <v>0.39999999999999858</v>
      </c>
      <c r="G696" s="4"/>
    </row>
    <row r="697" spans="1:7" x14ac:dyDescent="0.35">
      <c r="A697" s="39">
        <v>38565</v>
      </c>
      <c r="B697" s="40">
        <f>VLOOKUP(Table9[[#This Row],[Date]],'DB Details'!$A:$L,12)</f>
        <v>52.4</v>
      </c>
      <c r="C697" s="40">
        <f>Table9[[#This Row],[PMI]]-B696</f>
        <v>-0.39999999999999858</v>
      </c>
      <c r="G697" s="4"/>
    </row>
    <row r="698" spans="1:7" x14ac:dyDescent="0.35">
      <c r="A698" s="39">
        <v>38596</v>
      </c>
      <c r="B698" s="40">
        <f>VLOOKUP(Table9[[#This Row],[Date]],'DB Details'!$A:$L,12)</f>
        <v>56.8</v>
      </c>
      <c r="C698" s="40">
        <f>Table9[[#This Row],[PMI]]-B697</f>
        <v>4.3999999999999986</v>
      </c>
      <c r="G698" s="4"/>
    </row>
    <row r="699" spans="1:7" x14ac:dyDescent="0.35">
      <c r="A699" s="39">
        <v>38626</v>
      </c>
      <c r="B699" s="40">
        <f>VLOOKUP(Table9[[#This Row],[Date]],'DB Details'!$A:$L,12)</f>
        <v>57.2</v>
      </c>
      <c r="C699" s="40">
        <f>Table9[[#This Row],[PMI]]-B698</f>
        <v>0.40000000000000568</v>
      </c>
      <c r="G699" s="4"/>
    </row>
    <row r="700" spans="1:7" x14ac:dyDescent="0.35">
      <c r="A700" s="39">
        <v>38657</v>
      </c>
      <c r="B700" s="40">
        <f>VLOOKUP(Table9[[#This Row],[Date]],'DB Details'!$A:$L,12)</f>
        <v>56.7</v>
      </c>
      <c r="C700" s="40">
        <f>Table9[[#This Row],[PMI]]-B699</f>
        <v>-0.5</v>
      </c>
      <c r="G700" s="4"/>
    </row>
    <row r="701" spans="1:7" x14ac:dyDescent="0.35">
      <c r="A701" s="39">
        <v>38687</v>
      </c>
      <c r="B701" s="40">
        <f>VLOOKUP(Table9[[#This Row],[Date]],'DB Details'!$A:$L,12)</f>
        <v>55.1</v>
      </c>
      <c r="C701" s="40">
        <f>Table9[[#This Row],[PMI]]-B700</f>
        <v>-1.6000000000000014</v>
      </c>
      <c r="G701" s="4"/>
    </row>
    <row r="702" spans="1:7" x14ac:dyDescent="0.35">
      <c r="A702" s="39">
        <v>38718</v>
      </c>
      <c r="B702" s="40">
        <f>VLOOKUP(Table9[[#This Row],[Date]],'DB Details'!$A:$L,12)</f>
        <v>55</v>
      </c>
      <c r="C702" s="40">
        <f>Table9[[#This Row],[PMI]]-B701</f>
        <v>-0.10000000000000142</v>
      </c>
      <c r="G702" s="4"/>
    </row>
    <row r="703" spans="1:7" x14ac:dyDescent="0.35">
      <c r="A703" s="39">
        <v>38749</v>
      </c>
      <c r="B703" s="40">
        <f>VLOOKUP(Table9[[#This Row],[Date]],'DB Details'!$A:$L,12)</f>
        <v>55.8</v>
      </c>
      <c r="C703" s="40">
        <f>Table9[[#This Row],[PMI]]-B702</f>
        <v>0.79999999999999716</v>
      </c>
      <c r="G703" s="4"/>
    </row>
    <row r="704" spans="1:7" x14ac:dyDescent="0.35">
      <c r="A704" s="39">
        <v>38777</v>
      </c>
      <c r="B704" s="40">
        <f>VLOOKUP(Table9[[#This Row],[Date]],'DB Details'!$A:$L,12)</f>
        <v>54.3</v>
      </c>
      <c r="C704" s="40">
        <f>Table9[[#This Row],[PMI]]-B703</f>
        <v>-1.5</v>
      </c>
      <c r="G704" s="4"/>
    </row>
    <row r="705" spans="1:7" x14ac:dyDescent="0.35">
      <c r="A705" s="39">
        <v>38808</v>
      </c>
      <c r="B705" s="40">
        <f>VLOOKUP(Table9[[#This Row],[Date]],'DB Details'!$A:$L,12)</f>
        <v>55.2</v>
      </c>
      <c r="C705" s="40">
        <f>Table9[[#This Row],[PMI]]-B704</f>
        <v>0.90000000000000568</v>
      </c>
      <c r="G705" s="4"/>
    </row>
    <row r="706" spans="1:7" x14ac:dyDescent="0.35">
      <c r="A706" s="39">
        <v>38838</v>
      </c>
      <c r="B706" s="40">
        <f>VLOOKUP(Table9[[#This Row],[Date]],'DB Details'!$A:$L,12)</f>
        <v>53.7</v>
      </c>
      <c r="C706" s="40">
        <f>Table9[[#This Row],[PMI]]-B705</f>
        <v>-1.5</v>
      </c>
      <c r="G706" s="4"/>
    </row>
    <row r="707" spans="1:7" x14ac:dyDescent="0.35">
      <c r="A707" s="39">
        <v>38869</v>
      </c>
      <c r="B707" s="40">
        <f>VLOOKUP(Table9[[#This Row],[Date]],'DB Details'!$A:$L,12)</f>
        <v>52</v>
      </c>
      <c r="C707" s="40">
        <f>Table9[[#This Row],[PMI]]-B706</f>
        <v>-1.7000000000000028</v>
      </c>
      <c r="G707" s="4"/>
    </row>
    <row r="708" spans="1:7" x14ac:dyDescent="0.35">
      <c r="A708" s="39">
        <v>38899</v>
      </c>
      <c r="B708" s="40">
        <f>VLOOKUP(Table9[[#This Row],[Date]],'DB Details'!$A:$L,12)</f>
        <v>53</v>
      </c>
      <c r="C708" s="40">
        <f>Table9[[#This Row],[PMI]]-B707</f>
        <v>1</v>
      </c>
      <c r="G708" s="4"/>
    </row>
    <row r="709" spans="1:7" x14ac:dyDescent="0.35">
      <c r="A709" s="39">
        <v>38930</v>
      </c>
      <c r="B709" s="40">
        <f>VLOOKUP(Table9[[#This Row],[Date]],'DB Details'!$A:$L,12)</f>
        <v>53.7</v>
      </c>
      <c r="C709" s="40">
        <f>Table9[[#This Row],[PMI]]-B708</f>
        <v>0.70000000000000284</v>
      </c>
      <c r="G709" s="4"/>
    </row>
    <row r="710" spans="1:7" x14ac:dyDescent="0.35">
      <c r="A710" s="39">
        <v>38961</v>
      </c>
      <c r="B710" s="40">
        <f>VLOOKUP(Table9[[#This Row],[Date]],'DB Details'!$A:$L,12)</f>
        <v>52.2</v>
      </c>
      <c r="C710" s="40">
        <f>Table9[[#This Row],[PMI]]-B709</f>
        <v>-1.5</v>
      </c>
      <c r="G710" s="4"/>
    </row>
    <row r="711" spans="1:7" x14ac:dyDescent="0.35">
      <c r="A711" s="39">
        <v>38991</v>
      </c>
      <c r="B711" s="40">
        <f>VLOOKUP(Table9[[#This Row],[Date]],'DB Details'!$A:$L,12)</f>
        <v>51.4</v>
      </c>
      <c r="C711" s="40">
        <f>Table9[[#This Row],[PMI]]-B710</f>
        <v>-0.80000000000000426</v>
      </c>
      <c r="G711" s="4"/>
    </row>
    <row r="712" spans="1:7" x14ac:dyDescent="0.35">
      <c r="A712" s="39">
        <v>39022</v>
      </c>
      <c r="B712" s="40">
        <f>VLOOKUP(Table9[[#This Row],[Date]],'DB Details'!$A:$L,12)</f>
        <v>50.3</v>
      </c>
      <c r="C712" s="40">
        <f>Table9[[#This Row],[PMI]]-B711</f>
        <v>-1.1000000000000014</v>
      </c>
      <c r="G712" s="4"/>
    </row>
    <row r="713" spans="1:7" x14ac:dyDescent="0.35">
      <c r="A713" s="39">
        <v>39052</v>
      </c>
      <c r="B713" s="40">
        <f>VLOOKUP(Table9[[#This Row],[Date]],'DB Details'!$A:$L,12)</f>
        <v>51.4</v>
      </c>
      <c r="C713" s="40">
        <f>Table9[[#This Row],[PMI]]-B712</f>
        <v>1.1000000000000014</v>
      </c>
      <c r="G713" s="4"/>
    </row>
    <row r="714" spans="1:7" x14ac:dyDescent="0.35">
      <c r="A714" s="39">
        <v>39083</v>
      </c>
      <c r="B714" s="40">
        <f>VLOOKUP(Table9[[#This Row],[Date]],'DB Details'!$A:$L,12)</f>
        <v>50.4</v>
      </c>
      <c r="C714" s="40">
        <f>Table9[[#This Row],[PMI]]-B713</f>
        <v>-1</v>
      </c>
      <c r="G714" s="4"/>
    </row>
    <row r="715" spans="1:7" x14ac:dyDescent="0.35">
      <c r="A715" s="39">
        <v>39114</v>
      </c>
      <c r="B715" s="40">
        <f>VLOOKUP(Table9[[#This Row],[Date]],'DB Details'!$A:$L,12)</f>
        <v>54.1</v>
      </c>
      <c r="C715" s="40">
        <f>Table9[[#This Row],[PMI]]-B714</f>
        <v>3.7000000000000028</v>
      </c>
      <c r="G715" s="4"/>
    </row>
    <row r="716" spans="1:7" x14ac:dyDescent="0.35">
      <c r="A716" s="39">
        <v>39142</v>
      </c>
      <c r="B716" s="40">
        <f>VLOOKUP(Table9[[#This Row],[Date]],'DB Details'!$A:$L,12)</f>
        <v>52.8</v>
      </c>
      <c r="C716" s="40">
        <f>Table9[[#This Row],[PMI]]-B715</f>
        <v>-1.3000000000000043</v>
      </c>
      <c r="G716" s="4"/>
    </row>
    <row r="717" spans="1:7" x14ac:dyDescent="0.35">
      <c r="A717" s="39">
        <v>39173</v>
      </c>
      <c r="B717" s="40">
        <f>VLOOKUP(Table9[[#This Row],[Date]],'DB Details'!$A:$L,12)</f>
        <v>52.7</v>
      </c>
      <c r="C717" s="40">
        <f>Table9[[#This Row],[PMI]]-B716</f>
        <v>-9.9999999999994316E-2</v>
      </c>
      <c r="G717" s="4"/>
    </row>
    <row r="718" spans="1:7" x14ac:dyDescent="0.35">
      <c r="A718" s="39">
        <v>39203</v>
      </c>
      <c r="B718" s="40">
        <f>VLOOKUP(Table9[[#This Row],[Date]],'DB Details'!$A:$L,12)</f>
        <v>53.1</v>
      </c>
      <c r="C718" s="40">
        <f>Table9[[#This Row],[PMI]]-B717</f>
        <v>0.39999999999999858</v>
      </c>
      <c r="G718" s="4"/>
    </row>
    <row r="719" spans="1:7" x14ac:dyDescent="0.35">
      <c r="A719" s="39">
        <v>39234</v>
      </c>
      <c r="B719" s="40">
        <f>VLOOKUP(Table9[[#This Row],[Date]],'DB Details'!$A:$L,12)</f>
        <v>54</v>
      </c>
      <c r="C719" s="40">
        <f>Table9[[#This Row],[PMI]]-B718</f>
        <v>0.89999999999999858</v>
      </c>
      <c r="G719" s="4"/>
    </row>
    <row r="720" spans="1:7" x14ac:dyDescent="0.35">
      <c r="A720" s="39">
        <v>39264</v>
      </c>
      <c r="B720" s="40">
        <f>VLOOKUP(Table9[[#This Row],[Date]],'DB Details'!$A:$L,12)</f>
        <v>51.8</v>
      </c>
      <c r="C720" s="40">
        <f>Table9[[#This Row],[PMI]]-B719</f>
        <v>-2.2000000000000028</v>
      </c>
      <c r="G720" s="4"/>
    </row>
    <row r="721" spans="1:7" x14ac:dyDescent="0.35">
      <c r="A721" s="39">
        <v>39295</v>
      </c>
      <c r="B721" s="40">
        <f>VLOOKUP(Table9[[#This Row],[Date]],'DB Details'!$A:$L,12)</f>
        <v>52.2</v>
      </c>
      <c r="C721" s="40">
        <f>Table9[[#This Row],[PMI]]-B720</f>
        <v>0.40000000000000568</v>
      </c>
      <c r="G721" s="4"/>
    </row>
    <row r="722" spans="1:7" x14ac:dyDescent="0.35">
      <c r="A722" s="39">
        <v>39326</v>
      </c>
      <c r="B722" s="40">
        <f>VLOOKUP(Table9[[#This Row],[Date]],'DB Details'!$A:$L,12)</f>
        <v>53.8</v>
      </c>
      <c r="C722" s="40">
        <f>Table9[[#This Row],[PMI]]-B721</f>
        <v>1.5999999999999943</v>
      </c>
      <c r="G722" s="4"/>
    </row>
    <row r="723" spans="1:7" x14ac:dyDescent="0.35">
      <c r="A723" s="39">
        <v>39356</v>
      </c>
      <c r="B723" s="40">
        <f>VLOOKUP(Table9[[#This Row],[Date]],'DB Details'!$A:$L,12)</f>
        <v>52.8</v>
      </c>
      <c r="C723" s="40">
        <f>Table9[[#This Row],[PMI]]-B722</f>
        <v>-1</v>
      </c>
      <c r="G723" s="4"/>
    </row>
    <row r="724" spans="1:7" x14ac:dyDescent="0.35">
      <c r="A724" s="39">
        <v>39387</v>
      </c>
      <c r="B724" s="40">
        <f>VLOOKUP(Table9[[#This Row],[Date]],'DB Details'!$A:$L,12)</f>
        <v>51.5</v>
      </c>
      <c r="C724" s="40">
        <f>Table9[[#This Row],[PMI]]-B723</f>
        <v>-1.2999999999999972</v>
      </c>
      <c r="G724" s="4"/>
    </row>
    <row r="725" spans="1:7" x14ac:dyDescent="0.35">
      <c r="A725" s="39">
        <v>39417</v>
      </c>
      <c r="B725" s="40">
        <f>VLOOKUP(Table9[[#This Row],[Date]],'DB Details'!$A:$L,12)</f>
        <v>50.1</v>
      </c>
      <c r="C725" s="40">
        <f>Table9[[#This Row],[PMI]]-B724</f>
        <v>-1.3999999999999986</v>
      </c>
      <c r="G725" s="4"/>
    </row>
    <row r="726" spans="1:7" x14ac:dyDescent="0.35">
      <c r="A726" s="39">
        <v>39448</v>
      </c>
      <c r="B726" s="40">
        <f>VLOOKUP(Table9[[#This Row],[Date]],'DB Details'!$A:$L,12)</f>
        <v>50.9</v>
      </c>
      <c r="C726" s="40">
        <f>Table9[[#This Row],[PMI]]-B725</f>
        <v>0.79999999999999716</v>
      </c>
      <c r="G726" s="4"/>
    </row>
    <row r="727" spans="1:7" x14ac:dyDescent="0.35">
      <c r="A727" s="39">
        <v>39479</v>
      </c>
      <c r="B727" s="40">
        <f>VLOOKUP(Table9[[#This Row],[Date]],'DB Details'!$A:$L,12)</f>
        <v>48.8</v>
      </c>
      <c r="C727" s="40">
        <f>Table9[[#This Row],[PMI]]-B726</f>
        <v>-2.1000000000000014</v>
      </c>
      <c r="G727" s="4"/>
    </row>
    <row r="728" spans="1:7" x14ac:dyDescent="0.35">
      <c r="A728" s="39">
        <v>39508</v>
      </c>
      <c r="B728" s="40">
        <f>VLOOKUP(Table9[[#This Row],[Date]],'DB Details'!$A:$L,12)</f>
        <v>49.7</v>
      </c>
      <c r="C728" s="40">
        <f>Table9[[#This Row],[PMI]]-B727</f>
        <v>0.90000000000000568</v>
      </c>
      <c r="G728" s="4"/>
    </row>
    <row r="729" spans="1:7" x14ac:dyDescent="0.35">
      <c r="A729" s="39">
        <v>39539</v>
      </c>
      <c r="B729" s="40">
        <f>VLOOKUP(Table9[[#This Row],[Date]],'DB Details'!$A:$L,12)</f>
        <v>48.5</v>
      </c>
      <c r="C729" s="40">
        <f>Table9[[#This Row],[PMI]]-B728</f>
        <v>-1.2000000000000028</v>
      </c>
      <c r="G729" s="4"/>
    </row>
    <row r="730" spans="1:7" x14ac:dyDescent="0.35">
      <c r="A730" s="39">
        <v>39569</v>
      </c>
      <c r="B730" s="40">
        <f>VLOOKUP(Table9[[#This Row],[Date]],'DB Details'!$A:$L,12)</f>
        <v>48.9</v>
      </c>
      <c r="C730" s="40">
        <f>Table9[[#This Row],[PMI]]-B729</f>
        <v>0.39999999999999858</v>
      </c>
      <c r="G730" s="4"/>
    </row>
    <row r="731" spans="1:7" x14ac:dyDescent="0.35">
      <c r="A731" s="39">
        <v>39600</v>
      </c>
      <c r="B731" s="40">
        <f>VLOOKUP(Table9[[#This Row],[Date]],'DB Details'!$A:$L,12)</f>
        <v>49.9</v>
      </c>
      <c r="C731" s="40">
        <f>Table9[[#This Row],[PMI]]-B730</f>
        <v>1</v>
      </c>
      <c r="G731" s="4"/>
    </row>
    <row r="732" spans="1:7" x14ac:dyDescent="0.35">
      <c r="A732" s="39">
        <v>39630</v>
      </c>
      <c r="B732" s="40">
        <f>VLOOKUP(Table9[[#This Row],[Date]],'DB Details'!$A:$L,12)</f>
        <v>50.8</v>
      </c>
      <c r="C732" s="40">
        <f>Table9[[#This Row],[PMI]]-B731</f>
        <v>0.89999999999999858</v>
      </c>
      <c r="G732" s="4"/>
    </row>
    <row r="733" spans="1:7" x14ac:dyDescent="0.35">
      <c r="A733" s="39">
        <v>39661</v>
      </c>
      <c r="B733" s="40">
        <f>VLOOKUP(Table9[[#This Row],[Date]],'DB Details'!$A:$L,12)</f>
        <v>50.1</v>
      </c>
      <c r="C733" s="40">
        <f>Table9[[#This Row],[PMI]]-B732</f>
        <v>-0.69999999999999574</v>
      </c>
      <c r="G733" s="4"/>
    </row>
    <row r="734" spans="1:7" x14ac:dyDescent="0.35">
      <c r="A734" s="39">
        <v>39692</v>
      </c>
      <c r="B734" s="40">
        <f>VLOOKUP(Table9[[#This Row],[Date]],'DB Details'!$A:$L,12)</f>
        <v>47.2</v>
      </c>
      <c r="C734" s="40">
        <f>Table9[[#This Row],[PMI]]-B733</f>
        <v>-2.8999999999999986</v>
      </c>
      <c r="G734" s="4"/>
    </row>
    <row r="735" spans="1:7" x14ac:dyDescent="0.35">
      <c r="A735" s="39">
        <v>39722</v>
      </c>
      <c r="B735" s="40">
        <f>VLOOKUP(Table9[[#This Row],[Date]],'DB Details'!$A:$L,12)</f>
        <v>38.200000000000003</v>
      </c>
      <c r="C735" s="40">
        <f>Table9[[#This Row],[PMI]]-B734</f>
        <v>-9</v>
      </c>
      <c r="G735" s="4"/>
    </row>
    <row r="736" spans="1:7" x14ac:dyDescent="0.35">
      <c r="A736" s="39">
        <v>39753</v>
      </c>
      <c r="B736" s="40">
        <f>VLOOKUP(Table9[[#This Row],[Date]],'DB Details'!$A:$L,12)</f>
        <v>39</v>
      </c>
      <c r="C736" s="40">
        <f>Table9[[#This Row],[PMI]]-B735</f>
        <v>0.79999999999999716</v>
      </c>
      <c r="G736" s="4"/>
    </row>
    <row r="737" spans="1:7" x14ac:dyDescent="0.35">
      <c r="A737" s="39">
        <v>39783</v>
      </c>
      <c r="B737" s="40">
        <f>VLOOKUP(Table9[[#This Row],[Date]],'DB Details'!$A:$L,12)</f>
        <v>34.5</v>
      </c>
      <c r="C737" s="40">
        <f>Table9[[#This Row],[PMI]]-B736</f>
        <v>-4.5</v>
      </c>
      <c r="G737" s="4"/>
    </row>
    <row r="738" spans="1:7" x14ac:dyDescent="0.35">
      <c r="A738" s="39">
        <v>39814</v>
      </c>
      <c r="B738" s="40">
        <f>VLOOKUP(Table9[[#This Row],[Date]],'DB Details'!$A:$L,12)</f>
        <v>36.4</v>
      </c>
      <c r="C738" s="40">
        <f>Table9[[#This Row],[PMI]]-B737</f>
        <v>1.8999999999999986</v>
      </c>
      <c r="G738" s="4"/>
    </row>
    <row r="739" spans="1:7" x14ac:dyDescent="0.35">
      <c r="A739" s="39">
        <v>39845</v>
      </c>
      <c r="B739" s="40">
        <f>VLOOKUP(Table9[[#This Row],[Date]],'DB Details'!$A:$L,12)</f>
        <v>36.6</v>
      </c>
      <c r="C739" s="40">
        <f>Table9[[#This Row],[PMI]]-B738</f>
        <v>0.20000000000000284</v>
      </c>
      <c r="G739" s="4"/>
    </row>
    <row r="740" spans="1:7" x14ac:dyDescent="0.35">
      <c r="A740" s="39">
        <v>39873</v>
      </c>
      <c r="B740" s="40">
        <f>VLOOKUP(Table9[[#This Row],[Date]],'DB Details'!$A:$L,12)</f>
        <v>37.200000000000003</v>
      </c>
      <c r="C740" s="40">
        <f>Table9[[#This Row],[PMI]]-B739</f>
        <v>0.60000000000000142</v>
      </c>
      <c r="G740" s="4"/>
    </row>
    <row r="741" spans="1:7" x14ac:dyDescent="0.35">
      <c r="A741" s="39">
        <v>39904</v>
      </c>
      <c r="B741" s="40">
        <f>VLOOKUP(Table9[[#This Row],[Date]],'DB Details'!$A:$L,12)</f>
        <v>39.9</v>
      </c>
      <c r="C741" s="40">
        <f>Table9[[#This Row],[PMI]]-B740</f>
        <v>2.6999999999999957</v>
      </c>
      <c r="G741" s="4"/>
    </row>
    <row r="742" spans="1:7" x14ac:dyDescent="0.35">
      <c r="A742" s="39">
        <v>39934</v>
      </c>
      <c r="B742" s="40">
        <f>VLOOKUP(Table9[[#This Row],[Date]],'DB Details'!$A:$L,12)</f>
        <v>44.1</v>
      </c>
      <c r="C742" s="40">
        <f>Table9[[#This Row],[PMI]]-B741</f>
        <v>4.2000000000000028</v>
      </c>
      <c r="G742" s="4"/>
    </row>
    <row r="743" spans="1:7" x14ac:dyDescent="0.35">
      <c r="A743" s="39">
        <v>39965</v>
      </c>
      <c r="B743" s="40">
        <f>VLOOKUP(Table9[[#This Row],[Date]],'DB Details'!$A:$L,12)</f>
        <v>46.3</v>
      </c>
      <c r="C743" s="40">
        <f>Table9[[#This Row],[PMI]]-B742</f>
        <v>2.1999999999999957</v>
      </c>
      <c r="G743" s="4"/>
    </row>
    <row r="744" spans="1:7" x14ac:dyDescent="0.35">
      <c r="A744" s="39">
        <v>39995</v>
      </c>
      <c r="B744" s="40">
        <f>VLOOKUP(Table9[[#This Row],[Date]],'DB Details'!$A:$L,12)</f>
        <v>49.7</v>
      </c>
      <c r="C744" s="40">
        <f>Table9[[#This Row],[PMI]]-B743</f>
        <v>3.4000000000000057</v>
      </c>
      <c r="G744" s="4"/>
    </row>
    <row r="745" spans="1:7" x14ac:dyDescent="0.35">
      <c r="A745" s="39">
        <v>40026</v>
      </c>
      <c r="B745" s="40">
        <f>VLOOKUP(Table9[[#This Row],[Date]],'DB Details'!$A:$L,12)</f>
        <v>53.4</v>
      </c>
      <c r="C745" s="40">
        <f>Table9[[#This Row],[PMI]]-B744</f>
        <v>3.6999999999999957</v>
      </c>
      <c r="G745" s="4"/>
    </row>
    <row r="746" spans="1:7" x14ac:dyDescent="0.35">
      <c r="A746" s="39">
        <v>40057</v>
      </c>
      <c r="B746" s="40">
        <f>VLOOKUP(Table9[[#This Row],[Date]],'DB Details'!$A:$L,12)</f>
        <v>54.9</v>
      </c>
      <c r="C746" s="40">
        <f>Table9[[#This Row],[PMI]]-B745</f>
        <v>1.5</v>
      </c>
      <c r="G746" s="4"/>
    </row>
    <row r="747" spans="1:7" x14ac:dyDescent="0.35">
      <c r="A747" s="39">
        <v>40087</v>
      </c>
      <c r="B747" s="40">
        <f>VLOOKUP(Table9[[#This Row],[Date]],'DB Details'!$A:$L,12)</f>
        <v>57.6</v>
      </c>
      <c r="C747" s="40">
        <f>Table9[[#This Row],[PMI]]-B746</f>
        <v>2.7000000000000028</v>
      </c>
      <c r="G747" s="4"/>
    </row>
    <row r="748" spans="1:7" x14ac:dyDescent="0.35">
      <c r="A748" s="39">
        <v>40118</v>
      </c>
      <c r="B748" s="40">
        <f>VLOOKUP(Table9[[#This Row],[Date]],'DB Details'!$A:$L,12)</f>
        <v>55.4</v>
      </c>
      <c r="C748" s="40">
        <f>Table9[[#This Row],[PMI]]-B747</f>
        <v>-2.2000000000000028</v>
      </c>
      <c r="G748" s="4"/>
    </row>
    <row r="749" spans="1:7" x14ac:dyDescent="0.35">
      <c r="A749" s="39">
        <v>40148</v>
      </c>
      <c r="B749" s="40">
        <f>VLOOKUP(Table9[[#This Row],[Date]],'DB Details'!$A:$L,12)</f>
        <v>55.8</v>
      </c>
      <c r="C749" s="40">
        <f>Table9[[#This Row],[PMI]]-B748</f>
        <v>0.39999999999999858</v>
      </c>
      <c r="G749" s="4"/>
    </row>
    <row r="750" spans="1:7" x14ac:dyDescent="0.35">
      <c r="A750" s="39">
        <v>40179</v>
      </c>
      <c r="B750" s="40">
        <f>VLOOKUP(Table9[[#This Row],[Date]],'DB Details'!$A:$L,12)</f>
        <v>56.3</v>
      </c>
      <c r="C750" s="40">
        <f>Table9[[#This Row],[PMI]]-B749</f>
        <v>0.5</v>
      </c>
      <c r="G750" s="4"/>
    </row>
    <row r="751" spans="1:7" x14ac:dyDescent="0.35">
      <c r="A751" s="39">
        <v>40210</v>
      </c>
      <c r="B751" s="40">
        <f>VLOOKUP(Table9[[#This Row],[Date]],'DB Details'!$A:$L,12)</f>
        <v>55.5</v>
      </c>
      <c r="C751" s="40">
        <f>Table9[[#This Row],[PMI]]-B750</f>
        <v>-0.79999999999999716</v>
      </c>
      <c r="G751" s="4"/>
    </row>
    <row r="752" spans="1:7" x14ac:dyDescent="0.35">
      <c r="A752" s="39">
        <v>40238</v>
      </c>
      <c r="B752" s="40">
        <f>VLOOKUP(Table9[[#This Row],[Date]],'DB Details'!$A:$L,12)</f>
        <v>58.8</v>
      </c>
      <c r="C752" s="40">
        <f>Table9[[#This Row],[PMI]]-B751</f>
        <v>3.2999999999999972</v>
      </c>
      <c r="G752" s="4"/>
    </row>
    <row r="753" spans="1:7" x14ac:dyDescent="0.35">
      <c r="A753" s="39">
        <v>40269</v>
      </c>
      <c r="B753" s="40">
        <f>VLOOKUP(Table9[[#This Row],[Date]],'DB Details'!$A:$L,12)</f>
        <v>58.1</v>
      </c>
      <c r="C753" s="40">
        <f>Table9[[#This Row],[PMI]]-B752</f>
        <v>-0.69999999999999574</v>
      </c>
      <c r="G753" s="4"/>
    </row>
    <row r="754" spans="1:7" x14ac:dyDescent="0.35">
      <c r="A754" s="39">
        <v>40299</v>
      </c>
      <c r="B754" s="40">
        <f>VLOOKUP(Table9[[#This Row],[Date]],'DB Details'!$A:$L,12)</f>
        <v>57.4</v>
      </c>
      <c r="C754" s="40">
        <f>Table9[[#This Row],[PMI]]-B753</f>
        <v>-0.70000000000000284</v>
      </c>
      <c r="G754" s="4"/>
    </row>
    <row r="755" spans="1:7" x14ac:dyDescent="0.35">
      <c r="A755" s="39">
        <v>40330</v>
      </c>
      <c r="B755" s="40">
        <f>VLOOKUP(Table9[[#This Row],[Date]],'DB Details'!$A:$L,12)</f>
        <v>56.5</v>
      </c>
      <c r="C755" s="40">
        <f>Table9[[#This Row],[PMI]]-B754</f>
        <v>-0.89999999999999858</v>
      </c>
      <c r="G755" s="4"/>
    </row>
    <row r="756" spans="1:7" x14ac:dyDescent="0.35">
      <c r="A756" s="39">
        <v>40360</v>
      </c>
      <c r="B756" s="40">
        <f>VLOOKUP(Table9[[#This Row],[Date]],'DB Details'!$A:$L,12)</f>
        <v>56.1</v>
      </c>
      <c r="C756" s="40">
        <f>Table9[[#This Row],[PMI]]-B755</f>
        <v>-0.39999999999999858</v>
      </c>
      <c r="G756" s="4"/>
    </row>
    <row r="757" spans="1:7" x14ac:dyDescent="0.35">
      <c r="A757" s="39">
        <v>40391</v>
      </c>
      <c r="B757" s="40">
        <f>VLOOKUP(Table9[[#This Row],[Date]],'DB Details'!$A:$L,12)</f>
        <v>56.4</v>
      </c>
      <c r="C757" s="40">
        <f>Table9[[#This Row],[PMI]]-B756</f>
        <v>0.29999999999999716</v>
      </c>
      <c r="G757" s="4"/>
    </row>
    <row r="758" spans="1:7" x14ac:dyDescent="0.35">
      <c r="A758" s="39">
        <v>40422</v>
      </c>
      <c r="B758" s="40">
        <f>VLOOKUP(Table9[[#This Row],[Date]],'DB Details'!$A:$L,12)</f>
        <v>55.3</v>
      </c>
      <c r="C758" s="40">
        <f>Table9[[#This Row],[PMI]]-B757</f>
        <v>-1.1000000000000014</v>
      </c>
      <c r="G758" s="4"/>
    </row>
    <row r="759" spans="1:7" x14ac:dyDescent="0.35">
      <c r="A759" s="39">
        <v>40452</v>
      </c>
      <c r="B759" s="40">
        <f>VLOOKUP(Table9[[#This Row],[Date]],'DB Details'!$A:$L,12)</f>
        <v>56.9</v>
      </c>
      <c r="C759" s="40">
        <f>Table9[[#This Row],[PMI]]-B758</f>
        <v>1.6000000000000014</v>
      </c>
      <c r="G759" s="4"/>
    </row>
    <row r="760" spans="1:7" x14ac:dyDescent="0.35">
      <c r="A760" s="39">
        <v>40483</v>
      </c>
      <c r="B760" s="40">
        <f>VLOOKUP(Table9[[#This Row],[Date]],'DB Details'!$A:$L,12)</f>
        <v>57.3</v>
      </c>
      <c r="C760" s="40">
        <f>Table9[[#This Row],[PMI]]-B759</f>
        <v>0.39999999999999858</v>
      </c>
      <c r="G760" s="4"/>
    </row>
    <row r="761" spans="1:7" x14ac:dyDescent="0.35">
      <c r="A761" s="39">
        <v>40513</v>
      </c>
      <c r="B761" s="40">
        <f>VLOOKUP(Table9[[#This Row],[Date]],'DB Details'!$A:$L,12)</f>
        <v>56.6</v>
      </c>
      <c r="C761" s="40">
        <f>Table9[[#This Row],[PMI]]-B760</f>
        <v>-0.69999999999999574</v>
      </c>
      <c r="G761" s="4"/>
    </row>
    <row r="762" spans="1:7" x14ac:dyDescent="0.35">
      <c r="A762" s="39">
        <v>40544</v>
      </c>
      <c r="B762" s="40">
        <f>VLOOKUP(Table9[[#This Row],[Date]],'DB Details'!$A:$L,12)</f>
        <v>59.1</v>
      </c>
      <c r="C762" s="40">
        <f>Table9[[#This Row],[PMI]]-B761</f>
        <v>2.5</v>
      </c>
      <c r="G762" s="4"/>
    </row>
    <row r="763" spans="1:7" x14ac:dyDescent="0.35">
      <c r="A763" s="39">
        <v>40575</v>
      </c>
      <c r="B763" s="40">
        <f>VLOOKUP(Table9[[#This Row],[Date]],'DB Details'!$A:$L,12)</f>
        <v>59.2</v>
      </c>
      <c r="C763" s="40">
        <f>Table9[[#This Row],[PMI]]-B762</f>
        <v>0.10000000000000142</v>
      </c>
      <c r="G763" s="4"/>
    </row>
    <row r="764" spans="1:7" x14ac:dyDescent="0.35">
      <c r="A764" s="39">
        <v>40603</v>
      </c>
      <c r="B764" s="40">
        <f>VLOOKUP(Table9[[#This Row],[Date]],'DB Details'!$A:$L,12)</f>
        <v>58.4</v>
      </c>
      <c r="C764" s="40">
        <f>Table9[[#This Row],[PMI]]-B763</f>
        <v>-0.80000000000000426</v>
      </c>
      <c r="G764" s="4"/>
    </row>
    <row r="765" spans="1:7" x14ac:dyDescent="0.35">
      <c r="A765" s="39">
        <v>40634</v>
      </c>
      <c r="B765" s="40">
        <f>VLOOKUP(Table9[[#This Row],[Date]],'DB Details'!$A:$L,12)</f>
        <v>57.9</v>
      </c>
      <c r="C765" s="40">
        <f>Table9[[#This Row],[PMI]]-B764</f>
        <v>-0.5</v>
      </c>
      <c r="G765" s="4"/>
    </row>
    <row r="766" spans="1:7" x14ac:dyDescent="0.35">
      <c r="A766" s="39">
        <v>40664</v>
      </c>
      <c r="B766" s="40">
        <f>VLOOKUP(Table9[[#This Row],[Date]],'DB Details'!$A:$L,12)</f>
        <v>54.8</v>
      </c>
      <c r="C766" s="40">
        <f>Table9[[#This Row],[PMI]]-B765</f>
        <v>-3.1000000000000014</v>
      </c>
      <c r="G766" s="4"/>
    </row>
    <row r="767" spans="1:7" x14ac:dyDescent="0.35">
      <c r="A767" s="39">
        <v>40695</v>
      </c>
      <c r="B767" s="40">
        <f>VLOOKUP(Table9[[#This Row],[Date]],'DB Details'!$A:$L,12)</f>
        <v>55.8</v>
      </c>
      <c r="C767" s="40">
        <f>Table9[[#This Row],[PMI]]-B766</f>
        <v>1</v>
      </c>
      <c r="G767" s="4"/>
    </row>
    <row r="768" spans="1:7" x14ac:dyDescent="0.35">
      <c r="A768" s="39">
        <v>40725</v>
      </c>
      <c r="B768" s="40">
        <f>VLOOKUP(Table9[[#This Row],[Date]],'DB Details'!$A:$L,12)</f>
        <v>52.9</v>
      </c>
      <c r="C768" s="40">
        <f>Table9[[#This Row],[PMI]]-B767</f>
        <v>-2.8999999999999986</v>
      </c>
      <c r="G768" s="4"/>
    </row>
    <row r="769" spans="1:7" x14ac:dyDescent="0.35">
      <c r="A769" s="39">
        <v>40756</v>
      </c>
      <c r="B769" s="40">
        <f>VLOOKUP(Table9[[#This Row],[Date]],'DB Details'!$A:$L,12)</f>
        <v>52.6</v>
      </c>
      <c r="C769" s="40">
        <f>Table9[[#This Row],[PMI]]-B768</f>
        <v>-0.29999999999999716</v>
      </c>
      <c r="G769" s="4"/>
    </row>
    <row r="770" spans="1:7" x14ac:dyDescent="0.35">
      <c r="A770" s="39">
        <v>40787</v>
      </c>
      <c r="B770" s="40">
        <f>VLOOKUP(Table9[[#This Row],[Date]],'DB Details'!$A:$L,12)</f>
        <v>53.7</v>
      </c>
      <c r="C770" s="40">
        <f>Table9[[#This Row],[PMI]]-B769</f>
        <v>1.1000000000000014</v>
      </c>
      <c r="G770" s="4"/>
    </row>
    <row r="771" spans="1:7" x14ac:dyDescent="0.35">
      <c r="A771" s="39">
        <v>40817</v>
      </c>
      <c r="B771" s="40">
        <f>VLOOKUP(Table9[[#This Row],[Date]],'DB Details'!$A:$L,12)</f>
        <v>51.4</v>
      </c>
      <c r="C771" s="40">
        <f>Table9[[#This Row],[PMI]]-B770</f>
        <v>-2.3000000000000043</v>
      </c>
      <c r="G771" s="4"/>
    </row>
    <row r="772" spans="1:7" x14ac:dyDescent="0.35">
      <c r="A772" s="39">
        <v>40848</v>
      </c>
      <c r="B772" s="40">
        <f>VLOOKUP(Table9[[#This Row],[Date]],'DB Details'!$A:$L,12)</f>
        <v>51.8</v>
      </c>
      <c r="C772" s="40">
        <f>Table9[[#This Row],[PMI]]-B771</f>
        <v>0.39999999999999858</v>
      </c>
      <c r="G772" s="4"/>
    </row>
    <row r="773" spans="1:7" x14ac:dyDescent="0.35">
      <c r="A773" s="39">
        <v>40878</v>
      </c>
      <c r="B773" s="40">
        <f>VLOOKUP(Table9[[#This Row],[Date]],'DB Details'!$A:$L,12)</f>
        <v>53</v>
      </c>
      <c r="C773" s="40">
        <f>Table9[[#This Row],[PMI]]-B772</f>
        <v>1.2000000000000028</v>
      </c>
      <c r="G773" s="4"/>
    </row>
    <row r="774" spans="1:7" x14ac:dyDescent="0.35">
      <c r="A774" s="39">
        <v>40909</v>
      </c>
      <c r="B774" s="40">
        <f>VLOOKUP(Table9[[#This Row],[Date]],'DB Details'!$A:$L,12)</f>
        <v>52.6</v>
      </c>
      <c r="C774" s="40">
        <f>Table9[[#This Row],[PMI]]-B773</f>
        <v>-0.39999999999999858</v>
      </c>
      <c r="G774" s="4"/>
    </row>
    <row r="775" spans="1:7" x14ac:dyDescent="0.35">
      <c r="A775" s="39">
        <v>40940</v>
      </c>
      <c r="B775" s="40">
        <f>VLOOKUP(Table9[[#This Row],[Date]],'DB Details'!$A:$L,12)</f>
        <v>53.1</v>
      </c>
      <c r="C775" s="40">
        <f>Table9[[#This Row],[PMI]]-B774</f>
        <v>0.5</v>
      </c>
      <c r="G775" s="4"/>
    </row>
    <row r="776" spans="1:7" x14ac:dyDescent="0.35">
      <c r="A776" s="39">
        <v>40969</v>
      </c>
      <c r="B776" s="40">
        <f>VLOOKUP(Table9[[#This Row],[Date]],'DB Details'!$A:$L,12)</f>
        <v>53.5</v>
      </c>
      <c r="C776" s="40">
        <f>Table9[[#This Row],[PMI]]-B775</f>
        <v>0.39999999999999858</v>
      </c>
      <c r="G776" s="4"/>
    </row>
    <row r="777" spans="1:7" x14ac:dyDescent="0.35">
      <c r="A777" s="39">
        <v>41000</v>
      </c>
      <c r="B777" s="40">
        <f>VLOOKUP(Table9[[#This Row],[Date]],'DB Details'!$A:$L,12)</f>
        <v>53.5</v>
      </c>
      <c r="C777" s="40">
        <f>Table9[[#This Row],[PMI]]-B776</f>
        <v>0</v>
      </c>
      <c r="G777" s="4"/>
    </row>
    <row r="778" spans="1:7" x14ac:dyDescent="0.35">
      <c r="A778" s="39">
        <v>41030</v>
      </c>
      <c r="B778" s="40">
        <f>VLOOKUP(Table9[[#This Row],[Date]],'DB Details'!$A:$L,12)</f>
        <v>52.6</v>
      </c>
      <c r="C778" s="40">
        <f>Table9[[#This Row],[PMI]]-B777</f>
        <v>-0.89999999999999858</v>
      </c>
      <c r="G778" s="4"/>
    </row>
    <row r="779" spans="1:7" x14ac:dyDescent="0.35">
      <c r="A779" s="39">
        <v>41061</v>
      </c>
      <c r="B779" s="40">
        <f>VLOOKUP(Table9[[#This Row],[Date]],'DB Details'!$A:$L,12)</f>
        <v>49.7</v>
      </c>
      <c r="C779" s="40">
        <f>Table9[[#This Row],[PMI]]-B778</f>
        <v>-2.8999999999999986</v>
      </c>
      <c r="G779" s="4"/>
    </row>
    <row r="780" spans="1:7" x14ac:dyDescent="0.35">
      <c r="A780" s="39">
        <v>41091</v>
      </c>
      <c r="B780" s="40">
        <f>VLOOKUP(Table9[[#This Row],[Date]],'DB Details'!$A:$L,12)</f>
        <v>50</v>
      </c>
      <c r="C780" s="40">
        <f>Table9[[#This Row],[PMI]]-B779</f>
        <v>0.29999999999999716</v>
      </c>
      <c r="G780" s="4"/>
    </row>
    <row r="781" spans="1:7" x14ac:dyDescent="0.35">
      <c r="A781" s="39">
        <v>41122</v>
      </c>
      <c r="B781" s="40">
        <f>VLOOKUP(Table9[[#This Row],[Date]],'DB Details'!$A:$L,12)</f>
        <v>50.2</v>
      </c>
      <c r="C781" s="40">
        <f>Table9[[#This Row],[PMI]]-B780</f>
        <v>0.20000000000000284</v>
      </c>
      <c r="G781" s="4"/>
    </row>
    <row r="782" spans="1:7" x14ac:dyDescent="0.35">
      <c r="A782" s="39">
        <v>41153</v>
      </c>
      <c r="B782" s="40">
        <f>VLOOKUP(Table9[[#This Row],[Date]],'DB Details'!$A:$L,12)</f>
        <v>51.8</v>
      </c>
      <c r="C782" s="40">
        <f>Table9[[#This Row],[PMI]]-B781</f>
        <v>1.5999999999999943</v>
      </c>
      <c r="G782" s="4"/>
    </row>
    <row r="783" spans="1:7" x14ac:dyDescent="0.35">
      <c r="A783" s="39">
        <v>41183</v>
      </c>
      <c r="B783" s="40">
        <f>VLOOKUP(Table9[[#This Row],[Date]],'DB Details'!$A:$L,12)</f>
        <v>50.7</v>
      </c>
      <c r="C783" s="40">
        <f>Table9[[#This Row],[PMI]]-B782</f>
        <v>-1.0999999999999943</v>
      </c>
      <c r="G783" s="4"/>
    </row>
    <row r="784" spans="1:7" x14ac:dyDescent="0.35">
      <c r="A784" s="39">
        <v>41214</v>
      </c>
      <c r="B784" s="40">
        <f>VLOOKUP(Table9[[#This Row],[Date]],'DB Details'!$A:$L,12)</f>
        <v>48.9</v>
      </c>
      <c r="C784" s="40">
        <f>Table9[[#This Row],[PMI]]-B783</f>
        <v>-1.8000000000000043</v>
      </c>
      <c r="G784" s="4"/>
    </row>
    <row r="785" spans="1:7" x14ac:dyDescent="0.35">
      <c r="A785" s="39">
        <v>41244</v>
      </c>
      <c r="B785" s="40">
        <f>VLOOKUP(Table9[[#This Row],[Date]],'DB Details'!$A:$L,12)</f>
        <v>49.8</v>
      </c>
      <c r="C785" s="40">
        <f>Table9[[#This Row],[PMI]]-B784</f>
        <v>0.89999999999999858</v>
      </c>
      <c r="G785" s="4"/>
    </row>
    <row r="786" spans="1:7" x14ac:dyDescent="0.35">
      <c r="A786" s="39">
        <v>41275</v>
      </c>
      <c r="B786" s="40">
        <f>VLOOKUP(Table9[[#This Row],[Date]],'DB Details'!$A:$L,12)</f>
        <v>52</v>
      </c>
      <c r="C786" s="40">
        <f>Table9[[#This Row],[PMI]]-B785</f>
        <v>2.2000000000000028</v>
      </c>
      <c r="G786" s="4"/>
    </row>
    <row r="787" spans="1:7" x14ac:dyDescent="0.35">
      <c r="A787" s="39">
        <v>41306</v>
      </c>
      <c r="B787" s="40">
        <f>VLOOKUP(Table9[[#This Row],[Date]],'DB Details'!$A:$L,12)</f>
        <v>53.6</v>
      </c>
      <c r="C787" s="40">
        <f>Table9[[#This Row],[PMI]]-B786</f>
        <v>1.6000000000000014</v>
      </c>
      <c r="G787" s="4"/>
    </row>
    <row r="788" spans="1:7" x14ac:dyDescent="0.35">
      <c r="A788" s="39">
        <v>41334</v>
      </c>
      <c r="B788" s="40">
        <f>VLOOKUP(Table9[[#This Row],[Date]],'DB Details'!$A:$L,12)</f>
        <v>52</v>
      </c>
      <c r="C788" s="40">
        <f>Table9[[#This Row],[PMI]]-B787</f>
        <v>-1.6000000000000014</v>
      </c>
      <c r="G788" s="4"/>
    </row>
    <row r="789" spans="1:7" x14ac:dyDescent="0.35">
      <c r="A789" s="39">
        <v>41365</v>
      </c>
      <c r="B789" s="40">
        <f>VLOOKUP(Table9[[#This Row],[Date]],'DB Details'!$A:$L,12)</f>
        <v>49.7</v>
      </c>
      <c r="C789" s="40">
        <f>Table9[[#This Row],[PMI]]-B788</f>
        <v>-2.2999999999999972</v>
      </c>
      <c r="G789" s="4"/>
    </row>
    <row r="790" spans="1:7" x14ac:dyDescent="0.35">
      <c r="A790" s="39">
        <v>41395</v>
      </c>
      <c r="B790" s="40">
        <f>VLOOKUP(Table9[[#This Row],[Date]],'DB Details'!$A:$L,12)</f>
        <v>50.5</v>
      </c>
      <c r="C790" s="40">
        <f>Table9[[#This Row],[PMI]]-B789</f>
        <v>0.79999999999999716</v>
      </c>
      <c r="G790" s="4"/>
    </row>
    <row r="791" spans="1:7" x14ac:dyDescent="0.35">
      <c r="A791" s="39">
        <v>41426</v>
      </c>
      <c r="B791" s="40">
        <f>VLOOKUP(Table9[[#This Row],[Date]],'DB Details'!$A:$L,12)</f>
        <v>51.5</v>
      </c>
      <c r="C791" s="40">
        <f>Table9[[#This Row],[PMI]]-B790</f>
        <v>1</v>
      </c>
      <c r="G791" s="4"/>
    </row>
    <row r="792" spans="1:7" x14ac:dyDescent="0.35">
      <c r="A792" s="39">
        <v>41456</v>
      </c>
      <c r="B792" s="40">
        <f>VLOOKUP(Table9[[#This Row],[Date]],'DB Details'!$A:$L,12)</f>
        <v>53.5</v>
      </c>
      <c r="C792" s="40">
        <f>Table9[[#This Row],[PMI]]-B791</f>
        <v>2</v>
      </c>
      <c r="G792" s="4"/>
    </row>
    <row r="793" spans="1:7" x14ac:dyDescent="0.35">
      <c r="A793" s="39">
        <v>41487</v>
      </c>
      <c r="B793" s="40">
        <f>VLOOKUP(Table9[[#This Row],[Date]],'DB Details'!$A:$L,12)</f>
        <v>55.9</v>
      </c>
      <c r="C793" s="40">
        <f>Table9[[#This Row],[PMI]]-B792</f>
        <v>2.3999999999999986</v>
      </c>
      <c r="G793" s="4"/>
    </row>
    <row r="794" spans="1:7" x14ac:dyDescent="0.35">
      <c r="A794" s="39">
        <v>41518</v>
      </c>
      <c r="B794" s="40">
        <f>VLOOKUP(Table9[[#This Row],[Date]],'DB Details'!$A:$L,12)</f>
        <v>54.8</v>
      </c>
      <c r="C794" s="40">
        <f>Table9[[#This Row],[PMI]]-B793</f>
        <v>-1.1000000000000014</v>
      </c>
      <c r="G794" s="4"/>
    </row>
    <row r="795" spans="1:7" x14ac:dyDescent="0.35">
      <c r="A795" s="39">
        <v>41548</v>
      </c>
      <c r="B795" s="40">
        <f>VLOOKUP(Table9[[#This Row],[Date]],'DB Details'!$A:$L,12)</f>
        <v>55.3</v>
      </c>
      <c r="C795" s="40">
        <f>Table9[[#This Row],[PMI]]-B794</f>
        <v>0.5</v>
      </c>
      <c r="G795" s="4"/>
    </row>
    <row r="796" spans="1:7" x14ac:dyDescent="0.35">
      <c r="A796" s="39">
        <v>41579</v>
      </c>
      <c r="B796" s="40">
        <f>VLOOKUP(Table9[[#This Row],[Date]],'DB Details'!$A:$L,12)</f>
        <v>56.3</v>
      </c>
      <c r="C796" s="40">
        <f>Table9[[#This Row],[PMI]]-B795</f>
        <v>1</v>
      </c>
      <c r="G796" s="4"/>
    </row>
    <row r="797" spans="1:7" x14ac:dyDescent="0.35">
      <c r="A797" s="39">
        <v>41609</v>
      </c>
      <c r="B797" s="40">
        <f>VLOOKUP(Table9[[#This Row],[Date]],'DB Details'!$A:$L,12)</f>
        <v>55.9</v>
      </c>
      <c r="C797" s="40">
        <f>Table9[[#This Row],[PMI]]-B796</f>
        <v>-0.39999999999999858</v>
      </c>
      <c r="G797" s="4"/>
    </row>
    <row r="798" spans="1:7" x14ac:dyDescent="0.35">
      <c r="A798" s="39">
        <v>41640</v>
      </c>
      <c r="B798" s="40">
        <f>VLOOKUP(Table9[[#This Row],[Date]],'DB Details'!$A:$L,12)</f>
        <v>51.7</v>
      </c>
      <c r="C798" s="40">
        <f>Table9[[#This Row],[PMI]]-B797</f>
        <v>-4.1999999999999957</v>
      </c>
      <c r="G798" s="4"/>
    </row>
    <row r="799" spans="1:7" x14ac:dyDescent="0.35">
      <c r="A799" s="39">
        <v>41671</v>
      </c>
      <c r="B799" s="40">
        <f>VLOOKUP(Table9[[#This Row],[Date]],'DB Details'!$A:$L,12)</f>
        <v>54.6</v>
      </c>
      <c r="C799" s="40">
        <f>Table9[[#This Row],[PMI]]-B798</f>
        <v>2.8999999999999986</v>
      </c>
      <c r="G799" s="4"/>
    </row>
    <row r="800" spans="1:7" x14ac:dyDescent="0.35">
      <c r="A800" s="39">
        <v>41699</v>
      </c>
      <c r="B800" s="40">
        <f>VLOOKUP(Table9[[#This Row],[Date]],'DB Details'!$A:$L,12)</f>
        <v>55.3</v>
      </c>
      <c r="C800" s="40">
        <f>Table9[[#This Row],[PMI]]-B799</f>
        <v>0.69999999999999574</v>
      </c>
      <c r="G800" s="4"/>
    </row>
    <row r="801" spans="1:7" x14ac:dyDescent="0.35">
      <c r="A801" s="39">
        <v>41730</v>
      </c>
      <c r="B801" s="40">
        <f>VLOOKUP(Table9[[#This Row],[Date]],'DB Details'!$A:$L,12)</f>
        <v>55.7</v>
      </c>
      <c r="C801" s="40">
        <f>Table9[[#This Row],[PMI]]-B800</f>
        <v>0.40000000000000568</v>
      </c>
      <c r="G801" s="4"/>
    </row>
    <row r="802" spans="1:7" x14ac:dyDescent="0.35">
      <c r="A802" s="39">
        <v>41760</v>
      </c>
      <c r="B802" s="40">
        <f>VLOOKUP(Table9[[#This Row],[Date]],'DB Details'!$A:$L,12)</f>
        <v>55.8</v>
      </c>
      <c r="C802" s="40">
        <f>Table9[[#This Row],[PMI]]-B801</f>
        <v>9.9999999999994316E-2</v>
      </c>
      <c r="G802" s="4"/>
    </row>
    <row r="803" spans="1:7" x14ac:dyDescent="0.35">
      <c r="A803" s="39">
        <v>41791</v>
      </c>
      <c r="B803" s="40">
        <f>VLOOKUP(Table9[[#This Row],[Date]],'DB Details'!$A:$L,12)</f>
        <v>54.9</v>
      </c>
      <c r="C803" s="40">
        <f>Table9[[#This Row],[PMI]]-B802</f>
        <v>-0.89999999999999858</v>
      </c>
      <c r="G803" s="4"/>
    </row>
    <row r="804" spans="1:7" x14ac:dyDescent="0.35">
      <c r="A804" s="39">
        <v>41821</v>
      </c>
      <c r="B804" s="40">
        <f>VLOOKUP(Table9[[#This Row],[Date]],'DB Details'!$A:$L,12)</f>
        <v>55.3</v>
      </c>
      <c r="C804" s="40">
        <f>Table9[[#This Row],[PMI]]-B803</f>
        <v>0.39999999999999858</v>
      </c>
      <c r="G804" s="4"/>
    </row>
    <row r="805" spans="1:7" x14ac:dyDescent="0.35">
      <c r="A805" s="39">
        <v>41852</v>
      </c>
      <c r="B805" s="40">
        <f>VLOOKUP(Table9[[#This Row],[Date]],'DB Details'!$A:$L,12)</f>
        <v>58.2</v>
      </c>
      <c r="C805" s="40">
        <f>Table9[[#This Row],[PMI]]-B804</f>
        <v>2.9000000000000057</v>
      </c>
      <c r="G805" s="4"/>
    </row>
    <row r="806" spans="1:7" x14ac:dyDescent="0.35">
      <c r="A806" s="39">
        <v>41883</v>
      </c>
      <c r="B806" s="40">
        <f>VLOOKUP(Table9[[#This Row],[Date]],'DB Details'!$A:$L,12)</f>
        <v>55.5</v>
      </c>
      <c r="C806" s="40">
        <f>Table9[[#This Row],[PMI]]-B805</f>
        <v>-2.7000000000000028</v>
      </c>
      <c r="G806" s="4"/>
    </row>
    <row r="807" spans="1:7" x14ac:dyDescent="0.35">
      <c r="A807" s="39">
        <v>41913</v>
      </c>
      <c r="B807" s="40">
        <f>VLOOKUP(Table9[[#This Row],[Date]],'DB Details'!$A:$L,12)</f>
        <v>56.8</v>
      </c>
      <c r="C807" s="40">
        <f>Table9[[#This Row],[PMI]]-B806</f>
        <v>1.2999999999999972</v>
      </c>
      <c r="G807" s="4"/>
    </row>
    <row r="808" spans="1:7" x14ac:dyDescent="0.35">
      <c r="A808" s="39">
        <v>41944</v>
      </c>
      <c r="B808" s="40">
        <f>VLOOKUP(Table9[[#This Row],[Date]],'DB Details'!$A:$L,12)</f>
        <v>57</v>
      </c>
      <c r="C808" s="40">
        <f>Table9[[#This Row],[PMI]]-B807</f>
        <v>0.20000000000000284</v>
      </c>
      <c r="G808" s="4"/>
    </row>
    <row r="809" spans="1:7" x14ac:dyDescent="0.35">
      <c r="A809" s="39">
        <v>41974</v>
      </c>
      <c r="B809" s="40">
        <f>VLOOKUP(Table9[[#This Row],[Date]],'DB Details'!$A:$L,12)</f>
        <v>54.7</v>
      </c>
      <c r="C809" s="40">
        <f>Table9[[#This Row],[PMI]]-B808</f>
        <v>-2.2999999999999972</v>
      </c>
      <c r="G809" s="4"/>
    </row>
    <row r="810" spans="1:7" x14ac:dyDescent="0.35">
      <c r="A810" s="39">
        <v>42005</v>
      </c>
      <c r="B810" s="40">
        <f>VLOOKUP(Table9[[#This Row],[Date]],'DB Details'!$A:$L,12)</f>
        <v>53.9</v>
      </c>
      <c r="C810" s="40">
        <f>Table9[[#This Row],[PMI]]-B809</f>
        <v>-0.80000000000000426</v>
      </c>
      <c r="G810" s="4"/>
    </row>
    <row r="811" spans="1:7" x14ac:dyDescent="0.35">
      <c r="A811" s="39">
        <v>42036</v>
      </c>
      <c r="B811" s="40">
        <f>VLOOKUP(Table9[[#This Row],[Date]],'DB Details'!$A:$L,12)</f>
        <v>53</v>
      </c>
      <c r="C811" s="40">
        <f>Table9[[#This Row],[PMI]]-B810</f>
        <v>-0.89999999999999858</v>
      </c>
      <c r="G811" s="4"/>
    </row>
    <row r="812" spans="1:7" x14ac:dyDescent="0.35">
      <c r="A812" s="39">
        <v>42064</v>
      </c>
      <c r="B812" s="40">
        <f>VLOOKUP(Table9[[#This Row],[Date]],'DB Details'!$A:$L,12)</f>
        <v>51.8</v>
      </c>
      <c r="C812" s="40">
        <f>Table9[[#This Row],[PMI]]-B811</f>
        <v>-1.2000000000000028</v>
      </c>
      <c r="G812" s="4"/>
    </row>
    <row r="813" spans="1:7" x14ac:dyDescent="0.35">
      <c r="A813" s="39">
        <v>42095</v>
      </c>
      <c r="B813" s="40">
        <f>VLOOKUP(Table9[[#This Row],[Date]],'DB Details'!$A:$L,12)</f>
        <v>51.6</v>
      </c>
      <c r="C813" s="40">
        <f>Table9[[#This Row],[PMI]]-B812</f>
        <v>-0.19999999999999574</v>
      </c>
      <c r="G813" s="4"/>
    </row>
    <row r="814" spans="1:7" x14ac:dyDescent="0.35">
      <c r="A814" s="39">
        <v>42125</v>
      </c>
      <c r="B814" s="40">
        <f>VLOOKUP(Table9[[#This Row],[Date]],'DB Details'!$A:$L,12)</f>
        <v>52.9</v>
      </c>
      <c r="C814" s="40">
        <f>Table9[[#This Row],[PMI]]-B813</f>
        <v>1.2999999999999972</v>
      </c>
      <c r="G814" s="4"/>
    </row>
    <row r="815" spans="1:7" x14ac:dyDescent="0.35">
      <c r="A815" s="39">
        <v>42156</v>
      </c>
      <c r="B815" s="40">
        <f>VLOOKUP(Table9[[#This Row],[Date]],'DB Details'!$A:$L,12)</f>
        <v>52.3</v>
      </c>
      <c r="C815" s="40">
        <f>Table9[[#This Row],[PMI]]-B814</f>
        <v>-0.60000000000000142</v>
      </c>
      <c r="G815" s="4"/>
    </row>
    <row r="816" spans="1:7" x14ac:dyDescent="0.35">
      <c r="A816" s="39">
        <v>42186</v>
      </c>
      <c r="B816" s="40">
        <f>VLOOKUP(Table9[[#This Row],[Date]],'DB Details'!$A:$L,12)</f>
        <v>51.9</v>
      </c>
      <c r="C816" s="40">
        <f>Table9[[#This Row],[PMI]]-B815</f>
        <v>-0.39999999999999858</v>
      </c>
      <c r="G816" s="4"/>
    </row>
    <row r="817" spans="1:7" x14ac:dyDescent="0.35">
      <c r="A817" s="39">
        <v>42217</v>
      </c>
      <c r="B817" s="40">
        <f>VLOOKUP(Table9[[#This Row],[Date]],'DB Details'!$A:$L,12)</f>
        <v>50.8</v>
      </c>
      <c r="C817" s="40">
        <f>Table9[[#This Row],[PMI]]-B816</f>
        <v>-1.1000000000000014</v>
      </c>
      <c r="G817" s="4"/>
    </row>
    <row r="818" spans="1:7" x14ac:dyDescent="0.35">
      <c r="A818" s="39">
        <v>42248</v>
      </c>
      <c r="B818" s="40">
        <f>VLOOKUP(Table9[[#This Row],[Date]],'DB Details'!$A:$L,12)</f>
        <v>50.1</v>
      </c>
      <c r="C818" s="40">
        <f>Table9[[#This Row],[PMI]]-B817</f>
        <v>-0.69999999999999574</v>
      </c>
      <c r="G818" s="4"/>
    </row>
    <row r="819" spans="1:7" x14ac:dyDescent="0.35">
      <c r="A819" s="39">
        <v>42278</v>
      </c>
      <c r="B819" s="40">
        <f>VLOOKUP(Table9[[#This Row],[Date]],'DB Details'!$A:$L,12)</f>
        <v>49.6</v>
      </c>
      <c r="C819" s="40">
        <f>Table9[[#This Row],[PMI]]-B818</f>
        <v>-0.5</v>
      </c>
      <c r="G819" s="4"/>
    </row>
    <row r="820" spans="1:7" x14ac:dyDescent="0.35">
      <c r="A820" s="39">
        <v>42309</v>
      </c>
      <c r="B820" s="40">
        <f>VLOOKUP(Table9[[#This Row],[Date]],'DB Details'!$A:$L,12)</f>
        <v>49.1</v>
      </c>
      <c r="C820" s="40">
        <f>Table9[[#This Row],[PMI]]-B819</f>
        <v>-0.5</v>
      </c>
      <c r="G820" s="4"/>
    </row>
    <row r="821" spans="1:7" x14ac:dyDescent="0.35">
      <c r="A821" s="39">
        <v>42339</v>
      </c>
      <c r="B821" s="40">
        <f>VLOOKUP(Table9[[#This Row],[Date]],'DB Details'!$A:$L,12)</f>
        <v>48.4</v>
      </c>
      <c r="C821" s="40">
        <f>Table9[[#This Row],[PMI]]-B820</f>
        <v>-0.70000000000000284</v>
      </c>
      <c r="G821" s="4"/>
    </row>
    <row r="822" spans="1:7" x14ac:dyDescent="0.35">
      <c r="A822" s="39">
        <v>42370</v>
      </c>
      <c r="B822" s="40">
        <f>VLOOKUP(Table9[[#This Row],[Date]],'DB Details'!$A:$L,12)</f>
        <v>47.8</v>
      </c>
      <c r="C822" s="40">
        <f>Table9[[#This Row],[PMI]]-B821</f>
        <v>-0.60000000000000142</v>
      </c>
      <c r="G822" s="4"/>
    </row>
    <row r="823" spans="1:7" x14ac:dyDescent="0.35">
      <c r="A823" s="39">
        <v>42401</v>
      </c>
      <c r="B823" s="40">
        <f>VLOOKUP(Table9[[#This Row],[Date]],'DB Details'!$A:$L,12)</f>
        <v>49.4</v>
      </c>
      <c r="C823" s="40">
        <f>Table9[[#This Row],[PMI]]-B822</f>
        <v>1.6000000000000014</v>
      </c>
      <c r="G823" s="4"/>
    </row>
    <row r="824" spans="1:7" x14ac:dyDescent="0.35">
      <c r="A824" s="39">
        <v>42430</v>
      </c>
      <c r="B824" s="40">
        <f>VLOOKUP(Table9[[#This Row],[Date]],'DB Details'!$A:$L,12)</f>
        <v>51.2</v>
      </c>
      <c r="C824" s="40">
        <f>Table9[[#This Row],[PMI]]-B823</f>
        <v>1.8000000000000043</v>
      </c>
      <c r="G824" s="4"/>
    </row>
    <row r="825" spans="1:7" x14ac:dyDescent="0.35">
      <c r="A825" s="39">
        <v>42461</v>
      </c>
      <c r="B825" s="40">
        <f>VLOOKUP(Table9[[#This Row],[Date]],'DB Details'!$A:$L,12)</f>
        <v>50.8</v>
      </c>
      <c r="C825" s="40">
        <f>Table9[[#This Row],[PMI]]-B824</f>
        <v>-0.40000000000000568</v>
      </c>
      <c r="G825" s="4"/>
    </row>
    <row r="826" spans="1:7" x14ac:dyDescent="0.35">
      <c r="A826" s="39">
        <v>42491</v>
      </c>
      <c r="B826" s="40">
        <f>VLOOKUP(Table9[[#This Row],[Date]],'DB Details'!$A:$L,12)</f>
        <v>50.9</v>
      </c>
      <c r="C826" s="40">
        <f>Table9[[#This Row],[PMI]]-B825</f>
        <v>0.10000000000000142</v>
      </c>
      <c r="G826" s="4"/>
    </row>
    <row r="827" spans="1:7" x14ac:dyDescent="0.35">
      <c r="A827" s="39">
        <v>42522</v>
      </c>
      <c r="B827" s="40">
        <f>VLOOKUP(Table9[[#This Row],[Date]],'DB Details'!$A:$L,12)</f>
        <v>52.5</v>
      </c>
      <c r="C827" s="40">
        <f>Table9[[#This Row],[PMI]]-B826</f>
        <v>1.6000000000000014</v>
      </c>
      <c r="G827" s="4"/>
    </row>
    <row r="828" spans="1:7" x14ac:dyDescent="0.35">
      <c r="A828" s="39">
        <v>42552</v>
      </c>
      <c r="B828" s="40">
        <f>VLOOKUP(Table9[[#This Row],[Date]],'DB Details'!$A:$L,12)</f>
        <v>52.9</v>
      </c>
      <c r="C828" s="40">
        <f>Table9[[#This Row],[PMI]]-B827</f>
        <v>0.39999999999999858</v>
      </c>
      <c r="G828" s="4"/>
    </row>
    <row r="829" spans="1:7" x14ac:dyDescent="0.35">
      <c r="A829" s="39">
        <v>42583</v>
      </c>
      <c r="B829" s="40">
        <f>VLOOKUP(Table9[[#This Row],[Date]],'DB Details'!$A:$L,12)</f>
        <v>49.9</v>
      </c>
      <c r="C829" s="40">
        <f>Table9[[#This Row],[PMI]]-B828</f>
        <v>-3</v>
      </c>
      <c r="G829" s="4"/>
    </row>
    <row r="830" spans="1:7" x14ac:dyDescent="0.35">
      <c r="A830" s="39">
        <v>42614</v>
      </c>
      <c r="B830" s="40">
        <f>VLOOKUP(Table9[[#This Row],[Date]],'DB Details'!$A:$L,12)</f>
        <v>51.4</v>
      </c>
      <c r="C830" s="40">
        <f>Table9[[#This Row],[PMI]]-B829</f>
        <v>1.5</v>
      </c>
      <c r="G830" s="4"/>
    </row>
    <row r="831" spans="1:7" x14ac:dyDescent="0.35">
      <c r="A831" s="39">
        <v>42644</v>
      </c>
      <c r="B831" s="40">
        <f>VLOOKUP(Table9[[#This Row],[Date]],'DB Details'!$A:$L,12)</f>
        <v>51.8</v>
      </c>
      <c r="C831" s="40">
        <f>Table9[[#This Row],[PMI]]-B830</f>
        <v>0.39999999999999858</v>
      </c>
      <c r="G831" s="4"/>
    </row>
    <row r="832" spans="1:7" x14ac:dyDescent="0.35">
      <c r="A832" s="39">
        <v>42675</v>
      </c>
      <c r="B832" s="40">
        <f>VLOOKUP(Table9[[#This Row],[Date]],'DB Details'!$A:$L,12)</f>
        <v>53.4</v>
      </c>
      <c r="C832" s="40">
        <f>Table9[[#This Row],[PMI]]-B831</f>
        <v>1.6000000000000014</v>
      </c>
      <c r="G832" s="4"/>
    </row>
    <row r="833" spans="1:7" x14ac:dyDescent="0.35">
      <c r="A833" s="39">
        <v>42705</v>
      </c>
      <c r="B833" s="40">
        <f>VLOOKUP(Table9[[#This Row],[Date]],'DB Details'!$A:$L,12)</f>
        <v>54.3</v>
      </c>
      <c r="C833" s="40">
        <f>Table9[[#This Row],[PMI]]-B832</f>
        <v>0.89999999999999858</v>
      </c>
      <c r="G833" s="4"/>
    </row>
    <row r="834" spans="1:7" x14ac:dyDescent="0.35">
      <c r="A834" s="39">
        <v>42736</v>
      </c>
      <c r="B834" s="40">
        <f>VLOOKUP(Table9[[#This Row],[Date]],'DB Details'!$A:$L,12)</f>
        <v>55.6</v>
      </c>
      <c r="C834" s="40">
        <f>Table9[[#This Row],[PMI]]-B833</f>
        <v>1.3000000000000043</v>
      </c>
      <c r="G834" s="4"/>
    </row>
    <row r="835" spans="1:7" x14ac:dyDescent="0.35">
      <c r="A835" s="39">
        <v>42767</v>
      </c>
      <c r="B835" s="40">
        <f>VLOOKUP(Table9[[#This Row],[Date]],'DB Details'!$A:$L,12)</f>
        <v>57.6</v>
      </c>
      <c r="C835" s="40">
        <f>Table9[[#This Row],[PMI]]-B834</f>
        <v>2</v>
      </c>
      <c r="G835" s="4"/>
    </row>
    <row r="836" spans="1:7" x14ac:dyDescent="0.35">
      <c r="A836" s="39">
        <v>42795</v>
      </c>
      <c r="B836" s="40">
        <f>VLOOKUP(Table9[[#This Row],[Date]],'DB Details'!$A:$L,12)</f>
        <v>56.6</v>
      </c>
      <c r="C836" s="40">
        <f>Table9[[#This Row],[PMI]]-B835</f>
        <v>-1</v>
      </c>
      <c r="G836" s="4"/>
    </row>
    <row r="837" spans="1:7" x14ac:dyDescent="0.35">
      <c r="A837" s="39">
        <v>42826</v>
      </c>
      <c r="B837" s="40">
        <f>VLOOKUP(Table9[[#This Row],[Date]],'DB Details'!$A:$L,12)</f>
        <v>55.5</v>
      </c>
      <c r="C837" s="40">
        <f>Table9[[#This Row],[PMI]]-B836</f>
        <v>-1.1000000000000014</v>
      </c>
      <c r="G837" s="4"/>
    </row>
    <row r="838" spans="1:7" x14ac:dyDescent="0.35">
      <c r="A838" s="39">
        <v>42856</v>
      </c>
      <c r="B838" s="40">
        <f>VLOOKUP(Table9[[#This Row],[Date]],'DB Details'!$A:$L,12)</f>
        <v>56.7</v>
      </c>
      <c r="C838" s="40">
        <f>Table9[[#This Row],[PMI]]-B837</f>
        <v>1.2000000000000028</v>
      </c>
      <c r="G838" s="4"/>
    </row>
    <row r="839" spans="1:7" x14ac:dyDescent="0.35">
      <c r="A839" s="39">
        <v>42887</v>
      </c>
      <c r="B839" s="40">
        <f>VLOOKUP(Table9[[#This Row],[Date]],'DB Details'!$A:$L,12)</f>
        <v>56.5</v>
      </c>
      <c r="C839" s="40">
        <f>Table9[[#This Row],[PMI]]-B838</f>
        <v>-0.20000000000000284</v>
      </c>
      <c r="G839" s="4"/>
    </row>
    <row r="840" spans="1:7" x14ac:dyDescent="0.35">
      <c r="A840" s="39">
        <v>42917</v>
      </c>
      <c r="B840" s="40">
        <f>VLOOKUP(Table9[[#This Row],[Date]],'DB Details'!$A:$L,12)</f>
        <v>59.3</v>
      </c>
      <c r="C840" s="40">
        <f>Table9[[#This Row],[PMI]]-B839</f>
        <v>2.7999999999999972</v>
      </c>
      <c r="G840" s="4"/>
    </row>
    <row r="841" spans="1:7" x14ac:dyDescent="0.35">
      <c r="A841" s="39">
        <v>42948</v>
      </c>
      <c r="B841" s="40">
        <f>VLOOKUP(Table9[[#This Row],[Date]],'DB Details'!$A:$L,12)</f>
        <v>60.2</v>
      </c>
      <c r="C841" s="40">
        <f>Table9[[#This Row],[PMI]]-B840</f>
        <v>0.90000000000000568</v>
      </c>
      <c r="G841" s="4"/>
    </row>
    <row r="842" spans="1:7" x14ac:dyDescent="0.35">
      <c r="A842" s="39">
        <v>42979</v>
      </c>
      <c r="B842" s="40">
        <f>VLOOKUP(Table9[[#This Row],[Date]],'DB Details'!$A:$L,12)</f>
        <v>58.5</v>
      </c>
      <c r="C842" s="40">
        <f>Table9[[#This Row],[PMI]]-B841</f>
        <v>-1.7000000000000028</v>
      </c>
      <c r="G842" s="4"/>
    </row>
    <row r="843" spans="1:7" x14ac:dyDescent="0.35">
      <c r="A843" s="39">
        <v>43009</v>
      </c>
      <c r="B843" s="40">
        <f>VLOOKUP(Table9[[#This Row],[Date]],'DB Details'!$A:$L,12)</f>
        <v>58.2</v>
      </c>
      <c r="C843" s="40">
        <f>Table9[[#This Row],[PMI]]-B842</f>
        <v>-0.29999999999999716</v>
      </c>
      <c r="G843" s="4"/>
    </row>
    <row r="844" spans="1:7" x14ac:dyDescent="0.35">
      <c r="A844" s="39">
        <v>43040</v>
      </c>
      <c r="B844" s="40">
        <f>VLOOKUP(Table9[[#This Row],[Date]],'DB Details'!$A:$L,12)</f>
        <v>59.3</v>
      </c>
      <c r="C844" s="40">
        <f>Table9[[#This Row],[PMI]]-B843</f>
        <v>1.0999999999999943</v>
      </c>
      <c r="G844" s="4"/>
    </row>
    <row r="845" spans="1:7" x14ac:dyDescent="0.35">
      <c r="A845" s="39">
        <v>43070</v>
      </c>
      <c r="B845" s="40">
        <f>VLOOKUP(Table9[[#This Row],[Date]],'DB Details'!$A:$L,12)</f>
        <v>59.1</v>
      </c>
      <c r="C845" s="40">
        <f>Table9[[#This Row],[PMI]]-B844</f>
        <v>-0.19999999999999574</v>
      </c>
      <c r="G845" s="4"/>
    </row>
    <row r="846" spans="1:7" x14ac:dyDescent="0.35">
      <c r="A846" s="39">
        <v>43101</v>
      </c>
      <c r="B846" s="40">
        <f>VLOOKUP(Table9[[#This Row],[Date]],'DB Details'!$A:$L,12)</f>
        <v>60.8</v>
      </c>
      <c r="C846" s="40">
        <f>Table9[[#This Row],[PMI]]-B845</f>
        <v>1.6999999999999957</v>
      </c>
      <c r="G846" s="4"/>
    </row>
    <row r="847" spans="1:7" x14ac:dyDescent="0.35">
      <c r="A847" s="45">
        <v>43132</v>
      </c>
      <c r="B847" s="40">
        <f>VLOOKUP(Table9[[#This Row],[Date]],'DB Details'!$A:$L,12)</f>
        <v>59.3</v>
      </c>
      <c r="C847" s="40">
        <f>Table9[[#This Row],[PMI]]-B846</f>
        <v>-1.5</v>
      </c>
      <c r="G847" s="4"/>
    </row>
    <row r="848" spans="1:7" x14ac:dyDescent="0.35">
      <c r="A848" s="39">
        <v>43160</v>
      </c>
      <c r="B848" s="40">
        <f>VLOOKUP(Table9[[#This Row],[Date]],'DB Details'!$A:$L,12)</f>
        <v>57.3</v>
      </c>
      <c r="C848" s="40">
        <f>Table9[[#This Row],[PMI]]-B847</f>
        <v>-2</v>
      </c>
    </row>
    <row r="849" spans="1:3" x14ac:dyDescent="0.35">
      <c r="A849" s="45">
        <v>43191</v>
      </c>
      <c r="B849" s="40">
        <f>VLOOKUP(Table9[[#This Row],[Date]],'DB Details'!$A:$L,12)</f>
        <v>57.3</v>
      </c>
      <c r="C849" s="40">
        <f>Table9[[#This Row],[PMI]]-B848</f>
        <v>0</v>
      </c>
    </row>
    <row r="850" spans="1:3" x14ac:dyDescent="0.35">
      <c r="A850" s="39">
        <v>43221</v>
      </c>
      <c r="B850" s="40">
        <f>VLOOKUP(Table9[[#This Row],[Date]],'DB Details'!$A:$L,12)</f>
        <v>58.7</v>
      </c>
      <c r="C850" s="40">
        <f>Table9[[#This Row],[PMI]]-B849</f>
        <v>1.4000000000000057</v>
      </c>
    </row>
    <row r="851" spans="1:3" x14ac:dyDescent="0.35">
      <c r="A851" s="45">
        <v>43252</v>
      </c>
      <c r="B851" s="40">
        <f>VLOOKUP(Table9[[#This Row],[Date]],'DB Details'!$A:$L,12)</f>
        <v>60.2</v>
      </c>
      <c r="C851" s="40">
        <f>Table9[[#This Row],[PMI]]-B850</f>
        <v>1.5</v>
      </c>
    </row>
    <row r="852" spans="1:3" x14ac:dyDescent="0.35">
      <c r="A852" s="39">
        <v>43282</v>
      </c>
      <c r="B852" s="40">
        <f>VLOOKUP(Table9[[#This Row],[Date]],'DB Details'!$A:$L,12)</f>
        <v>58.1</v>
      </c>
      <c r="C852" s="40">
        <f>Table9[[#This Row],[PMI]]-B851</f>
        <v>-2.1000000000000014</v>
      </c>
    </row>
    <row r="853" spans="1:3" x14ac:dyDescent="0.35">
      <c r="A853" s="45">
        <v>43313</v>
      </c>
      <c r="B853" s="40">
        <f>VLOOKUP(Table9[[#This Row],[Date]],'DB Details'!$A:$L,12)</f>
        <v>61.3</v>
      </c>
      <c r="C853" s="40">
        <f>Table9[[#This Row],[PMI]]-B852</f>
        <v>3.1999999999999957</v>
      </c>
    </row>
    <row r="854" spans="1:3" x14ac:dyDescent="0.35">
      <c r="A854" s="39">
        <v>43344</v>
      </c>
      <c r="B854" s="40">
        <f>VLOOKUP(Table9[[#This Row],[Date]],'DB Details'!$A:$L,12)</f>
        <v>59.8</v>
      </c>
      <c r="C854" s="40">
        <f>Table9[[#This Row],[PMI]]-B853</f>
        <v>-1.5</v>
      </c>
    </row>
    <row r="855" spans="1:3" x14ac:dyDescent="0.35">
      <c r="A855" s="45">
        <v>43374</v>
      </c>
      <c r="B855" s="40">
        <f>VLOOKUP(Table9[[#This Row],[Date]],'DB Details'!$A:$L,12)</f>
        <v>57.7</v>
      </c>
      <c r="C855" s="40">
        <f>Table9[[#This Row],[PMI]]-B854</f>
        <v>-2.0999999999999943</v>
      </c>
    </row>
    <row r="856" spans="1:3" x14ac:dyDescent="0.35">
      <c r="A856" s="39">
        <v>43405</v>
      </c>
      <c r="B856" s="40">
        <f>VLOOKUP(Table9[[#This Row],[Date]],'DB Details'!$A:$L,12)</f>
        <v>59.3</v>
      </c>
      <c r="C856" s="40">
        <f>Table9[[#This Row],[PMI]]-B855</f>
        <v>1.5999999999999943</v>
      </c>
    </row>
    <row r="857" spans="1:3" x14ac:dyDescent="0.35">
      <c r="A857" s="45">
        <v>43435</v>
      </c>
      <c r="B857" s="40">
        <f>VLOOKUP(Table9[[#This Row],[Date]],'DB Details'!$A:$L,12)</f>
        <v>54.3</v>
      </c>
      <c r="C857" s="40">
        <f>Table9[[#This Row],[PMI]]-B856</f>
        <v>-5</v>
      </c>
    </row>
    <row r="858" spans="1:3" x14ac:dyDescent="0.35">
      <c r="A858" s="39">
        <v>43466</v>
      </c>
      <c r="B858" s="40">
        <f>VLOOKUP(Table9[[#This Row],[Date]],'DB Details'!$A:$L,12)</f>
        <v>56.6</v>
      </c>
      <c r="C858" s="40">
        <f>Table9[[#This Row],[PMI]]-B857</f>
        <v>2.3000000000000043</v>
      </c>
    </row>
    <row r="859" spans="1:3" x14ac:dyDescent="0.35">
      <c r="A859" s="45">
        <v>43497</v>
      </c>
      <c r="B859" s="40">
        <f>VLOOKUP(Table9[[#This Row],[Date]],'DB Details'!$A:$L,12)</f>
        <v>54.2</v>
      </c>
      <c r="C859" s="40">
        <f>Table9[[#This Row],[PMI]]-B858</f>
        <v>-2.3999999999999986</v>
      </c>
    </row>
    <row r="860" spans="1:3" x14ac:dyDescent="0.35">
      <c r="A860" s="39">
        <v>43525</v>
      </c>
      <c r="B860" s="40">
        <f>VLOOKUP(Table9[[#This Row],[Date]],'DB Details'!$A:$L,12)</f>
        <v>55.3</v>
      </c>
      <c r="C860" s="40">
        <f>Table9[[#This Row],[PMI]]-B859</f>
        <v>1.0999999999999943</v>
      </c>
    </row>
    <row r="861" spans="1:3" x14ac:dyDescent="0.35">
      <c r="A861" s="45">
        <v>43556</v>
      </c>
      <c r="B861" s="40">
        <f>VLOOKUP(Table9[[#This Row],[Date]],'DB Details'!$A:$L,12)</f>
        <v>52.8</v>
      </c>
      <c r="C861" s="40">
        <f>Table9[[#This Row],[PMI]]-B860</f>
        <v>-2.5</v>
      </c>
    </row>
    <row r="862" spans="1:3" x14ac:dyDescent="0.35">
      <c r="A862" s="39">
        <v>43586</v>
      </c>
      <c r="B862" s="40">
        <f>VLOOKUP(Table9[[#This Row],[Date]],'DB Details'!$A:$L,12)</f>
        <v>52.1</v>
      </c>
      <c r="C862" s="40">
        <f>Table9[[#This Row],[PMI]]-B861</f>
        <v>-0.69999999999999574</v>
      </c>
    </row>
    <row r="863" spans="1:3" x14ac:dyDescent="0.35">
      <c r="A863" s="45">
        <v>43617</v>
      </c>
      <c r="B863" s="40">
        <f>VLOOKUP(Table9[[#This Row],[Date]],'DB Details'!$A:$L,12)</f>
        <v>51.7</v>
      </c>
      <c r="C863" s="40">
        <f>Table9[[#This Row],[PMI]]-B862</f>
        <v>-0.39999999999999858</v>
      </c>
    </row>
    <row r="864" spans="1:3" x14ac:dyDescent="0.35">
      <c r="A864" s="39">
        <v>43647</v>
      </c>
      <c r="B864" s="40">
        <f>VLOOKUP(Table9[[#This Row],[Date]],'DB Details'!$A:$L,12)</f>
        <v>51.2</v>
      </c>
      <c r="C864" s="40">
        <f>Table9[[#This Row],[PMI]]-B863</f>
        <v>-0.5</v>
      </c>
    </row>
    <row r="865" spans="1:3" x14ac:dyDescent="0.35">
      <c r="A865" s="45">
        <v>43678</v>
      </c>
      <c r="B865" s="40">
        <f>VLOOKUP(Table9[[#This Row],[Date]],'DB Details'!$A:$L,12)</f>
        <v>49.1</v>
      </c>
      <c r="C865" s="40">
        <f>Table9[[#This Row],[PMI]]-B864</f>
        <v>-2.1000000000000014</v>
      </c>
    </row>
    <row r="866" spans="1:3" x14ac:dyDescent="0.35">
      <c r="A866" s="39">
        <v>43709</v>
      </c>
      <c r="B866" s="40">
        <f>VLOOKUP(Table9[[#This Row],[Date]],'DB Details'!$A:$L,12)</f>
        <v>47.8</v>
      </c>
      <c r="C866" s="40">
        <f>Table9[[#This Row],[PMI]]-B865</f>
        <v>-1.3000000000000043</v>
      </c>
    </row>
    <row r="867" spans="1:3" x14ac:dyDescent="0.35">
      <c r="A867" s="45">
        <v>43739</v>
      </c>
      <c r="B867" s="40">
        <f>VLOOKUP(Table9[[#This Row],[Date]],'DB Details'!$A:$L,12)</f>
        <v>48.3</v>
      </c>
      <c r="C867" s="40">
        <f>Table9[[#This Row],[PMI]]-B866</f>
        <v>0.5</v>
      </c>
    </row>
    <row r="868" spans="1:3" x14ac:dyDescent="0.35">
      <c r="A868" s="39">
        <v>43770</v>
      </c>
      <c r="B868" s="40">
        <f>VLOOKUP(Table9[[#This Row],[Date]],'DB Details'!$A:$L,12)</f>
        <v>48.1</v>
      </c>
      <c r="C868" s="40">
        <f>Table9[[#This Row],[PMI]]-B867</f>
        <v>-0.19999999999999574</v>
      </c>
    </row>
    <row r="869" spans="1:3" x14ac:dyDescent="0.35">
      <c r="A869" s="45">
        <v>43800</v>
      </c>
      <c r="B869" s="40">
        <f>VLOOKUP(Table9[[#This Row],[Date]],'DB Details'!$A:$L,12)</f>
        <v>47.8</v>
      </c>
      <c r="C869" s="40">
        <f>Table9[[#This Row],[PMI]]-B868</f>
        <v>-0.30000000000000426</v>
      </c>
    </row>
    <row r="870" spans="1:3" x14ac:dyDescent="0.35">
      <c r="A870" s="39">
        <v>43831</v>
      </c>
      <c r="B870" s="40">
        <f>VLOOKUP(Table9[[#This Row],[Date]],'DB Details'!$A:$L,12)</f>
        <v>50.9</v>
      </c>
      <c r="C870" s="40">
        <f>Table9[[#This Row],[PMI]]-B869</f>
        <v>3.1000000000000014</v>
      </c>
    </row>
    <row r="871" spans="1:3" x14ac:dyDescent="0.35">
      <c r="A871" s="45">
        <v>43862</v>
      </c>
      <c r="B871" s="40">
        <f>VLOOKUP(Table9[[#This Row],[Date]],'DB Details'!$A:$L,12)</f>
        <v>50.1</v>
      </c>
      <c r="C871" s="40">
        <f>Table9[[#This Row],[PMI]]-B870</f>
        <v>-0.79999999999999716</v>
      </c>
    </row>
    <row r="872" spans="1:3" x14ac:dyDescent="0.35">
      <c r="A872" s="39">
        <v>43891</v>
      </c>
      <c r="B872" s="40">
        <f>VLOOKUP(Table9[[#This Row],[Date]],'DB Details'!$A:$L,12)</f>
        <v>49.1</v>
      </c>
      <c r="C872" s="40">
        <f>Table9[[#This Row],[PMI]]-B871</f>
        <v>-1</v>
      </c>
    </row>
    <row r="873" spans="1:3" x14ac:dyDescent="0.35">
      <c r="A873" s="45">
        <v>43922</v>
      </c>
      <c r="B873" s="40">
        <f>VLOOKUP(Table9[[#This Row],[Date]],'DB Details'!$A:$L,12)</f>
        <v>41.5</v>
      </c>
      <c r="C873" s="40">
        <f>Table9[[#This Row],[PMI]]-B872</f>
        <v>-7.6000000000000014</v>
      </c>
    </row>
    <row r="874" spans="1:3" x14ac:dyDescent="0.35">
      <c r="A874" s="39">
        <v>43952</v>
      </c>
      <c r="B874" s="40">
        <f>VLOOKUP(Table9[[#This Row],[Date]],'DB Details'!$A:$L,12)</f>
        <v>43.1</v>
      </c>
      <c r="C874" s="40">
        <f>Table9[[#This Row],[PMI]]-B873</f>
        <v>1.6000000000000014</v>
      </c>
    </row>
    <row r="875" spans="1:3" x14ac:dyDescent="0.35">
      <c r="A875" s="45">
        <v>43983</v>
      </c>
      <c r="B875" s="40">
        <f>VLOOKUP(Table9[[#This Row],[Date]],'DB Details'!$A:$L,12)</f>
        <v>52.6</v>
      </c>
      <c r="C875" s="40">
        <f>Table9[[#This Row],[PMI]]-B874</f>
        <v>9.5</v>
      </c>
    </row>
    <row r="876" spans="1:3" x14ac:dyDescent="0.35">
      <c r="A876" s="39">
        <v>44013</v>
      </c>
      <c r="B876" s="40">
        <f>VLOOKUP(Table9[[#This Row],[Date]],'DB Details'!$A:$L,12)</f>
        <v>54.2</v>
      </c>
      <c r="C876" s="40">
        <f>Table9[[#This Row],[PMI]]-B875</f>
        <v>1.6000000000000014</v>
      </c>
    </row>
    <row r="877" spans="1:3" x14ac:dyDescent="0.35">
      <c r="A877" s="45">
        <v>44044</v>
      </c>
      <c r="B877" s="40">
        <f>VLOOKUP(Table9[[#This Row],[Date]],'DB Details'!$A:$L,12)</f>
        <v>56</v>
      </c>
      <c r="C877" s="40">
        <f>Table9[[#This Row],[PMI]]-B876</f>
        <v>1.7999999999999972</v>
      </c>
    </row>
    <row r="878" spans="1:3" x14ac:dyDescent="0.35">
      <c r="A878" s="39">
        <v>44075</v>
      </c>
      <c r="B878" s="40">
        <f>VLOOKUP(Table9[[#This Row],[Date]],'DB Details'!$A:$L,12)</f>
        <v>55.4</v>
      </c>
      <c r="C878" s="40">
        <f>Table9[[#This Row],[PMI]]-B877</f>
        <v>-0.60000000000000142</v>
      </c>
    </row>
    <row r="879" spans="1:3" x14ac:dyDescent="0.35">
      <c r="A879" s="45">
        <v>44105</v>
      </c>
      <c r="B879" s="40">
        <f>VLOOKUP(Table9[[#This Row],[Date]],'DB Details'!$A:$L,12)</f>
        <v>59.3</v>
      </c>
      <c r="C879" s="40">
        <f>Table9[[#This Row],[PMI]]-B878</f>
        <v>3.8999999999999986</v>
      </c>
    </row>
    <row r="880" spans="1:3" x14ac:dyDescent="0.35">
      <c r="A880" s="39">
        <v>44136</v>
      </c>
      <c r="B880" s="40">
        <f>VLOOKUP(Table9[[#This Row],[Date]],'DB Details'!$A:$L,12)</f>
        <v>57.5</v>
      </c>
      <c r="C880" s="40">
        <f>Table9[[#This Row],[PMI]]-B879</f>
        <v>-1.7999999999999972</v>
      </c>
    </row>
    <row r="881" spans="1:3" x14ac:dyDescent="0.35">
      <c r="A881" s="45">
        <v>44166</v>
      </c>
      <c r="B881" s="40">
        <f>VLOOKUP(Table9[[#This Row],[Date]],'DB Details'!$A:$L,12)</f>
        <v>60.5</v>
      </c>
      <c r="C881" s="40">
        <f>Table9[[#This Row],[PMI]]-B880</f>
        <v>3</v>
      </c>
    </row>
    <row r="882" spans="1:3" x14ac:dyDescent="0.35">
      <c r="A882" s="39">
        <v>44197</v>
      </c>
      <c r="B882" s="40">
        <f>VLOOKUP(Table9[[#This Row],[Date]],'DB Details'!$A:$L,12)</f>
        <v>58.7</v>
      </c>
      <c r="C882" s="40">
        <f>Table9[[#This Row],[PMI]]-B881</f>
        <v>-1.7999999999999972</v>
      </c>
    </row>
    <row r="883" spans="1:3" x14ac:dyDescent="0.35">
      <c r="A883" s="45">
        <v>44228</v>
      </c>
      <c r="B883" s="40">
        <f>VLOOKUP(Table9[[#This Row],[Date]],'DB Details'!$A:$L,12)</f>
        <v>60.8</v>
      </c>
      <c r="C883" s="40">
        <f>Table9[[#This Row],[PMI]]-B882</f>
        <v>2.0999999999999943</v>
      </c>
    </row>
    <row r="884" spans="1:3" x14ac:dyDescent="0.35">
      <c r="A884" s="39">
        <v>44256</v>
      </c>
      <c r="B884" s="40">
        <f>VLOOKUP(Table9[[#This Row],[Date]],'DB Details'!$A:$L,12)</f>
        <v>64.7</v>
      </c>
      <c r="C884" s="40">
        <f>Table9[[#This Row],[PMI]]-B883</f>
        <v>3.9000000000000057</v>
      </c>
    </row>
    <row r="885" spans="1:3" x14ac:dyDescent="0.35">
      <c r="A885" s="45">
        <v>44287</v>
      </c>
      <c r="B885" s="40">
        <f>VLOOKUP(Table9[[#This Row],[Date]],'DB Details'!$A:$L,12)</f>
        <v>60.7</v>
      </c>
      <c r="C885" s="40">
        <f>Table9[[#This Row],[PMI]]-B884</f>
        <v>-4</v>
      </c>
    </row>
    <row r="886" spans="1:3" x14ac:dyDescent="0.35">
      <c r="A886" s="39">
        <v>44317</v>
      </c>
      <c r="B886" s="40">
        <f>VLOOKUP(Table9[[#This Row],[Date]],'DB Details'!$A:$L,12)</f>
        <v>61.2</v>
      </c>
      <c r="C886" s="40">
        <f>Table9[[#This Row],[PMI]]-B885</f>
        <v>0.5</v>
      </c>
    </row>
    <row r="887" spans="1:3" x14ac:dyDescent="0.35">
      <c r="A887" s="45">
        <v>44348</v>
      </c>
      <c r="B887" s="40">
        <f>VLOOKUP(Table9[[#This Row],[Date]],'DB Details'!$A:$L,12)</f>
        <v>60.6</v>
      </c>
      <c r="C887" s="40">
        <f>Table9[[#This Row],[PMI]]-B886</f>
        <v>-0.60000000000000142</v>
      </c>
    </row>
    <row r="888" spans="1:3" x14ac:dyDescent="0.35">
      <c r="A888" s="39">
        <v>44378</v>
      </c>
      <c r="B888" s="40">
        <f>VLOOKUP(Table9[[#This Row],[Date]],'DB Details'!$A:$L,12)</f>
        <v>59.5</v>
      </c>
      <c r="C888" s="40">
        <f>Table9[[#This Row],[PMI]]-B887</f>
        <v>-1.1000000000000014</v>
      </c>
    </row>
    <row r="889" spans="1:3" x14ac:dyDescent="0.35">
      <c r="A889" s="45">
        <v>44409</v>
      </c>
      <c r="B889" s="40">
        <f>VLOOKUP(Table9[[#This Row],[Date]],'DB Details'!$A:$L,12)</f>
        <v>59.9</v>
      </c>
      <c r="C889" s="40">
        <f>Table9[[#This Row],[PMI]]-B888</f>
        <v>0.39999999999999858</v>
      </c>
    </row>
    <row r="890" spans="1:3" x14ac:dyDescent="0.35">
      <c r="A890" s="39">
        <v>44440</v>
      </c>
      <c r="B890" s="40">
        <f>VLOOKUP(Table9[[#This Row],[Date]],'DB Details'!$A:$L,12)</f>
        <v>61.1</v>
      </c>
      <c r="C890" s="40">
        <f>Table9[[#This Row],[PMI]]-B889</f>
        <v>1.2000000000000028</v>
      </c>
    </row>
    <row r="891" spans="1:3" x14ac:dyDescent="0.35">
      <c r="A891" s="45">
        <v>44470</v>
      </c>
      <c r="B891" s="40">
        <f>VLOOKUP(Table9[[#This Row],[Date]],'DB Details'!$A:$L,12)</f>
        <v>60.8</v>
      </c>
      <c r="C891" s="40">
        <f>Table9[[#This Row],[PMI]]-B890</f>
        <v>-0.30000000000000426</v>
      </c>
    </row>
    <row r="892" spans="1:3" x14ac:dyDescent="0.35">
      <c r="A892" s="39">
        <v>44501</v>
      </c>
      <c r="B892" s="40">
        <f>VLOOKUP(Table9[[#This Row],[Date]],'DB Details'!$A:$L,12)</f>
        <v>61.1</v>
      </c>
      <c r="C892" s="40">
        <f>Table9[[#This Row],[PMI]]-B891</f>
        <v>0.30000000000000426</v>
      </c>
    </row>
    <row r="893" spans="1:3" x14ac:dyDescent="0.35">
      <c r="A893" s="45">
        <v>44531</v>
      </c>
      <c r="B893" s="40">
        <f>VLOOKUP(Table9[[#This Row],[Date]],'DB Details'!$A:$L,12)</f>
        <v>58.7</v>
      </c>
      <c r="C893" s="40">
        <f>Table9[[#This Row],[PMI]]-B892</f>
        <v>-2.3999999999999986</v>
      </c>
    </row>
    <row r="894" spans="1:3" x14ac:dyDescent="0.35">
      <c r="A894" s="39">
        <v>44562</v>
      </c>
      <c r="B894" s="40">
        <f>VLOOKUP(Table9[[#This Row],[Date]],'DB Details'!$A:$L,12)</f>
        <v>57.6</v>
      </c>
      <c r="C894" s="40">
        <f>Table9[[#This Row],[PMI]]-B893</f>
        <v>-1.1000000000000014</v>
      </c>
    </row>
    <row r="895" spans="1:3" x14ac:dyDescent="0.35">
      <c r="A895" s="39">
        <v>44593</v>
      </c>
      <c r="B895" s="40">
        <f>VLOOKUP(Table9[[#This Row],[Date]],'DB Details'!$A:$L,12)</f>
        <v>58.6</v>
      </c>
      <c r="C895" s="40">
        <f>Table9[[#This Row],[PMI]]-B894</f>
        <v>1</v>
      </c>
    </row>
    <row r="896" spans="1:3" x14ac:dyDescent="0.35">
      <c r="A896" s="45">
        <v>44621</v>
      </c>
      <c r="B896" s="40">
        <f>VLOOKUP(Table9[[#This Row],[Date]],'DB Details'!$A:$L,12)</f>
        <v>57.1</v>
      </c>
      <c r="C896" s="40">
        <f>Table9[[#This Row],[PMI]]-B895</f>
        <v>-1.5</v>
      </c>
    </row>
    <row r="897" spans="1:3" x14ac:dyDescent="0.35">
      <c r="A897" s="39">
        <v>44652</v>
      </c>
      <c r="B897" s="40">
        <f>VLOOKUP(Table9[[#This Row],[Date]],'DB Details'!$A:$L,12)</f>
        <v>55.4</v>
      </c>
      <c r="C897" s="40">
        <f>Table9[[#This Row],[PMI]]-B896</f>
        <v>-1.7000000000000028</v>
      </c>
    </row>
    <row r="898" spans="1:3" x14ac:dyDescent="0.35">
      <c r="A898" s="45">
        <v>44682</v>
      </c>
      <c r="B898" s="40">
        <f>VLOOKUP(Table9[[#This Row],[Date]],'DB Details'!$A:$L,12)</f>
        <v>56.1</v>
      </c>
      <c r="C898" s="40">
        <f>Table9[[#This Row],[PMI]]-B897</f>
        <v>0.70000000000000284</v>
      </c>
    </row>
    <row r="899" spans="1:3" x14ac:dyDescent="0.35">
      <c r="A899" s="39">
        <v>44713</v>
      </c>
      <c r="B899" s="40">
        <f>VLOOKUP(Table9[[#This Row],[Date]],'DB Details'!$A:$L,12)</f>
        <v>53</v>
      </c>
      <c r="C899" s="40">
        <f>Table9[[#This Row],[PMI]]-B898</f>
        <v>-3.1000000000000014</v>
      </c>
    </row>
    <row r="900" spans="1:3" x14ac:dyDescent="0.35">
      <c r="A900" s="39">
        <v>44743</v>
      </c>
      <c r="B900" s="40">
        <f>VLOOKUP(Table9[[#This Row],[Date]],'DB Details'!$A:$L,12)</f>
        <v>52.8</v>
      </c>
      <c r="C900" s="40">
        <f>Table9[[#This Row],[PMI]]-B899</f>
        <v>-0.20000000000000284</v>
      </c>
    </row>
    <row r="901" spans="1:3" x14ac:dyDescent="0.35">
      <c r="A901" s="39">
        <v>44774</v>
      </c>
      <c r="B901" s="40">
        <f>VLOOKUP(Table9[[#This Row],[Date]],'DB Details'!$A:$L,12)</f>
        <v>52.8</v>
      </c>
      <c r="C901" s="40">
        <f>Table9[[#This Row],[PMI]]-B900</f>
        <v>0</v>
      </c>
    </row>
    <row r="902" spans="1:3" x14ac:dyDescent="0.35">
      <c r="A902" s="39">
        <v>44805</v>
      </c>
      <c r="B902" s="40">
        <f>VLOOKUP(Table9[[#This Row],[Date]],'DB Details'!$A:$L,12)</f>
        <v>50.9</v>
      </c>
      <c r="C902" s="40">
        <f>Table9[[#This Row],[PMI]]-B901</f>
        <v>-1.8999999999999986</v>
      </c>
    </row>
    <row r="903" spans="1:3" x14ac:dyDescent="0.35">
      <c r="A903" s="39">
        <v>44835</v>
      </c>
      <c r="B903" s="40">
        <f>VLOOKUP(Table9[[#This Row],[Date]],'DB Details'!$A:$L,12)</f>
        <v>50.2</v>
      </c>
      <c r="C903" s="40">
        <f>Table9[[#This Row],[PMI]]-B902</f>
        <v>-0.69999999999999574</v>
      </c>
    </row>
    <row r="904" spans="1:3" x14ac:dyDescent="0.35">
      <c r="A904" s="39">
        <v>44866</v>
      </c>
      <c r="B904" s="40">
        <f>VLOOKUP(Table9[[#This Row],[Date]],'DB Details'!$A:$L,12)</f>
        <v>49</v>
      </c>
      <c r="C904" s="40">
        <f>Table9[[#This Row],[PMI]]-B903</f>
        <v>-1.2000000000000028</v>
      </c>
    </row>
    <row r="905" spans="1:3" x14ac:dyDescent="0.35">
      <c r="A905" s="39">
        <v>44896</v>
      </c>
      <c r="B905" s="40">
        <f>VLOOKUP(Table9[[#This Row],[Date]],'DB Details'!$A:$L,12)</f>
        <v>48.4</v>
      </c>
      <c r="C905" s="40">
        <f>Table9[[#This Row],[PMI]]-B904</f>
        <v>-0.60000000000000142</v>
      </c>
    </row>
    <row r="906" spans="1:3" x14ac:dyDescent="0.35">
      <c r="A906" s="45">
        <v>44927</v>
      </c>
      <c r="B906" s="40">
        <f>VLOOKUP(Table9[[#This Row],[Date]],'DB Details'!$A:$L,12)</f>
        <v>47.4</v>
      </c>
      <c r="C906" s="40">
        <f>Table9[[#This Row],[PMI]]-B905</f>
        <v>-1</v>
      </c>
    </row>
  </sheetData>
  <conditionalFormatting sqref="B750:B9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460"/>
  <sheetViews>
    <sheetView zoomScaleNormal="100" workbookViewId="0">
      <pane ySplit="1" topLeftCell="A2" activePane="bottomLeft" state="frozen"/>
      <selection pane="bottomLeft" activeCell="C255" sqref="C255"/>
    </sheetView>
  </sheetViews>
  <sheetFormatPr defaultColWidth="10.90625" defaultRowHeight="14.5" x14ac:dyDescent="0.35"/>
  <cols>
    <col min="1" max="1" width="29" customWidth="1"/>
    <col min="2" max="2" width="12.81640625" style="34" customWidth="1"/>
    <col min="3" max="3" width="193.6328125" customWidth="1"/>
  </cols>
  <sheetData>
    <row r="1" spans="1:3" ht="17" customHeight="1" x14ac:dyDescent="0.35">
      <c r="A1" t="s">
        <v>91</v>
      </c>
      <c r="B1" t="s">
        <v>82</v>
      </c>
      <c r="C1" t="s">
        <v>35</v>
      </c>
    </row>
    <row r="2" spans="1:3" ht="32" customHeight="1" x14ac:dyDescent="0.35">
      <c r="A2" t="s">
        <v>12</v>
      </c>
      <c r="B2" s="95">
        <v>44713</v>
      </c>
      <c r="C2" t="s">
        <v>92</v>
      </c>
    </row>
    <row r="3" spans="1:3" ht="17" customHeight="1" x14ac:dyDescent="0.35">
      <c r="A3" t="s">
        <v>12</v>
      </c>
      <c r="B3" s="95">
        <v>43922</v>
      </c>
      <c r="C3" t="s">
        <v>93</v>
      </c>
    </row>
    <row r="4" spans="1:3" ht="32" customHeight="1" x14ac:dyDescent="0.35">
      <c r="A4" t="s">
        <v>12</v>
      </c>
      <c r="B4" s="95">
        <v>43525</v>
      </c>
      <c r="C4" t="s">
        <v>94</v>
      </c>
    </row>
    <row r="5" spans="1:3" ht="32" customHeight="1" x14ac:dyDescent="0.35">
      <c r="A5" t="s">
        <v>15</v>
      </c>
      <c r="B5" s="95">
        <v>44927</v>
      </c>
      <c r="C5" t="s">
        <v>95</v>
      </c>
    </row>
    <row r="6" spans="1:3" ht="32" customHeight="1" x14ac:dyDescent="0.35">
      <c r="A6" t="s">
        <v>15</v>
      </c>
      <c r="B6" s="95">
        <v>44896</v>
      </c>
      <c r="C6" t="s">
        <v>96</v>
      </c>
    </row>
    <row r="7" spans="1:3" ht="32" customHeight="1" x14ac:dyDescent="0.35">
      <c r="A7" t="s">
        <v>15</v>
      </c>
      <c r="B7" s="95">
        <v>44866</v>
      </c>
      <c r="C7" t="s">
        <v>97</v>
      </c>
    </row>
    <row r="8" spans="1:3" ht="16" customHeight="1" x14ac:dyDescent="0.35">
      <c r="A8" t="s">
        <v>15</v>
      </c>
      <c r="B8" s="95">
        <v>44835</v>
      </c>
      <c r="C8" t="s">
        <v>98</v>
      </c>
    </row>
    <row r="9" spans="1:3" ht="32" customHeight="1" x14ac:dyDescent="0.35">
      <c r="A9" t="s">
        <v>15</v>
      </c>
      <c r="B9" s="95">
        <v>44805</v>
      </c>
      <c r="C9" t="s">
        <v>99</v>
      </c>
    </row>
    <row r="10" spans="1:3" ht="16" customHeight="1" x14ac:dyDescent="0.35">
      <c r="A10" t="s">
        <v>15</v>
      </c>
      <c r="B10" s="95">
        <v>44774</v>
      </c>
      <c r="C10" t="s">
        <v>100</v>
      </c>
    </row>
    <row r="11" spans="1:3" ht="16" customHeight="1" x14ac:dyDescent="0.35">
      <c r="A11" t="s">
        <v>15</v>
      </c>
      <c r="B11" s="95">
        <v>44743</v>
      </c>
      <c r="C11" t="s">
        <v>101</v>
      </c>
    </row>
    <row r="12" spans="1:3" ht="16" customHeight="1" x14ac:dyDescent="0.35">
      <c r="A12" t="s">
        <v>15</v>
      </c>
      <c r="B12" s="95">
        <v>44713</v>
      </c>
      <c r="C12" t="s">
        <v>102</v>
      </c>
    </row>
    <row r="13" spans="1:3" ht="16" customHeight="1" x14ac:dyDescent="0.35">
      <c r="A13" t="s">
        <v>15</v>
      </c>
      <c r="B13" s="95">
        <v>44682</v>
      </c>
      <c r="C13" t="s">
        <v>103</v>
      </c>
    </row>
    <row r="14" spans="1:3" ht="16" customHeight="1" x14ac:dyDescent="0.35">
      <c r="A14" t="s">
        <v>15</v>
      </c>
      <c r="B14" s="95">
        <v>44652</v>
      </c>
      <c r="C14" t="s">
        <v>104</v>
      </c>
    </row>
    <row r="15" spans="1:3" ht="32" customHeight="1" x14ac:dyDescent="0.35">
      <c r="A15" t="s">
        <v>15</v>
      </c>
      <c r="B15" s="95">
        <v>44621</v>
      </c>
      <c r="C15" t="s">
        <v>105</v>
      </c>
    </row>
    <row r="16" spans="1:3" ht="16" customHeight="1" x14ac:dyDescent="0.35">
      <c r="A16" t="s">
        <v>15</v>
      </c>
      <c r="B16" s="95">
        <v>44593</v>
      </c>
      <c r="C16" t="s">
        <v>106</v>
      </c>
    </row>
    <row r="17" spans="1:3" ht="16" customHeight="1" x14ac:dyDescent="0.35">
      <c r="A17" t="s">
        <v>15</v>
      </c>
      <c r="B17" s="95">
        <v>44562</v>
      </c>
      <c r="C17" t="s">
        <v>107</v>
      </c>
    </row>
    <row r="18" spans="1:3" ht="16" customHeight="1" x14ac:dyDescent="0.35">
      <c r="A18" t="s">
        <v>15</v>
      </c>
      <c r="B18" s="95">
        <v>44531</v>
      </c>
      <c r="C18" t="s">
        <v>108</v>
      </c>
    </row>
    <row r="19" spans="1:3" ht="16" customHeight="1" x14ac:dyDescent="0.35">
      <c r="A19" t="s">
        <v>15</v>
      </c>
      <c r="B19" s="95">
        <v>44470</v>
      </c>
      <c r="C19" t="s">
        <v>109</v>
      </c>
    </row>
    <row r="20" spans="1:3" ht="16" customHeight="1" x14ac:dyDescent="0.35">
      <c r="A20" t="s">
        <v>15</v>
      </c>
      <c r="B20" s="95">
        <v>44440</v>
      </c>
      <c r="C20" t="s">
        <v>110</v>
      </c>
    </row>
    <row r="21" spans="1:3" ht="16" customHeight="1" x14ac:dyDescent="0.35">
      <c r="A21" t="s">
        <v>15</v>
      </c>
      <c r="B21" s="95">
        <v>44409</v>
      </c>
      <c r="C21" t="s">
        <v>111</v>
      </c>
    </row>
    <row r="22" spans="1:3" ht="16" customHeight="1" x14ac:dyDescent="0.35">
      <c r="A22" t="s">
        <v>15</v>
      </c>
      <c r="B22" s="95">
        <v>44348</v>
      </c>
      <c r="C22" t="s">
        <v>112</v>
      </c>
    </row>
    <row r="23" spans="1:3" ht="32" customHeight="1" x14ac:dyDescent="0.35">
      <c r="A23" t="s">
        <v>15</v>
      </c>
      <c r="B23" s="95">
        <v>44317</v>
      </c>
      <c r="C23" t="s">
        <v>113</v>
      </c>
    </row>
    <row r="24" spans="1:3" ht="16" customHeight="1" x14ac:dyDescent="0.35">
      <c r="A24" t="s">
        <v>15</v>
      </c>
      <c r="B24" s="95">
        <v>44287</v>
      </c>
      <c r="C24" t="s">
        <v>114</v>
      </c>
    </row>
    <row r="25" spans="1:3" ht="16" customHeight="1" x14ac:dyDescent="0.35">
      <c r="A25" t="s">
        <v>15</v>
      </c>
      <c r="B25" s="95">
        <v>44256</v>
      </c>
      <c r="C25" t="s">
        <v>115</v>
      </c>
    </row>
    <row r="26" spans="1:3" ht="16" customHeight="1" x14ac:dyDescent="0.35">
      <c r="A26" t="s">
        <v>15</v>
      </c>
      <c r="B26" s="95">
        <v>44228</v>
      </c>
      <c r="C26" t="s">
        <v>116</v>
      </c>
    </row>
    <row r="27" spans="1:3" ht="16" customHeight="1" x14ac:dyDescent="0.35">
      <c r="A27" t="s">
        <v>15</v>
      </c>
      <c r="B27" s="95">
        <v>44197</v>
      </c>
      <c r="C27" t="s">
        <v>117</v>
      </c>
    </row>
    <row r="28" spans="1:3" ht="16" customHeight="1" x14ac:dyDescent="0.35">
      <c r="A28" t="s">
        <v>15</v>
      </c>
      <c r="B28" s="95">
        <v>44166</v>
      </c>
      <c r="C28" t="s">
        <v>118</v>
      </c>
    </row>
    <row r="29" spans="1:3" ht="16" customHeight="1" x14ac:dyDescent="0.35">
      <c r="A29" t="s">
        <v>15</v>
      </c>
      <c r="B29" s="95">
        <v>44136</v>
      </c>
      <c r="C29" t="s">
        <v>119</v>
      </c>
    </row>
    <row r="30" spans="1:3" ht="16" customHeight="1" x14ac:dyDescent="0.35">
      <c r="A30" t="s">
        <v>15</v>
      </c>
      <c r="B30" s="95">
        <v>44105</v>
      </c>
      <c r="C30" t="s">
        <v>120</v>
      </c>
    </row>
    <row r="31" spans="1:3" ht="16" customHeight="1" x14ac:dyDescent="0.35">
      <c r="A31" t="s">
        <v>15</v>
      </c>
      <c r="B31" s="95">
        <v>44075</v>
      </c>
      <c r="C31" t="s">
        <v>121</v>
      </c>
    </row>
    <row r="32" spans="1:3" ht="16" customHeight="1" x14ac:dyDescent="0.35">
      <c r="A32" t="s">
        <v>15</v>
      </c>
      <c r="B32" s="95">
        <v>44044</v>
      </c>
      <c r="C32" t="s">
        <v>122</v>
      </c>
    </row>
    <row r="33" spans="1:3" ht="16" customHeight="1" x14ac:dyDescent="0.35">
      <c r="A33" t="s">
        <v>15</v>
      </c>
      <c r="B33" s="95">
        <v>44013</v>
      </c>
      <c r="C33" t="s">
        <v>123</v>
      </c>
    </row>
    <row r="34" spans="1:3" ht="16" customHeight="1" x14ac:dyDescent="0.35">
      <c r="A34" t="s">
        <v>15</v>
      </c>
      <c r="B34" s="95">
        <v>43983</v>
      </c>
      <c r="C34" t="s">
        <v>124</v>
      </c>
    </row>
    <row r="35" spans="1:3" ht="16" customHeight="1" x14ac:dyDescent="0.35">
      <c r="A35" t="s">
        <v>15</v>
      </c>
      <c r="B35" s="95">
        <v>43952</v>
      </c>
      <c r="C35" t="s">
        <v>125</v>
      </c>
    </row>
    <row r="36" spans="1:3" ht="17" customHeight="1" x14ac:dyDescent="0.35">
      <c r="A36" t="s">
        <v>15</v>
      </c>
      <c r="B36" s="95">
        <v>43922</v>
      </c>
      <c r="C36" t="s">
        <v>126</v>
      </c>
    </row>
    <row r="37" spans="1:3" ht="32" customHeight="1" thickBot="1" x14ac:dyDescent="0.4">
      <c r="A37" t="s">
        <v>15</v>
      </c>
      <c r="B37" s="95">
        <v>43891</v>
      </c>
      <c r="C37" t="s">
        <v>127</v>
      </c>
    </row>
    <row r="38" spans="1:3" ht="16" customHeight="1" x14ac:dyDescent="0.35">
      <c r="A38" t="s">
        <v>15</v>
      </c>
      <c r="B38" s="95">
        <v>43862</v>
      </c>
      <c r="C38" t="s">
        <v>128</v>
      </c>
    </row>
    <row r="39" spans="1:3" ht="16" customHeight="1" x14ac:dyDescent="0.35">
      <c r="A39" t="s">
        <v>15</v>
      </c>
      <c r="B39" s="95">
        <v>43831</v>
      </c>
      <c r="C39" t="s">
        <v>129</v>
      </c>
    </row>
    <row r="40" spans="1:3" ht="32" customHeight="1" x14ac:dyDescent="0.35">
      <c r="A40" t="s">
        <v>15</v>
      </c>
      <c r="B40" s="95">
        <v>43800</v>
      </c>
      <c r="C40" t="s">
        <v>130</v>
      </c>
    </row>
    <row r="41" spans="1:3" ht="48" customHeight="1" x14ac:dyDescent="0.35">
      <c r="A41" t="s">
        <v>15</v>
      </c>
      <c r="B41" s="95">
        <v>43770</v>
      </c>
      <c r="C41" t="s">
        <v>131</v>
      </c>
    </row>
    <row r="42" spans="1:3" ht="16" customHeight="1" x14ac:dyDescent="0.35">
      <c r="A42" t="s">
        <v>15</v>
      </c>
      <c r="B42" s="95">
        <v>43739</v>
      </c>
      <c r="C42" t="s">
        <v>132</v>
      </c>
    </row>
    <row r="43" spans="1:3" ht="16" customHeight="1" x14ac:dyDescent="0.35">
      <c r="A43" t="s">
        <v>15</v>
      </c>
      <c r="B43" s="95">
        <v>43709</v>
      </c>
      <c r="C43" t="s">
        <v>133</v>
      </c>
    </row>
    <row r="44" spans="1:3" ht="48" customHeight="1" x14ac:dyDescent="0.35">
      <c r="A44" t="s">
        <v>15</v>
      </c>
      <c r="B44" s="95">
        <v>43678</v>
      </c>
      <c r="C44" t="s">
        <v>134</v>
      </c>
    </row>
    <row r="45" spans="1:3" ht="32" customHeight="1" x14ac:dyDescent="0.35">
      <c r="A45" t="s">
        <v>15</v>
      </c>
      <c r="B45" s="95">
        <v>43647</v>
      </c>
      <c r="C45" t="s">
        <v>135</v>
      </c>
    </row>
    <row r="46" spans="1:3" ht="16" customHeight="1" x14ac:dyDescent="0.35">
      <c r="A46" t="s">
        <v>15</v>
      </c>
      <c r="B46" s="95">
        <v>43617</v>
      </c>
      <c r="C46" t="s">
        <v>136</v>
      </c>
    </row>
    <row r="47" spans="1:3" ht="32" customHeight="1" x14ac:dyDescent="0.35">
      <c r="A47" t="s">
        <v>15</v>
      </c>
      <c r="B47" s="95">
        <v>43586</v>
      </c>
      <c r="C47" t="s">
        <v>137</v>
      </c>
    </row>
    <row r="48" spans="1:3" ht="16" customHeight="1" x14ac:dyDescent="0.35">
      <c r="A48" t="s">
        <v>15</v>
      </c>
      <c r="B48" s="95">
        <v>43556</v>
      </c>
      <c r="C48" t="s">
        <v>138</v>
      </c>
    </row>
    <row r="49" spans="1:3" ht="16" customHeight="1" x14ac:dyDescent="0.35">
      <c r="A49" t="s">
        <v>15</v>
      </c>
      <c r="B49" s="95">
        <v>43525</v>
      </c>
      <c r="C49" t="s">
        <v>139</v>
      </c>
    </row>
    <row r="50" spans="1:3" ht="16" customHeight="1" x14ac:dyDescent="0.35">
      <c r="A50" t="s">
        <v>15</v>
      </c>
      <c r="B50" s="95">
        <v>43497</v>
      </c>
      <c r="C50" t="s">
        <v>140</v>
      </c>
    </row>
    <row r="51" spans="1:3" ht="16" customHeight="1" x14ac:dyDescent="0.35">
      <c r="A51" t="s">
        <v>15</v>
      </c>
      <c r="B51" s="95">
        <v>43466</v>
      </c>
      <c r="C51" t="s">
        <v>141</v>
      </c>
    </row>
    <row r="52" spans="1:3" ht="16" customHeight="1" x14ac:dyDescent="0.35">
      <c r="A52" t="s">
        <v>9</v>
      </c>
      <c r="B52" s="95">
        <v>44927</v>
      </c>
      <c r="C52" t="s">
        <v>142</v>
      </c>
    </row>
    <row r="53" spans="1:3" ht="16" customHeight="1" x14ac:dyDescent="0.35">
      <c r="A53" t="s">
        <v>9</v>
      </c>
      <c r="B53" s="95">
        <v>44896</v>
      </c>
      <c r="C53" t="s">
        <v>143</v>
      </c>
    </row>
    <row r="54" spans="1:3" ht="16" customHeight="1" x14ac:dyDescent="0.35">
      <c r="A54" t="s">
        <v>9</v>
      </c>
      <c r="B54" s="95">
        <v>44866</v>
      </c>
      <c r="C54" t="s">
        <v>144</v>
      </c>
    </row>
    <row r="55" spans="1:3" ht="16" customHeight="1" x14ac:dyDescent="0.35">
      <c r="A55" t="s">
        <v>9</v>
      </c>
      <c r="B55" s="95">
        <v>44835</v>
      </c>
      <c r="C55" t="s">
        <v>145</v>
      </c>
    </row>
    <row r="56" spans="1:3" ht="32" customHeight="1" x14ac:dyDescent="0.35">
      <c r="A56" t="s">
        <v>9</v>
      </c>
      <c r="B56" s="95">
        <v>44805</v>
      </c>
      <c r="C56" t="s">
        <v>146</v>
      </c>
    </row>
    <row r="57" spans="1:3" ht="32" customHeight="1" x14ac:dyDescent="0.35">
      <c r="A57" t="s">
        <v>9</v>
      </c>
      <c r="B57" s="95">
        <v>44774</v>
      </c>
      <c r="C57" t="s">
        <v>147</v>
      </c>
    </row>
    <row r="58" spans="1:3" ht="16" customHeight="1" x14ac:dyDescent="0.35">
      <c r="A58" t="s">
        <v>9</v>
      </c>
      <c r="B58" s="95">
        <v>44743</v>
      </c>
      <c r="C58" t="s">
        <v>148</v>
      </c>
    </row>
    <row r="59" spans="1:3" ht="16" customHeight="1" x14ac:dyDescent="0.35">
      <c r="A59" t="s">
        <v>9</v>
      </c>
      <c r="B59" s="95">
        <v>44713</v>
      </c>
      <c r="C59" t="s">
        <v>149</v>
      </c>
    </row>
    <row r="60" spans="1:3" ht="32" customHeight="1" x14ac:dyDescent="0.35">
      <c r="A60" t="s">
        <v>9</v>
      </c>
      <c r="B60" s="95">
        <v>44682</v>
      </c>
      <c r="C60" t="s">
        <v>150</v>
      </c>
    </row>
    <row r="61" spans="1:3" ht="16" customHeight="1" x14ac:dyDescent="0.35">
      <c r="A61" t="s">
        <v>9</v>
      </c>
      <c r="B61" s="95">
        <v>44621</v>
      </c>
      <c r="C61" t="s">
        <v>151</v>
      </c>
    </row>
    <row r="62" spans="1:3" ht="32" customHeight="1" x14ac:dyDescent="0.35">
      <c r="A62" t="s">
        <v>9</v>
      </c>
      <c r="B62" s="95">
        <v>44593</v>
      </c>
      <c r="C62" t="s">
        <v>152</v>
      </c>
    </row>
    <row r="63" spans="1:3" ht="16" customHeight="1" x14ac:dyDescent="0.35">
      <c r="A63" t="s">
        <v>9</v>
      </c>
      <c r="B63" s="95">
        <v>44562</v>
      </c>
      <c r="C63" t="s">
        <v>153</v>
      </c>
    </row>
    <row r="64" spans="1:3" ht="16" customHeight="1" x14ac:dyDescent="0.35">
      <c r="A64" t="s">
        <v>9</v>
      </c>
      <c r="B64" s="95">
        <v>44470</v>
      </c>
      <c r="C64" t="s">
        <v>154</v>
      </c>
    </row>
    <row r="65" spans="1:3" ht="16" customHeight="1" x14ac:dyDescent="0.35">
      <c r="A65" t="s">
        <v>9</v>
      </c>
      <c r="B65" s="95">
        <v>44440</v>
      </c>
      <c r="C65" t="s">
        <v>155</v>
      </c>
    </row>
    <row r="66" spans="1:3" ht="32" customHeight="1" x14ac:dyDescent="0.35">
      <c r="A66" t="s">
        <v>9</v>
      </c>
      <c r="B66" s="95">
        <v>44409</v>
      </c>
      <c r="C66" t="s">
        <v>156</v>
      </c>
    </row>
    <row r="67" spans="1:3" ht="16" customHeight="1" x14ac:dyDescent="0.35">
      <c r="A67" t="s">
        <v>9</v>
      </c>
      <c r="B67" s="95">
        <v>44378</v>
      </c>
      <c r="C67" t="s">
        <v>157</v>
      </c>
    </row>
    <row r="68" spans="1:3" ht="32" customHeight="1" x14ac:dyDescent="0.35">
      <c r="A68" t="s">
        <v>9</v>
      </c>
      <c r="B68" s="95">
        <v>44348</v>
      </c>
      <c r="C68" t="s">
        <v>158</v>
      </c>
    </row>
    <row r="69" spans="1:3" ht="17" customHeight="1" x14ac:dyDescent="0.35">
      <c r="A69" t="s">
        <v>9</v>
      </c>
      <c r="B69" s="95">
        <v>44317</v>
      </c>
      <c r="C69" t="s">
        <v>159</v>
      </c>
    </row>
    <row r="70" spans="1:3" ht="32" customHeight="1" x14ac:dyDescent="0.35">
      <c r="A70" t="s">
        <v>9</v>
      </c>
      <c r="B70" s="95">
        <v>44287</v>
      </c>
      <c r="C70" t="s">
        <v>160</v>
      </c>
    </row>
    <row r="71" spans="1:3" ht="32" customHeight="1" thickBot="1" x14ac:dyDescent="0.4">
      <c r="A71" t="s">
        <v>9</v>
      </c>
      <c r="B71" s="95">
        <v>44256</v>
      </c>
      <c r="C71" t="s">
        <v>161</v>
      </c>
    </row>
    <row r="72" spans="1:3" ht="16" customHeight="1" x14ac:dyDescent="0.35">
      <c r="A72" t="s">
        <v>9</v>
      </c>
      <c r="B72" s="95">
        <v>44228</v>
      </c>
      <c r="C72" t="s">
        <v>162</v>
      </c>
    </row>
    <row r="73" spans="1:3" ht="16" customHeight="1" x14ac:dyDescent="0.35">
      <c r="A73" t="s">
        <v>9</v>
      </c>
      <c r="B73" s="95">
        <v>44197</v>
      </c>
      <c r="C73" t="s">
        <v>163</v>
      </c>
    </row>
    <row r="74" spans="1:3" ht="16" customHeight="1" x14ac:dyDescent="0.35">
      <c r="A74" t="s">
        <v>9</v>
      </c>
      <c r="B74" s="95">
        <v>44166</v>
      </c>
      <c r="C74" t="s">
        <v>164</v>
      </c>
    </row>
    <row r="75" spans="1:3" ht="16" customHeight="1" x14ac:dyDescent="0.35">
      <c r="A75" t="s">
        <v>9</v>
      </c>
      <c r="B75" s="95">
        <v>44136</v>
      </c>
      <c r="C75" t="s">
        <v>165</v>
      </c>
    </row>
    <row r="76" spans="1:3" ht="16" customHeight="1" x14ac:dyDescent="0.35">
      <c r="A76" t="s">
        <v>9</v>
      </c>
      <c r="B76" s="95">
        <v>44105</v>
      </c>
      <c r="C76" t="s">
        <v>166</v>
      </c>
    </row>
    <row r="77" spans="1:3" ht="32" customHeight="1" x14ac:dyDescent="0.35">
      <c r="A77" t="s">
        <v>9</v>
      </c>
      <c r="B77" s="95">
        <v>44075</v>
      </c>
      <c r="C77" t="s">
        <v>167</v>
      </c>
    </row>
    <row r="78" spans="1:3" ht="16" customHeight="1" x14ac:dyDescent="0.35">
      <c r="A78" t="s">
        <v>9</v>
      </c>
      <c r="B78" s="95">
        <v>44044</v>
      </c>
      <c r="C78" t="s">
        <v>168</v>
      </c>
    </row>
    <row r="79" spans="1:3" ht="32" customHeight="1" x14ac:dyDescent="0.35">
      <c r="A79" t="s">
        <v>9</v>
      </c>
      <c r="B79" s="95">
        <v>44013</v>
      </c>
      <c r="C79" t="s">
        <v>169</v>
      </c>
    </row>
    <row r="80" spans="1:3" ht="32" customHeight="1" x14ac:dyDescent="0.35">
      <c r="A80" t="s">
        <v>9</v>
      </c>
      <c r="B80" s="95">
        <v>43952</v>
      </c>
      <c r="C80" t="s">
        <v>170</v>
      </c>
    </row>
    <row r="81" spans="1:3" ht="16" customHeight="1" x14ac:dyDescent="0.35">
      <c r="A81" t="s">
        <v>9</v>
      </c>
      <c r="B81" s="95">
        <v>43922</v>
      </c>
      <c r="C81" t="s">
        <v>171</v>
      </c>
    </row>
    <row r="82" spans="1:3" ht="32" customHeight="1" x14ac:dyDescent="0.35">
      <c r="A82" t="s">
        <v>9</v>
      </c>
      <c r="B82" s="95">
        <v>43891</v>
      </c>
      <c r="C82" t="s">
        <v>172</v>
      </c>
    </row>
    <row r="83" spans="1:3" ht="16" customHeight="1" x14ac:dyDescent="0.35">
      <c r="A83" t="s">
        <v>9</v>
      </c>
      <c r="B83" s="95">
        <v>43862</v>
      </c>
      <c r="C83" t="s">
        <v>173</v>
      </c>
    </row>
    <row r="84" spans="1:3" ht="16" customHeight="1" x14ac:dyDescent="0.35">
      <c r="A84" t="s">
        <v>9</v>
      </c>
      <c r="B84" s="95">
        <v>43831</v>
      </c>
      <c r="C84" t="s">
        <v>174</v>
      </c>
    </row>
    <row r="85" spans="1:3" ht="33" customHeight="1" x14ac:dyDescent="0.35">
      <c r="A85" t="s">
        <v>9</v>
      </c>
      <c r="B85" s="95">
        <v>43800</v>
      </c>
      <c r="C85" t="s">
        <v>175</v>
      </c>
    </row>
    <row r="86" spans="1:3" ht="32" customHeight="1" x14ac:dyDescent="0.35">
      <c r="A86" t="s">
        <v>9</v>
      </c>
      <c r="B86" s="95">
        <v>43770</v>
      </c>
      <c r="C86" t="s">
        <v>176</v>
      </c>
    </row>
    <row r="87" spans="1:3" ht="32" customHeight="1" x14ac:dyDescent="0.35">
      <c r="A87" t="s">
        <v>9</v>
      </c>
      <c r="B87" s="95">
        <v>43739</v>
      </c>
      <c r="C87" t="s">
        <v>177</v>
      </c>
    </row>
    <row r="88" spans="1:3" ht="32" customHeight="1" thickBot="1" x14ac:dyDescent="0.4">
      <c r="A88" t="s">
        <v>9</v>
      </c>
      <c r="B88" s="95">
        <v>43709</v>
      </c>
      <c r="C88" t="s">
        <v>178</v>
      </c>
    </row>
    <row r="89" spans="1:3" ht="32" customHeight="1" x14ac:dyDescent="0.35">
      <c r="A89" t="s">
        <v>9</v>
      </c>
      <c r="B89" s="95">
        <v>43678</v>
      </c>
      <c r="C89" t="s">
        <v>179</v>
      </c>
    </row>
    <row r="90" spans="1:3" ht="32" customHeight="1" x14ac:dyDescent="0.35">
      <c r="A90" t="s">
        <v>9</v>
      </c>
      <c r="B90" s="95">
        <v>43617</v>
      </c>
      <c r="C90" t="s">
        <v>180</v>
      </c>
    </row>
    <row r="91" spans="1:3" ht="16" customHeight="1" x14ac:dyDescent="0.35">
      <c r="A91" t="s">
        <v>9</v>
      </c>
      <c r="B91" s="95">
        <v>43586</v>
      </c>
      <c r="C91" t="s">
        <v>181</v>
      </c>
    </row>
    <row r="92" spans="1:3" ht="32" customHeight="1" x14ac:dyDescent="0.35">
      <c r="A92" t="s">
        <v>9</v>
      </c>
      <c r="B92" s="95">
        <v>43556</v>
      </c>
      <c r="C92" t="s">
        <v>182</v>
      </c>
    </row>
    <row r="93" spans="1:3" ht="16" customHeight="1" x14ac:dyDescent="0.35">
      <c r="A93" t="s">
        <v>9</v>
      </c>
      <c r="B93" s="95">
        <v>43525</v>
      </c>
      <c r="C93" t="s">
        <v>183</v>
      </c>
    </row>
    <row r="94" spans="1:3" ht="16" customHeight="1" x14ac:dyDescent="0.35">
      <c r="A94" t="s">
        <v>9</v>
      </c>
      <c r="B94" s="95">
        <v>43497</v>
      </c>
      <c r="C94" t="s">
        <v>184</v>
      </c>
    </row>
    <row r="95" spans="1:3" ht="16" customHeight="1" x14ac:dyDescent="0.35">
      <c r="A95" t="s">
        <v>9</v>
      </c>
      <c r="B95" s="95">
        <v>43466</v>
      </c>
      <c r="C95" t="s">
        <v>185</v>
      </c>
    </row>
    <row r="96" spans="1:3" ht="16" customHeight="1" x14ac:dyDescent="0.35">
      <c r="A96" t="s">
        <v>14</v>
      </c>
      <c r="B96" s="95">
        <v>44927</v>
      </c>
      <c r="C96" t="s">
        <v>186</v>
      </c>
    </row>
    <row r="97" spans="1:3" ht="16" customHeight="1" x14ac:dyDescent="0.35">
      <c r="A97" t="s">
        <v>14</v>
      </c>
      <c r="B97" s="95">
        <v>44896</v>
      </c>
      <c r="C97" t="s">
        <v>187</v>
      </c>
    </row>
    <row r="98" spans="1:3" ht="16" customHeight="1" x14ac:dyDescent="0.35">
      <c r="A98" t="s">
        <v>14</v>
      </c>
      <c r="B98" s="95">
        <v>44866</v>
      </c>
      <c r="C98" t="s">
        <v>188</v>
      </c>
    </row>
    <row r="99" spans="1:3" ht="32" customHeight="1" x14ac:dyDescent="0.35">
      <c r="A99" t="s">
        <v>14</v>
      </c>
      <c r="B99" s="95">
        <v>44835</v>
      </c>
      <c r="C99" t="s">
        <v>189</v>
      </c>
    </row>
    <row r="100" spans="1:3" ht="32" customHeight="1" x14ac:dyDescent="0.35">
      <c r="A100" t="s">
        <v>14</v>
      </c>
      <c r="B100" s="95">
        <v>44805</v>
      </c>
      <c r="C100" t="s">
        <v>190</v>
      </c>
    </row>
    <row r="101" spans="1:3" ht="16" customHeight="1" x14ac:dyDescent="0.35">
      <c r="A101" t="s">
        <v>14</v>
      </c>
      <c r="B101" s="95">
        <v>44713</v>
      </c>
      <c r="C101" t="s">
        <v>191</v>
      </c>
    </row>
    <row r="102" spans="1:3" ht="16" customHeight="1" x14ac:dyDescent="0.35">
      <c r="A102" t="s">
        <v>14</v>
      </c>
      <c r="B102" s="95">
        <v>44652</v>
      </c>
      <c r="C102" t="s">
        <v>192</v>
      </c>
    </row>
    <row r="103" spans="1:3" ht="16" customHeight="1" x14ac:dyDescent="0.35">
      <c r="A103" t="s">
        <v>14</v>
      </c>
      <c r="B103" s="95">
        <v>44593</v>
      </c>
      <c r="C103" t="s">
        <v>193</v>
      </c>
    </row>
    <row r="104" spans="1:3" ht="16" customHeight="1" x14ac:dyDescent="0.35">
      <c r="A104" t="s">
        <v>14</v>
      </c>
      <c r="B104" s="95">
        <v>44562</v>
      </c>
      <c r="C104" t="s">
        <v>194</v>
      </c>
    </row>
    <row r="105" spans="1:3" ht="16" customHeight="1" x14ac:dyDescent="0.35">
      <c r="A105" t="s">
        <v>14</v>
      </c>
      <c r="B105" s="95">
        <v>44470</v>
      </c>
      <c r="C105" t="s">
        <v>195</v>
      </c>
    </row>
    <row r="106" spans="1:3" ht="16" customHeight="1" x14ac:dyDescent="0.35">
      <c r="A106" t="s">
        <v>14</v>
      </c>
      <c r="B106" s="95">
        <v>44440</v>
      </c>
      <c r="C106" t="s">
        <v>196</v>
      </c>
    </row>
    <row r="107" spans="1:3" ht="32" customHeight="1" x14ac:dyDescent="0.35">
      <c r="A107" t="s">
        <v>14</v>
      </c>
      <c r="B107" s="95">
        <v>44409</v>
      </c>
      <c r="C107" t="s">
        <v>197</v>
      </c>
    </row>
    <row r="108" spans="1:3" ht="16" customHeight="1" x14ac:dyDescent="0.35">
      <c r="A108" t="s">
        <v>14</v>
      </c>
      <c r="B108" s="95">
        <v>44378</v>
      </c>
      <c r="C108" t="s">
        <v>198</v>
      </c>
    </row>
    <row r="109" spans="1:3" ht="16" customHeight="1" x14ac:dyDescent="0.35">
      <c r="A109" t="s">
        <v>14</v>
      </c>
      <c r="B109" s="95">
        <v>44348</v>
      </c>
      <c r="C109" t="s">
        <v>199</v>
      </c>
    </row>
    <row r="110" spans="1:3" ht="16" customHeight="1" x14ac:dyDescent="0.35">
      <c r="A110" t="s">
        <v>14</v>
      </c>
      <c r="B110" s="95">
        <v>44317</v>
      </c>
      <c r="C110" t="s">
        <v>200</v>
      </c>
    </row>
    <row r="111" spans="1:3" ht="16" customHeight="1" x14ac:dyDescent="0.35">
      <c r="A111" t="s">
        <v>14</v>
      </c>
      <c r="B111" s="95">
        <v>44287</v>
      </c>
      <c r="C111" t="s">
        <v>201</v>
      </c>
    </row>
    <row r="112" spans="1:3" ht="16" customHeight="1" x14ac:dyDescent="0.35">
      <c r="A112" t="s">
        <v>14</v>
      </c>
      <c r="B112" s="95">
        <v>44256</v>
      </c>
      <c r="C112" t="s">
        <v>202</v>
      </c>
    </row>
    <row r="113" spans="1:3" ht="16" customHeight="1" x14ac:dyDescent="0.35">
      <c r="A113" t="s">
        <v>14</v>
      </c>
      <c r="B113" s="95">
        <v>44228</v>
      </c>
      <c r="C113" t="s">
        <v>203</v>
      </c>
    </row>
    <row r="114" spans="1:3" ht="32" customHeight="1" x14ac:dyDescent="0.35">
      <c r="A114" t="s">
        <v>14</v>
      </c>
      <c r="B114" s="95">
        <v>44197</v>
      </c>
      <c r="C114" t="s">
        <v>204</v>
      </c>
    </row>
    <row r="115" spans="1:3" ht="16" customHeight="1" x14ac:dyDescent="0.35">
      <c r="A115" t="s">
        <v>14</v>
      </c>
      <c r="B115" s="95">
        <v>44166</v>
      </c>
      <c r="C115" t="s">
        <v>205</v>
      </c>
    </row>
    <row r="116" spans="1:3" ht="17" customHeight="1" x14ac:dyDescent="0.35">
      <c r="A116" t="s">
        <v>14</v>
      </c>
      <c r="B116" s="95">
        <v>44136</v>
      </c>
      <c r="C116" t="s">
        <v>206</v>
      </c>
    </row>
    <row r="117" spans="1:3" ht="30" customHeight="1" x14ac:dyDescent="0.35">
      <c r="A117" t="s">
        <v>14</v>
      </c>
      <c r="B117" s="95">
        <v>44105</v>
      </c>
      <c r="C117" t="s">
        <v>207</v>
      </c>
    </row>
    <row r="118" spans="1:3" ht="32" customHeight="1" x14ac:dyDescent="0.35">
      <c r="A118" t="s">
        <v>14</v>
      </c>
      <c r="B118" s="95">
        <v>44075</v>
      </c>
      <c r="C118" t="s">
        <v>208</v>
      </c>
    </row>
    <row r="119" spans="1:3" ht="16" customHeight="1" x14ac:dyDescent="0.35">
      <c r="A119" t="s">
        <v>14</v>
      </c>
      <c r="B119" s="95">
        <v>44044</v>
      </c>
      <c r="C119" t="s">
        <v>209</v>
      </c>
    </row>
    <row r="120" spans="1:3" ht="16" customHeight="1" thickBot="1" x14ac:dyDescent="0.4">
      <c r="A120" t="s">
        <v>14</v>
      </c>
      <c r="B120" s="95">
        <v>44013</v>
      </c>
      <c r="C120" t="s">
        <v>210</v>
      </c>
    </row>
    <row r="121" spans="1:3" ht="32" customHeight="1" x14ac:dyDescent="0.35">
      <c r="A121" t="s">
        <v>14</v>
      </c>
      <c r="B121" s="95">
        <v>43983</v>
      </c>
      <c r="C121" t="s">
        <v>211</v>
      </c>
    </row>
    <row r="122" spans="1:3" ht="16" customHeight="1" x14ac:dyDescent="0.35">
      <c r="A122" t="s">
        <v>14</v>
      </c>
      <c r="B122" s="95">
        <v>43952</v>
      </c>
      <c r="C122" t="s">
        <v>212</v>
      </c>
    </row>
    <row r="123" spans="1:3" ht="16" customHeight="1" x14ac:dyDescent="0.35">
      <c r="A123" t="s">
        <v>14</v>
      </c>
      <c r="B123" s="95">
        <v>43891</v>
      </c>
      <c r="C123" t="s">
        <v>213</v>
      </c>
    </row>
    <row r="124" spans="1:3" ht="32" customHeight="1" x14ac:dyDescent="0.35">
      <c r="A124" t="s">
        <v>14</v>
      </c>
      <c r="B124" s="95">
        <v>43862</v>
      </c>
      <c r="C124" t="s">
        <v>214</v>
      </c>
    </row>
    <row r="125" spans="1:3" ht="16" customHeight="1" x14ac:dyDescent="0.35">
      <c r="A125" t="s">
        <v>14</v>
      </c>
      <c r="B125" s="95">
        <v>43831</v>
      </c>
      <c r="C125" t="s">
        <v>215</v>
      </c>
    </row>
    <row r="126" spans="1:3" ht="32" customHeight="1" x14ac:dyDescent="0.35">
      <c r="A126" t="s">
        <v>14</v>
      </c>
      <c r="B126" s="95">
        <v>43800</v>
      </c>
      <c r="C126" t="s">
        <v>216</v>
      </c>
    </row>
    <row r="127" spans="1:3" ht="32" customHeight="1" x14ac:dyDescent="0.35">
      <c r="A127" t="s">
        <v>14</v>
      </c>
      <c r="B127" s="95">
        <v>43739</v>
      </c>
      <c r="C127" t="s">
        <v>217</v>
      </c>
    </row>
    <row r="128" spans="1:3" ht="16" customHeight="1" x14ac:dyDescent="0.35">
      <c r="A128" t="s">
        <v>14</v>
      </c>
      <c r="B128" s="95">
        <v>43709</v>
      </c>
      <c r="C128" t="s">
        <v>218</v>
      </c>
    </row>
    <row r="129" spans="1:3" ht="32" customHeight="1" x14ac:dyDescent="0.35">
      <c r="A129" t="s">
        <v>14</v>
      </c>
      <c r="B129" s="95">
        <v>43678</v>
      </c>
      <c r="C129" t="s">
        <v>219</v>
      </c>
    </row>
    <row r="130" spans="1:3" ht="32" customHeight="1" x14ac:dyDescent="0.35">
      <c r="A130" t="s">
        <v>14</v>
      </c>
      <c r="B130" s="95">
        <v>43647</v>
      </c>
      <c r="C130" t="s">
        <v>220</v>
      </c>
    </row>
    <row r="131" spans="1:3" ht="32" customHeight="1" x14ac:dyDescent="0.35">
      <c r="A131" t="s">
        <v>14</v>
      </c>
      <c r="B131" s="95">
        <v>43617</v>
      </c>
      <c r="C131" t="s">
        <v>221</v>
      </c>
    </row>
    <row r="132" spans="1:3" ht="32" customHeight="1" x14ac:dyDescent="0.35">
      <c r="A132" t="s">
        <v>14</v>
      </c>
      <c r="B132" s="95">
        <v>43556</v>
      </c>
      <c r="C132" t="s">
        <v>222</v>
      </c>
    </row>
    <row r="133" spans="1:3" ht="16" customHeight="1" x14ac:dyDescent="0.35">
      <c r="A133" t="s">
        <v>14</v>
      </c>
      <c r="B133" s="95">
        <v>43525</v>
      </c>
      <c r="C133" t="s">
        <v>223</v>
      </c>
    </row>
    <row r="134" spans="1:3" ht="32" customHeight="1" x14ac:dyDescent="0.35">
      <c r="A134" t="s">
        <v>14</v>
      </c>
      <c r="B134" s="95">
        <v>43497</v>
      </c>
      <c r="C134" t="s">
        <v>224</v>
      </c>
    </row>
    <row r="135" spans="1:3" ht="16" customHeight="1" x14ac:dyDescent="0.35">
      <c r="A135" t="s">
        <v>14</v>
      </c>
      <c r="B135" s="95">
        <v>43466</v>
      </c>
      <c r="C135" t="s">
        <v>225</v>
      </c>
    </row>
    <row r="136" spans="1:3" ht="16" customHeight="1" x14ac:dyDescent="0.35">
      <c r="A136" t="s">
        <v>19</v>
      </c>
      <c r="B136" s="95">
        <v>44927</v>
      </c>
      <c r="C136" t="s">
        <v>226</v>
      </c>
    </row>
    <row r="137" spans="1:3" ht="16" customHeight="1" x14ac:dyDescent="0.35">
      <c r="A137" t="s">
        <v>19</v>
      </c>
      <c r="B137" s="95">
        <v>44896</v>
      </c>
      <c r="C137" t="s">
        <v>227</v>
      </c>
    </row>
    <row r="138" spans="1:3" ht="16" customHeight="1" x14ac:dyDescent="0.35">
      <c r="A138" t="s">
        <v>19</v>
      </c>
      <c r="B138" s="95">
        <v>44835</v>
      </c>
      <c r="C138" t="s">
        <v>228</v>
      </c>
    </row>
    <row r="139" spans="1:3" ht="16" customHeight="1" x14ac:dyDescent="0.35">
      <c r="A139" t="s">
        <v>19</v>
      </c>
      <c r="B139" s="95">
        <v>44805</v>
      </c>
      <c r="C139" t="s">
        <v>229</v>
      </c>
    </row>
    <row r="140" spans="1:3" ht="16" customHeight="1" x14ac:dyDescent="0.35">
      <c r="A140" t="s">
        <v>19</v>
      </c>
      <c r="B140" s="95">
        <v>44743</v>
      </c>
      <c r="C140" t="s">
        <v>230</v>
      </c>
    </row>
    <row r="141" spans="1:3" ht="16" customHeight="1" x14ac:dyDescent="0.35">
      <c r="A141" t="s">
        <v>19</v>
      </c>
      <c r="B141" s="95">
        <v>44713</v>
      </c>
      <c r="C141" t="s">
        <v>231</v>
      </c>
    </row>
    <row r="142" spans="1:3" ht="32" customHeight="1" x14ac:dyDescent="0.35">
      <c r="A142" t="s">
        <v>19</v>
      </c>
      <c r="B142" s="95">
        <v>44682</v>
      </c>
      <c r="C142" t="s">
        <v>232</v>
      </c>
    </row>
    <row r="143" spans="1:3" ht="16" customHeight="1" x14ac:dyDescent="0.35">
      <c r="A143" t="s">
        <v>19</v>
      </c>
      <c r="B143" s="95">
        <v>44652</v>
      </c>
      <c r="C143" t="s">
        <v>233</v>
      </c>
    </row>
    <row r="144" spans="1:3" ht="16" customHeight="1" x14ac:dyDescent="0.35">
      <c r="A144" t="s">
        <v>19</v>
      </c>
      <c r="B144" s="95">
        <v>44621</v>
      </c>
      <c r="C144" t="s">
        <v>234</v>
      </c>
    </row>
    <row r="145" spans="1:3" ht="16" customHeight="1" x14ac:dyDescent="0.35">
      <c r="A145" t="s">
        <v>19</v>
      </c>
      <c r="B145" s="95">
        <v>44593</v>
      </c>
      <c r="C145" t="s">
        <v>235</v>
      </c>
    </row>
    <row r="146" spans="1:3" ht="16" customHeight="1" x14ac:dyDescent="0.35">
      <c r="A146" t="s">
        <v>19</v>
      </c>
      <c r="B146" s="95">
        <v>44562</v>
      </c>
      <c r="C146" t="s">
        <v>236</v>
      </c>
    </row>
    <row r="147" spans="1:3" ht="32" customHeight="1" x14ac:dyDescent="0.35">
      <c r="A147" t="s">
        <v>19</v>
      </c>
      <c r="B147" s="95">
        <v>44531</v>
      </c>
      <c r="C147" t="s">
        <v>237</v>
      </c>
    </row>
    <row r="148" spans="1:3" ht="17" customHeight="1" x14ac:dyDescent="0.35">
      <c r="A148" t="s">
        <v>10</v>
      </c>
      <c r="B148" s="95">
        <v>44927</v>
      </c>
      <c r="C148" t="s">
        <v>238</v>
      </c>
    </row>
    <row r="149" spans="1:3" ht="30" customHeight="1" x14ac:dyDescent="0.35">
      <c r="A149" t="s">
        <v>10</v>
      </c>
      <c r="B149" s="95">
        <v>44896</v>
      </c>
      <c r="C149" t="s">
        <v>239</v>
      </c>
    </row>
    <row r="150" spans="1:3" ht="32" customHeight="1" x14ac:dyDescent="0.35">
      <c r="A150" t="s">
        <v>10</v>
      </c>
      <c r="B150" s="95">
        <v>44866</v>
      </c>
      <c r="C150" t="s">
        <v>240</v>
      </c>
    </row>
    <row r="151" spans="1:3" ht="16" customHeight="1" x14ac:dyDescent="0.35">
      <c r="A151" t="s">
        <v>10</v>
      </c>
      <c r="B151" s="95">
        <v>44835</v>
      </c>
      <c r="C151" t="s">
        <v>241</v>
      </c>
    </row>
    <row r="152" spans="1:3" ht="32" customHeight="1" x14ac:dyDescent="0.35">
      <c r="A152" t="s">
        <v>10</v>
      </c>
      <c r="B152" s="95">
        <v>44805</v>
      </c>
      <c r="C152" t="s">
        <v>242</v>
      </c>
    </row>
    <row r="153" spans="1:3" ht="16" customHeight="1" thickBot="1" x14ac:dyDescent="0.4">
      <c r="A153" t="s">
        <v>10</v>
      </c>
      <c r="B153" s="95">
        <v>44774</v>
      </c>
      <c r="C153" t="s">
        <v>243</v>
      </c>
    </row>
    <row r="154" spans="1:3" ht="16" customHeight="1" x14ac:dyDescent="0.35">
      <c r="A154" t="s">
        <v>10</v>
      </c>
      <c r="B154" s="95">
        <v>44743</v>
      </c>
      <c r="C154" t="s">
        <v>244</v>
      </c>
    </row>
    <row r="155" spans="1:3" ht="16" customHeight="1" x14ac:dyDescent="0.35">
      <c r="A155" t="s">
        <v>10</v>
      </c>
      <c r="B155" s="95">
        <v>44713</v>
      </c>
      <c r="C155" t="s">
        <v>245</v>
      </c>
    </row>
    <row r="156" spans="1:3" ht="16" customHeight="1" x14ac:dyDescent="0.35">
      <c r="A156" t="s">
        <v>10</v>
      </c>
      <c r="B156" s="95">
        <v>44682</v>
      </c>
      <c r="C156" t="s">
        <v>246</v>
      </c>
    </row>
    <row r="157" spans="1:3" ht="32" customHeight="1" x14ac:dyDescent="0.35">
      <c r="A157" t="s">
        <v>10</v>
      </c>
      <c r="B157" s="95">
        <v>44652</v>
      </c>
      <c r="C157" t="s">
        <v>247</v>
      </c>
    </row>
    <row r="158" spans="1:3" ht="16" customHeight="1" x14ac:dyDescent="0.35">
      <c r="A158" t="s">
        <v>10</v>
      </c>
      <c r="B158" s="95">
        <v>44621</v>
      </c>
      <c r="C158" t="s">
        <v>248</v>
      </c>
    </row>
    <row r="159" spans="1:3" ht="16" customHeight="1" x14ac:dyDescent="0.35">
      <c r="A159" t="s">
        <v>10</v>
      </c>
      <c r="B159" s="95">
        <v>44593</v>
      </c>
      <c r="C159" t="s">
        <v>249</v>
      </c>
    </row>
    <row r="160" spans="1:3" ht="16" customHeight="1" x14ac:dyDescent="0.35">
      <c r="A160" t="s">
        <v>10</v>
      </c>
      <c r="B160" s="95">
        <v>44562</v>
      </c>
      <c r="C160" t="s">
        <v>250</v>
      </c>
    </row>
    <row r="161" spans="1:3" ht="16" customHeight="1" x14ac:dyDescent="0.35">
      <c r="A161" t="s">
        <v>10</v>
      </c>
      <c r="B161" s="95">
        <v>44531</v>
      </c>
      <c r="C161" t="s">
        <v>251</v>
      </c>
    </row>
    <row r="162" spans="1:3" ht="16" customHeight="1" x14ac:dyDescent="0.35">
      <c r="A162" t="s">
        <v>10</v>
      </c>
      <c r="B162" s="95">
        <v>44470</v>
      </c>
      <c r="C162" t="s">
        <v>252</v>
      </c>
    </row>
    <row r="163" spans="1:3" ht="16" customHeight="1" x14ac:dyDescent="0.35">
      <c r="A163" t="s">
        <v>10</v>
      </c>
      <c r="B163" s="95">
        <v>44440</v>
      </c>
      <c r="C163" t="s">
        <v>253</v>
      </c>
    </row>
    <row r="164" spans="1:3" ht="16" customHeight="1" x14ac:dyDescent="0.35">
      <c r="A164" t="s">
        <v>10</v>
      </c>
      <c r="B164" s="95">
        <v>44409</v>
      </c>
      <c r="C164" t="s">
        <v>254</v>
      </c>
    </row>
    <row r="165" spans="1:3" ht="16" customHeight="1" x14ac:dyDescent="0.35">
      <c r="A165" t="s">
        <v>10</v>
      </c>
      <c r="B165" s="95">
        <v>44378</v>
      </c>
      <c r="C165" t="s">
        <v>255</v>
      </c>
    </row>
    <row r="166" spans="1:3" ht="16" customHeight="1" x14ac:dyDescent="0.35">
      <c r="A166" t="s">
        <v>10</v>
      </c>
      <c r="B166" s="95">
        <v>44348</v>
      </c>
      <c r="C166" t="s">
        <v>256</v>
      </c>
    </row>
    <row r="167" spans="1:3" ht="16" customHeight="1" x14ac:dyDescent="0.35">
      <c r="A167" t="s">
        <v>10</v>
      </c>
      <c r="B167" s="95">
        <v>44317</v>
      </c>
      <c r="C167" t="s">
        <v>257</v>
      </c>
    </row>
    <row r="168" spans="1:3" ht="17" customHeight="1" x14ac:dyDescent="0.35">
      <c r="A168" t="s">
        <v>10</v>
      </c>
      <c r="B168" s="95">
        <v>44287</v>
      </c>
      <c r="C168" t="s">
        <v>258</v>
      </c>
    </row>
    <row r="169" spans="1:3" ht="48" customHeight="1" x14ac:dyDescent="0.35">
      <c r="A169" t="s">
        <v>10</v>
      </c>
      <c r="B169" s="95">
        <v>44256</v>
      </c>
      <c r="C169" t="s">
        <v>259</v>
      </c>
    </row>
    <row r="170" spans="1:3" ht="32" customHeight="1" x14ac:dyDescent="0.35">
      <c r="A170" t="s">
        <v>10</v>
      </c>
      <c r="B170" s="95">
        <v>44228</v>
      </c>
      <c r="C170" t="s">
        <v>260</v>
      </c>
    </row>
    <row r="171" spans="1:3" ht="16" customHeight="1" x14ac:dyDescent="0.35">
      <c r="A171" t="s">
        <v>10</v>
      </c>
      <c r="B171" s="95">
        <v>44197</v>
      </c>
      <c r="C171" t="s">
        <v>261</v>
      </c>
    </row>
    <row r="172" spans="1:3" ht="16" customHeight="1" x14ac:dyDescent="0.35">
      <c r="A172" t="s">
        <v>10</v>
      </c>
      <c r="B172" s="95">
        <v>44166</v>
      </c>
      <c r="C172" t="s">
        <v>262</v>
      </c>
    </row>
    <row r="173" spans="1:3" ht="16" customHeight="1" x14ac:dyDescent="0.35">
      <c r="A173" t="s">
        <v>10</v>
      </c>
      <c r="B173" s="95">
        <v>44136</v>
      </c>
      <c r="C173" t="s">
        <v>263</v>
      </c>
    </row>
    <row r="174" spans="1:3" ht="16" customHeight="1" thickBot="1" x14ac:dyDescent="0.4">
      <c r="A174" t="s">
        <v>10</v>
      </c>
      <c r="B174" s="95">
        <v>44105</v>
      </c>
      <c r="C174" t="s">
        <v>264</v>
      </c>
    </row>
    <row r="175" spans="1:3" ht="16" customHeight="1" x14ac:dyDescent="0.35">
      <c r="A175" t="s">
        <v>10</v>
      </c>
      <c r="B175" s="95">
        <v>44075</v>
      </c>
      <c r="C175" t="s">
        <v>265</v>
      </c>
    </row>
    <row r="176" spans="1:3" ht="32" customHeight="1" x14ac:dyDescent="0.35">
      <c r="A176" t="s">
        <v>10</v>
      </c>
      <c r="B176" s="95">
        <v>44044</v>
      </c>
      <c r="C176" t="s">
        <v>266</v>
      </c>
    </row>
    <row r="177" spans="1:3" ht="16" customHeight="1" x14ac:dyDescent="0.35">
      <c r="A177" t="s">
        <v>10</v>
      </c>
      <c r="B177" s="95">
        <v>44013</v>
      </c>
      <c r="C177" t="s">
        <v>267</v>
      </c>
    </row>
    <row r="178" spans="1:3" ht="32" customHeight="1" x14ac:dyDescent="0.35">
      <c r="A178" t="s">
        <v>10</v>
      </c>
      <c r="B178" s="95">
        <v>43983</v>
      </c>
      <c r="C178" t="s">
        <v>268</v>
      </c>
    </row>
    <row r="179" spans="1:3" ht="16" customHeight="1" x14ac:dyDescent="0.35">
      <c r="A179" t="s">
        <v>10</v>
      </c>
      <c r="B179" s="95">
        <v>43952</v>
      </c>
      <c r="C179" t="s">
        <v>269</v>
      </c>
    </row>
    <row r="180" spans="1:3" ht="16" customHeight="1" x14ac:dyDescent="0.35">
      <c r="A180" t="s">
        <v>10</v>
      </c>
      <c r="B180" s="95">
        <v>43922</v>
      </c>
      <c r="C180" t="s">
        <v>270</v>
      </c>
    </row>
    <row r="181" spans="1:3" ht="16" customHeight="1" x14ac:dyDescent="0.35">
      <c r="A181" t="s">
        <v>10</v>
      </c>
      <c r="B181" s="95">
        <v>43891</v>
      </c>
      <c r="C181" t="s">
        <v>271</v>
      </c>
    </row>
    <row r="182" spans="1:3" ht="16" customHeight="1" x14ac:dyDescent="0.35">
      <c r="A182" t="s">
        <v>10</v>
      </c>
      <c r="B182" s="95">
        <v>43862</v>
      </c>
      <c r="C182" t="s">
        <v>272</v>
      </c>
    </row>
    <row r="183" spans="1:3" ht="16" customHeight="1" x14ac:dyDescent="0.35">
      <c r="A183" t="s">
        <v>10</v>
      </c>
      <c r="B183" s="95">
        <v>43831</v>
      </c>
      <c r="C183" t="s">
        <v>273</v>
      </c>
    </row>
    <row r="184" spans="1:3" ht="16" customHeight="1" x14ac:dyDescent="0.35">
      <c r="A184" t="s">
        <v>10</v>
      </c>
      <c r="B184" s="95">
        <v>43800</v>
      </c>
      <c r="C184" t="s">
        <v>274</v>
      </c>
    </row>
    <row r="185" spans="1:3" ht="16" customHeight="1" x14ac:dyDescent="0.35">
      <c r="A185" t="s">
        <v>10</v>
      </c>
      <c r="B185" s="95">
        <v>43739</v>
      </c>
      <c r="C185" t="s">
        <v>275</v>
      </c>
    </row>
    <row r="186" spans="1:3" ht="32" customHeight="1" x14ac:dyDescent="0.35">
      <c r="A186" t="s">
        <v>10</v>
      </c>
      <c r="B186" s="95">
        <v>43709</v>
      </c>
      <c r="C186" t="s">
        <v>276</v>
      </c>
    </row>
    <row r="187" spans="1:3" ht="16" customHeight="1" x14ac:dyDescent="0.35">
      <c r="A187" t="s">
        <v>10</v>
      </c>
      <c r="B187" s="95">
        <v>43678</v>
      </c>
      <c r="C187" t="s">
        <v>277</v>
      </c>
    </row>
    <row r="188" spans="1:3" ht="16" customHeight="1" x14ac:dyDescent="0.35">
      <c r="A188" t="s">
        <v>10</v>
      </c>
      <c r="B188" s="95">
        <v>43647</v>
      </c>
      <c r="C188" t="s">
        <v>278</v>
      </c>
    </row>
    <row r="189" spans="1:3" ht="16" customHeight="1" x14ac:dyDescent="0.35">
      <c r="A189" t="s">
        <v>10</v>
      </c>
      <c r="B189" s="95">
        <v>43617</v>
      </c>
      <c r="C189" t="s">
        <v>279</v>
      </c>
    </row>
    <row r="190" spans="1:3" ht="16" customHeight="1" x14ac:dyDescent="0.35">
      <c r="A190" t="s">
        <v>10</v>
      </c>
      <c r="B190" s="95">
        <v>43586</v>
      </c>
      <c r="C190" t="s">
        <v>280</v>
      </c>
    </row>
    <row r="191" spans="1:3" ht="16" customHeight="1" x14ac:dyDescent="0.35">
      <c r="A191" t="s">
        <v>10</v>
      </c>
      <c r="B191" s="95">
        <v>43556</v>
      </c>
      <c r="C191" t="s">
        <v>281</v>
      </c>
    </row>
    <row r="192" spans="1:3" ht="16" customHeight="1" x14ac:dyDescent="0.35">
      <c r="A192" t="s">
        <v>10</v>
      </c>
      <c r="B192" s="95">
        <v>43525</v>
      </c>
      <c r="C192" t="s">
        <v>282</v>
      </c>
    </row>
    <row r="193" spans="1:3" ht="16" customHeight="1" x14ac:dyDescent="0.35">
      <c r="A193" t="s">
        <v>10</v>
      </c>
      <c r="B193" s="95">
        <v>43466</v>
      </c>
      <c r="C193" t="s">
        <v>283</v>
      </c>
    </row>
    <row r="194" spans="1:3" ht="16" customHeight="1" x14ac:dyDescent="0.35">
      <c r="A194" t="s">
        <v>18</v>
      </c>
      <c r="B194" s="95">
        <v>44621</v>
      </c>
      <c r="C194" t="s">
        <v>284</v>
      </c>
    </row>
    <row r="195" spans="1:3" ht="32" customHeight="1" x14ac:dyDescent="0.35">
      <c r="A195" t="s">
        <v>18</v>
      </c>
      <c r="B195" s="95">
        <v>44562</v>
      </c>
      <c r="C195" t="s">
        <v>285</v>
      </c>
    </row>
    <row r="196" spans="1:3" ht="32" customHeight="1" x14ac:dyDescent="0.35">
      <c r="A196" t="s">
        <v>18</v>
      </c>
      <c r="B196" s="95">
        <v>44531</v>
      </c>
      <c r="C196" t="s">
        <v>286</v>
      </c>
    </row>
    <row r="197" spans="1:3" ht="16" customHeight="1" x14ac:dyDescent="0.35">
      <c r="A197" t="s">
        <v>18</v>
      </c>
      <c r="B197" s="95">
        <v>44470</v>
      </c>
      <c r="C197" t="s">
        <v>287</v>
      </c>
    </row>
    <row r="198" spans="1:3" ht="16" customHeight="1" x14ac:dyDescent="0.35">
      <c r="A198" t="s">
        <v>18</v>
      </c>
      <c r="B198" s="95">
        <v>44440</v>
      </c>
      <c r="C198" t="s">
        <v>288</v>
      </c>
    </row>
    <row r="199" spans="1:3" ht="17" customHeight="1" x14ac:dyDescent="0.35">
      <c r="A199" t="s">
        <v>18</v>
      </c>
      <c r="B199" s="95">
        <v>44409</v>
      </c>
      <c r="C199" t="s">
        <v>289</v>
      </c>
    </row>
    <row r="200" spans="1:3" ht="30" customHeight="1" x14ac:dyDescent="0.35">
      <c r="A200" t="s">
        <v>18</v>
      </c>
      <c r="B200" s="95">
        <v>44378</v>
      </c>
      <c r="C200" t="s">
        <v>290</v>
      </c>
    </row>
    <row r="201" spans="1:3" ht="32" customHeight="1" x14ac:dyDescent="0.35">
      <c r="A201" t="s">
        <v>18</v>
      </c>
      <c r="B201" s="95">
        <v>44348</v>
      </c>
      <c r="C201" t="s">
        <v>291</v>
      </c>
    </row>
    <row r="202" spans="1:3" ht="16" customHeight="1" x14ac:dyDescent="0.35">
      <c r="A202" t="s">
        <v>18</v>
      </c>
      <c r="B202" s="95">
        <v>44317</v>
      </c>
      <c r="C202" t="s">
        <v>292</v>
      </c>
    </row>
    <row r="203" spans="1:3" ht="16" customHeight="1" x14ac:dyDescent="0.35">
      <c r="A203" t="s">
        <v>18</v>
      </c>
      <c r="B203" s="95">
        <v>44287</v>
      </c>
      <c r="C203" t="s">
        <v>293</v>
      </c>
    </row>
    <row r="204" spans="1:3" ht="32" customHeight="1" x14ac:dyDescent="0.35">
      <c r="A204" t="s">
        <v>18</v>
      </c>
      <c r="B204" s="95">
        <v>44256</v>
      </c>
      <c r="C204" t="s">
        <v>294</v>
      </c>
    </row>
    <row r="205" spans="1:3" ht="16" customHeight="1" x14ac:dyDescent="0.35">
      <c r="A205" t="s">
        <v>18</v>
      </c>
      <c r="B205" s="95">
        <v>44136</v>
      </c>
      <c r="C205" t="s">
        <v>295</v>
      </c>
    </row>
    <row r="206" spans="1:3" ht="16" customHeight="1" thickBot="1" x14ac:dyDescent="0.4">
      <c r="A206" t="s">
        <v>18</v>
      </c>
      <c r="B206" s="95">
        <v>44105</v>
      </c>
      <c r="C206" t="s">
        <v>296</v>
      </c>
    </row>
    <row r="207" spans="1:3" ht="16" customHeight="1" x14ac:dyDescent="0.35">
      <c r="A207" t="s">
        <v>18</v>
      </c>
      <c r="B207" s="95">
        <v>44013</v>
      </c>
      <c r="C207" t="s">
        <v>297</v>
      </c>
    </row>
    <row r="208" spans="1:3" ht="16" customHeight="1" x14ac:dyDescent="0.35">
      <c r="A208" t="s">
        <v>18</v>
      </c>
      <c r="B208" s="95">
        <v>43922</v>
      </c>
      <c r="C208" t="s">
        <v>298</v>
      </c>
    </row>
    <row r="209" spans="1:3" ht="16" customHeight="1" x14ac:dyDescent="0.35">
      <c r="A209" t="s">
        <v>18</v>
      </c>
      <c r="B209" s="95">
        <v>43891</v>
      </c>
      <c r="C209" t="s">
        <v>299</v>
      </c>
    </row>
    <row r="210" spans="1:3" ht="16" customHeight="1" x14ac:dyDescent="0.35">
      <c r="A210" t="s">
        <v>18</v>
      </c>
      <c r="B210" s="95">
        <v>43862</v>
      </c>
      <c r="C210" t="s">
        <v>300</v>
      </c>
    </row>
    <row r="211" spans="1:3" ht="16" customHeight="1" x14ac:dyDescent="0.35">
      <c r="A211" t="s">
        <v>18</v>
      </c>
      <c r="B211" s="95">
        <v>43831</v>
      </c>
      <c r="C211" t="s">
        <v>301</v>
      </c>
    </row>
    <row r="212" spans="1:3" ht="16" customHeight="1" x14ac:dyDescent="0.35">
      <c r="A212" t="s">
        <v>18</v>
      </c>
      <c r="B212" s="95">
        <v>43770</v>
      </c>
      <c r="C212" t="s">
        <v>302</v>
      </c>
    </row>
    <row r="213" spans="1:3" ht="16" customHeight="1" x14ac:dyDescent="0.35">
      <c r="A213" t="s">
        <v>18</v>
      </c>
      <c r="B213" s="95">
        <v>43709</v>
      </c>
      <c r="C213" t="s">
        <v>303</v>
      </c>
    </row>
    <row r="214" spans="1:3" ht="16" customHeight="1" x14ac:dyDescent="0.35">
      <c r="A214" t="s">
        <v>18</v>
      </c>
      <c r="B214" s="95">
        <v>43678</v>
      </c>
      <c r="C214" t="s">
        <v>304</v>
      </c>
    </row>
    <row r="215" spans="1:3" ht="16" customHeight="1" x14ac:dyDescent="0.35">
      <c r="A215" t="s">
        <v>18</v>
      </c>
      <c r="B215" s="95">
        <v>43647</v>
      </c>
      <c r="C215" t="s">
        <v>305</v>
      </c>
    </row>
    <row r="216" spans="1:3" ht="17" customHeight="1" x14ac:dyDescent="0.35">
      <c r="A216" t="s">
        <v>18</v>
      </c>
      <c r="B216" s="95">
        <v>43525</v>
      </c>
      <c r="C216" t="s">
        <v>306</v>
      </c>
    </row>
    <row r="217" spans="1:3" ht="30" customHeight="1" x14ac:dyDescent="0.35">
      <c r="A217" t="s">
        <v>18</v>
      </c>
      <c r="B217" s="95">
        <v>43466</v>
      </c>
      <c r="C217" t="s">
        <v>307</v>
      </c>
    </row>
    <row r="218" spans="1:3" ht="16" customHeight="1" x14ac:dyDescent="0.35">
      <c r="A218" t="s">
        <v>11</v>
      </c>
      <c r="B218" s="95">
        <v>44896</v>
      </c>
      <c r="C218" t="s">
        <v>308</v>
      </c>
    </row>
    <row r="219" spans="1:3" ht="32" customHeight="1" x14ac:dyDescent="0.35">
      <c r="A219" t="s">
        <v>11</v>
      </c>
      <c r="B219" s="95">
        <v>44866</v>
      </c>
      <c r="C219" t="s">
        <v>309</v>
      </c>
    </row>
    <row r="220" spans="1:3" ht="32" customHeight="1" x14ac:dyDescent="0.35">
      <c r="A220" t="s">
        <v>11</v>
      </c>
      <c r="B220" s="95">
        <v>44835</v>
      </c>
      <c r="C220" t="s">
        <v>310</v>
      </c>
    </row>
    <row r="221" spans="1:3" ht="16" customHeight="1" x14ac:dyDescent="0.35">
      <c r="A221" t="s">
        <v>11</v>
      </c>
      <c r="B221" s="95">
        <v>44774</v>
      </c>
      <c r="C221" t="s">
        <v>311</v>
      </c>
    </row>
    <row r="222" spans="1:3" ht="16" customHeight="1" x14ac:dyDescent="0.35">
      <c r="A222" t="s">
        <v>11</v>
      </c>
      <c r="B222" s="95">
        <v>44743</v>
      </c>
      <c r="C222" t="s">
        <v>312</v>
      </c>
    </row>
    <row r="223" spans="1:3" ht="16" customHeight="1" x14ac:dyDescent="0.35">
      <c r="A223" t="s">
        <v>11</v>
      </c>
      <c r="B223" s="95">
        <v>44713</v>
      </c>
      <c r="C223" t="s">
        <v>313</v>
      </c>
    </row>
    <row r="224" spans="1:3" ht="16" customHeight="1" thickBot="1" x14ac:dyDescent="0.4">
      <c r="A224" t="s">
        <v>11</v>
      </c>
      <c r="B224" s="95">
        <v>44682</v>
      </c>
      <c r="C224" t="s">
        <v>314</v>
      </c>
    </row>
    <row r="225" spans="1:3" ht="16" customHeight="1" x14ac:dyDescent="0.35">
      <c r="A225" t="s">
        <v>11</v>
      </c>
      <c r="B225" s="95">
        <v>44652</v>
      </c>
      <c r="C225" t="s">
        <v>315</v>
      </c>
    </row>
    <row r="226" spans="1:3" ht="16" customHeight="1" x14ac:dyDescent="0.35">
      <c r="A226" t="s">
        <v>11</v>
      </c>
      <c r="B226" s="95">
        <v>44621</v>
      </c>
      <c r="C226" t="s">
        <v>316</v>
      </c>
    </row>
    <row r="227" spans="1:3" ht="16" customHeight="1" x14ac:dyDescent="0.35">
      <c r="A227" t="s">
        <v>11</v>
      </c>
      <c r="B227" s="95">
        <v>44593</v>
      </c>
      <c r="C227" t="s">
        <v>317</v>
      </c>
    </row>
    <row r="228" spans="1:3" ht="17" customHeight="1" x14ac:dyDescent="0.35">
      <c r="A228" t="s">
        <v>11</v>
      </c>
      <c r="B228" s="95">
        <v>44562</v>
      </c>
      <c r="C228" t="s">
        <v>318</v>
      </c>
    </row>
    <row r="229" spans="1:3" ht="16" customHeight="1" x14ac:dyDescent="0.35">
      <c r="A229" t="s">
        <v>11</v>
      </c>
      <c r="B229" s="95">
        <v>44531</v>
      </c>
      <c r="C229" t="s">
        <v>319</v>
      </c>
    </row>
    <row r="230" spans="1:3" ht="16" customHeight="1" x14ac:dyDescent="0.35">
      <c r="A230" t="s">
        <v>11</v>
      </c>
      <c r="B230" s="95">
        <v>44470</v>
      </c>
      <c r="C230" t="s">
        <v>320</v>
      </c>
    </row>
    <row r="231" spans="1:3" ht="16" customHeight="1" x14ac:dyDescent="0.35">
      <c r="A231" t="s">
        <v>11</v>
      </c>
      <c r="B231" s="95">
        <v>44440</v>
      </c>
      <c r="C231" t="s">
        <v>321</v>
      </c>
    </row>
    <row r="232" spans="1:3" ht="16" customHeight="1" x14ac:dyDescent="0.35">
      <c r="A232" t="s">
        <v>11</v>
      </c>
      <c r="B232" s="95">
        <v>44409</v>
      </c>
      <c r="C232" t="s">
        <v>322</v>
      </c>
    </row>
    <row r="233" spans="1:3" ht="16" customHeight="1" x14ac:dyDescent="0.35">
      <c r="A233" t="s">
        <v>11</v>
      </c>
      <c r="B233" s="95">
        <v>44378</v>
      </c>
      <c r="C233" t="s">
        <v>323</v>
      </c>
    </row>
    <row r="234" spans="1:3" ht="16" customHeight="1" x14ac:dyDescent="0.35">
      <c r="A234" t="s">
        <v>11</v>
      </c>
      <c r="B234" s="95">
        <v>44348</v>
      </c>
      <c r="C234" t="s">
        <v>324</v>
      </c>
    </row>
    <row r="235" spans="1:3" ht="16" customHeight="1" x14ac:dyDescent="0.35">
      <c r="A235" t="s">
        <v>11</v>
      </c>
      <c r="B235" s="95">
        <v>44287</v>
      </c>
      <c r="C235" t="s">
        <v>325</v>
      </c>
    </row>
    <row r="236" spans="1:3" ht="17" customHeight="1" thickBot="1" x14ac:dyDescent="0.4">
      <c r="A236" t="s">
        <v>11</v>
      </c>
      <c r="B236" s="95">
        <v>44256</v>
      </c>
      <c r="C236" t="s">
        <v>326</v>
      </c>
    </row>
    <row r="237" spans="1:3" ht="16" customHeight="1" x14ac:dyDescent="0.35">
      <c r="A237" t="s">
        <v>11</v>
      </c>
      <c r="B237" s="95">
        <v>44228</v>
      </c>
      <c r="C237" t="s">
        <v>327</v>
      </c>
    </row>
    <row r="238" spans="1:3" ht="32" customHeight="1" x14ac:dyDescent="0.35">
      <c r="A238" t="s">
        <v>11</v>
      </c>
      <c r="B238" s="95">
        <v>44197</v>
      </c>
      <c r="C238" t="s">
        <v>328</v>
      </c>
    </row>
    <row r="239" spans="1:3" ht="16" customHeight="1" x14ac:dyDescent="0.35">
      <c r="A239" t="s">
        <v>11</v>
      </c>
      <c r="B239" s="95">
        <v>44166</v>
      </c>
      <c r="C239" t="s">
        <v>329</v>
      </c>
    </row>
    <row r="240" spans="1:3" ht="16" customHeight="1" x14ac:dyDescent="0.35">
      <c r="A240" t="s">
        <v>11</v>
      </c>
      <c r="B240" s="95">
        <v>44136</v>
      </c>
      <c r="C240" t="s">
        <v>330</v>
      </c>
    </row>
    <row r="241" spans="1:3" ht="16" customHeight="1" x14ac:dyDescent="0.35">
      <c r="A241" t="s">
        <v>11</v>
      </c>
      <c r="B241" s="95">
        <v>44105</v>
      </c>
      <c r="C241" t="s">
        <v>331</v>
      </c>
    </row>
    <row r="242" spans="1:3" ht="16" customHeight="1" x14ac:dyDescent="0.35">
      <c r="A242" t="s">
        <v>11</v>
      </c>
      <c r="B242" s="95">
        <v>44075</v>
      </c>
      <c r="C242" t="s">
        <v>332</v>
      </c>
    </row>
    <row r="243" spans="1:3" ht="16" customHeight="1" x14ac:dyDescent="0.35">
      <c r="A243" t="s">
        <v>11</v>
      </c>
      <c r="B243" s="95">
        <v>44044</v>
      </c>
      <c r="C243" t="s">
        <v>333</v>
      </c>
    </row>
    <row r="244" spans="1:3" ht="16" customHeight="1" thickBot="1" x14ac:dyDescent="0.4">
      <c r="A244" t="s">
        <v>11</v>
      </c>
      <c r="B244" s="95">
        <v>44013</v>
      </c>
      <c r="C244" t="s">
        <v>334</v>
      </c>
    </row>
    <row r="245" spans="1:3" ht="16" customHeight="1" x14ac:dyDescent="0.35">
      <c r="A245" t="s">
        <v>11</v>
      </c>
      <c r="B245" s="95">
        <v>43983</v>
      </c>
      <c r="C245" t="s">
        <v>335</v>
      </c>
    </row>
    <row r="246" spans="1:3" ht="16" customHeight="1" x14ac:dyDescent="0.35">
      <c r="A246" t="s">
        <v>11</v>
      </c>
      <c r="B246" s="95">
        <v>43952</v>
      </c>
      <c r="C246" t="s">
        <v>336</v>
      </c>
    </row>
    <row r="247" spans="1:3" ht="16" customHeight="1" x14ac:dyDescent="0.35">
      <c r="A247" t="s">
        <v>11</v>
      </c>
      <c r="B247" s="95">
        <v>43891</v>
      </c>
      <c r="C247" t="s">
        <v>337</v>
      </c>
    </row>
    <row r="248" spans="1:3" ht="16" customHeight="1" x14ac:dyDescent="0.35">
      <c r="A248" t="s">
        <v>11</v>
      </c>
      <c r="B248" s="95">
        <v>43862</v>
      </c>
      <c r="C248" t="s">
        <v>338</v>
      </c>
    </row>
    <row r="249" spans="1:3" ht="16" customHeight="1" x14ac:dyDescent="0.35">
      <c r="A249" t="s">
        <v>11</v>
      </c>
      <c r="B249" s="95">
        <v>43831</v>
      </c>
      <c r="C249" t="s">
        <v>339</v>
      </c>
    </row>
    <row r="250" spans="1:3" ht="16" customHeight="1" x14ac:dyDescent="0.35">
      <c r="A250" t="s">
        <v>11</v>
      </c>
      <c r="B250" s="95">
        <v>43800</v>
      </c>
      <c r="C250" t="s">
        <v>340</v>
      </c>
    </row>
    <row r="251" spans="1:3" ht="16" customHeight="1" x14ac:dyDescent="0.35">
      <c r="A251" t="s">
        <v>11</v>
      </c>
      <c r="B251" s="95">
        <v>43770</v>
      </c>
      <c r="C251" t="s">
        <v>341</v>
      </c>
    </row>
    <row r="252" spans="1:3" ht="32" customHeight="1" x14ac:dyDescent="0.35">
      <c r="A252" t="s">
        <v>11</v>
      </c>
      <c r="B252" s="95">
        <v>43739</v>
      </c>
      <c r="C252" t="s">
        <v>342</v>
      </c>
    </row>
    <row r="253" spans="1:3" ht="32" customHeight="1" x14ac:dyDescent="0.35">
      <c r="A253" t="s">
        <v>11</v>
      </c>
      <c r="B253" s="95">
        <v>43709</v>
      </c>
      <c r="C253" t="s">
        <v>343</v>
      </c>
    </row>
    <row r="254" spans="1:3" ht="16" customHeight="1" x14ac:dyDescent="0.35">
      <c r="A254" t="s">
        <v>11</v>
      </c>
      <c r="B254" s="95">
        <v>43678</v>
      </c>
      <c r="C254" t="s">
        <v>344</v>
      </c>
    </row>
    <row r="255" spans="1:3" ht="17" customHeight="1" x14ac:dyDescent="0.35">
      <c r="A255" t="s">
        <v>11</v>
      </c>
      <c r="B255" s="95">
        <v>43647</v>
      </c>
      <c r="C255" t="s">
        <v>345</v>
      </c>
    </row>
    <row r="256" spans="1:3" ht="16" customHeight="1" x14ac:dyDescent="0.35">
      <c r="A256" t="s">
        <v>11</v>
      </c>
      <c r="B256" s="95">
        <v>43617</v>
      </c>
      <c r="C256" t="s">
        <v>346</v>
      </c>
    </row>
    <row r="257" spans="1:3" ht="16" customHeight="1" x14ac:dyDescent="0.35">
      <c r="A257" t="s">
        <v>11</v>
      </c>
      <c r="B257" s="95">
        <v>43586</v>
      </c>
      <c r="C257" t="s">
        <v>347</v>
      </c>
    </row>
    <row r="258" spans="1:3" ht="32" customHeight="1" x14ac:dyDescent="0.35">
      <c r="A258" t="s">
        <v>11</v>
      </c>
      <c r="B258" s="95">
        <v>43556</v>
      </c>
      <c r="C258" t="s">
        <v>348</v>
      </c>
    </row>
    <row r="259" spans="1:3" ht="16" customHeight="1" x14ac:dyDescent="0.35">
      <c r="A259" t="s">
        <v>11</v>
      </c>
      <c r="B259" s="95">
        <v>43525</v>
      </c>
      <c r="C259" t="s">
        <v>349</v>
      </c>
    </row>
    <row r="260" spans="1:3" ht="16" customHeight="1" x14ac:dyDescent="0.35">
      <c r="A260" t="s">
        <v>11</v>
      </c>
      <c r="B260" s="95">
        <v>43497</v>
      </c>
      <c r="C260" t="s">
        <v>350</v>
      </c>
    </row>
    <row r="261" spans="1:3" ht="32" customHeight="1" x14ac:dyDescent="0.35">
      <c r="A261" t="s">
        <v>11</v>
      </c>
      <c r="B261" s="95">
        <v>43466</v>
      </c>
      <c r="C261" t="s">
        <v>351</v>
      </c>
    </row>
    <row r="262" spans="1:3" ht="16" customHeight="1" x14ac:dyDescent="0.35">
      <c r="A262" t="s">
        <v>7</v>
      </c>
      <c r="B262" s="95">
        <v>44927</v>
      </c>
      <c r="C262" t="s">
        <v>352</v>
      </c>
    </row>
    <row r="263" spans="1:3" ht="16" customHeight="1" thickBot="1" x14ac:dyDescent="0.4">
      <c r="A263" t="s">
        <v>7</v>
      </c>
      <c r="B263" s="95">
        <v>44896</v>
      </c>
      <c r="C263" t="s">
        <v>353</v>
      </c>
    </row>
    <row r="264" spans="1:3" ht="16" customHeight="1" x14ac:dyDescent="0.35">
      <c r="A264" t="s">
        <v>7</v>
      </c>
      <c r="B264" s="95">
        <v>44835</v>
      </c>
      <c r="C264" t="s">
        <v>354</v>
      </c>
    </row>
    <row r="265" spans="1:3" ht="16" customHeight="1" x14ac:dyDescent="0.35">
      <c r="A265" t="s">
        <v>7</v>
      </c>
      <c r="B265" s="95">
        <v>44805</v>
      </c>
      <c r="C265" t="s">
        <v>355</v>
      </c>
    </row>
    <row r="266" spans="1:3" ht="16" customHeight="1" x14ac:dyDescent="0.35">
      <c r="A266" t="s">
        <v>7</v>
      </c>
      <c r="B266" s="95">
        <v>44774</v>
      </c>
      <c r="C266" t="s">
        <v>356</v>
      </c>
    </row>
    <row r="267" spans="1:3" ht="16" customHeight="1" x14ac:dyDescent="0.35">
      <c r="A267" t="s">
        <v>7</v>
      </c>
      <c r="B267" s="95">
        <v>44682</v>
      </c>
      <c r="C267" t="s">
        <v>357</v>
      </c>
    </row>
    <row r="268" spans="1:3" ht="16" customHeight="1" x14ac:dyDescent="0.35">
      <c r="A268" t="s">
        <v>7</v>
      </c>
      <c r="B268" s="95">
        <v>44652</v>
      </c>
      <c r="C268" t="s">
        <v>358</v>
      </c>
    </row>
    <row r="269" spans="1:3" ht="16" customHeight="1" x14ac:dyDescent="0.35">
      <c r="A269" t="s">
        <v>7</v>
      </c>
      <c r="B269" s="95">
        <v>44621</v>
      </c>
      <c r="C269" t="s">
        <v>359</v>
      </c>
    </row>
    <row r="270" spans="1:3" ht="16" customHeight="1" x14ac:dyDescent="0.35">
      <c r="A270" t="s">
        <v>7</v>
      </c>
      <c r="B270" s="95">
        <v>44593</v>
      </c>
      <c r="C270" t="s">
        <v>360</v>
      </c>
    </row>
    <row r="271" spans="1:3" ht="16" customHeight="1" x14ac:dyDescent="0.35">
      <c r="A271" t="s">
        <v>7</v>
      </c>
      <c r="B271" s="95">
        <v>44562</v>
      </c>
      <c r="C271" t="s">
        <v>361</v>
      </c>
    </row>
    <row r="272" spans="1:3" ht="16" customHeight="1" x14ac:dyDescent="0.35">
      <c r="A272" t="s">
        <v>7</v>
      </c>
      <c r="B272" s="95">
        <v>44531</v>
      </c>
      <c r="C272" t="s">
        <v>362</v>
      </c>
    </row>
    <row r="273" spans="1:3" ht="16" customHeight="1" x14ac:dyDescent="0.35">
      <c r="A273" t="s">
        <v>7</v>
      </c>
      <c r="B273" s="95">
        <v>44470</v>
      </c>
      <c r="C273" t="s">
        <v>363</v>
      </c>
    </row>
    <row r="274" spans="1:3" ht="16" customHeight="1" x14ac:dyDescent="0.35">
      <c r="A274" t="s">
        <v>7</v>
      </c>
      <c r="B274" s="95">
        <v>44440</v>
      </c>
      <c r="C274" t="s">
        <v>364</v>
      </c>
    </row>
    <row r="275" spans="1:3" ht="16" customHeight="1" x14ac:dyDescent="0.35">
      <c r="A275" t="s">
        <v>7</v>
      </c>
      <c r="B275" s="95">
        <v>44378</v>
      </c>
      <c r="C275" t="s">
        <v>365</v>
      </c>
    </row>
    <row r="276" spans="1:3" ht="16" customHeight="1" x14ac:dyDescent="0.35">
      <c r="A276" t="s">
        <v>7</v>
      </c>
      <c r="B276" s="95">
        <v>44197</v>
      </c>
      <c r="C276" t="s">
        <v>366</v>
      </c>
    </row>
    <row r="277" spans="1:3" ht="16" customHeight="1" x14ac:dyDescent="0.35">
      <c r="A277" t="s">
        <v>7</v>
      </c>
      <c r="B277" s="95">
        <v>44166</v>
      </c>
      <c r="C277" t="s">
        <v>367</v>
      </c>
    </row>
    <row r="278" spans="1:3" ht="16" customHeight="1" x14ac:dyDescent="0.35">
      <c r="A278" t="s">
        <v>7</v>
      </c>
      <c r="B278" s="95">
        <v>44105</v>
      </c>
      <c r="C278" t="s">
        <v>368</v>
      </c>
    </row>
    <row r="279" spans="1:3" ht="16" customHeight="1" x14ac:dyDescent="0.35">
      <c r="A279" t="s">
        <v>7</v>
      </c>
      <c r="B279" s="95">
        <v>44013</v>
      </c>
      <c r="C279" t="s">
        <v>369</v>
      </c>
    </row>
    <row r="280" spans="1:3" ht="16" customHeight="1" x14ac:dyDescent="0.35">
      <c r="A280" t="s">
        <v>7</v>
      </c>
      <c r="B280" s="95">
        <v>43983</v>
      </c>
      <c r="C280" t="s">
        <v>370</v>
      </c>
    </row>
    <row r="281" spans="1:3" ht="16" customHeight="1" x14ac:dyDescent="0.35">
      <c r="A281" t="s">
        <v>7</v>
      </c>
      <c r="B281" s="95">
        <v>43891</v>
      </c>
      <c r="C281" t="s">
        <v>371</v>
      </c>
    </row>
    <row r="282" spans="1:3" ht="16" customHeight="1" x14ac:dyDescent="0.35">
      <c r="A282" t="s">
        <v>7</v>
      </c>
      <c r="B282" s="95">
        <v>43800</v>
      </c>
      <c r="C282" t="s">
        <v>372</v>
      </c>
    </row>
    <row r="283" spans="1:3" ht="17" customHeight="1" x14ac:dyDescent="0.35">
      <c r="A283" t="s">
        <v>7</v>
      </c>
      <c r="B283" s="95">
        <v>43709</v>
      </c>
      <c r="C283" t="s">
        <v>373</v>
      </c>
    </row>
    <row r="284" spans="1:3" ht="16" customHeight="1" x14ac:dyDescent="0.35">
      <c r="A284" t="s">
        <v>7</v>
      </c>
      <c r="B284" s="95">
        <v>43678</v>
      </c>
      <c r="C284" t="s">
        <v>374</v>
      </c>
    </row>
    <row r="285" spans="1:3" ht="16" customHeight="1" x14ac:dyDescent="0.35">
      <c r="A285" t="s">
        <v>7</v>
      </c>
      <c r="B285" s="95">
        <v>43647</v>
      </c>
      <c r="C285" t="s">
        <v>375</v>
      </c>
    </row>
    <row r="286" spans="1:3" ht="16" customHeight="1" x14ac:dyDescent="0.35">
      <c r="A286" t="s">
        <v>7</v>
      </c>
      <c r="B286" s="95">
        <v>43617</v>
      </c>
      <c r="C286" t="s">
        <v>376</v>
      </c>
    </row>
    <row r="287" spans="1:3" ht="16" customHeight="1" x14ac:dyDescent="0.35">
      <c r="A287" t="s">
        <v>7</v>
      </c>
      <c r="B287" s="95">
        <v>43586</v>
      </c>
      <c r="C287" t="s">
        <v>377</v>
      </c>
    </row>
    <row r="288" spans="1:3" ht="16" customHeight="1" x14ac:dyDescent="0.35">
      <c r="A288" t="s">
        <v>7</v>
      </c>
      <c r="B288" s="95">
        <v>43525</v>
      </c>
      <c r="C288" t="s">
        <v>378</v>
      </c>
    </row>
    <row r="289" spans="1:3" ht="16" customHeight="1" x14ac:dyDescent="0.35">
      <c r="A289" t="s">
        <v>7</v>
      </c>
      <c r="B289" s="95">
        <v>43497</v>
      </c>
      <c r="C289" t="s">
        <v>379</v>
      </c>
    </row>
    <row r="290" spans="1:3" ht="16" customHeight="1" x14ac:dyDescent="0.35">
      <c r="A290" t="s">
        <v>7</v>
      </c>
      <c r="B290" s="95">
        <v>43466</v>
      </c>
      <c r="C290" t="s">
        <v>380</v>
      </c>
    </row>
    <row r="291" spans="1:3" ht="16" customHeight="1" x14ac:dyDescent="0.35">
      <c r="A291" t="s">
        <v>20</v>
      </c>
      <c r="B291" s="95">
        <v>44927</v>
      </c>
      <c r="C291" t="s">
        <v>381</v>
      </c>
    </row>
    <row r="292" spans="1:3" ht="16" customHeight="1" thickBot="1" x14ac:dyDescent="0.4">
      <c r="A292" t="s">
        <v>20</v>
      </c>
      <c r="B292" s="95">
        <v>44896</v>
      </c>
      <c r="C292" t="s">
        <v>382</v>
      </c>
    </row>
    <row r="293" spans="1:3" ht="16" customHeight="1" x14ac:dyDescent="0.35">
      <c r="A293" t="s">
        <v>20</v>
      </c>
      <c r="B293" s="95">
        <v>44866</v>
      </c>
      <c r="C293" t="s">
        <v>383</v>
      </c>
    </row>
    <row r="294" spans="1:3" ht="16" customHeight="1" x14ac:dyDescent="0.35">
      <c r="A294" t="s">
        <v>20</v>
      </c>
      <c r="B294" s="95">
        <v>44835</v>
      </c>
      <c r="C294" t="s">
        <v>384</v>
      </c>
    </row>
    <row r="295" spans="1:3" ht="16" customHeight="1" x14ac:dyDescent="0.35">
      <c r="A295" t="s">
        <v>20</v>
      </c>
      <c r="B295" s="95">
        <v>44805</v>
      </c>
      <c r="C295" t="s">
        <v>385</v>
      </c>
    </row>
    <row r="296" spans="1:3" ht="32" customHeight="1" x14ac:dyDescent="0.35">
      <c r="A296" t="s">
        <v>20</v>
      </c>
      <c r="B296" s="95">
        <v>44743</v>
      </c>
      <c r="C296" t="s">
        <v>386</v>
      </c>
    </row>
    <row r="297" spans="1:3" ht="16" customHeight="1" x14ac:dyDescent="0.35">
      <c r="A297" t="s">
        <v>20</v>
      </c>
      <c r="B297" s="95">
        <v>44652</v>
      </c>
      <c r="C297" t="s">
        <v>387</v>
      </c>
    </row>
    <row r="298" spans="1:3" ht="16" customHeight="1" x14ac:dyDescent="0.35">
      <c r="A298" t="s">
        <v>20</v>
      </c>
      <c r="B298" s="95">
        <v>44562</v>
      </c>
      <c r="C298" t="s">
        <v>388</v>
      </c>
    </row>
    <row r="299" spans="1:3" ht="17" customHeight="1" x14ac:dyDescent="0.35">
      <c r="A299" t="s">
        <v>20</v>
      </c>
      <c r="B299" s="95">
        <v>44531</v>
      </c>
      <c r="C299" t="s">
        <v>389</v>
      </c>
    </row>
    <row r="300" spans="1:3" ht="31" customHeight="1" x14ac:dyDescent="0.35">
      <c r="A300" t="s">
        <v>20</v>
      </c>
      <c r="B300" s="95">
        <v>44378</v>
      </c>
      <c r="C300" t="s">
        <v>390</v>
      </c>
    </row>
    <row r="301" spans="1:3" ht="16" customHeight="1" x14ac:dyDescent="0.35">
      <c r="A301" t="s">
        <v>20</v>
      </c>
      <c r="B301" s="95">
        <v>44348</v>
      </c>
      <c r="C301" t="s">
        <v>391</v>
      </c>
    </row>
    <row r="302" spans="1:3" ht="16" customHeight="1" x14ac:dyDescent="0.35">
      <c r="A302" t="s">
        <v>20</v>
      </c>
      <c r="B302" s="95">
        <v>44317</v>
      </c>
      <c r="C302" t="s">
        <v>392</v>
      </c>
    </row>
    <row r="303" spans="1:3" ht="17" customHeight="1" x14ac:dyDescent="0.35">
      <c r="A303" t="s">
        <v>20</v>
      </c>
      <c r="B303" s="95">
        <v>44013</v>
      </c>
      <c r="C303" t="s">
        <v>393</v>
      </c>
    </row>
    <row r="304" spans="1:3" ht="32" customHeight="1" x14ac:dyDescent="0.35">
      <c r="A304" t="s">
        <v>20</v>
      </c>
      <c r="B304" s="95">
        <v>43952</v>
      </c>
      <c r="C304" t="s">
        <v>394</v>
      </c>
    </row>
    <row r="305" spans="1:3" ht="16" customHeight="1" x14ac:dyDescent="0.35">
      <c r="A305" t="s">
        <v>20</v>
      </c>
      <c r="B305" s="95">
        <v>43922</v>
      </c>
      <c r="C305" t="s">
        <v>395</v>
      </c>
    </row>
    <row r="306" spans="1:3" ht="16" customHeight="1" x14ac:dyDescent="0.35">
      <c r="A306" t="s">
        <v>20</v>
      </c>
      <c r="B306" s="95">
        <v>43800</v>
      </c>
      <c r="C306" t="s">
        <v>396</v>
      </c>
    </row>
    <row r="307" spans="1:3" ht="32" customHeight="1" x14ac:dyDescent="0.35">
      <c r="A307" t="s">
        <v>20</v>
      </c>
      <c r="B307" s="95">
        <v>43678</v>
      </c>
      <c r="C307" t="s">
        <v>397</v>
      </c>
    </row>
    <row r="308" spans="1:3" ht="16" customHeight="1" thickBot="1" x14ac:dyDescent="0.4">
      <c r="A308" t="s">
        <v>20</v>
      </c>
      <c r="B308" s="95">
        <v>43586</v>
      </c>
      <c r="C308" t="s">
        <v>398</v>
      </c>
    </row>
    <row r="309" spans="1:3" ht="32" customHeight="1" x14ac:dyDescent="0.35">
      <c r="A309" t="s">
        <v>20</v>
      </c>
      <c r="B309" s="95">
        <v>43556</v>
      </c>
      <c r="C309" t="s">
        <v>399</v>
      </c>
    </row>
    <row r="310" spans="1:3" ht="32" customHeight="1" x14ac:dyDescent="0.35">
      <c r="A310" t="s">
        <v>20</v>
      </c>
      <c r="B310" s="95">
        <v>43525</v>
      </c>
      <c r="C310" t="s">
        <v>400</v>
      </c>
    </row>
    <row r="311" spans="1:3" ht="32" customHeight="1" thickBot="1" x14ac:dyDescent="0.4">
      <c r="A311" t="s">
        <v>20</v>
      </c>
      <c r="B311" s="95">
        <v>43466</v>
      </c>
      <c r="C311" t="s">
        <v>401</v>
      </c>
    </row>
    <row r="312" spans="1:3" ht="16" customHeight="1" x14ac:dyDescent="0.35">
      <c r="A312" t="s">
        <v>13</v>
      </c>
      <c r="B312" s="95">
        <v>44682</v>
      </c>
      <c r="C312" t="s">
        <v>402</v>
      </c>
    </row>
    <row r="313" spans="1:3" ht="32" customHeight="1" x14ac:dyDescent="0.35">
      <c r="A313" t="s">
        <v>13</v>
      </c>
      <c r="B313" s="95">
        <v>44105</v>
      </c>
      <c r="C313" t="s">
        <v>403</v>
      </c>
    </row>
    <row r="314" spans="1:3" ht="32" customHeight="1" x14ac:dyDescent="0.35">
      <c r="A314" t="s">
        <v>13</v>
      </c>
      <c r="B314" s="95">
        <v>44075</v>
      </c>
      <c r="C314" t="s">
        <v>404</v>
      </c>
    </row>
    <row r="315" spans="1:3" ht="32" customHeight="1" x14ac:dyDescent="0.35">
      <c r="A315" t="s">
        <v>13</v>
      </c>
      <c r="B315" s="95">
        <v>44044</v>
      </c>
      <c r="C315" t="s">
        <v>405</v>
      </c>
    </row>
    <row r="316" spans="1:3" ht="32" customHeight="1" x14ac:dyDescent="0.35">
      <c r="A316" t="s">
        <v>13</v>
      </c>
      <c r="B316" s="95">
        <v>43922</v>
      </c>
      <c r="C316" t="s">
        <v>406</v>
      </c>
    </row>
    <row r="317" spans="1:3" ht="16" customHeight="1" x14ac:dyDescent="0.35">
      <c r="A317" t="s">
        <v>13</v>
      </c>
      <c r="B317" s="95">
        <v>43739</v>
      </c>
      <c r="C317" t="s">
        <v>407</v>
      </c>
    </row>
    <row r="318" spans="1:3" ht="16" customHeight="1" x14ac:dyDescent="0.35">
      <c r="A318" t="s">
        <v>13</v>
      </c>
      <c r="B318" s="95">
        <v>43497</v>
      </c>
      <c r="C318" t="s">
        <v>408</v>
      </c>
    </row>
    <row r="319" spans="1:3" ht="16" customHeight="1" x14ac:dyDescent="0.35">
      <c r="A319" t="s">
        <v>13</v>
      </c>
      <c r="B319" s="95">
        <v>43466</v>
      </c>
      <c r="C319" t="s">
        <v>409</v>
      </c>
    </row>
    <row r="320" spans="1:3" ht="16" customHeight="1" x14ac:dyDescent="0.35">
      <c r="A320" t="s">
        <v>16</v>
      </c>
      <c r="B320" s="95">
        <v>44531</v>
      </c>
      <c r="C320" t="s">
        <v>410</v>
      </c>
    </row>
    <row r="321" spans="1:3" ht="16" customHeight="1" x14ac:dyDescent="0.35">
      <c r="A321" t="s">
        <v>16</v>
      </c>
      <c r="B321" s="95">
        <v>44409</v>
      </c>
      <c r="C321" t="s">
        <v>411</v>
      </c>
    </row>
    <row r="322" spans="1:3" ht="32" customHeight="1" x14ac:dyDescent="0.35">
      <c r="A322" t="s">
        <v>16</v>
      </c>
      <c r="B322" s="95">
        <v>44348</v>
      </c>
      <c r="C322" t="s">
        <v>412</v>
      </c>
    </row>
    <row r="323" spans="1:3" ht="16" customHeight="1" x14ac:dyDescent="0.35">
      <c r="A323" t="s">
        <v>16</v>
      </c>
      <c r="B323" s="95">
        <v>44287</v>
      </c>
      <c r="C323" t="s">
        <v>413</v>
      </c>
    </row>
    <row r="324" spans="1:3" ht="16" customHeight="1" x14ac:dyDescent="0.35">
      <c r="A324" t="s">
        <v>16</v>
      </c>
      <c r="B324" s="95">
        <v>44256</v>
      </c>
      <c r="C324" t="s">
        <v>414</v>
      </c>
    </row>
    <row r="325" spans="1:3" ht="16" customHeight="1" x14ac:dyDescent="0.35">
      <c r="A325" t="s">
        <v>16</v>
      </c>
      <c r="B325" s="95">
        <v>44136</v>
      </c>
      <c r="C325" t="s">
        <v>415</v>
      </c>
    </row>
    <row r="326" spans="1:3" ht="16" customHeight="1" x14ac:dyDescent="0.35">
      <c r="A326" t="s">
        <v>16</v>
      </c>
      <c r="B326" s="95">
        <v>44075</v>
      </c>
      <c r="C326" t="s">
        <v>416</v>
      </c>
    </row>
    <row r="327" spans="1:3" ht="16" customHeight="1" x14ac:dyDescent="0.35">
      <c r="A327" t="s">
        <v>16</v>
      </c>
      <c r="B327" s="95">
        <v>44013</v>
      </c>
      <c r="C327" t="s">
        <v>417</v>
      </c>
    </row>
    <row r="328" spans="1:3" ht="16" customHeight="1" x14ac:dyDescent="0.35">
      <c r="A328" t="s">
        <v>16</v>
      </c>
      <c r="B328" s="95">
        <v>43983</v>
      </c>
      <c r="C328" t="s">
        <v>418</v>
      </c>
    </row>
    <row r="329" spans="1:3" ht="16" customHeight="1" x14ac:dyDescent="0.35">
      <c r="A329" t="s">
        <v>16</v>
      </c>
      <c r="B329" s="95">
        <v>43952</v>
      </c>
      <c r="C329" t="s">
        <v>419</v>
      </c>
    </row>
    <row r="330" spans="1:3" ht="32" customHeight="1" x14ac:dyDescent="0.35">
      <c r="A330" t="s">
        <v>16</v>
      </c>
      <c r="B330" s="95">
        <v>43922</v>
      </c>
      <c r="C330" t="s">
        <v>420</v>
      </c>
    </row>
    <row r="331" spans="1:3" ht="16" customHeight="1" x14ac:dyDescent="0.35">
      <c r="A331" t="s">
        <v>16</v>
      </c>
      <c r="B331" s="95">
        <v>43891</v>
      </c>
      <c r="C331" t="s">
        <v>421</v>
      </c>
    </row>
    <row r="332" spans="1:3" ht="16" customHeight="1" x14ac:dyDescent="0.35">
      <c r="A332" t="s">
        <v>16</v>
      </c>
      <c r="B332" s="95">
        <v>43862</v>
      </c>
      <c r="C332" t="s">
        <v>422</v>
      </c>
    </row>
    <row r="333" spans="1:3" ht="16" customHeight="1" x14ac:dyDescent="0.35">
      <c r="A333" t="s">
        <v>16</v>
      </c>
      <c r="B333" s="95">
        <v>43831</v>
      </c>
      <c r="C333" t="s">
        <v>423</v>
      </c>
    </row>
    <row r="334" spans="1:3" ht="16" customHeight="1" x14ac:dyDescent="0.35">
      <c r="A334" t="s">
        <v>16</v>
      </c>
      <c r="B334" s="95">
        <v>43770</v>
      </c>
      <c r="C334" t="s">
        <v>424</v>
      </c>
    </row>
    <row r="335" spans="1:3" ht="17" customHeight="1" x14ac:dyDescent="0.35">
      <c r="A335" t="s">
        <v>16</v>
      </c>
      <c r="B335" s="95">
        <v>43617</v>
      </c>
      <c r="C335" t="s">
        <v>425</v>
      </c>
    </row>
    <row r="336" spans="1:3" ht="16" customHeight="1" x14ac:dyDescent="0.35">
      <c r="A336" t="s">
        <v>16</v>
      </c>
      <c r="B336" s="95">
        <v>43586</v>
      </c>
      <c r="C336" t="s">
        <v>426</v>
      </c>
    </row>
    <row r="337" spans="1:3" ht="16" customHeight="1" x14ac:dyDescent="0.35">
      <c r="A337" t="s">
        <v>16</v>
      </c>
      <c r="B337" s="95">
        <v>43556</v>
      </c>
      <c r="C337" t="s">
        <v>427</v>
      </c>
    </row>
    <row r="338" spans="1:3" ht="16" customHeight="1" x14ac:dyDescent="0.35">
      <c r="A338" t="s">
        <v>16</v>
      </c>
      <c r="B338" s="95">
        <v>43525</v>
      </c>
      <c r="C338" t="s">
        <v>428</v>
      </c>
    </row>
    <row r="339" spans="1:3" ht="32" customHeight="1" x14ac:dyDescent="0.35">
      <c r="A339" t="s">
        <v>16</v>
      </c>
      <c r="B339" s="95">
        <v>43497</v>
      </c>
      <c r="C339" t="s">
        <v>429</v>
      </c>
    </row>
    <row r="340" spans="1:3" ht="16" customHeight="1" x14ac:dyDescent="0.35">
      <c r="A340" t="s">
        <v>8</v>
      </c>
      <c r="B340" s="95">
        <v>44866</v>
      </c>
      <c r="C340" t="s">
        <v>430</v>
      </c>
    </row>
    <row r="341" spans="1:3" ht="16" customHeight="1" x14ac:dyDescent="0.35">
      <c r="A341" t="s">
        <v>8</v>
      </c>
      <c r="B341" s="95">
        <v>44835</v>
      </c>
      <c r="C341" t="s">
        <v>431</v>
      </c>
    </row>
    <row r="342" spans="1:3" ht="33" customHeight="1" x14ac:dyDescent="0.35">
      <c r="A342" t="s">
        <v>8</v>
      </c>
      <c r="B342" s="95">
        <v>44805</v>
      </c>
      <c r="C342" t="s">
        <v>432</v>
      </c>
    </row>
    <row r="343" spans="1:3" x14ac:dyDescent="0.35">
      <c r="A343" t="s">
        <v>8</v>
      </c>
      <c r="B343" s="95">
        <v>44774</v>
      </c>
      <c r="C343" t="s">
        <v>433</v>
      </c>
    </row>
    <row r="344" spans="1:3" ht="16" customHeight="1" thickBot="1" x14ac:dyDescent="0.4">
      <c r="A344" t="s">
        <v>8</v>
      </c>
      <c r="B344" s="95">
        <v>44743</v>
      </c>
      <c r="C344" t="s">
        <v>434</v>
      </c>
    </row>
    <row r="345" spans="1:3" x14ac:dyDescent="0.35">
      <c r="A345" t="s">
        <v>8</v>
      </c>
      <c r="B345" s="95">
        <v>44682</v>
      </c>
      <c r="C345" t="s">
        <v>435</v>
      </c>
    </row>
    <row r="346" spans="1:3" x14ac:dyDescent="0.35">
      <c r="A346" t="s">
        <v>8</v>
      </c>
      <c r="B346" s="95">
        <v>44652</v>
      </c>
      <c r="C346" t="s">
        <v>436</v>
      </c>
    </row>
    <row r="347" spans="1:3" x14ac:dyDescent="0.35">
      <c r="A347" t="s">
        <v>8</v>
      </c>
      <c r="B347" s="95">
        <v>44593</v>
      </c>
      <c r="C347" t="s">
        <v>437</v>
      </c>
    </row>
    <row r="348" spans="1:3" x14ac:dyDescent="0.35">
      <c r="A348" t="s">
        <v>8</v>
      </c>
      <c r="B348" s="95">
        <v>44531</v>
      </c>
      <c r="C348" t="s">
        <v>438</v>
      </c>
    </row>
    <row r="349" spans="1:3" x14ac:dyDescent="0.35">
      <c r="A349" t="s">
        <v>8</v>
      </c>
      <c r="B349" s="95">
        <v>44470</v>
      </c>
      <c r="C349" t="s">
        <v>439</v>
      </c>
    </row>
    <row r="350" spans="1:3" x14ac:dyDescent="0.35">
      <c r="A350" t="s">
        <v>8</v>
      </c>
      <c r="B350" s="95">
        <v>44409</v>
      </c>
      <c r="C350" t="s">
        <v>440</v>
      </c>
    </row>
    <row r="351" spans="1:3" ht="16" customHeight="1" thickBot="1" x14ac:dyDescent="0.4">
      <c r="A351" t="s">
        <v>8</v>
      </c>
      <c r="B351" s="95">
        <v>44317</v>
      </c>
      <c r="C351" t="s">
        <v>441</v>
      </c>
    </row>
    <row r="352" spans="1:3" x14ac:dyDescent="0.35">
      <c r="A352" t="s">
        <v>8</v>
      </c>
      <c r="B352" s="95">
        <v>44287</v>
      </c>
      <c r="C352" t="s">
        <v>442</v>
      </c>
    </row>
    <row r="353" spans="1:3" x14ac:dyDescent="0.35">
      <c r="A353" t="s">
        <v>8</v>
      </c>
      <c r="B353" s="95">
        <v>44256</v>
      </c>
      <c r="C353" t="s">
        <v>443</v>
      </c>
    </row>
    <row r="354" spans="1:3" x14ac:dyDescent="0.35">
      <c r="A354" t="s">
        <v>8</v>
      </c>
      <c r="B354" s="95">
        <v>44228</v>
      </c>
      <c r="C354" t="s">
        <v>444</v>
      </c>
    </row>
    <row r="355" spans="1:3" x14ac:dyDescent="0.35">
      <c r="A355" t="s">
        <v>8</v>
      </c>
      <c r="B355" s="95">
        <v>44197</v>
      </c>
      <c r="C355" t="s">
        <v>445</v>
      </c>
    </row>
    <row r="356" spans="1:3" x14ac:dyDescent="0.35">
      <c r="A356" t="s">
        <v>8</v>
      </c>
      <c r="B356" s="95">
        <v>44166</v>
      </c>
      <c r="C356" t="s">
        <v>446</v>
      </c>
    </row>
    <row r="357" spans="1:3" x14ac:dyDescent="0.35">
      <c r="A357" t="s">
        <v>8</v>
      </c>
      <c r="B357" s="95">
        <v>44136</v>
      </c>
      <c r="C357" t="s">
        <v>447</v>
      </c>
    </row>
    <row r="358" spans="1:3" x14ac:dyDescent="0.35">
      <c r="A358" t="s">
        <v>8</v>
      </c>
      <c r="B358" s="95">
        <v>44105</v>
      </c>
      <c r="C358" t="s">
        <v>448</v>
      </c>
    </row>
    <row r="359" spans="1:3" x14ac:dyDescent="0.35">
      <c r="A359" t="s">
        <v>8</v>
      </c>
      <c r="B359" s="95">
        <v>44075</v>
      </c>
      <c r="C359" t="s">
        <v>449</v>
      </c>
    </row>
    <row r="360" spans="1:3" x14ac:dyDescent="0.35">
      <c r="A360" t="s">
        <v>8</v>
      </c>
      <c r="B360" s="95">
        <v>44044</v>
      </c>
      <c r="C360" t="s">
        <v>450</v>
      </c>
    </row>
    <row r="361" spans="1:3" x14ac:dyDescent="0.35">
      <c r="A361" t="s">
        <v>8</v>
      </c>
      <c r="B361" s="95">
        <v>43983</v>
      </c>
      <c r="C361" t="s">
        <v>451</v>
      </c>
    </row>
    <row r="362" spans="1:3" x14ac:dyDescent="0.35">
      <c r="A362" t="s">
        <v>8</v>
      </c>
      <c r="B362" s="95">
        <v>43952</v>
      </c>
      <c r="C362" t="s">
        <v>452</v>
      </c>
    </row>
    <row r="363" spans="1:3" x14ac:dyDescent="0.35">
      <c r="A363" t="s">
        <v>8</v>
      </c>
      <c r="B363" s="95">
        <v>43891</v>
      </c>
      <c r="C363" t="s">
        <v>453</v>
      </c>
    </row>
    <row r="364" spans="1:3" x14ac:dyDescent="0.35">
      <c r="A364" t="s">
        <v>8</v>
      </c>
      <c r="B364" s="95">
        <v>43862</v>
      </c>
      <c r="C364" t="s">
        <v>454</v>
      </c>
    </row>
    <row r="365" spans="1:3" x14ac:dyDescent="0.35">
      <c r="A365" t="s">
        <v>8</v>
      </c>
      <c r="B365" s="95">
        <v>43831</v>
      </c>
      <c r="C365" t="s">
        <v>455</v>
      </c>
    </row>
    <row r="366" spans="1:3" x14ac:dyDescent="0.35">
      <c r="A366" t="s">
        <v>8</v>
      </c>
      <c r="B366" s="95">
        <v>43800</v>
      </c>
      <c r="C366" t="s">
        <v>456</v>
      </c>
    </row>
    <row r="367" spans="1:3" x14ac:dyDescent="0.35">
      <c r="A367" t="s">
        <v>8</v>
      </c>
      <c r="B367" s="95">
        <v>43770</v>
      </c>
      <c r="C367" t="s">
        <v>457</v>
      </c>
    </row>
    <row r="368" spans="1:3" x14ac:dyDescent="0.35">
      <c r="A368" t="s">
        <v>8</v>
      </c>
      <c r="B368" s="95">
        <v>43739</v>
      </c>
      <c r="C368" t="s">
        <v>458</v>
      </c>
    </row>
    <row r="369" spans="1:3" x14ac:dyDescent="0.35">
      <c r="A369" t="s">
        <v>8</v>
      </c>
      <c r="B369" s="95">
        <v>43709</v>
      </c>
      <c r="C369" t="s">
        <v>459</v>
      </c>
    </row>
    <row r="370" spans="1:3" x14ac:dyDescent="0.35">
      <c r="A370" t="s">
        <v>8</v>
      </c>
      <c r="B370" s="95">
        <v>43678</v>
      </c>
      <c r="C370" t="s">
        <v>460</v>
      </c>
    </row>
    <row r="371" spans="1:3" x14ac:dyDescent="0.35">
      <c r="A371" t="s">
        <v>8</v>
      </c>
      <c r="B371" s="95">
        <v>43647</v>
      </c>
      <c r="C371" t="s">
        <v>461</v>
      </c>
    </row>
    <row r="372" spans="1:3" x14ac:dyDescent="0.35">
      <c r="A372" t="s">
        <v>8</v>
      </c>
      <c r="B372" s="95">
        <v>43617</v>
      </c>
      <c r="C372" t="s">
        <v>462</v>
      </c>
    </row>
    <row r="373" spans="1:3" x14ac:dyDescent="0.35">
      <c r="A373" t="s">
        <v>8</v>
      </c>
      <c r="B373" s="95">
        <v>43586</v>
      </c>
      <c r="C373" t="s">
        <v>463</v>
      </c>
    </row>
    <row r="374" spans="1:3" x14ac:dyDescent="0.35">
      <c r="A374" t="s">
        <v>8</v>
      </c>
      <c r="B374" s="95">
        <v>43556</v>
      </c>
      <c r="C374" t="s">
        <v>464</v>
      </c>
    </row>
    <row r="375" spans="1:3" x14ac:dyDescent="0.35">
      <c r="A375" t="s">
        <v>8</v>
      </c>
      <c r="B375" s="95">
        <v>43525</v>
      </c>
      <c r="C375" t="s">
        <v>465</v>
      </c>
    </row>
    <row r="376" spans="1:3" x14ac:dyDescent="0.35">
      <c r="A376" t="s">
        <v>8</v>
      </c>
      <c r="B376" s="95">
        <v>43497</v>
      </c>
      <c r="C376" t="s">
        <v>466</v>
      </c>
    </row>
    <row r="377" spans="1:3" x14ac:dyDescent="0.35">
      <c r="A377" t="s">
        <v>8</v>
      </c>
      <c r="B377" s="95">
        <v>43466</v>
      </c>
      <c r="C377" t="s">
        <v>467</v>
      </c>
    </row>
    <row r="378" spans="1:3" x14ac:dyDescent="0.35">
      <c r="A378" t="s">
        <v>23</v>
      </c>
      <c r="B378" s="95">
        <v>44927</v>
      </c>
      <c r="C378" t="s">
        <v>468</v>
      </c>
    </row>
    <row r="379" spans="1:3" x14ac:dyDescent="0.35">
      <c r="A379" t="s">
        <v>23</v>
      </c>
      <c r="B379" s="95">
        <v>44896</v>
      </c>
      <c r="C379" t="s">
        <v>469</v>
      </c>
    </row>
    <row r="380" spans="1:3" x14ac:dyDescent="0.35">
      <c r="A380" t="s">
        <v>23</v>
      </c>
      <c r="B380" s="95">
        <v>44866</v>
      </c>
      <c r="C380" t="s">
        <v>470</v>
      </c>
    </row>
    <row r="381" spans="1:3" x14ac:dyDescent="0.35">
      <c r="A381" t="s">
        <v>23</v>
      </c>
      <c r="B381" s="95">
        <v>44774</v>
      </c>
      <c r="C381" t="s">
        <v>471</v>
      </c>
    </row>
    <row r="382" spans="1:3" x14ac:dyDescent="0.35">
      <c r="A382" t="s">
        <v>23</v>
      </c>
      <c r="B382" s="95">
        <v>44743</v>
      </c>
      <c r="C382" t="s">
        <v>472</v>
      </c>
    </row>
    <row r="383" spans="1:3" x14ac:dyDescent="0.35">
      <c r="A383" t="s">
        <v>23</v>
      </c>
      <c r="B383" s="95">
        <v>44713</v>
      </c>
      <c r="C383" t="s">
        <v>473</v>
      </c>
    </row>
    <row r="384" spans="1:3" x14ac:dyDescent="0.35">
      <c r="A384" t="s">
        <v>23</v>
      </c>
      <c r="B384" s="95">
        <v>44682</v>
      </c>
      <c r="C384" t="s">
        <v>474</v>
      </c>
    </row>
    <row r="385" spans="1:3" x14ac:dyDescent="0.35">
      <c r="A385" t="s">
        <v>23</v>
      </c>
      <c r="B385" s="95">
        <v>44621</v>
      </c>
      <c r="C385" t="s">
        <v>475</v>
      </c>
    </row>
    <row r="386" spans="1:3" x14ac:dyDescent="0.35">
      <c r="A386" t="s">
        <v>23</v>
      </c>
      <c r="B386" s="95">
        <v>44378</v>
      </c>
      <c r="C386" t="s">
        <v>476</v>
      </c>
    </row>
    <row r="387" spans="1:3" x14ac:dyDescent="0.35">
      <c r="A387" t="s">
        <v>23</v>
      </c>
      <c r="B387" s="95">
        <v>44348</v>
      </c>
      <c r="C387" t="s">
        <v>477</v>
      </c>
    </row>
    <row r="388" spans="1:3" x14ac:dyDescent="0.35">
      <c r="A388" t="s">
        <v>23</v>
      </c>
      <c r="B388" s="95">
        <v>44317</v>
      </c>
      <c r="C388" t="s">
        <v>478</v>
      </c>
    </row>
    <row r="389" spans="1:3" x14ac:dyDescent="0.35">
      <c r="A389" t="s">
        <v>23</v>
      </c>
      <c r="B389" s="95">
        <v>44287</v>
      </c>
      <c r="C389" t="s">
        <v>479</v>
      </c>
    </row>
    <row r="390" spans="1:3" x14ac:dyDescent="0.35">
      <c r="A390" t="s">
        <v>23</v>
      </c>
      <c r="B390" s="95">
        <v>44228</v>
      </c>
      <c r="C390" t="s">
        <v>480</v>
      </c>
    </row>
    <row r="391" spans="1:3" x14ac:dyDescent="0.35">
      <c r="A391" t="s">
        <v>23</v>
      </c>
      <c r="B391" s="95">
        <v>44197</v>
      </c>
      <c r="C391" t="s">
        <v>481</v>
      </c>
    </row>
    <row r="392" spans="1:3" x14ac:dyDescent="0.35">
      <c r="A392" t="s">
        <v>23</v>
      </c>
      <c r="B392" s="95">
        <v>44166</v>
      </c>
      <c r="C392" t="s">
        <v>482</v>
      </c>
    </row>
    <row r="393" spans="1:3" x14ac:dyDescent="0.35">
      <c r="A393" t="s">
        <v>23</v>
      </c>
      <c r="B393" s="95">
        <v>44136</v>
      </c>
      <c r="C393" t="s">
        <v>483</v>
      </c>
    </row>
    <row r="394" spans="1:3" x14ac:dyDescent="0.35">
      <c r="A394" t="s">
        <v>23</v>
      </c>
      <c r="B394" s="95">
        <v>44044</v>
      </c>
      <c r="C394" t="s">
        <v>484</v>
      </c>
    </row>
    <row r="395" spans="1:3" x14ac:dyDescent="0.35">
      <c r="A395" t="s">
        <v>23</v>
      </c>
      <c r="B395" s="95">
        <v>43983</v>
      </c>
      <c r="C395" t="s">
        <v>485</v>
      </c>
    </row>
    <row r="396" spans="1:3" x14ac:dyDescent="0.35">
      <c r="A396" t="s">
        <v>23</v>
      </c>
      <c r="B396" s="95">
        <v>43952</v>
      </c>
      <c r="C396" t="s">
        <v>486</v>
      </c>
    </row>
    <row r="397" spans="1:3" x14ac:dyDescent="0.35">
      <c r="A397" t="s">
        <v>23</v>
      </c>
      <c r="B397" s="95">
        <v>43862</v>
      </c>
      <c r="C397" t="s">
        <v>487</v>
      </c>
    </row>
    <row r="398" spans="1:3" x14ac:dyDescent="0.35">
      <c r="A398" t="s">
        <v>23</v>
      </c>
      <c r="B398" s="95">
        <v>43739</v>
      </c>
      <c r="C398" t="s">
        <v>488</v>
      </c>
    </row>
    <row r="399" spans="1:3" x14ac:dyDescent="0.35">
      <c r="A399" t="s">
        <v>23</v>
      </c>
      <c r="B399" s="95">
        <v>43586</v>
      </c>
      <c r="C399" t="s">
        <v>489</v>
      </c>
    </row>
    <row r="400" spans="1:3" x14ac:dyDescent="0.35">
      <c r="A400" t="s">
        <v>23</v>
      </c>
      <c r="B400" s="95">
        <v>43556</v>
      </c>
      <c r="C400" t="s">
        <v>490</v>
      </c>
    </row>
    <row r="401" spans="1:3" x14ac:dyDescent="0.35">
      <c r="A401" t="s">
        <v>23</v>
      </c>
      <c r="B401" s="95">
        <v>43525</v>
      </c>
      <c r="C401" t="s">
        <v>491</v>
      </c>
    </row>
    <row r="402" spans="1:3" x14ac:dyDescent="0.35">
      <c r="A402" t="s">
        <v>6</v>
      </c>
      <c r="B402" s="95">
        <v>44743</v>
      </c>
      <c r="C402" t="s">
        <v>492</v>
      </c>
    </row>
    <row r="403" spans="1:3" x14ac:dyDescent="0.35">
      <c r="A403" t="s">
        <v>6</v>
      </c>
      <c r="B403" s="95">
        <v>44593</v>
      </c>
      <c r="C403" t="s">
        <v>493</v>
      </c>
    </row>
    <row r="404" spans="1:3" x14ac:dyDescent="0.35">
      <c r="A404" t="s">
        <v>6</v>
      </c>
      <c r="B404" s="95">
        <v>44228</v>
      </c>
      <c r="C404" t="s">
        <v>494</v>
      </c>
    </row>
    <row r="405" spans="1:3" x14ac:dyDescent="0.35">
      <c r="A405" t="s">
        <v>6</v>
      </c>
      <c r="B405" s="95">
        <v>43800</v>
      </c>
      <c r="C405" t="s">
        <v>495</v>
      </c>
    </row>
    <row r="406" spans="1:3" x14ac:dyDescent="0.35">
      <c r="A406" t="s">
        <v>6</v>
      </c>
      <c r="B406" s="95">
        <v>43525</v>
      </c>
      <c r="C406" t="s">
        <v>496</v>
      </c>
    </row>
    <row r="407" spans="1:3" x14ac:dyDescent="0.35">
      <c r="A407" t="s">
        <v>17</v>
      </c>
      <c r="B407" s="95">
        <v>44927</v>
      </c>
      <c r="C407" t="s">
        <v>497</v>
      </c>
    </row>
    <row r="408" spans="1:3" x14ac:dyDescent="0.35">
      <c r="A408" t="s">
        <v>17</v>
      </c>
      <c r="B408" s="95">
        <v>44896</v>
      </c>
      <c r="C408" t="s">
        <v>498</v>
      </c>
    </row>
    <row r="409" spans="1:3" x14ac:dyDescent="0.35">
      <c r="A409" t="s">
        <v>17</v>
      </c>
      <c r="B409" s="95">
        <v>44866</v>
      </c>
      <c r="C409" t="s">
        <v>499</v>
      </c>
    </row>
    <row r="410" spans="1:3" x14ac:dyDescent="0.35">
      <c r="A410" t="s">
        <v>17</v>
      </c>
      <c r="B410" s="95">
        <v>44835</v>
      </c>
      <c r="C410" t="s">
        <v>500</v>
      </c>
    </row>
    <row r="411" spans="1:3" x14ac:dyDescent="0.35">
      <c r="A411" t="s">
        <v>17</v>
      </c>
      <c r="B411" s="95">
        <v>44805</v>
      </c>
      <c r="C411" t="s">
        <v>501</v>
      </c>
    </row>
    <row r="412" spans="1:3" x14ac:dyDescent="0.35">
      <c r="A412" t="s">
        <v>17</v>
      </c>
      <c r="B412" s="95">
        <v>44774</v>
      </c>
      <c r="C412" t="s">
        <v>502</v>
      </c>
    </row>
    <row r="413" spans="1:3" x14ac:dyDescent="0.35">
      <c r="A413" t="s">
        <v>17</v>
      </c>
      <c r="B413" s="95">
        <v>44743</v>
      </c>
      <c r="C413" t="s">
        <v>503</v>
      </c>
    </row>
    <row r="414" spans="1:3" x14ac:dyDescent="0.35">
      <c r="A414" t="s">
        <v>17</v>
      </c>
      <c r="B414" s="95">
        <v>44713</v>
      </c>
      <c r="C414" t="s">
        <v>504</v>
      </c>
    </row>
    <row r="415" spans="1:3" x14ac:dyDescent="0.35">
      <c r="A415" t="s">
        <v>17</v>
      </c>
      <c r="B415" s="95">
        <v>44682</v>
      </c>
      <c r="C415" t="s">
        <v>505</v>
      </c>
    </row>
    <row r="416" spans="1:3" x14ac:dyDescent="0.35">
      <c r="A416" t="s">
        <v>17</v>
      </c>
      <c r="B416" s="95">
        <v>44652</v>
      </c>
      <c r="C416" t="s">
        <v>506</v>
      </c>
    </row>
    <row r="417" spans="1:3" x14ac:dyDescent="0.35">
      <c r="A417" t="s">
        <v>17</v>
      </c>
      <c r="B417" s="95">
        <v>44621</v>
      </c>
      <c r="C417" t="s">
        <v>507</v>
      </c>
    </row>
    <row r="418" spans="1:3" x14ac:dyDescent="0.35">
      <c r="A418" t="s">
        <v>17</v>
      </c>
      <c r="B418" s="95">
        <v>44593</v>
      </c>
      <c r="C418" t="s">
        <v>508</v>
      </c>
    </row>
    <row r="419" spans="1:3" x14ac:dyDescent="0.35">
      <c r="A419" t="s">
        <v>17</v>
      </c>
      <c r="B419" s="95">
        <v>44562</v>
      </c>
      <c r="C419" t="s">
        <v>509</v>
      </c>
    </row>
    <row r="420" spans="1:3" x14ac:dyDescent="0.35">
      <c r="A420" t="s">
        <v>17</v>
      </c>
      <c r="B420" s="95">
        <v>44531</v>
      </c>
      <c r="C420" t="s">
        <v>510</v>
      </c>
    </row>
    <row r="421" spans="1:3" x14ac:dyDescent="0.35">
      <c r="A421" t="s">
        <v>17</v>
      </c>
      <c r="B421" s="95">
        <v>44470</v>
      </c>
      <c r="C421" t="s">
        <v>511</v>
      </c>
    </row>
    <row r="422" spans="1:3" x14ac:dyDescent="0.35">
      <c r="A422" t="s">
        <v>17</v>
      </c>
      <c r="B422" s="95">
        <v>44440</v>
      </c>
      <c r="C422" t="s">
        <v>512</v>
      </c>
    </row>
    <row r="423" spans="1:3" x14ac:dyDescent="0.35">
      <c r="A423" t="s">
        <v>17</v>
      </c>
      <c r="B423" s="95">
        <v>44409</v>
      </c>
      <c r="C423" t="s">
        <v>513</v>
      </c>
    </row>
    <row r="424" spans="1:3" x14ac:dyDescent="0.35">
      <c r="A424" t="s">
        <v>17</v>
      </c>
      <c r="B424" s="95">
        <v>44378</v>
      </c>
      <c r="C424" t="s">
        <v>514</v>
      </c>
    </row>
    <row r="425" spans="1:3" x14ac:dyDescent="0.35">
      <c r="A425" t="s">
        <v>17</v>
      </c>
      <c r="B425" s="95">
        <v>44348</v>
      </c>
      <c r="C425" t="s">
        <v>515</v>
      </c>
    </row>
    <row r="426" spans="1:3" x14ac:dyDescent="0.35">
      <c r="A426" t="s">
        <v>17</v>
      </c>
      <c r="B426" s="95">
        <v>44317</v>
      </c>
      <c r="C426" t="s">
        <v>516</v>
      </c>
    </row>
    <row r="427" spans="1:3" x14ac:dyDescent="0.35">
      <c r="A427" t="s">
        <v>17</v>
      </c>
      <c r="B427" s="95">
        <v>44287</v>
      </c>
      <c r="C427" t="s">
        <v>517</v>
      </c>
    </row>
    <row r="428" spans="1:3" x14ac:dyDescent="0.35">
      <c r="A428" t="s">
        <v>17</v>
      </c>
      <c r="B428" s="95">
        <v>44256</v>
      </c>
      <c r="C428" t="s">
        <v>518</v>
      </c>
    </row>
    <row r="429" spans="1:3" x14ac:dyDescent="0.35">
      <c r="A429" t="s">
        <v>17</v>
      </c>
      <c r="B429" s="95">
        <v>44228</v>
      </c>
      <c r="C429" t="s">
        <v>519</v>
      </c>
    </row>
    <row r="430" spans="1:3" x14ac:dyDescent="0.35">
      <c r="A430" t="s">
        <v>17</v>
      </c>
      <c r="B430" s="95">
        <v>44197</v>
      </c>
      <c r="C430" t="s">
        <v>520</v>
      </c>
    </row>
    <row r="431" spans="1:3" x14ac:dyDescent="0.35">
      <c r="A431" t="s">
        <v>17</v>
      </c>
      <c r="B431" s="95">
        <v>44166</v>
      </c>
      <c r="C431" t="s">
        <v>521</v>
      </c>
    </row>
    <row r="432" spans="1:3" x14ac:dyDescent="0.35">
      <c r="A432" t="s">
        <v>17</v>
      </c>
      <c r="B432" s="95">
        <v>44136</v>
      </c>
      <c r="C432" t="s">
        <v>522</v>
      </c>
    </row>
    <row r="433" spans="1:3" x14ac:dyDescent="0.35">
      <c r="A433" t="s">
        <v>17</v>
      </c>
      <c r="B433" s="95">
        <v>44105</v>
      </c>
      <c r="C433" t="s">
        <v>523</v>
      </c>
    </row>
    <row r="434" spans="1:3" x14ac:dyDescent="0.35">
      <c r="A434" t="s">
        <v>17</v>
      </c>
      <c r="B434" s="95">
        <v>44075</v>
      </c>
      <c r="C434" t="s">
        <v>524</v>
      </c>
    </row>
    <row r="435" spans="1:3" x14ac:dyDescent="0.35">
      <c r="A435" t="s">
        <v>17</v>
      </c>
      <c r="B435" s="95">
        <v>44044</v>
      </c>
      <c r="C435" t="s">
        <v>525</v>
      </c>
    </row>
    <row r="436" spans="1:3" x14ac:dyDescent="0.35">
      <c r="A436" t="s">
        <v>17</v>
      </c>
      <c r="B436" s="95">
        <v>44013</v>
      </c>
      <c r="C436" t="s">
        <v>526</v>
      </c>
    </row>
    <row r="437" spans="1:3" x14ac:dyDescent="0.35">
      <c r="A437" t="s">
        <v>17</v>
      </c>
      <c r="B437" s="95">
        <v>43983</v>
      </c>
      <c r="C437" t="s">
        <v>527</v>
      </c>
    </row>
    <row r="438" spans="1:3" x14ac:dyDescent="0.35">
      <c r="A438" t="s">
        <v>17</v>
      </c>
      <c r="B438" s="95">
        <v>43952</v>
      </c>
      <c r="C438" t="s">
        <v>528</v>
      </c>
    </row>
    <row r="439" spans="1:3" x14ac:dyDescent="0.35">
      <c r="A439" t="s">
        <v>17</v>
      </c>
      <c r="B439" s="95">
        <v>43922</v>
      </c>
      <c r="C439" t="s">
        <v>529</v>
      </c>
    </row>
    <row r="440" spans="1:3" x14ac:dyDescent="0.35">
      <c r="A440" t="s">
        <v>17</v>
      </c>
      <c r="B440" s="95">
        <v>43891</v>
      </c>
      <c r="C440" t="s">
        <v>530</v>
      </c>
    </row>
    <row r="441" spans="1:3" x14ac:dyDescent="0.35">
      <c r="A441" t="s">
        <v>17</v>
      </c>
      <c r="B441" s="95">
        <v>43831</v>
      </c>
      <c r="C441" t="s">
        <v>531</v>
      </c>
    </row>
    <row r="442" spans="1:3" x14ac:dyDescent="0.35">
      <c r="A442" t="s">
        <v>17</v>
      </c>
      <c r="B442" s="95">
        <v>43800</v>
      </c>
      <c r="C442" t="s">
        <v>532</v>
      </c>
    </row>
    <row r="443" spans="1:3" x14ac:dyDescent="0.35">
      <c r="A443" t="s">
        <v>17</v>
      </c>
      <c r="B443" s="95">
        <v>43770</v>
      </c>
      <c r="C443" t="s">
        <v>533</v>
      </c>
    </row>
    <row r="444" spans="1:3" x14ac:dyDescent="0.35">
      <c r="A444" t="s">
        <v>17</v>
      </c>
      <c r="B444" s="95">
        <v>43739</v>
      </c>
      <c r="C444" t="s">
        <v>534</v>
      </c>
    </row>
    <row r="445" spans="1:3" x14ac:dyDescent="0.35">
      <c r="A445" t="s">
        <v>17</v>
      </c>
      <c r="B445" s="95">
        <v>43709</v>
      </c>
      <c r="C445" t="s">
        <v>535</v>
      </c>
    </row>
    <row r="446" spans="1:3" x14ac:dyDescent="0.35">
      <c r="A446" t="s">
        <v>17</v>
      </c>
      <c r="B446" s="95">
        <v>43678</v>
      </c>
      <c r="C446" t="s">
        <v>536</v>
      </c>
    </row>
    <row r="447" spans="1:3" x14ac:dyDescent="0.35">
      <c r="A447" t="s">
        <v>17</v>
      </c>
      <c r="B447" s="95">
        <v>43647</v>
      </c>
      <c r="C447" t="s">
        <v>537</v>
      </c>
    </row>
    <row r="448" spans="1:3" x14ac:dyDescent="0.35">
      <c r="A448" t="s">
        <v>17</v>
      </c>
      <c r="B448" s="95">
        <v>43617</v>
      </c>
      <c r="C448" t="s">
        <v>538</v>
      </c>
    </row>
    <row r="449" spans="1:3" x14ac:dyDescent="0.35">
      <c r="A449" t="s">
        <v>17</v>
      </c>
      <c r="B449" s="95">
        <v>43586</v>
      </c>
      <c r="C449" t="s">
        <v>539</v>
      </c>
    </row>
    <row r="450" spans="1:3" x14ac:dyDescent="0.35">
      <c r="A450" t="s">
        <v>17</v>
      </c>
      <c r="B450" s="95">
        <v>43556</v>
      </c>
      <c r="C450" t="s">
        <v>540</v>
      </c>
    </row>
    <row r="451" spans="1:3" x14ac:dyDescent="0.35">
      <c r="A451" t="s">
        <v>17</v>
      </c>
      <c r="B451" s="95">
        <v>43525</v>
      </c>
      <c r="C451" t="s">
        <v>541</v>
      </c>
    </row>
    <row r="452" spans="1:3" x14ac:dyDescent="0.35">
      <c r="A452" t="s">
        <v>17</v>
      </c>
      <c r="B452" s="95">
        <v>43497</v>
      </c>
      <c r="C452" t="s">
        <v>542</v>
      </c>
    </row>
    <row r="453" spans="1:3" x14ac:dyDescent="0.35">
      <c r="A453" t="s">
        <v>17</v>
      </c>
      <c r="B453" s="95">
        <v>43466</v>
      </c>
      <c r="C453" t="s">
        <v>543</v>
      </c>
    </row>
    <row r="454" spans="1:3" x14ac:dyDescent="0.35">
      <c r="A454" t="s">
        <v>22</v>
      </c>
      <c r="B454" s="95">
        <v>44228</v>
      </c>
      <c r="C454" t="s">
        <v>544</v>
      </c>
    </row>
    <row r="455" spans="1:3" x14ac:dyDescent="0.35">
      <c r="A455" t="s">
        <v>22</v>
      </c>
      <c r="B455" s="95">
        <v>44075</v>
      </c>
      <c r="C455" t="s">
        <v>545</v>
      </c>
    </row>
    <row r="456" spans="1:3" x14ac:dyDescent="0.35">
      <c r="A456" t="s">
        <v>22</v>
      </c>
      <c r="B456" s="95">
        <v>44044</v>
      </c>
      <c r="C456" t="s">
        <v>546</v>
      </c>
    </row>
    <row r="457" spans="1:3" x14ac:dyDescent="0.35">
      <c r="A457" t="s">
        <v>22</v>
      </c>
      <c r="B457" s="95">
        <v>43983</v>
      </c>
      <c r="C457" t="s">
        <v>547</v>
      </c>
    </row>
    <row r="458" spans="1:3" x14ac:dyDescent="0.35">
      <c r="A458" t="s">
        <v>22</v>
      </c>
      <c r="B458" s="95">
        <v>43770</v>
      </c>
      <c r="C458" t="s">
        <v>533</v>
      </c>
    </row>
    <row r="459" spans="1:3" x14ac:dyDescent="0.35">
      <c r="A459" t="s">
        <v>22</v>
      </c>
      <c r="B459" s="95">
        <v>43617</v>
      </c>
      <c r="C459" t="s">
        <v>548</v>
      </c>
    </row>
    <row r="460" spans="1:3" x14ac:dyDescent="0.35">
      <c r="A460" t="s">
        <v>22</v>
      </c>
      <c r="B460" s="95">
        <v>43525</v>
      </c>
      <c r="C460" t="s">
        <v>549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2023-02-02T15:31:46Z</dcterms:modified>
</cp:coreProperties>
</file>