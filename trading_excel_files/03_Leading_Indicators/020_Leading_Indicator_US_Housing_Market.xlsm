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9455" yWindow="-21600" windowWidth="43410" windowHeight="216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Authorized'!$A$7:$A$768</f>
              <numCache>
                <formatCode>m/d/yyyy</formatCode>
                <ptCount val="76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Authorized'!$B$7:$B$768</f>
              <numCache>
                <formatCode>General</formatCode>
                <ptCount val="762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Started!$B$7:$B$763</f>
              <numCache>
                <formatCode>General</formatCode>
                <ptCount val="75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1488</v>
                </pt>
                <pt idx="753">
                  <v>1425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Started!$B$7:$B$763</f>
              <numCache>
                <formatCode>General</formatCode>
                <ptCount val="75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1488</v>
                </pt>
                <pt idx="753">
                  <v>1425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Completed!$A$7:$A$760</f>
              <numCache>
                <formatCode>m/d/yyyy</formatCode>
                <ptCount val="75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</numCache>
            </numRef>
          </cat>
          <val>
            <numRef>
              <f>Completed!$B$7:$B$760</f>
              <numCache>
                <formatCode>General</formatCode>
                <ptCount val="75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1431</v>
                </pt>
                <pt idx="657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Completed!$A$7:$A$760</f>
              <numCache>
                <formatCode>m/d/yyyy</formatCode>
                <ptCount val="75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</numCache>
            </numRef>
          </cat>
          <val>
            <numRef>
              <f>Completed!$B$7:$B$760</f>
              <numCache>
                <formatCode>General</formatCode>
                <ptCount val="75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1431</v>
                </pt>
                <pt idx="657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0" headerRowCount="1" totalsRowShown="0" headerRowDxfId="19" dataDxfId="17" headerRowBorderDxfId="18">
  <autoFilter ref="A6:C760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0" headerRowCount="1" totalsRowShown="0" headerRowDxfId="13" dataDxfId="11" headerRowBorderDxfId="12">
  <autoFilter ref="A6:C760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4" headerRowCount="1" totalsRowShown="0" headerRowDxfId="7" dataDxfId="5" headerRowBorderDxfId="6">
  <autoFilter ref="A6:C664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20" zoomScaleNormal="120" workbookViewId="0">
      <selection activeCell="Y21" sqref="Y21"/>
    </sheetView>
  </sheetViews>
  <sheetFormatPr baseColWidth="8" defaultColWidth="9.1796875" defaultRowHeight="14.5"/>
  <cols>
    <col width="9.1796875" customWidth="1" style="51" min="1" max="1"/>
    <col width="12.81640625" customWidth="1" style="51" min="2" max="10"/>
    <col width="3.453125" customWidth="1" style="51" min="11" max="13"/>
    <col width="21.36328125" customWidth="1" style="51" min="14" max="14"/>
    <col width="10.6328125" bestFit="1" customWidth="1" style="51" min="15" max="16"/>
    <col width="9.1796875" customWidth="1" style="51" min="17" max="28"/>
    <col width="9.1796875" customWidth="1" style="51" min="29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44835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8"/>
  <sheetViews>
    <sheetView zoomScale="120" zoomScaleNormal="120" workbookViewId="0">
      <pane ySplit="1" topLeftCell="A744" activePane="bottomLeft" state="frozen"/>
      <selection activeCell="Y21" sqref="Y21"/>
      <selection pane="bottomLeft" activeCell="Y21" sqref="Y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1391</v>
      </c>
      <c r="C763" t="n">
        <v>1575</v>
      </c>
      <c r="D763" t="n">
        <v>1696</v>
      </c>
    </row>
    <row r="764">
      <c r="A764" s="64" t="n">
        <v>44743</v>
      </c>
      <c r="B764" t="n">
        <v>1411</v>
      </c>
      <c r="C764" t="n">
        <v>1377</v>
      </c>
      <c r="D764" t="n">
        <v>1685</v>
      </c>
    </row>
    <row r="765">
      <c r="A765" s="64" t="n">
        <v>44774</v>
      </c>
      <c r="B765" t="n">
        <v>1352</v>
      </c>
      <c r="C765" t="n">
        <v>1508</v>
      </c>
      <c r="D765" t="n">
        <v>1542</v>
      </c>
    </row>
    <row r="766">
      <c r="A766" s="64" t="n">
        <v>44805</v>
      </c>
      <c r="B766" t="n">
        <v>1433</v>
      </c>
      <c r="C766" t="n">
        <v>1465</v>
      </c>
      <c r="D766" t="n">
        <v>1564</v>
      </c>
    </row>
    <row r="767">
      <c r="A767" s="64" t="n">
        <v>44835</v>
      </c>
      <c r="B767" t="n">
        <v>1345</v>
      </c>
      <c r="C767" t="n">
        <v>1434</v>
      </c>
      <c r="D767" t="n">
        <v>1512</v>
      </c>
    </row>
    <row r="768">
      <c r="A768" s="64" t="n">
        <v>44866</v>
      </c>
      <c r="B768" t="n">
        <v>1490</v>
      </c>
      <c r="C768" t="n">
        <v>1427</v>
      </c>
      <c r="D768" t="n">
        <v>1351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0"/>
  <sheetViews>
    <sheetView zoomScale="80" zoomScaleNormal="80" workbookViewId="0">
      <pane ySplit="6" topLeftCell="A707" activePane="bottomLeft" state="frozen"/>
      <selection pane="bottomLeft" activeCell="A753" sqref="A753:C760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5"/>
    <col width="9.1796875" customWidth="1" style="51" min="16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  <row r="760">
      <c r="A760" s="9" t="n">
        <v>44835</v>
      </c>
      <c r="B760" s="10">
        <f>VLOOKUP(Table2[[#This Row],[Date]],'Database New'!$A:$D,MATCH($A$1,'Database New'!$A$1:$D$1,),)</f>
        <v/>
      </c>
      <c r="C760" s="30">
        <f>(Table2[[#This Row],[Building Permits]]-B759)/B759</f>
        <v/>
      </c>
    </row>
  </sheetData>
  <conditionalFormatting sqref="C679:C76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0"/>
  <sheetViews>
    <sheetView zoomScale="140" zoomScaleNormal="140" workbookViewId="0">
      <pane ySplit="6" topLeftCell="A743" activePane="bottomLeft" state="frozen"/>
      <selection pane="bottomLeft" activeCell="P753" sqref="P753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5"/>
    <col width="9.1796875" customWidth="1" style="51" min="16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  <row r="760">
      <c r="A760" s="9" t="n">
        <v>44835</v>
      </c>
      <c r="B760" s="10">
        <f>VLOOKUP(Table24[[#This Row],[Date]],'Database New'!$A:$D,MATCH($A$1,'Database New'!$A$1:$D$1,),)</f>
        <v/>
      </c>
      <c r="C760" s="30">
        <f>(Table24[[#This Row],[Started]]-B759)/B759</f>
        <v/>
      </c>
    </row>
  </sheetData>
  <conditionalFormatting sqref="C721 C723 C725 C727 C729 C731 C733 C735 C737 C739 C741 C743 C745 C747:C748 C750 C755:C756 C758:C7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4"/>
  <sheetViews>
    <sheetView zoomScale="140" zoomScaleNormal="140" workbookViewId="0">
      <pane ySplit="6" topLeftCell="A644" activePane="bottomLeft" state="frozen"/>
      <selection activeCell="C772" sqref="C772"/>
      <selection pane="bottomLeft" activeCell="Q666" sqref="Q666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5"/>
    <col width="9.1796875" customWidth="1" style="51" min="16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  <row r="664">
      <c r="A664" s="9" t="n">
        <v>44835</v>
      </c>
      <c r="B664" s="10">
        <f>VLOOKUP(Table245[[#This Row],[Date]],'Database New'!$A:$D,MATCH($A$1,'Database New'!$A$1:$D$1,),)</f>
        <v/>
      </c>
      <c r="C664" s="30">
        <f>(Table245[[#This Row],[Completed]]-B663)/B663</f>
        <v/>
      </c>
    </row>
  </sheetData>
  <conditionalFormatting sqref="B583:B6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2022-12-10T03:47:07Z</dcterms:modified>
  <cp:lastModifiedBy>Mark Mukherjee</cp:lastModifiedBy>
</cp:coreProperties>
</file>