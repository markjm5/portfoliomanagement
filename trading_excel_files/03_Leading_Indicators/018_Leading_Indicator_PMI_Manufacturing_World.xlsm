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3350" yWindow="-12640" windowWidth="23010" windowHeight="1310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2">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-0.007386226913267332</v>
                </pt>
                <pt idx="13">
                  <formatCode>0.00%</formatCode>
                  <v>0.003146875660219809</v>
                </pt>
                <pt idx="14">
                  <formatCode>0.00%</formatCode>
                  <v>-0.07949548536488185</v>
                </pt>
                <pt idx="15">
                  <formatCode>0.00%</formatCode>
                  <v>-0.03799514342558202</v>
                </pt>
                <pt idx="16">
                  <formatCode>0.00%</formatCode>
                  <v>-0.02083776381537231</v>
                </pt>
                <pt idx="17">
                  <formatCode>0.00%</formatCode>
                  <v>-0.001331872646270497</v>
                </pt>
                <pt idx="18">
                  <formatCode>0.00%</formatCode>
                  <v>-0.05813658032946605</v>
                </pt>
                <pt idx="19">
                  <formatCode>0.00%</formatCode>
                  <v>-0.1285202194722494</v>
                </pt>
                <pt idx="20">
                  <formatCode>0.00%</formatCode>
                  <v>-0.06967264121753633</v>
                </pt>
                <pt idx="21">
                  <formatCode>0.00%</formatCode>
                  <v>-0.03832869318331045</v>
                </pt>
                <pt idx="22">
                  <formatCode>0.00%</formatCode>
                  <v>0.06693581462655693</v>
                </pt>
                <pt idx="23">
                  <formatCode>0.00%</formatCode>
                  <v>0.2235354068895231</v>
                </pt>
                <pt idx="24">
                  <formatCode>0.00%</formatCode>
                  <v>0.09342505570214814</v>
                </pt>
                <pt idx="25">
                  <formatCode>0.00%</formatCode>
                  <v>0.123746563385099</v>
                </pt>
                <pt idx="26">
                  <formatCode>0.00%</formatCode>
                  <v>0.1688326225312997</v>
                </pt>
                <pt idx="27">
                  <formatCode>0.00%</formatCode>
                  <v>0.1485129571458136</v>
                </pt>
                <pt idx="28">
                  <formatCode>0.00%</formatCode>
                  <v>0.09328719724607396</v>
                </pt>
                <pt idx="29">
                  <formatCode>0.00%</formatCode>
                  <v>0.1009843991467577</v>
                </pt>
                <pt idx="30">
                  <formatCode>0.00%</formatCode>
                  <v>0.1453273670509123</v>
                </pt>
                <pt idx="31">
                  <formatCode>0.00%</formatCode>
                  <v>0.2576467009662806</v>
                </pt>
                <pt idx="32">
                  <formatCode>0.00%</formatCode>
                  <v>0.1670499548144381</v>
                </pt>
                <pt idx="33">
                  <formatCode>0.00%</formatCode>
                  <v>0.2092642573171568</v>
                </pt>
                <pt idx="34">
                  <formatCode>0.00%</formatCode>
                  <v>0.1495449176610711</v>
                </pt>
                <pt idx="35">
                  <formatCode>0.00%</formatCode>
                  <v>0.1812597647243597</v>
                </pt>
                <pt idx="36">
                  <formatCode>0.00%</formatCode>
                  <v>0.2342678976499457</v>
                </pt>
                <pt idx="37">
                  <formatCode>0.00%</formatCode>
                  <v>0.2337700339897729</v>
                </pt>
                <pt idx="38">
                  <formatCode>0.00%</formatCode>
                  <v>0.2258243005504795</v>
                </pt>
                <pt idx="39">
                  <formatCode>0.00%</formatCode>
                  <v>0.1247130778585607</v>
                </pt>
                <pt idx="40">
                  <formatCode>0.00%</formatCode>
                  <v>0.1844388064785999</v>
                </pt>
                <pt idx="41">
                  <formatCode>0.00%</formatCode>
                  <v>0.1698403505011972</v>
                </pt>
                <pt idx="42">
                  <formatCode>0.00%</formatCode>
                  <v>0.151063427866246</v>
                </pt>
                <pt idx="43">
                  <formatCode>0.00%</formatCode>
                  <v>0.1786679219624835</v>
                </pt>
                <pt idx="44">
                  <formatCode>0.00%</formatCode>
                  <v>0.2306847851720026</v>
                </pt>
                <pt idx="45">
                  <formatCode>0.00%</formatCode>
                  <v>0.1611841161322456</v>
                </pt>
                <pt idx="46">
                  <formatCode>0.00%</formatCode>
                  <v>0.2190747787746992</v>
                </pt>
                <pt idx="47">
                  <formatCode>0.00%</formatCode>
                  <v>0.1167907517890434</v>
                </pt>
                <pt idx="48">
                  <formatCode>0.00%</formatCode>
                  <v>0.08730121548498807</v>
                </pt>
                <pt idx="49">
                  <formatCode>0.00%</formatCode>
                  <v>0.08541091786036412</v>
                </pt>
                <pt idx="50">
                  <formatCode>0.00%</formatCode>
                  <v>0.03798028636499835</v>
                </pt>
                <pt idx="51">
                  <formatCode>0.00%</formatCode>
                  <v>0.0744558769849466</v>
                </pt>
                <pt idx="52">
                  <formatCode>0.00%</formatCode>
                  <v>0.07755735707557869</v>
                </pt>
                <pt idx="53">
                  <formatCode>0.00%</formatCode>
                  <v>0.05578564922306849</v>
                </pt>
                <pt idx="54">
                  <formatCode>0.00%</formatCode>
                  <v>0.07330339090329853</v>
                </pt>
                <pt idx="55">
                  <formatCode>0.00%</formatCode>
                  <v>0.05219863907839903</v>
                </pt>
                <pt idx="56">
                  <formatCode>0.00%</formatCode>
                  <v>0.008968197655234768</v>
                </pt>
                <pt idx="57">
                  <formatCode>0.00%</formatCode>
                  <v>0.02993213664686679</v>
                </pt>
                <pt idx="58">
                  <formatCode>0.00%</formatCode>
                  <v>-0.06427928553603982</v>
                </pt>
                <pt idx="59">
                  <formatCode>0.00%</formatCode>
                  <v>-0.06545382084349829</v>
                </pt>
                <pt idx="60">
                  <formatCode>0.00%</formatCode>
                  <v>-0.005882216603055389</v>
                </pt>
                <pt idx="61">
                  <formatCode>0.00%</formatCode>
                  <v>-0.0246070079441719</v>
                </pt>
                <pt idx="62">
                  <formatCode>0.00%</formatCode>
                  <v>-0.02626889525823521</v>
                </pt>
                <pt idx="63">
                  <formatCode>0.00%</formatCode>
                  <v>-0.06159469503367323</v>
                </pt>
                <pt idx="64">
                  <formatCode>0.00%</formatCode>
                  <v>-0.1216923734394774</v>
                </pt>
                <pt idx="65">
                  <formatCode>0.00%</formatCode>
                  <v>-0.04275766012544506</v>
                </pt>
                <pt idx="66">
                  <formatCode>0.00%</formatCode>
                  <v>-0.05697538264553653</v>
                </pt>
                <pt idx="67">
                  <formatCode>0.00%</formatCode>
                  <v>-0.05382166168033715</v>
                </pt>
                <pt idx="68">
                  <formatCode>0.00%</formatCode>
                  <v>-0.03064917888040003</v>
                </pt>
                <pt idx="69">
                  <formatCode>0.00%</formatCode>
                  <v>-0.000898824581537801</v>
                </pt>
                <pt idx="70">
                  <formatCode>0.00%</formatCode>
                  <v>0.07574998678883729</v>
                </pt>
                <pt idx="71">
                  <formatCode>0.00%</formatCode>
                  <v>0.124506501986007</v>
                </pt>
                <pt idx="72">
                  <formatCode>0.00%</formatCode>
                  <v>0.02455862935705395</v>
                </pt>
                <pt idx="73">
                  <formatCode>0.00%</formatCode>
                  <v>0.04071916250130662</v>
                </pt>
                <pt idx="74">
                  <formatCode>0.00%</formatCode>
                  <v>0.08792066761452293</v>
                </pt>
                <pt idx="75">
                  <formatCode>0.00%</formatCode>
                  <v>0.177939366185209</v>
                </pt>
                <pt idx="76">
                  <formatCode>0.00%</formatCode>
                  <v>0.222805527670505</v>
                </pt>
                <pt idx="77">
                  <formatCode>0.00%</formatCode>
                  <v>0.1539318808393475</v>
                </pt>
                <pt idx="78">
                  <formatCode>0.00%</formatCode>
                  <v>0.1570580310179005</v>
                </pt>
                <pt idx="79">
                  <formatCode>0.00%</formatCode>
                  <v>0.1786766300568609</v>
                </pt>
                <pt idx="80">
                  <formatCode>0.00%</formatCode>
                  <v>0.1909982037368726</v>
                </pt>
                <pt idx="81">
                  <formatCode>0.00%</formatCode>
                  <v>0.1766673678720729</v>
                </pt>
                <pt idx="82">
                  <formatCode>0.00%</formatCode>
                  <v>0.1773539429621732</v>
                </pt>
                <pt idx="83">
                  <formatCode>0.00%</formatCode>
                  <v>0.1883267111670193</v>
                </pt>
                <pt idx="84">
                  <formatCode>0.00%</formatCode>
                  <v>0.2375442926174383</v>
                </pt>
                <pt idx="85">
                  <formatCode>0.00%</formatCode>
                  <v>0.2496073489130529</v>
                </pt>
                <pt idx="86">
                  <formatCode>0.00%</formatCode>
                  <v>0.2433173664958974</v>
                </pt>
                <pt idx="87">
                  <formatCode>0.00%</formatCode>
                  <v>0.2770950738199997</v>
                </pt>
                <pt idx="88">
                  <formatCode>0.00%</formatCode>
                  <v>0.1900421644649612</v>
                </pt>
                <pt idx="89">
                  <formatCode>0.00%</formatCode>
                  <v>0.1566559007900921</v>
                </pt>
                <pt idx="90">
                  <formatCode>0.00%</formatCode>
                  <v>0.1429061330132643</v>
                </pt>
                <pt idx="91">
                  <formatCode>0.00%</formatCode>
                  <v>0.123485475587033</v>
                </pt>
                <pt idx="92">
                  <formatCode>0.00%</formatCode>
                  <v>0.1082329093766913</v>
                </pt>
                <pt idx="93">
                  <formatCode>0.00%</formatCode>
                  <v>0.1117679863967853</v>
                </pt>
                <pt idx="94">
                  <formatCode>0.00%</formatCode>
                  <v>0.1150284944526323</v>
                </pt>
                <pt idx="95">
                  <formatCode>0.00%</formatCode>
                  <v>0.1011245088941611</v>
                </pt>
                <pt idx="96">
                  <formatCode>0.00%</formatCode>
                  <v>-0.002184596472729169</v>
                </pt>
                <pt idx="97">
                  <formatCode>0.00%</formatCode>
                  <v>-0.006430886408553462</v>
                </pt>
                <pt idx="98">
                  <formatCode>0.00%</formatCode>
                  <v>-0.09179149676537413</v>
                </pt>
                <pt idx="99">
                  <formatCode>0.00%</formatCode>
                  <v>-0.0711210545064022</v>
                </pt>
                <pt idx="100">
                  <formatCode>0.00%</formatCode>
                  <v>-0.0036189683044327</v>
                </pt>
                <pt idx="101">
                  <formatCode>0.00%</formatCode>
                  <v>0.02747852956197027</v>
                </pt>
                <pt idx="102">
                  <formatCode>0.00%</formatCode>
                  <v>0.0583726830561237</v>
                </pt>
                <pt idx="103">
                  <formatCode>0.00%</formatCode>
                  <v>-0.01055195464924855</v>
                </pt>
                <pt idx="104">
                  <formatCode>0.00%</formatCode>
                  <v>0.0582544564634396</v>
                </pt>
                <pt idx="105">
                  <formatCode>0.00%</formatCode>
                  <v>0.02904762277107343</v>
                </pt>
                <pt idx="106">
                  <formatCode>0.00%</formatCode>
                  <v>-0.0006464269605058336</v>
                </pt>
                <pt idx="107">
                  <formatCode>0.00%</formatCode>
                  <v>0.01560658545512142</v>
                </pt>
                <pt idx="108">
                  <formatCode>0.00%</formatCode>
                  <v>0.1272139023536553</v>
                </pt>
                <pt idx="109">
                  <formatCode>0.00%</formatCode>
                  <v>0.1355392113129756</v>
                </pt>
                <pt idx="110">
                  <formatCode>0.00%</formatCode>
                  <v>0.2631453160909626</v>
                </pt>
                <pt idx="111">
                  <formatCode>0.00%</formatCode>
                  <v>0.154812885144423</v>
                </pt>
                <pt idx="112">
                  <formatCode>0.00%</formatCode>
                  <v>0.04260443077001463</v>
                </pt>
                <pt idx="113">
                  <formatCode>0.00%</formatCode>
                  <v>-0.1112219193236412</v>
                </pt>
                <pt idx="114">
                  <formatCode>0.00%</formatCode>
                  <v>-0.05617515195298524</v>
                </pt>
                <pt idx="115">
                  <formatCode>0.00%</formatCode>
                  <v>0.05600225125714945</v>
                </pt>
                <pt idx="116">
                  <formatCode>0.00%</formatCode>
                  <v>0.02499660773953153</v>
                </pt>
                <pt idx="117">
                  <formatCode>0.00%</formatCode>
                  <v>0.07476682959834145</v>
                </pt>
                <pt idx="118">
                  <formatCode>0.00%</formatCode>
                  <v>0.1652783821304988</v>
                </pt>
                <pt idx="119">
                  <formatCode>0.00%</formatCode>
                  <v>0.1060516114053404</v>
                </pt>
                <pt idx="120">
                  <formatCode>0.00%</formatCode>
                  <v>0.0525869489033786</v>
                </pt>
                <pt idx="121">
                  <formatCode>0.00%</formatCode>
                  <v>0.149528004124844</v>
                </pt>
                <pt idx="122">
                  <formatCode>0.00%</formatCode>
                  <v>0.1683843454129101</v>
                </pt>
                <pt idx="123">
                  <formatCode>0.00%</formatCode>
                  <v>0.1767033297631955</v>
                </pt>
                <pt idx="124">
                  <formatCode>0.00%</formatCode>
                  <v>0.3010795824722952</v>
                </pt>
                <pt idx="125">
                  <formatCode>0.00%</formatCode>
                  <v>0.5454526797638463</v>
                </pt>
                <pt idx="126">
                  <formatCode>0.00%</formatCode>
                  <v>0.4668907657632669</v>
                </pt>
                <pt idx="127">
                  <formatCode>0.00%</formatCode>
                  <v>0.4163463049366563</v>
                </pt>
                <pt idx="128">
                  <formatCode>0.00%</formatCode>
                  <v>0.3949714688830379</v>
                </pt>
                <pt idx="129">
                  <formatCode>0.00%</formatCode>
                  <v>0.3344035580026421</v>
                </pt>
                <pt idx="130">
                  <formatCode>0.00%</formatCode>
                  <v>0.2859313663905989</v>
                </pt>
                <pt idx="131">
                  <formatCode>0.00%</formatCode>
                  <v>0.269022076289254</v>
                </pt>
                <pt idx="132">
                  <formatCode>0.00%</formatCode>
                  <v>0.367944501761437</v>
                </pt>
                <pt idx="133">
                  <formatCode>0.00%</formatCode>
                  <v>0.1957481782639048</v>
                </pt>
                <pt idx="134">
                  <formatCode>0.00%</formatCode>
                  <v>0.1835122852162912</v>
                </pt>
                <pt idx="135">
                  <formatCode>0.00%</formatCode>
                  <v>0.1361661225577531</v>
                </pt>
                <pt idx="136">
                  <formatCode>0.00%</formatCode>
                  <v>0.07675121213171453</v>
                </pt>
                <pt idx="137">
                  <formatCode>0.00%</formatCode>
                  <v>0.06719746417647983</v>
                </pt>
                <pt idx="138">
                  <formatCode>0.00%</formatCode>
                  <v>-0.05886147789742835</v>
                </pt>
                <pt idx="139">
                  <formatCode>0.00%</formatCode>
                  <v>-0.06836782330672211</v>
                </pt>
                <pt idx="140">
                  <formatCode>0.00%</formatCode>
                  <v>-0.156310441015578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US!$B$6:$B$160</f>
              <numCache>
                <formatCode>General</formatCode>
                <ptCount val="155"/>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pt idx="146">
                  <v>46.2</v>
                </pt>
                <pt idx="147">
                  <v>46.9</v>
                </pt>
                <pt idx="148">
                  <v>47.3</v>
                </pt>
                <pt idx="149">
                  <v>49.2</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China!$A$6:$A$231</f>
              <numCache>
                <formatCode>m/d/yyyy</formatCode>
                <ptCount val="22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pt idx="218">
                  <v>44986</v>
                </pt>
              </numCache>
            </numRef>
          </cat>
          <val>
            <numRef>
              <f>China!$B$6:$B$225</f>
              <numCache>
                <formatCode>General</formatCode>
                <ptCount val="220"/>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pt idx="218">
                  <v>50</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China!$A$6:$A$231</f>
              <numCache>
                <formatCode>m/d/yyyy</formatCode>
                <ptCount val="22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pt idx="218">
                  <v>44986</v>
                </pt>
              </numCache>
            </numRef>
          </cat>
          <val>
            <numRef>
              <f>China!$D$6:$D$231</f>
              <numCache>
                <formatCode>General</formatCode>
                <ptCount val="226"/>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pt idx="215">
                  <v>47</v>
                </pt>
                <pt idx="216">
                  <v>50.1</v>
                </pt>
                <pt idx="217">
                  <v>52.6</v>
                </pt>
                <pt idx="218">
                  <v>51.9</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China!$A$6:$A$225</f>
              <numCache>
                <formatCode>m/d/yyyy</formatCode>
                <ptCount val="220"/>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pt idx="218">
                  <v>44986</v>
                </pt>
              </numCache>
            </numRef>
          </cat>
          <val>
            <numRef>
              <f>China!$F$6:$F$225</f>
              <numCache>
                <formatCode>0.0%</formatCode>
                <ptCount val="220"/>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0.187</v>
                </pt>
                <pt idx="196">
                  <v>0</v>
                </pt>
                <pt idx="197">
                  <v>0</v>
                </pt>
                <pt idx="198">
                  <v>0.083</v>
                </pt>
                <pt idx="199">
                  <v>0</v>
                </pt>
                <pt idx="200">
                  <v>0</v>
                </pt>
                <pt idx="201">
                  <v>0.052</v>
                </pt>
                <pt idx="202">
                  <v>0</v>
                </pt>
                <pt idx="203">
                  <v>0</v>
                </pt>
                <pt idx="204">
                  <v>0.043</v>
                </pt>
                <pt idx="205">
                  <v>0</v>
                </pt>
                <pt idx="206">
                  <v>0</v>
                </pt>
                <pt idx="207">
                  <v>0.048</v>
                </pt>
                <pt idx="208">
                  <v>0</v>
                </pt>
                <pt idx="209">
                  <v>0</v>
                </pt>
                <pt idx="210">
                  <v>0.004</v>
                </pt>
                <pt idx="211">
                  <v>0</v>
                </pt>
                <pt idx="212">
                  <v>0</v>
                </pt>
                <pt idx="213">
                  <v>0.039</v>
                </pt>
                <pt idx="214">
                  <v>0</v>
                </pt>
                <pt idx="215">
                  <v>0</v>
                </pt>
                <pt idx="216">
                  <v>0.029</v>
                </pt>
                <pt idx="217">
                  <v>0</v>
                </pt>
                <pt idx="218">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China!$A$6:$A$225</f>
              <numCache>
                <formatCode>m/d/yyyy</formatCode>
                <ptCount val="220"/>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pt idx="218">
                  <v>44986</v>
                </pt>
              </numCache>
            </numRef>
          </cat>
          <val>
            <numRef>
              <f>China!$B$6:$B$225</f>
              <numCache>
                <formatCode>General</formatCode>
                <ptCount val="220"/>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pt idx="218">
                  <v>50</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China!$A$6:$A$225</f>
              <numCache>
                <formatCode>m/d/yyyy</formatCode>
                <ptCount val="220"/>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pt idx="218">
                  <v>44986</v>
                </pt>
              </numCache>
            </numRef>
          </cat>
          <val>
            <numRef>
              <f>China!$B$6:$B$225</f>
              <numCache>
                <formatCode>General</formatCode>
                <ptCount val="220"/>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pt idx="218">
                  <v>50</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Area'!$A$18:$A$229</f>
              <numCache>
                <formatCode>m/d/yyyy</formatCode>
                <ptCount val="212"/>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pt idx="207">
                  <v>44986</v>
                </pt>
              </numCache>
            </numRef>
          </cat>
          <val>
            <numRef>
              <f>'Euro Area'!$E$18:$E$229</f>
              <numCache>
                <formatCode>General</formatCode>
                <ptCount val="212"/>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pt idx="204">
                  <v>-10.2</v>
                </pt>
                <pt idx="205">
                  <v>-10.2</v>
                </pt>
                <pt idx="206">
                  <v>-9.899999999999999</v>
                </pt>
                <pt idx="207">
                  <v>-9.700000000000003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Area'!$A$18:$A$229</f>
              <numCache>
                <formatCode>m/d/yyyy</formatCode>
                <ptCount val="212"/>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pt idx="207">
                  <v>44986</v>
                </pt>
              </numCache>
            </numRef>
          </cat>
          <val>
            <numRef>
              <f>'Euro Area'!$F$18:$F$229</f>
              <numCache>
                <formatCode>0.0%</formatCode>
                <ptCount val="212"/>
                <pt idx="0">
                  <v>0.08907536332332228</v>
                </pt>
                <pt idx="1">
                  <v>0.187093810372343</v>
                </pt>
                <pt idx="2">
                  <v>0.1458205258095913</v>
                </pt>
                <pt idx="3">
                  <v>0.2258089960775209</v>
                </pt>
                <pt idx="4">
                  <v>0.3265336117573668</v>
                </pt>
                <pt idx="5">
                  <v>0.2736724285475327</v>
                </pt>
                <pt idx="6">
                  <v>0.2588049078806849</v>
                </pt>
                <pt idx="7">
                  <v>0.2183271225706754</v>
                </pt>
                <pt idx="8">
                  <v>0.245208733223773</v>
                </pt>
                <pt idx="9">
                  <v>0.2452577756062587</v>
                </pt>
                <pt idx="10">
                  <v>0.338146165964531</v>
                </pt>
                <pt idx="11">
                  <v>0.3747119868157214</v>
                </pt>
                <pt idx="12">
                  <v>0.3535139757804374</v>
                </pt>
                <pt idx="13">
                  <v>0.2878781217813223</v>
                </pt>
                <pt idx="14">
                  <v>0.2670365926547469</v>
                </pt>
                <pt idx="15">
                  <v>0.2641428631662806</v>
                </pt>
                <pt idx="16">
                  <v>0.2858011850392305</v>
                </pt>
                <pt idx="17">
                  <v>0.3836760110013273</v>
                </pt>
                <pt idx="18">
                  <v>0.3641421629216433</v>
                </pt>
                <pt idx="19">
                  <v>0.305683238592408</v>
                </pt>
                <pt idx="20">
                  <v>0.2565503526585175</v>
                </pt>
                <pt idx="21">
                  <v>0.3067051730534151</v>
                </pt>
                <pt idx="22">
                  <v>0.3262472283055523</v>
                </pt>
                <pt idx="23">
                  <v>0.2325127012240828</v>
                </pt>
                <pt idx="24">
                  <v>0.1753268598805513</v>
                </pt>
                <pt idx="25">
                  <v>0.04665865758335816</v>
                </pt>
                <pt idx="26">
                  <v>0.04754200067137803</v>
                </pt>
                <pt idx="27">
                  <v>0.03112465961411065</v>
                </pt>
                <pt idx="28">
                  <v>0.0090392457545533</v>
                </pt>
                <pt idx="29">
                  <v>-0.01622218411907161</v>
                </pt>
                <pt idx="30">
                  <v>-0.1482944846468129</v>
                </pt>
                <pt idx="31">
                  <v>-0.1105887920659153</v>
                </pt>
                <pt idx="32">
                  <v>-0.1453456358970455</v>
                </pt>
                <pt idx="33">
                  <v>-0.3013403722157476</v>
                </pt>
                <pt idx="34">
                  <v>-0.4978918577268041</v>
                </pt>
                <pt idx="35">
                  <v>-0.522005298196746</v>
                </pt>
                <pt idx="36">
                  <v>-0.4544517984343147</v>
                </pt>
                <pt idx="37">
                  <v>-0.4996890037793225</v>
                </pt>
                <pt idx="38">
                  <v>-0.5564335696639572</v>
                </pt>
                <pt idx="39">
                  <v>-0.5244645915925931</v>
                </pt>
                <pt idx="40">
                  <v>-0.4756981400173292</v>
                </pt>
                <pt idx="41">
                  <v>-0.413398345505403</v>
                </pt>
                <pt idx="42">
                  <v>-0.3467943164930684</v>
                </pt>
                <pt idx="43">
                  <v>-0.2662782082505258</v>
                </pt>
                <pt idx="44">
                  <v>-0.188461036206678</v>
                </pt>
                <pt idx="45">
                  <v>-0.0002377323889950441</v>
                </pt>
                <pt idx="46">
                  <v>0.2647766502772257</v>
                </pt>
                <pt idx="47">
                  <v>0.4331732729425338</v>
                </pt>
                <pt idx="48">
                  <v>0.2788756369459063</v>
                </pt>
                <pt idx="49">
                  <v>0.4067899486773335</v>
                </pt>
                <pt idx="50">
                  <v>0.5521369036504336</v>
                </pt>
                <pt idx="51">
                  <v>0.5163707161875036</v>
                </pt>
                <pt idx="52">
                  <v>0.2570518472614762</v>
                </pt>
                <pt idx="53">
                  <v>-0.02974504699935362</v>
                </pt>
                <pt idx="54">
                  <v>-0.0260551589737711</v>
                </pt>
                <pt idx="55">
                  <v>0.006594929963962287</v>
                </pt>
                <pt idx="56">
                  <v>-0.1187256270340566</v>
                </pt>
                <pt idx="57">
                  <v>-0.06252969208028858</v>
                </pt>
                <pt idx="58">
                  <v>0.04202076511400432</v>
                </pt>
                <pt idx="59">
                  <v>-0.1165567138894993</v>
                </pt>
                <pt idx="60">
                  <v>-0.03144389944012201</v>
                </pt>
                <pt idx="61">
                  <v>0.1192429303991086</v>
                </pt>
                <pt idx="62">
                  <v>0.1875290756590584</v>
                </pt>
                <pt idx="63">
                  <v>0.1096161434120021</v>
                </pt>
                <pt idx="64">
                  <v>0.2605717192789986</v>
                </pt>
                <pt idx="65">
                  <v>0.3740132360065945</v>
                </pt>
                <pt idx="66">
                  <v>0.399689587106869</v>
                </pt>
                <pt idx="67">
                  <v>0.1270198770749491</v>
                </pt>
                <pt idx="68">
                  <v>0.0636903538620268</v>
                </pt>
                <pt idx="69">
                  <v>-0.1866669219308367</v>
                </pt>
                <pt idx="70">
                  <v>-0.1363320962527737</v>
                </pt>
                <pt idx="71">
                  <v>-0.06974019941214342</v>
                </pt>
                <pt idx="72">
                  <v>-0.1844717670413264</v>
                </pt>
                <pt idx="73">
                  <v>-0.1761632924468062</v>
                </pt>
                <pt idx="74">
                  <v>-0.1556907375275514</v>
                </pt>
                <pt idx="75">
                  <v>-0.1574555495698838</v>
                </pt>
                <pt idx="76">
                  <v>-0.2634710055024671</v>
                </pt>
                <pt idx="77">
                  <v>-0.3263976393820984</v>
                </pt>
                <pt idx="78">
                  <v>-0.2686456257643711</v>
                </pt>
                <pt idx="79">
                  <v>-0.2115337273430842</v>
                </pt>
                <pt idx="80">
                  <v>-0.04249688886878712</v>
                </pt>
                <pt idx="81">
                  <v>0.1454917364469724</v>
                </pt>
                <pt idx="82">
                  <v>0.04311741889737274</v>
                </pt>
                <pt idx="83">
                  <v>0.1262374786419504</v>
                </pt>
                <pt idx="84">
                  <v>0.2489637502825629</v>
                </pt>
                <pt idx="85">
                  <v>0.2010156352758651</v>
                </pt>
                <pt idx="86">
                  <v>0.08604053916215544</v>
                </pt>
                <pt idx="87">
                  <v>0.06927126188439622</v>
                </pt>
                <pt idx="88">
                  <v>0.1980524635066216</v>
                </pt>
                <pt idx="89">
                  <v>0.3933298232492221</v>
                </pt>
                <pt idx="90">
                  <v>0.2225812019608848</v>
                </pt>
                <pt idx="91">
                  <v>0.3362880571003286</v>
                </pt>
                <pt idx="92">
                  <v>0.2305790872219769</v>
                </pt>
                <pt idx="93">
                  <v>0.2911335514278381</v>
                </pt>
                <pt idx="94">
                  <v>0.3272751763133706</v>
                </pt>
                <pt idx="95">
                  <v>0.302260538527153</v>
                </pt>
                <pt idx="96">
                  <v>0.2717252965885756</v>
                </pt>
                <pt idx="97">
                  <v>0.1624986337117953</v>
                </pt>
                <pt idx="98">
                  <v>0.3036876611422446</v>
                </pt>
                <pt idx="99">
                  <v>0.3306392435844729</v>
                </pt>
                <pt idx="100">
                  <v>0.2814096916047394</v>
                </pt>
                <pt idx="101">
                  <v>0.2755021700600719</v>
                </pt>
                <pt idx="102">
                  <v>0.3391862981745687</v>
                </pt>
                <pt idx="103">
                  <v>0.1522172196572125</v>
                </pt>
                <pt idx="104">
                  <v>0.1755450496139405</v>
                </pt>
                <pt idx="105">
                  <v>0.04338832885739929</v>
                </pt>
                <pt idx="106">
                  <v>-0.03865583733843639</v>
                </pt>
                <pt idx="107">
                  <v>-0.01573527787024485</v>
                </pt>
                <pt idx="108">
                  <v>-0.1022670648795342</v>
                </pt>
                <pt idx="109">
                  <v>-0.04107708690362268</v>
                </pt>
                <pt idx="110">
                  <v>-0.04790181299653708</v>
                </pt>
                <pt idx="111">
                  <v>-0.06298744748268918</v>
                </pt>
                <pt idx="112">
                  <v>-0.05945641337536732</v>
                </pt>
                <pt idx="113">
                  <v>-0.07316807502045038</v>
                </pt>
                <pt idx="114">
                  <v>-0.08932381831027351</v>
                </pt>
                <pt idx="115">
                  <v>-0.003645001181025199</v>
                </pt>
                <pt idx="116">
                  <v>-0.07403219478814589</v>
                </pt>
                <pt idx="117">
                  <v>-0.08580658294560595</v>
                </pt>
                <pt idx="118">
                  <v>0.009867400869111722</v>
                </pt>
                <pt idx="119">
                  <v>-0.03547444246928462</v>
                </pt>
                <pt idx="120">
                  <v>-0.01145379065140415</v>
                </pt>
                <pt idx="121">
                  <v>-0.07695519128808566</v>
                </pt>
                <pt idx="122">
                  <v>-0.1676192533331216</v>
                </pt>
                <pt idx="123">
                  <v>-0.09095816872127542</v>
                </pt>
                <pt idx="124">
                  <v>-0.08802565629709411</v>
                </pt>
                <pt idx="125">
                  <v>-0.115516484750825</v>
                </pt>
                <pt idx="126">
                  <v>-0.1233653159565821</v>
                </pt>
                <pt idx="127">
                  <v>-0.1018749283320654</v>
                </pt>
                <pt idx="128">
                  <v>-0.02446512231091797</v>
                </pt>
                <pt idx="129">
                  <v>0.03163536933774212</v>
                </pt>
                <pt idx="130">
                  <v>-0.04838902955362376</v>
                </pt>
                <pt idx="131">
                  <v>-0.07904982232522635</v>
                </pt>
                <pt idx="132">
                  <v>0.01425096222528992</v>
                </pt>
                <pt idx="133">
                  <v>0.09808064537099496</v>
                </pt>
                <pt idx="134">
                  <v>0.1486945939340378</v>
                </pt>
                <pt idx="135">
                  <v>0.1278761725164385</v>
                </pt>
                <pt idx="136">
                  <v>0.1477028391204566</v>
                </pt>
                <pt idx="137">
                  <v>0.2498014012694108</v>
                </pt>
                <pt idx="138">
                  <v>0.2892437333893436</v>
                </pt>
                <pt idx="139">
                  <v>0.2579396303472287</v>
                </pt>
                <pt idx="140">
                  <v>0.2499430269729954</v>
                </pt>
                <pt idx="141">
                  <v>0.2839576163427859</v>
                </pt>
                <pt idx="142">
                  <v>0.3123917302677008</v>
                </pt>
                <pt idx="143">
                  <v>0.3634105023942949</v>
                </pt>
                <pt idx="144">
                  <v>0.2816483363720695</v>
                </pt>
                <pt idx="145">
                  <v>0.3398696449346085</v>
                </pt>
                <pt idx="146">
                  <v>0.2571377855395496</v>
                </pt>
                <pt idx="147">
                  <v>0.1760484775699842</v>
                </pt>
                <pt idx="148">
                  <v>0.1523717343764588</v>
                </pt>
                <pt idx="149">
                  <v>0.05869814195552735</v>
                </pt>
                <pt idx="150">
                  <v>0.03725490780424126</v>
                </pt>
                <pt idx="151">
                  <v>0.05212569565187199</v>
                </pt>
                <pt idx="152">
                  <v>0.01388937350913784</v>
                </pt>
                <pt idx="153">
                  <v>-0.02597126524004654</v>
                </pt>
                <pt idx="154">
                  <v>-0.1227529185408596</v>
                </pt>
                <pt idx="155">
                  <v>-0.1236047660690818</v>
                </pt>
                <pt idx="156">
                  <v>-0.1684414130113106</v>
                </pt>
                <pt idx="157">
                  <v>-0.171270663695691</v>
                </pt>
                <pt idx="158">
                  <v>-0.0908642095307466</v>
                </pt>
                <pt idx="159">
                  <v>-0.08288156893885044</v>
                </pt>
                <pt idx="160">
                  <v>-0.05831430357176082</v>
                </pt>
                <pt idx="161">
                  <v>-0.08617917158939226</v>
                </pt>
                <pt idx="162">
                  <v>-0.006440695028099695</v>
                </pt>
                <pt idx="163">
                  <v>-0.06660454325482666</v>
                </pt>
                <pt idx="164">
                  <v>-0.05056071608949424</v>
                </pt>
                <pt idx="165">
                  <v>-0.02102970110669024</v>
                </pt>
                <pt idx="166">
                  <v>0.1165921598185569</v>
                </pt>
                <pt idx="167">
                  <v>0.1307467209680165</v>
                </pt>
                <pt idx="168">
                  <v>0.234328411254187</v>
                </pt>
                <pt idx="169">
                  <v>0.117375519054644</v>
                </pt>
                <pt idx="170">
                  <v>0.003409908235729692</v>
                </pt>
                <pt idx="171">
                  <v>-0.1851003059384911</v>
                </pt>
                <pt idx="172">
                  <v>-0.1760826177141543</v>
                </pt>
                <pt idx="173">
                  <v>-0.05439339894049455</v>
                </pt>
                <pt idx="174">
                  <v>-0.04929062697100871</v>
                </pt>
                <pt idx="175">
                  <v>-0.008547154243525781</v>
                </pt>
                <pt idx="176">
                  <v>0.05258358715550593</v>
                </pt>
                <pt idx="177">
                  <v>-0.01223244348371943</v>
                </pt>
                <pt idx="178">
                  <v>-0.1007496068201202</v>
                </pt>
                <pt idx="179">
                  <v>0.06643099166710441</v>
                </pt>
                <pt idx="180">
                  <v>0.06523325914687159</v>
                </pt>
                <pt idx="181">
                  <v>0.09498369848708742</v>
                </pt>
                <pt idx="182">
                  <v>0.222443032835046</v>
                </pt>
                <pt idx="183">
                  <v>0.5574583174698127</v>
                </pt>
                <pt idx="184">
                  <v>0.5353096541016781</v>
                </pt>
                <pt idx="185">
                  <v>0.4924838922824747</v>
                </pt>
                <pt idx="186">
                  <v>0.384497703816233</v>
                </pt>
                <pt idx="187">
                  <v>0.3552063543521971</v>
                </pt>
                <pt idx="188">
                  <v>0.3215087719624813</v>
                </pt>
                <pt idx="189">
                  <v>0.2995508364359492</v>
                </pt>
                <pt idx="190">
                  <v>0.4362300512960591</v>
                </pt>
                <pt idx="191">
                  <v>0.1352219275970985</v>
                </pt>
                <pt idx="192">
                  <v>0.1386203602925265</v>
                </pt>
                <pt idx="193">
                  <v>0.1209149684449518</v>
                </pt>
                <pt idx="194">
                  <v>0.004033834205863269</v>
                </pt>
                <pt idx="195">
                  <v>-0.04510846026006662</v>
                </pt>
                <pt idx="196">
                  <v>-0.1541924717575417</v>
                </pt>
                <pt idx="197">
                  <v>-0.1545615773094089</v>
                </pt>
                <pt idx="198">
                  <v>-0.2452848105128256</v>
                </pt>
                <pt idx="199">
                  <v>-0.2052528159862708</v>
                </pt>
                <pt idx="200">
                  <v>-0.2783787973534254</v>
                </pt>
                <pt idx="201">
                  <v>-0.3100167024533082</v>
                </pt>
                <pt idx="202">
                  <v>-0.2735409026288237</v>
                </pt>
                <pt idx="203">
                  <v>-0.1157754243959083</v>
                </pt>
                <pt idx="204">
                  <v>-0.1636689352720675</v>
                </pt>
                <pt idx="205">
                  <v>-0.03856750883559395</v>
                </pt>
                <pt idx="206">
                  <v>0.02032562040616213</v>
                </pt>
                <pt idx="207">
                  <v>0.07032384549016639</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Area'!$A$6:$A$225</f>
              <numCache>
                <formatCode>m/d/yyyy</formatCode>
                <ptCount val="220"/>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pt idx="219">
                  <v>44986</v>
                </pt>
              </numCache>
            </numRef>
          </cat>
          <val>
            <numRef>
              <f>'Euro Area'!$G$6:$G$225</f>
              <numCache>
                <formatCode>0.0%</formatCode>
                <ptCount val="220"/>
                <pt idx="0">
                  <v>0</v>
                </pt>
                <pt idx="1">
                  <v>0.002058331075450142</v>
                </pt>
                <pt idx="2">
                  <v>0</v>
                </pt>
                <pt idx="3">
                  <v>0</v>
                </pt>
                <pt idx="4">
                  <v>0.00615802636915008</v>
                </pt>
                <pt idx="5">
                  <v>0</v>
                </pt>
                <pt idx="6">
                  <v>0</v>
                </pt>
                <pt idx="7">
                  <v>0.00734557187207613</v>
                </pt>
                <pt idx="8">
                  <v>0</v>
                </pt>
                <pt idx="9">
                  <v>0</v>
                </pt>
                <pt idx="10">
                  <v>0.006397327371700599</v>
                </pt>
                <pt idx="11">
                  <v>0</v>
                </pt>
                <pt idx="12">
                  <v>0</v>
                </pt>
                <pt idx="13">
                  <v>0.008680432688447393</v>
                </pt>
                <pt idx="14">
                  <v>0</v>
                </pt>
                <pt idx="15">
                  <v>0</v>
                </pt>
                <pt idx="16">
                  <v>0.01106369009240189</v>
                </pt>
                <pt idx="17">
                  <v>0</v>
                </pt>
                <pt idx="18">
                  <v>0</v>
                </pt>
                <pt idx="19">
                  <v>0.005996377132224997</v>
                </pt>
                <pt idx="20">
                  <v>0</v>
                </pt>
                <pt idx="21">
                  <v>0</v>
                </pt>
                <pt idx="22">
                  <v>0.01170512931451483</v>
                </pt>
                <pt idx="23">
                  <v>0</v>
                </pt>
                <pt idx="24">
                  <v>0</v>
                </pt>
                <pt idx="25">
                  <v>0.005961731654518151</v>
                </pt>
                <pt idx="26">
                  <v>0</v>
                </pt>
                <pt idx="27">
                  <v>0</v>
                </pt>
                <pt idx="28">
                  <v>0.007248813041064861</v>
                </pt>
                <pt idx="29">
                  <v>0</v>
                </pt>
                <pt idx="30">
                  <v>0</v>
                </pt>
                <pt idx="31">
                  <v>0.004546447916508119</v>
                </pt>
                <pt idx="32">
                  <v>0</v>
                </pt>
                <pt idx="33">
                  <v>0</v>
                </pt>
                <pt idx="34">
                  <v>0.005068113815786636</v>
                </pt>
                <pt idx="35">
                  <v>0</v>
                </pt>
                <pt idx="36">
                  <v>0</v>
                </pt>
                <pt idx="37">
                  <v>0.005134276000516798</v>
                </pt>
                <pt idx="38">
                  <v>0</v>
                </pt>
                <pt idx="39">
                  <v>0</v>
                </pt>
                <pt idx="40">
                  <v>-0.003358930495571226</v>
                </pt>
                <pt idx="41">
                  <v>0</v>
                </pt>
                <pt idx="42">
                  <v>0</v>
                </pt>
                <pt idx="43">
                  <v>-0.005231634710259917</v>
                </pt>
                <pt idx="44">
                  <v>0</v>
                </pt>
                <pt idx="45">
                  <v>0</v>
                </pt>
                <pt idx="46">
                  <v>-0.01825133123146283</v>
                </pt>
                <pt idx="47">
                  <v>0</v>
                </pt>
                <pt idx="48">
                  <v>0</v>
                </pt>
                <pt idx="49">
                  <v>-0.03097772511293443</v>
                </pt>
                <pt idx="50">
                  <v>0</v>
                </pt>
                <pt idx="51">
                  <v>0</v>
                </pt>
                <pt idx="52">
                  <v>-0.0002070816951907482</v>
                </pt>
                <pt idx="53">
                  <v>0</v>
                </pt>
                <pt idx="54">
                  <v>0</v>
                </pt>
                <pt idx="55">
                  <v>0.00406602423065203</v>
                </pt>
                <pt idx="56">
                  <v>0</v>
                </pt>
                <pt idx="57">
                  <v>0</v>
                </pt>
                <pt idx="58">
                  <v>0.004214381685656728</v>
                </pt>
                <pt idx="59">
                  <v>0</v>
                </pt>
                <pt idx="60">
                  <v>0</v>
                </pt>
                <pt idx="61">
                  <v>0.004365774383038191</v>
                </pt>
                <pt idx="62">
                  <v>0</v>
                </pt>
                <pt idx="63">
                  <v>0</v>
                </pt>
                <pt idx="64">
                  <v>0.009721793764570823</v>
                </pt>
                <pt idx="65">
                  <v>0</v>
                </pt>
                <pt idx="66">
                  <v>0</v>
                </pt>
                <pt idx="67">
                  <v>0.00424080490543555</v>
                </pt>
                <pt idx="68">
                  <v>0</v>
                </pt>
                <pt idx="69">
                  <v>0</v>
                </pt>
                <pt idx="70">
                  <v>0.005852138943591127</v>
                </pt>
                <pt idx="71">
                  <v>0</v>
                </pt>
                <pt idx="72">
                  <v>0</v>
                </pt>
                <pt idx="73">
                  <v>0.009080976513201071</v>
                </pt>
                <pt idx="74">
                  <v>0</v>
                </pt>
                <pt idx="75">
                  <v>0</v>
                </pt>
                <pt idx="76">
                  <v>-0.0002075135417130925</v>
                </pt>
                <pt idx="77">
                  <v>0</v>
                </pt>
                <pt idx="78">
                  <v>0</v>
                </pt>
                <pt idx="79">
                  <v>0.001559336634373648</v>
                </pt>
                <pt idx="80">
                  <v>0</v>
                </pt>
                <pt idx="81">
                  <v>0</v>
                </pt>
                <pt idx="82">
                  <v>-0.004280860726419024</v>
                </pt>
                <pt idx="83">
                  <v>0</v>
                </pt>
                <pt idx="84">
                  <v>0</v>
                </pt>
                <pt idx="85">
                  <v>-0.002145514848450238</v>
                </pt>
                <pt idx="86">
                  <v>0</v>
                </pt>
                <pt idx="87">
                  <v>0</v>
                </pt>
                <pt idx="88">
                  <v>-0.002637735847178543</v>
                </pt>
                <pt idx="89">
                  <v>0</v>
                </pt>
                <pt idx="90">
                  <v>0</v>
                </pt>
                <pt idx="91">
                  <v>-0.0009530527044507454</v>
                </pt>
                <pt idx="92">
                  <v>0</v>
                </pt>
                <pt idx="93">
                  <v>0</v>
                </pt>
                <pt idx="94">
                  <v>-0.00448369159730617</v>
                </pt>
                <pt idx="95">
                  <v>0</v>
                </pt>
                <pt idx="96">
                  <v>0</v>
                </pt>
                <pt idx="97">
                  <v>-0.003328169996104764</v>
                </pt>
                <pt idx="98">
                  <v>0</v>
                </pt>
                <pt idx="99">
                  <v>0</v>
                </pt>
                <pt idx="100">
                  <v>0.00513517489719126</v>
                </pt>
                <pt idx="101">
                  <v>0</v>
                </pt>
                <pt idx="102">
                  <v>0</v>
                </pt>
                <pt idx="103">
                  <v>0.003119804134847564</v>
                </pt>
                <pt idx="104">
                  <v>0</v>
                </pt>
                <pt idx="105">
                  <v>0</v>
                </pt>
                <pt idx="106">
                  <v>0.002816361817721088</v>
                </pt>
                <pt idx="107">
                  <v>0</v>
                </pt>
                <pt idx="108">
                  <v>0</v>
                </pt>
                <pt idx="109">
                  <v>0.004113664086032212</v>
                </pt>
                <pt idx="110">
                  <v>0</v>
                </pt>
                <pt idx="111">
                  <v>0</v>
                </pt>
                <pt idx="112">
                  <v>0.002017911927856534</v>
                </pt>
                <pt idx="113">
                  <v>0</v>
                </pt>
                <pt idx="114">
                  <v>0</v>
                </pt>
                <pt idx="115">
                  <v>0.004907922435032191</v>
                </pt>
                <pt idx="116">
                  <v>0</v>
                </pt>
                <pt idx="117">
                  <v>0</v>
                </pt>
                <pt idx="118">
                  <v>0.003560664724712106</v>
                </pt>
                <pt idx="119">
                  <v>0</v>
                </pt>
                <pt idx="120">
                  <v>0</v>
                </pt>
                <pt idx="121">
                  <v>0.006342108126472852</v>
                </pt>
                <pt idx="122">
                  <v>0</v>
                </pt>
                <pt idx="123">
                  <v>0</v>
                </pt>
                <pt idx="124">
                  <v>0.00464262943266655</v>
                </pt>
                <pt idx="125">
                  <v>0</v>
                </pt>
                <pt idx="126">
                  <v>0</v>
                </pt>
                <pt idx="127">
                  <v>0.004161573123011056</v>
                </pt>
                <pt idx="128">
                  <v>0</v>
                </pt>
                <pt idx="129">
                  <v>0</v>
                </pt>
                <pt idx="130">
                  <v>0.004637224650689781</v>
                </pt>
                <pt idx="131">
                  <v>0</v>
                </pt>
                <pt idx="132">
                  <v>0</v>
                </pt>
                <pt idx="133">
                  <v>0.005526628281679841</v>
                </pt>
                <pt idx="134">
                  <v>0</v>
                </pt>
                <pt idx="135">
                  <v>0</v>
                </pt>
                <pt idx="136">
                  <v>0.002320024193000177</v>
                </pt>
                <pt idx="137">
                  <v>0</v>
                </pt>
                <pt idx="138">
                  <v>0</v>
                </pt>
                <pt idx="139">
                  <v>0.00481574553522158</v>
                </pt>
                <pt idx="140">
                  <v>0</v>
                </pt>
                <pt idx="141">
                  <v>0</v>
                </pt>
                <pt idx="142">
                  <v>0.00757463354817388</v>
                </pt>
                <pt idx="143">
                  <v>0</v>
                </pt>
                <pt idx="144">
                  <v>0</v>
                </pt>
                <pt idx="145">
                  <v>0.00679229178861074</v>
                </pt>
                <pt idx="146">
                  <v>0</v>
                </pt>
                <pt idx="147">
                  <v>0</v>
                </pt>
                <pt idx="148">
                  <v>0.007877116483349825</v>
                </pt>
                <pt idx="149">
                  <v>0</v>
                </pt>
                <pt idx="150">
                  <v>0</v>
                </pt>
                <pt idx="151">
                  <v>0.007828058775005116</v>
                </pt>
                <pt idx="152">
                  <v>0</v>
                </pt>
                <pt idx="153">
                  <v>0</v>
                </pt>
                <pt idx="154">
                  <v>0.008063116952769124</v>
                </pt>
                <pt idx="155">
                  <v>0</v>
                </pt>
                <pt idx="156">
                  <v>0</v>
                </pt>
                <pt idx="157">
                  <v>-3.700596089430073e-05</v>
                </pt>
                <pt idx="158">
                  <v>0</v>
                </pt>
                <pt idx="159">
                  <v>0</v>
                </pt>
                <pt idx="160">
                  <v>0.005348226211213597</v>
                </pt>
                <pt idx="161">
                  <v>0</v>
                </pt>
                <pt idx="162">
                  <v>0</v>
                </pt>
                <pt idx="163">
                  <v>0.0001490236016080247</v>
                </pt>
                <pt idx="164">
                  <v>0</v>
                </pt>
                <pt idx="165">
                  <v>0</v>
                </pt>
                <pt idx="166">
                  <v>0.006439960908643985</v>
                </pt>
                <pt idx="167">
                  <v>0</v>
                </pt>
                <pt idx="168">
                  <v>0</v>
                </pt>
                <pt idx="169">
                  <v>0.006248181883507779</v>
                </pt>
                <pt idx="170">
                  <v>0</v>
                </pt>
                <pt idx="171">
                  <v>0</v>
                </pt>
                <pt idx="172">
                  <v>0.003091162109650957</v>
                </pt>
                <pt idx="173">
                  <v>0</v>
                </pt>
                <pt idx="174">
                  <v>0</v>
                </pt>
                <pt idx="175">
                  <v>0.002172891249805928</v>
                </pt>
                <pt idx="176">
                  <v>0</v>
                </pt>
                <pt idx="177">
                  <v>0</v>
                </pt>
                <pt idx="178">
                  <v>0.0002215650272317706</v>
                </pt>
                <pt idx="179">
                  <v>0</v>
                </pt>
                <pt idx="180">
                  <v>0</v>
                </pt>
                <pt idx="181">
                  <v>-0.03361388173549828</v>
                </pt>
                <pt idx="182">
                  <v>0</v>
                </pt>
                <pt idx="183">
                  <v>0</v>
                </pt>
                <pt idx="184">
                  <v>-0.1146420998503574</v>
                </pt>
                <pt idx="185">
                  <v>0</v>
                </pt>
                <pt idx="186">
                  <v>0</v>
                </pt>
                <pt idx="187">
                  <v>0.1236323949733766</v>
                </pt>
                <pt idx="188">
                  <v>0</v>
                </pt>
                <pt idx="189">
                  <v>0</v>
                </pt>
                <pt idx="190">
                  <v>-0.002576693601359921</v>
                </pt>
                <pt idx="191">
                  <v>0</v>
                </pt>
                <pt idx="192">
                  <v>0</v>
                </pt>
                <pt idx="193">
                  <v>-0.0003598887857862808</v>
                </pt>
                <pt idx="194">
                  <v>0</v>
                </pt>
                <pt idx="195">
                  <v>0</v>
                </pt>
                <pt idx="196">
                  <v>0.01967985122399833</v>
                </pt>
                <pt idx="197">
                  <v>0</v>
                </pt>
                <pt idx="198">
                  <v>0</v>
                </pt>
                <pt idx="199">
                  <v>0.02279180828882344</v>
                </pt>
                <pt idx="200">
                  <v>0</v>
                </pt>
                <pt idx="201">
                  <v>0</v>
                </pt>
                <pt idx="202">
                  <v>0.005562219932789373</v>
                </pt>
                <pt idx="203">
                  <v>0</v>
                </pt>
                <pt idx="204">
                  <v>0</v>
                </pt>
                <pt idx="205">
                  <v>0.006144166063778317</v>
                </pt>
                <pt idx="206">
                  <v>0</v>
                </pt>
                <pt idx="207">
                  <v>0</v>
                </pt>
                <pt idx="208">
                  <v>0.008783993956139284</v>
                </pt>
                <pt idx="209">
                  <v>0</v>
                </pt>
                <pt idx="210">
                  <v>0</v>
                </pt>
                <pt idx="211">
                  <v>0.003703040945849028</v>
                </pt>
                <pt idx="212">
                  <v>0</v>
                </pt>
                <pt idx="213">
                  <v>0</v>
                </pt>
                <pt idx="214">
                  <v>-0.0003189855503469868</v>
                </pt>
                <pt idx="215">
                  <v>0</v>
                </pt>
                <pt idx="216">
                  <v>0</v>
                </pt>
                <pt idx="217">
                  <v>0</v>
                </pt>
                <pt idx="218">
                  <v>0</v>
                </pt>
                <pt idx="219">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Area'!$A$6:$A$225</f>
              <numCache>
                <formatCode>m/d/yyyy</formatCode>
                <ptCount val="220"/>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pt idx="219">
                  <v>44986</v>
                </pt>
              </numCache>
            </numRef>
          </cat>
          <val>
            <numRef>
              <f>'Euro Area'!$B$6:$B$225</f>
              <numCache>
                <formatCode>General</formatCode>
                <ptCount val="220"/>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pt idx="218">
                  <v>48.5</v>
                </pt>
                <pt idx="219">
                  <v>47.3</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Area'!$A$6:$A$225</f>
              <numCache>
                <formatCode>m/d/yyyy</formatCode>
                <ptCount val="220"/>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pt idx="219">
                  <v>44986</v>
                </pt>
              </numCache>
            </numRef>
          </cat>
          <val>
            <numRef>
              <f>'Euro Area'!$B$6:$B$225</f>
              <numCache>
                <formatCode>General</formatCode>
                <ptCount val="220"/>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pt idx="218">
                  <v>48.5</v>
                </pt>
                <pt idx="219">
                  <v>47.3</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Japan!$A$6:$A$187</f>
              <numCache>
                <formatCode>m/d/yyyy</formatCode>
                <ptCount val="182"/>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pt idx="178">
                  <v>44896</v>
                </pt>
                <pt idx="179">
                  <v>44927</v>
                </pt>
                <pt idx="180">
                  <v>44958</v>
                </pt>
                <pt idx="181">
                  <v>44986</v>
                </pt>
              </numCache>
            </numRef>
          </cat>
          <val>
            <numRef>
              <f>Japan!$B$6:$B$187</f>
              <numCache>
                <formatCode>General</formatCode>
                <ptCount val="182"/>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pt idx="178">
                  <v>48.9</v>
                </pt>
                <pt idx="179">
                  <v>48.9</v>
                </pt>
                <pt idx="180">
                  <v>47.7</v>
                </pt>
                <pt idx="18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Germany!$A$6:$A$188</f>
              <numCache>
                <formatCode>m/d/yyyy</formatCode>
                <ptCount val="183"/>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pt idx="179">
                  <v>44896</v>
                </pt>
                <pt idx="180">
                  <v>44927</v>
                </pt>
                <pt idx="181">
                  <v>44958</v>
                </pt>
                <pt idx="182">
                  <v>44986</v>
                </pt>
              </numCache>
            </numRef>
          </cat>
          <val>
            <numRef>
              <f>Germany!$B$6:$B$188</f>
              <numCache>
                <formatCode>General</formatCode>
                <ptCount val="183"/>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pt idx="179">
                  <v>47.1</v>
                </pt>
                <pt idx="180">
                  <v>47.3</v>
                </pt>
                <pt idx="181">
                  <v>46.3</v>
                </pt>
                <pt idx="182">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France!$A$6:$A$181</f>
              <numCache>
                <formatCode>m/d/yyyy</formatCode>
                <ptCount val="176"/>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pt idx="174">
                  <v>44958</v>
                </pt>
                <pt idx="175">
                  <v>44986</v>
                </pt>
              </numCache>
            </numRef>
          </cat>
          <val>
            <numRef>
              <f>France!$B$6:$B$181</f>
              <numCache>
                <formatCode>General</formatCode>
                <ptCount val="176"/>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pt idx="172">
                  <v>49.2</v>
                </pt>
                <pt idx="173">
                  <v>50.5</v>
                </pt>
                <pt idx="174">
                  <v>47.4</v>
                </pt>
                <pt idx="175">
                  <v>47.3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UK!$A$18:$A$230</f>
              <numCache>
                <formatCode>m/d/yyyy</formatCode>
                <ptCount val="21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pt idx="207">
                  <v>44986</v>
                </pt>
              </numCache>
            </numRef>
          </cat>
          <val>
            <numRef>
              <f>UK!$B$18:$B$230</f>
              <numCache>
                <formatCode>General</formatCode>
                <ptCount val="213"/>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pt idx="204">
                  <v>45.3</v>
                </pt>
                <pt idx="205">
                  <v>47</v>
                </pt>
                <pt idx="206">
                  <v>49.3</v>
                </pt>
                <pt idx="207">
                  <v>47.9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UK!$A$18:$A$230</f>
              <numCache>
                <formatCode>m/d/yyyy</formatCode>
                <ptCount val="21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pt idx="207">
                  <v>44986</v>
                </pt>
              </numCache>
            </numRef>
          </cat>
          <val>
            <numRef>
              <f>UK!$D$18:$D$230</f>
              <numCache>
                <formatCode>0.00</formatCode>
                <ptCount val="213"/>
                <pt idx="0">
                  <v>18.85319709777832</v>
                </pt>
                <pt idx="1">
                  <v>20.61869430541992</v>
                </pt>
                <pt idx="2">
                  <v>20.50362014770508</v>
                </pt>
                <pt idx="3">
                  <v>21.08943748474121</v>
                </pt>
                <pt idx="4">
                  <v>22.43890953063965</v>
                </pt>
                <pt idx="5">
                  <v>21.84263229370117</v>
                </pt>
                <pt idx="6">
                  <v>22.02046966552734</v>
                </pt>
                <pt idx="7">
                  <v>22.59583282470703</v>
                </pt>
                <pt idx="8">
                  <v>23.08749389648438</v>
                </pt>
                <pt idx="9">
                  <v>22.89919662475586</v>
                </pt>
                <pt idx="10">
                  <v>23.95575904846191</v>
                </pt>
                <pt idx="11">
                  <v>24.63572311401367</v>
                </pt>
                <pt idx="12">
                  <v>24.4892692565918</v>
                </pt>
                <pt idx="13">
                  <v>25.51086616516113</v>
                </pt>
                <pt idx="14">
                  <v>25.13204002380371</v>
                </pt>
                <pt idx="15">
                  <v>26.05204200744629</v>
                </pt>
                <pt idx="16">
                  <v>26.89626312255859</v>
                </pt>
                <pt idx="17">
                  <v>27.46990585327148</v>
                </pt>
                <pt idx="18">
                  <v>27.65389442443848</v>
                </pt>
                <pt idx="19">
                  <v>26.72309303283691</v>
                </pt>
                <pt idx="20">
                  <v>26.77720832824707</v>
                </pt>
                <pt idx="21">
                  <v>27.84872245788574</v>
                </pt>
                <pt idx="22">
                  <v>29.4614200592041</v>
                </pt>
                <pt idx="23">
                  <v>27.72966384887695</v>
                </pt>
                <pt idx="24">
                  <v>26.06286430358887</v>
                </pt>
                <pt idx="25">
                  <v>24.82069778442383</v>
                </pt>
                <pt idx="26">
                  <v>24.52948188781738</v>
                </pt>
                <pt idx="27">
                  <v>24.14865684509277</v>
                </pt>
                <pt idx="28">
                  <v>25.58234977722168</v>
                </pt>
                <pt idx="29">
                  <v>25.52634429931641</v>
                </pt>
                <pt idx="30">
                  <v>23.20779991149902</v>
                </pt>
                <pt idx="31">
                  <v>22.76374816894531</v>
                </pt>
                <pt idx="32">
                  <v>21.99617385864258</v>
                </pt>
                <pt idx="33">
                  <v>19.07481002807617</v>
                </pt>
                <pt idx="34">
                  <v>15.30567646026611</v>
                </pt>
                <pt idx="35">
                  <v>14.32042694091797</v>
                </pt>
                <pt idx="36">
                  <v>14.03401660919189</v>
                </pt>
                <pt idx="37">
                  <v>13.08317565917969</v>
                </pt>
                <pt idx="38">
                  <v>11.81021976470947</v>
                </pt>
                <pt idx="39">
                  <v>12.35240077972412</v>
                </pt>
                <pt idx="40">
                  <v>13.82572746276855</v>
                </pt>
                <pt idx="41">
                  <v>16.18306159973145</v>
                </pt>
                <pt idx="42">
                  <v>15.57015228271484</v>
                </pt>
                <pt idx="43">
                  <v>17.19697189331055</v>
                </pt>
                <pt idx="44">
                  <v>17.94101524353027</v>
                </pt>
                <pt idx="45">
                  <v>18.61305046081543</v>
                </pt>
                <pt idx="46">
                  <v>18.58905029296875</v>
                </pt>
                <pt idx="47">
                  <v>19.52510452270508</v>
                </pt>
                <pt idx="48">
                  <v>19.44110298156738</v>
                </pt>
                <pt idx="49">
                  <v>18.73366165161133</v>
                </pt>
                <pt idx="50">
                  <v>18.57582092285156</v>
                </pt>
                <pt idx="51">
                  <v>19.75350570678711</v>
                </pt>
                <pt idx="52">
                  <v>19.32856750488281</v>
                </pt>
                <pt idx="53">
                  <v>17.20388412475586</v>
                </pt>
                <pt idx="54">
                  <v>16.31758499145508</v>
                </pt>
                <pt idx="55">
                  <v>19.01400566101074</v>
                </pt>
                <pt idx="56">
                  <v>18.48274803161621</v>
                </pt>
                <pt idx="57">
                  <v>20.2124195098877</v>
                </pt>
                <pt idx="58">
                  <v>21.06489562988281</v>
                </pt>
                <pt idx="59">
                  <v>19.9653205871582</v>
                </pt>
                <pt idx="60">
                  <v>21.46025657653809</v>
                </pt>
                <pt idx="61">
                  <v>21.91374588012695</v>
                </pt>
                <pt idx="62">
                  <v>22.91209411621094</v>
                </pt>
                <pt idx="63">
                  <v>22.35052490234375</v>
                </pt>
                <pt idx="64">
                  <v>23.84804534912109</v>
                </pt>
                <pt idx="65">
                  <v>23.28647804260254</v>
                </pt>
                <pt idx="66">
                  <v>22.22572898864746</v>
                </pt>
                <pt idx="67">
                  <v>22.5208740234375</v>
                </pt>
                <pt idx="68">
                  <v>20.79435920715332</v>
                </pt>
                <pt idx="69">
                  <v>18.75047302246094</v>
                </pt>
                <pt idx="70">
                  <v>21.17520713806152</v>
                </pt>
                <pt idx="71">
                  <v>20.83244705200195</v>
                </pt>
                <pt idx="72">
                  <v>20.51507186889648</v>
                </pt>
                <pt idx="73">
                  <v>21.49223899841309</v>
                </pt>
                <pt idx="74">
                  <v>22.58746910095215</v>
                </pt>
                <pt idx="75">
                  <v>22.29111099243164</v>
                </pt>
                <pt idx="76">
                  <v>22.61323928833008</v>
                </pt>
                <pt idx="77">
                  <v>20.03623008728027</v>
                </pt>
                <pt idx="78">
                  <v>20.98972702026367</v>
                </pt>
                <pt idx="79">
                  <v>21.67182159423828</v>
                </pt>
                <pt idx="80">
                  <v>22.38410949707031</v>
                </pt>
                <pt idx="81">
                  <v>22.95129203796387</v>
                </pt>
                <pt idx="82">
                  <v>23.05681991577148</v>
                </pt>
                <pt idx="83">
                  <v>23.32062530517578</v>
                </pt>
                <pt idx="84">
                  <v>23.66357612609863</v>
                </pt>
                <pt idx="85">
                  <v>24.70919609069824</v>
                </pt>
                <pt idx="86">
                  <v>24.04029655456543</v>
                </pt>
                <pt idx="87">
                  <v>24.44163513183594</v>
                </pt>
                <pt idx="88">
                  <v>25.13729286193848</v>
                </pt>
                <pt idx="89">
                  <v>25.11054039001465</v>
                </pt>
                <pt idx="90">
                  <v>23.62558174133301</v>
                </pt>
                <pt idx="91">
                  <v>25.50984764099121</v>
                </pt>
                <pt idx="92">
                  <v>25.31977653503418</v>
                </pt>
                <pt idx="93">
                  <v>26.63667869567871</v>
                </pt>
                <pt idx="94">
                  <v>27.62774276733398</v>
                </pt>
                <pt idx="95">
                  <v>27.8449649810791</v>
                </pt>
                <pt idx="96">
                  <v>28.34728813171387</v>
                </pt>
                <pt idx="97">
                  <v>27.3553638458252</v>
                </pt>
                <pt idx="98">
                  <v>29.21019744873047</v>
                </pt>
                <pt idx="99">
                  <v>28.28964996337891</v>
                </pt>
                <pt idx="100">
                  <v>29.56742858886719</v>
                </pt>
                <pt idx="101">
                  <v>29.8559513092041</v>
                </pt>
                <pt idx="102">
                  <v>28.68809127807617</v>
                </pt>
                <pt idx="103">
                  <v>29.37614059448242</v>
                </pt>
                <pt idx="104">
                  <v>29.60677528381348</v>
                </pt>
                <pt idx="105">
                  <v>27.93472290039062</v>
                </pt>
                <pt idx="106">
                  <v>27.40139770507812</v>
                </pt>
                <pt idx="107">
                  <v>27.43023109436035</v>
                </pt>
                <pt idx="108">
                  <v>25.98880767822266</v>
                </pt>
                <pt idx="109">
                  <v>26.52298927307129</v>
                </pt>
                <pt idx="110">
                  <v>28.0814380645752</v>
                </pt>
                <pt idx="111">
                  <v>26.4788818359375</v>
                </pt>
                <pt idx="112">
                  <v>28.24315452575684</v>
                </pt>
                <pt idx="113">
                  <v>28.41958808898926</v>
                </pt>
                <pt idx="114">
                  <v>26.83173942565918</v>
                </pt>
                <pt idx="115">
                  <v>27.75506210327148</v>
                </pt>
                <pt idx="116">
                  <v>25.53944206237793</v>
                </pt>
                <pt idx="117">
                  <v>24.53643226623535</v>
                </pt>
                <pt idx="118">
                  <v>26.15323448181152</v>
                </pt>
                <pt idx="119">
                  <v>25.71909141540527</v>
                </pt>
                <pt idx="120">
                  <v>24.16217041015625</v>
                </pt>
                <pt idx="121">
                  <v>23.45659446716309</v>
                </pt>
                <pt idx="122">
                  <v>22.72357940673828</v>
                </pt>
                <pt idx="123">
                  <v>23.94527816772461</v>
                </pt>
                <pt idx="124">
                  <v>24.90736198425293</v>
                </pt>
                <pt idx="125">
                  <v>24.61721229553223</v>
                </pt>
                <pt idx="126">
                  <v>23.47186851501465</v>
                </pt>
                <pt idx="127">
                  <v>24.41600227355957</v>
                </pt>
                <pt idx="128">
                  <v>24.68207359313965</v>
                </pt>
                <pt idx="129">
                  <v>24.7916316986084</v>
                </pt>
                <pt idx="130">
                  <v>23.4769229888916</v>
                </pt>
                <pt idx="131">
                  <v>23.52388000488281</v>
                </pt>
                <pt idx="132">
                  <v>24.01689720153809</v>
                </pt>
                <pt idx="133">
                  <v>24.95241737365723</v>
                </pt>
                <pt idx="134">
                  <v>25.3173828125</v>
                </pt>
                <pt idx="135">
                  <v>25.82515716552734</v>
                </pt>
                <pt idx="136">
                  <v>26.26152801513672</v>
                </pt>
                <pt idx="137">
                  <v>27.45956039428711</v>
                </pt>
                <pt idx="138">
                  <v>26.44400787353516</v>
                </pt>
                <pt idx="139">
                  <v>27.66788101196289</v>
                </pt>
                <pt idx="140">
                  <v>27.44083404541016</v>
                </pt>
                <pt idx="141">
                  <v>28.25984191894531</v>
                </pt>
                <pt idx="142">
                  <v>28.43013191223145</v>
                </pt>
                <pt idx="143">
                  <v>28.3976879119873</v>
                </pt>
                <pt idx="144">
                  <v>29.04640960693359</v>
                </pt>
                <pt idx="145">
                  <v>30.70130920410156</v>
                </pt>
                <pt idx="146">
                  <v>28.64409065246582</v>
                </pt>
                <pt idx="147">
                  <v>28.7101879119873</v>
                </pt>
                <pt idx="148">
                  <v>29.94947624206543</v>
                </pt>
                <pt idx="149">
                  <v>29.76770782470703</v>
                </pt>
                <pt idx="150">
                  <v>28.7349681854248</v>
                </pt>
                <pt idx="151">
                  <v>29.69309425354004</v>
                </pt>
                <pt idx="152">
                  <v>28.39068984985352</v>
                </pt>
                <pt idx="153">
                  <v>28.85583305358887</v>
                </pt>
                <pt idx="154">
                  <v>26.9022274017334</v>
                </pt>
                <pt idx="155">
                  <v>26.58085823059082</v>
                </pt>
                <pt idx="156">
                  <v>24.82176780700684</v>
                </pt>
                <pt idx="157">
                  <v>27.21231460571289</v>
                </pt>
                <pt idx="158">
                  <v>28.14559745788574</v>
                </pt>
                <pt idx="159">
                  <v>28.52583122253418</v>
                </pt>
                <pt idx="160">
                  <v>29.1739501953125</v>
                </pt>
                <pt idx="161">
                  <v>27.38514518737793</v>
                </pt>
                <pt idx="162">
                  <v>27.92956352233887</v>
                </pt>
                <pt idx="163">
                  <v>27.95261573791504</v>
                </pt>
                <pt idx="164">
                  <v>26.88910102844238</v>
                </pt>
                <pt idx="165">
                  <v>27.85512542724609</v>
                </pt>
                <pt idx="166">
                  <v>28.83000946044922</v>
                </pt>
                <pt idx="167">
                  <v>29.18451690673828</v>
                </pt>
                <pt idx="168">
                  <v>30.221435546875</v>
                </pt>
                <pt idx="169">
                  <v>29.44472503662109</v>
                </pt>
                <pt idx="170">
                  <v>26.43169212341309</v>
                </pt>
                <pt idx="171">
                  <v>21.54227828979492</v>
                </pt>
                <pt idx="172">
                  <v>22.77816581726074</v>
                </pt>
                <pt idx="173">
                  <v>23.2111759185791</v>
                </pt>
                <pt idx="174">
                  <v>23.23823738098145</v>
                </pt>
                <pt idx="175">
                  <v>23.74909973144531</v>
                </pt>
                <pt idx="176">
                  <v>24.39938163757324</v>
                </pt>
                <pt idx="177">
                  <v>23.34610939025879</v>
                </pt>
                <pt idx="178">
                  <v>22.29283142089844</v>
                </pt>
                <pt idx="179">
                  <v>25.88313102722168</v>
                </pt>
                <pt idx="180">
                  <v>26.82649993896484</v>
                </pt>
                <pt idx="181">
                  <v>27.06836700439453</v>
                </pt>
                <pt idx="182">
                  <v>28.13368797302246</v>
                </pt>
                <pt idx="183">
                  <v>29.00446891784668</v>
                </pt>
                <pt idx="184">
                  <v>30.13463401794434</v>
                </pt>
                <pt idx="185">
                  <v>31.30185508728027</v>
                </pt>
                <pt idx="186">
                  <v>30.29211616516113</v>
                </pt>
                <pt idx="187">
                  <v>30.89048385620117</v>
                </pt>
                <pt idx="188">
                  <v>31.09773826599121</v>
                </pt>
                <pt idx="189">
                  <v>30.38176536560059</v>
                </pt>
                <pt idx="190">
                  <v>31.72892189025879</v>
                </pt>
                <pt idx="191">
                  <v>30.18393135070801</v>
                </pt>
                <pt idx="192">
                  <v>31.22020530700684</v>
                </pt>
                <pt idx="193">
                  <v>32.79575729370117</v>
                </pt>
                <pt idx="194">
                  <v>32.40867614746094</v>
                </pt>
                <pt idx="195">
                  <v>32.55382919311523</v>
                </pt>
                <pt idx="196">
                  <v>31.25709533691406</v>
                </pt>
                <pt idx="197">
                  <v>32.09900665283203</v>
                </pt>
                <pt idx="198">
                  <v>28.99265098571777</v>
                </pt>
                <pt idx="199">
                  <v>30.44909477233887</v>
                </pt>
                <pt idx="200">
                  <v>28.47891807556152</v>
                </pt>
                <pt idx="201">
                  <v>25.81917762756348</v>
                </pt>
                <pt idx="202">
                  <v>27.62189102172852</v>
                </pt>
                <pt idx="203">
                  <v>31.05985069274902</v>
                </pt>
                <pt idx="204">
                  <v>30.20282363891602</v>
                </pt>
                <pt idx="205">
                  <v>32.56999969482422</v>
                </pt>
                <pt idx="206">
                  <v>32.27999877929688</v>
                </pt>
                <pt idx="207">
                  <v>32.2599983215332</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UK!$A$6:$A$225</f>
              <numCache>
                <formatCode>m/d/yyyy</formatCode>
                <ptCount val="220"/>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pt idx="219">
                  <v>44986</v>
                </pt>
              </numCache>
            </numRef>
          </cat>
          <val>
            <numRef>
              <f>UK!$B$6:$B$225</f>
              <numCache>
                <formatCode>General</formatCode>
                <ptCount val="220"/>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pt idx="216">
                  <v>45.3</v>
                </pt>
                <pt idx="217">
                  <v>47</v>
                </pt>
                <pt idx="218">
                  <v>49.3</v>
                </pt>
                <pt idx="219">
                  <v>47.9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Italy!$A$6:$A$201</f>
              <numCache>
                <formatCode>m/d/yyyy</formatCode>
                <ptCount val="196"/>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pt idx="194">
                  <v>44958</v>
                </pt>
                <pt idx="195">
                  <v>44986</v>
                </pt>
              </numCache>
            </numRef>
          </cat>
          <val>
            <numRef>
              <f>Italy!$B$6:$B$201</f>
              <numCache>
                <formatCode>General</formatCode>
                <ptCount val="196"/>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pt idx="192">
                  <v>48.5</v>
                </pt>
                <pt idx="193">
                  <v>50.4</v>
                </pt>
                <pt idx="194">
                  <v>52</v>
                </pt>
                <pt idx="195">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Spain!$A$6:$A$201</f>
              <numCache>
                <formatCode>m/d/yyyy</formatCode>
                <ptCount val="196"/>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pt idx="194">
                  <v>44958</v>
                </pt>
                <pt idx="195">
                  <v>44986</v>
                </pt>
              </numCache>
            </numRef>
          </cat>
          <val>
            <numRef>
              <f>Spain!$B$6:$B$201</f>
              <numCache>
                <formatCode>General</formatCode>
                <ptCount val="196"/>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pt idx="192">
                  <v>46.4</v>
                </pt>
                <pt idx="193">
                  <v>48.4</v>
                </pt>
                <pt idx="194">
                  <v>50.7</v>
                </pt>
                <pt idx="195">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Brazil!$B$6:$B$155</f>
              <numCache>
                <formatCode>General</formatCode>
                <ptCount val="150"/>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pt idx="146">
                  <v>44.2</v>
                </pt>
                <pt idx="147">
                  <v>47.5</v>
                </pt>
                <pt idx="148">
                  <v>49.2</v>
                </pt>
                <pt idx="149">
                  <v>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Mexico!$A$6:$A$149</f>
              <numCache>
                <formatCode>m/d/yyyy</formatCode>
                <ptCount val="144"/>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pt idx="143">
                  <v>44986</v>
                </pt>
              </numCache>
            </numRef>
          </cat>
          <val>
            <numRef>
              <f>Mexico!$B$6:$B$149</f>
              <numCache>
                <formatCode>General</formatCode>
                <ptCount val="144"/>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pt idx="140">
                  <v>51.3</v>
                </pt>
                <pt idx="141">
                  <v>48.9</v>
                </pt>
                <pt idx="142">
                  <v>51</v>
                </pt>
                <pt idx="143">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Russia!$B$6:$B$155</f>
              <numCache>
                <formatCode>General</formatCode>
                <ptCount val="150"/>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pt idx="146">
                  <v>53</v>
                </pt>
                <pt idx="147">
                  <v>52.6</v>
                </pt>
                <pt idx="148">
                  <v>53.6</v>
                </pt>
                <pt idx="14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India!$B$6:$B$155</f>
              <numCache>
                <formatCode>General</formatCode>
                <ptCount val="150"/>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pt idx="146">
                  <v>57.8</v>
                </pt>
                <pt idx="147">
                  <v>55.4</v>
                </pt>
                <pt idx="148">
                  <v>55.3</v>
                </pt>
                <pt idx="149">
                  <v>56.4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Canada!$A$6:$A$150</f>
              <numCache>
                <formatCode>m/d/yyyy</formatCode>
                <ptCount val="14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pt idx="143">
                  <v>44986</v>
                </pt>
              </numCache>
            </numRef>
          </cat>
          <val>
            <numRef>
              <f>Canada!$B$6:$B$150</f>
              <numCache>
                <formatCode>General</formatCode>
                <ptCount val="145"/>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pt idx="140">
                  <v>49.2</v>
                </pt>
                <pt idx="141">
                  <v>51</v>
                </pt>
                <pt idx="142">
                  <v>52.4</v>
                </pt>
                <pt idx="143">
                  <v>48.6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Australia!$A$6:$A$181</f>
              <numCache>
                <formatCode>m/d/yyyy</formatCode>
                <ptCount val="176"/>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Australia!$B$6:$B$181</f>
              <numCache>
                <formatCode>General</formatCode>
                <ptCount val="176"/>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Indonesia!$A$6:$A$149</f>
              <numCache>
                <formatCode>m/d/yyyy</formatCode>
                <ptCount val="144"/>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pt idx="143">
                  <v>44986</v>
                </pt>
              </numCache>
            </numRef>
          </cat>
          <val>
            <numRef>
              <f>Indonesia!$B$6:$B$149</f>
              <numCache>
                <formatCode>General</formatCode>
                <ptCount val="144"/>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pt idx="140">
                  <v>50.9</v>
                </pt>
                <pt idx="141">
                  <v>51.3</v>
                </pt>
                <pt idx="142">
                  <v>51.2</v>
                </pt>
                <pt idx="143">
                  <v>51.9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SouthKorea!$A$6:$A$154</f>
              <numCache>
                <formatCode>m/d/yyyy</formatCode>
                <ptCount val="149"/>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pt idx="144">
                  <v>44896</v>
                </pt>
                <pt idx="145">
                  <v>44927</v>
                </pt>
                <pt idx="146">
                  <v>44958</v>
                </pt>
                <pt idx="147">
                  <v>44986</v>
                </pt>
              </numCache>
            </numRef>
          </cat>
          <val>
            <numRef>
              <f>SouthKorea!$B$6:$B$154</f>
              <numCache>
                <formatCode>General</formatCode>
                <ptCount val="149"/>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pt idx="144">
                  <v>48.2</v>
                </pt>
                <pt idx="145">
                  <v>48.5</v>
                </pt>
                <pt idx="146">
                  <v>48.5</v>
                </pt>
                <pt idx="147">
                  <v>47.6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Taiwan!$B$6:$B$155</f>
              <numCache>
                <formatCode>General</formatCode>
                <ptCount val="150"/>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pt idx="146">
                  <v>44.6</v>
                </pt>
                <pt idx="147">
                  <v>44.3</v>
                </pt>
                <pt idx="148">
                  <v>49</v>
                </pt>
                <pt idx="149">
                  <v>48.6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Greece!$A$6:$A$155</f>
              <numCache>
                <formatCode>m/d/yyyy</formatCode>
                <ptCount val="150"/>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Greece!$B$6:$B$155</f>
              <numCache>
                <formatCode>General</formatCode>
                <ptCount val="150"/>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pt idx="146">
                  <v>47.2</v>
                </pt>
                <pt idx="147">
                  <v>49.2</v>
                </pt>
                <pt idx="148">
                  <v>51.7</v>
                </pt>
                <pt idx="14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Ireland!$B$6:$B$155</f>
              <numCache>
                <formatCode>General</formatCode>
                <ptCount val="150"/>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pt idx="146">
                  <v>48.7</v>
                </pt>
                <pt idx="147">
                  <v>50.1</v>
                </pt>
                <pt idx="148">
                  <v>51.3</v>
                </pt>
                <pt idx="149">
                  <v>49.7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Turkey!$B$6:$B$155</f>
              <numCache>
                <formatCode>General</formatCode>
                <ptCount val="150"/>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pt idx="146">
                  <v>48.1</v>
                </pt>
                <pt idx="147">
                  <v>50.1</v>
                </pt>
                <pt idx="148">
                  <v>50.1</v>
                </pt>
                <pt idx="149">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CzechRepublic!$B$6:$B$156</f>
              <numCache>
                <formatCode>General</formatCode>
                <ptCount val="151"/>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pt idx="146">
                  <v>42.6</v>
                </pt>
                <pt idx="147">
                  <v>44.6</v>
                </pt>
                <pt idx="148">
                  <v>44.3</v>
                </pt>
                <pt idx="149">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Poland!$B$6:$B$155</f>
              <numCache>
                <formatCode>General</formatCode>
                <ptCount val="150"/>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pt idx="146">
                  <v>45.6</v>
                </pt>
                <pt idx="147">
                  <v>47.5</v>
                </pt>
                <pt idx="148">
                  <v>48.5</v>
                </pt>
                <pt idx="149">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Denmark!$A$6:$A$356</f>
              <numCache>
                <formatCode>m/d/yyyy</formatCode>
                <ptCount val="351"/>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pt idx="347">
                  <v>44896</v>
                </pt>
                <pt idx="348">
                  <v>44927</v>
                </pt>
                <pt idx="349">
                  <v>44958</v>
                </pt>
                <pt idx="350">
                  <v>44986</v>
                </pt>
              </numCache>
            </numRef>
          </cat>
          <val>
            <numRef>
              <f>Denmark!$B$6:$B$356</f>
              <numCache>
                <formatCode>General</formatCode>
                <ptCount val="351"/>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pt idx="347">
                  <v>51.2</v>
                </pt>
                <pt idx="348">
                  <v>54.9</v>
                </pt>
                <pt idx="349">
                  <v>44.1</v>
                </pt>
                <pt idx="350">
                  <v>44.28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Vietnam!$A$6:$A$134</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pt idx="127">
                  <v>44958</v>
                </pt>
                <pt idx="128">
                  <v>44986</v>
                </pt>
              </numCache>
            </numRef>
          </cat>
          <val>
            <numRef>
              <f>Vietnam!$B$6:$B$134</f>
              <numCache>
                <formatCode>General</formatCode>
                <ptCount val="129"/>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pt idx="125">
                  <v>46.4</v>
                </pt>
                <pt idx="126">
                  <v>47.4</v>
                </pt>
                <pt idx="127">
                  <v>51.2</v>
                </pt>
                <pt idx="128">
                  <v>47.7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Thailand!$A$6:$A$86</f>
              <numCache>
                <formatCode>m/d/yyyy</formatCode>
                <ptCount val="81"/>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pt idx="77">
                  <v>44896</v>
                </pt>
                <pt idx="78">
                  <v>44927</v>
                </pt>
                <pt idx="79">
                  <v>44958</v>
                </pt>
                <pt idx="80">
                  <v>44986</v>
                </pt>
              </numCache>
            </numRef>
          </cat>
          <val>
            <numRef>
              <f>Thailand!$B$6:$B$86</f>
              <numCache>
                <formatCode>General</formatCode>
                <ptCount val="81"/>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pt idx="77">
                  <v>52.5</v>
                </pt>
                <pt idx="78">
                  <v>54.5</v>
                </pt>
                <pt idx="79">
                  <v>54.8</v>
                </pt>
                <pt idx="80">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Africa'!$A$6:$A$284</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'South Africa'!$B$6:$B$284</f>
              <numCache>
                <formatCode>General</formatCode>
                <ptCount val="279"/>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pt idx="275">
                  <v>53.1</v>
                </pt>
                <pt idx="276">
                  <v>53</v>
                </pt>
                <pt idx="277">
                  <v>48.8</v>
                </pt>
                <pt idx="278">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Kong'!$A$6:$A$135</f>
              <numCache>
                <formatCode>m/d/yyyy</formatCode>
                <ptCount val="130"/>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pt idx="125">
                  <v>44866</v>
                </pt>
                <pt idx="126">
                  <v>44896</v>
                </pt>
                <pt idx="127">
                  <v>44927</v>
                </pt>
                <pt idx="128">
                  <v>44958</v>
                </pt>
                <pt idx="129">
                  <v>44986</v>
                </pt>
              </numCache>
            </numRef>
          </cat>
          <val>
            <numRef>
              <f>'Hong Kong'!$B$6:$B$135</f>
              <numCache>
                <formatCode>General</formatCode>
                <ptCount val="130"/>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pt idx="125">
                  <v>48.7</v>
                </pt>
                <pt idx="126">
                  <v>49.6</v>
                </pt>
                <pt idx="127">
                  <v>51.2</v>
                </pt>
                <pt idx="128">
                  <v>53.9</v>
                </pt>
                <pt idx="129">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Arabia'!$A$6:$A$100</f>
              <numCache>
                <formatCode>m/d/yyyy</formatCode>
                <ptCount val="95"/>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pt idx="91">
                  <v>44866</v>
                </pt>
                <pt idx="92">
                  <v>44896</v>
                </pt>
                <pt idx="93">
                  <v>44927</v>
                </pt>
                <pt idx="94">
                  <v>44958</v>
                </pt>
              </numCache>
            </numRef>
          </cat>
          <val>
            <numRef>
              <f>'Saudi Arabia'!$B$6:$B$100</f>
              <numCache>
                <formatCode>General</formatCode>
                <ptCount val="95"/>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pt idx="91">
                  <v>58.5</v>
                </pt>
                <pt idx="92">
                  <v>56.9</v>
                </pt>
                <pt idx="93">
                  <v>58.2</v>
                </pt>
                <pt idx="94">
                  <v>59.8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NewZealand!$A$6:$A$252</f>
              <numCache>
                <formatCode>m/d/yyyy</formatCode>
                <ptCount val="247"/>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pt idx="243">
                  <v>44866</v>
                </pt>
                <pt idx="244">
                  <v>44896</v>
                </pt>
                <pt idx="245">
                  <v>44927</v>
                </pt>
                <pt idx="246">
                  <v>44958</v>
                </pt>
              </numCache>
            </numRef>
          </cat>
          <val>
            <numRef>
              <f>NewZealand!$B$6:$B$252</f>
              <numCache>
                <formatCode>0.00</formatCode>
                <ptCount val="247"/>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pt idx="243">
                  <v>47.35</v>
                </pt>
                <pt idx="244">
                  <v>47.2</v>
                </pt>
                <pt idx="245">
                  <v>50.8</v>
                </pt>
                <pt idx="246">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410633</colOff>
      <row>182</row>
      <rowOff>36286</rowOff>
    </from>
    <to>
      <col>17</col>
      <colOff>589643</colOff>
      <row>201</row>
      <rowOff>121556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188886</colOff>
      <row>166</row>
      <rowOff>162278</rowOff>
    </from>
    <to>
      <col>12</col>
      <colOff>0</colOff>
      <row>185</row>
      <rowOff>25399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277284</colOff>
      <row>165</row>
      <rowOff>31751</rowOff>
    </from>
    <to>
      <col>13</col>
      <colOff>547686</colOff>
      <row>185</row>
      <rowOff>161397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157161</colOff>
      <row>161</row>
      <rowOff>132449</rowOff>
    </from>
    <to>
      <col>12</col>
      <colOff>215900</colOff>
      <row>180</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134406</colOff>
      <row>203</row>
      <rowOff>66678</rowOff>
    </from>
    <to>
      <col>16</col>
      <colOff>401108</colOff>
      <row>226</row>
      <rowOff>147638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180974</colOff>
      <row>181</row>
      <rowOff>38101</rowOff>
    </from>
    <to>
      <col>12</col>
      <colOff>184150</colOff>
      <row>199</row>
      <rowOff>85725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201</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240241</colOff>
      <row>136</row>
      <rowOff>98778</rowOff>
    </from>
    <to>
      <col>13</col>
      <colOff>77611</colOff>
      <row>156</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157163</colOff>
      <row>127</row>
      <rowOff>15875</rowOff>
    </from>
    <to>
      <col>14</col>
      <colOff>39688</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115200</colOff>
      <row>137</row>
      <rowOff>150091</rowOff>
    </from>
    <to>
      <col>11</col>
      <colOff>369455</colOff>
      <row>154</row>
      <rowOff>98907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137</row>
      <rowOff>178955</rowOff>
    </from>
    <to>
      <col>11</col>
      <colOff>409864</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250472</colOff>
      <row>134</row>
      <rowOff>120650</rowOff>
    </from>
    <to>
      <col>12</col>
      <colOff>50800</colOff>
      <row>150</row>
      <rowOff>83962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163</row>
      <rowOff>6351</rowOff>
    </from>
    <to>
      <col>12</col>
      <colOff>539750</colOff>
      <row>181</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209550</colOff>
      <row>129</row>
      <rowOff>127000</rowOff>
    </from>
    <to>
      <col>11</col>
      <colOff>584200</colOff>
      <row>149</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144462</colOff>
      <row>132</row>
      <rowOff>141288</rowOff>
    </from>
    <to>
      <col>12</col>
      <colOff>68262</colOff>
      <row>152</row>
      <rowOff>58738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146051</colOff>
      <row>136</row>
      <rowOff>91017</rowOff>
    </from>
    <to>
      <col>11</col>
      <colOff>196851</colOff>
      <row>154</row>
      <rowOff>107950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122591</colOff>
      <row>136</row>
      <rowOff>134760</rowOff>
    </from>
    <to>
      <col>12</col>
      <colOff>135291</colOff>
      <row>156</row>
      <rowOff>77610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125941</colOff>
      <row>136</row>
      <rowOff>82550</rowOff>
    </from>
    <to>
      <col>11</col>
      <colOff>69850</colOff>
      <row>153</row>
      <rowOff>28927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155928</colOff>
      <row>136</row>
      <rowOff>21166</rowOff>
    </from>
    <to>
      <col>11</col>
      <colOff>508000</colOff>
      <row>155</row>
      <rowOff>98778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88900</colOff>
      <row>135</row>
      <rowOff>146050</rowOff>
    </from>
    <to>
      <col>11</col>
      <colOff>63500</colOff>
      <row>153</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93839</colOff>
      <row>137</row>
      <rowOff>139700</rowOff>
    </from>
    <to>
      <col>10</col>
      <colOff>635000</colOff>
      <row>153</row>
      <rowOff>179387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214313</colOff>
      <row>335</row>
      <rowOff>7056</rowOff>
    </from>
    <to>
      <col>12</col>
      <colOff>296334</colOff>
      <row>354</row>
      <rowOff>34395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158750</colOff>
      <row>114</row>
      <rowOff>141111</rowOff>
    </from>
    <to>
      <col>11</col>
      <colOff>42333</colOff>
      <row>133</row>
      <rowOff>20461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186267</colOff>
      <row>64</row>
      <rowOff>155221</rowOff>
    </from>
    <to>
      <col>11</col>
      <colOff>606778</colOff>
      <row>84</row>
      <rowOff>19049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141815</colOff>
      <row>266</row>
      <rowOff>88900</rowOff>
    </from>
    <to>
      <col>11</col>
      <colOff>31750</colOff>
      <row>282</row>
      <rowOff>134760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115</row>
      <rowOff>119945</rowOff>
    </from>
    <to>
      <col>11</col>
      <colOff>536222</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219075</colOff>
      <row>83</row>
      <rowOff>56093</rowOff>
    </from>
    <to>
      <col>12</col>
      <colOff>70556</colOff>
      <row>102</row>
      <rowOff>134056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256116</colOff>
      <row>235</row>
      <rowOff>120650</rowOff>
    </from>
    <to>
      <col>11</col>
      <colOff>463550</colOff>
      <row>252</row>
      <rowOff>167923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1" dataDxfId="269" headerRowBorderDxfId="270" tableBorderDxfId="268" totalsRowBorderDxfId="267">
  <autoFilter ref="A5:F146"/>
  <tableColumns count="6">
    <tableColumn id="1" name="Date" dataDxfId="266"/>
    <tableColumn id="2" name="PMI" dataDxfId="265">
      <calculatedColumnFormula>IF(VLOOKUP(Table1[[#This Row],[Date]],'DB Global PMI'!$A:$F,2)=0,"",VLOOKUP(Table1[[#This Row],[Date]],'DB Global PMI'!$A:$F,2))</calculatedColumnFormula>
    </tableColumn>
    <tableColumn id="3" name="mom" dataDxfId="264">
      <calculatedColumnFormula>Table1[[#This Row],[PMI]]-B5</calculatedColumnFormula>
    </tableColumn>
    <tableColumn id="4" name="ACWI" dataDxfId="263">
      <calculatedColumnFormula>IF(VLOOKUP(Table1[[#This Row],[Date]],'DB Global PMI'!$A:$F,3)=0,"",VLOOKUP(Table1[[#This Row],[Date]],'DB Global PMI'!$A:$F,3))</calculatedColumnFormula>
    </tableColumn>
    <tableColumn id="5" name="PMI yoy" dataDxfId="262"/>
    <tableColumn id="6" name="ACWI yoy" dataDxfId="26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5" headerRowCount="1" totalsRowShown="0" headerRowDxfId="260" dataDxfId="258" headerRowBorderDxfId="259" tableBorderDxfId="257" totalsRowBorderDxfId="256">
  <autoFilter ref="A5:D155"/>
  <tableColumns count="4">
    <tableColumn id="1" name="Date" dataDxfId="255"/>
    <tableColumn id="2" name="PMI" dataDxfId="254">
      <calculatedColumnFormula>IF(VLOOKUP(A6,'DB Country PMI'!$A:$AZ,MATCH($A$1,'DB Country PMI'!$A$1:$AZ$1,),)=0,#N/A,VLOOKUP(A6,'DB Country PMI'!$A:$AZ,MATCH($A$1,'DB Country PMI'!$A$1:$AZ$1,),))</calculatedColumnFormula>
    </tableColumn>
    <tableColumn id="3" name="mom" dataDxfId="253">
      <calculatedColumnFormula>Table1346811[[#This Row],[PMI]]-B5</calculatedColumnFormula>
    </tableColumn>
    <tableColumn id="4" name="ISM Manufacturing" dataDxfId="25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4" headerRowCount="1" totalsRowShown="0" headerRowDxfId="251" dataDxfId="249" headerRowBorderDxfId="250" tableBorderDxfId="248" totalsRowBorderDxfId="247">
  <autoFilter ref="A5:F224"/>
  <tableColumns count="6">
    <tableColumn id="1" name="Date" dataDxfId="246"/>
    <tableColumn id="2" name="Caixin PMI" dataDxfId="245">
      <calculatedColumnFormula>IF(VLOOKUP(A6,'DB Country PMI'!$A:$AZ,MATCH($A$2,'DB Country PMI'!$A$1:$AZ$1,),)=0,#N/A,VLOOKUP(A6,'DB Country PMI'!$A:$AZ,MATCH($A$2,'DB Country PMI'!$A$1:$AZ$1,),))</calculatedColumnFormula>
    </tableColumn>
    <tableColumn id="3" name="mom" dataDxfId="244">
      <calculatedColumnFormula>Table1346811121415161718192021[[#This Row],[Caixin PMI]]-B5</calculatedColumnFormula>
    </tableColumn>
    <tableColumn id="4" name="Official PMI" dataDxfId="243">
      <calculatedColumnFormula>IF(VLOOKUP(Table1346811121415161718192021[[#This Row],[Date]],'DB China Official PMI'!$A:$C,2)=0,#N/A,VLOOKUP(Table1346811121415161718192021[[#This Row],[Date]],'DB China Official PMI'!$A:$C,2))</calculatedColumnFormula>
    </tableColumn>
    <tableColumn id="5" name="mom2" dataDxfId="242">
      <calculatedColumnFormula>Table1346811121415161718192021[[#This Row],[Official PMI]]-D5</calculatedColumnFormula>
    </tableColumn>
    <tableColumn id="6" name="GDP yoy %" dataDxfId="24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5" headerRowCount="1" totalsRowShown="0" headerRowDxfId="240" dataDxfId="238" headerRowBorderDxfId="239" tableBorderDxfId="237" totalsRowBorderDxfId="236">
  <autoFilter ref="A5:G225"/>
  <tableColumns count="7">
    <tableColumn id="1" name="Date" dataDxfId="235"/>
    <tableColumn id="2" name="Euro Area PMI" dataDxfId="234">
      <calculatedColumnFormula>IF(VLOOKUP(A6,'DB Country PMI'!$A:$AZ,MATCH($A$1,'DB Country PMI'!$A$1:$AZ$1,),)=0,#N/A,VLOOKUP(A6,'DB Country PMI'!$A:$AZ,MATCH($A$1,'DB Country PMI'!$A$1:$AZ$1,),))</calculatedColumnFormula>
    </tableColumn>
    <tableColumn id="3" name="mom" dataDxfId="233">
      <calculatedColumnFormula>Table13468111214[[#This Row],[Euro Area PMI]]-B5</calculatedColumnFormula>
    </tableColumn>
    <tableColumn id="4" name="EZU" dataDxfId="232">
      <calculatedColumnFormula>IF(VLOOKUP(Table13468111214[[#This Row],[Date]],'DB Global PMI'!$A:$F,4)=0,#N/A,VLOOKUP(Table13468111214[[#This Row],[Date]],'DB Global PMI'!$A:$F,4))</calculatedColumnFormula>
    </tableColumn>
    <tableColumn id="5" name="PMI yoy" dataDxfId="231"/>
    <tableColumn id="6" name="EZU yoy" dataDxfId="230"/>
    <tableColumn id="7" name="Euro Area GDP qoq %" dataDxfId="22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7" headerRowCount="1" totalsRowShown="0" headerRowDxfId="228" dataDxfId="226" headerRowBorderDxfId="227" tableBorderDxfId="225" totalsRowBorderDxfId="224">
  <autoFilter ref="A5:C187"/>
  <tableColumns count="3">
    <tableColumn id="1" name="Date" dataDxfId="223"/>
    <tableColumn id="2" name="PMI" dataDxfId="222">
      <calculatedColumnFormula>IF(VLOOKUP(A6,'DB Country PMI'!$A:$AZ,MATCH($A$1,'DB Country PMI'!$A$1:$AZ$1,),)=0,#N/A,VLOOKUP(A6,'DB Country PMI'!$A:$AZ,MATCH($A$1,'DB Country PMI'!$A$1:$AZ$1,),))</calculatedColumnFormula>
    </tableColumn>
    <tableColumn id="3" name="mom" dataDxfId="22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8" headerRowCount="1" totalsRowShown="0" headerRowDxfId="220" dataDxfId="218" headerRowBorderDxfId="219" tableBorderDxfId="217" totalsRowBorderDxfId="216">
  <autoFilter ref="A5:C188"/>
  <tableColumns count="3">
    <tableColumn id="1" name="Date" dataDxfId="215"/>
    <tableColumn id="2" name="PMI" dataDxfId="214">
      <calculatedColumnFormula>IF(VLOOKUP(A6,'DB Country PMI'!$A:$AZ,MATCH($A$1,'DB Country PMI'!$A$1:$AZ$1,),)=0,#N/A,VLOOKUP(A6,'DB Country PMI'!$A:$AZ,MATCH($A$1,'DB Country PMI'!$A$1:$AZ$1,),))</calculatedColumnFormula>
    </tableColumn>
    <tableColumn id="3" name="mom" dataDxfId="21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81" headerRowCount="1" totalsRowShown="0" headerRowDxfId="212" dataDxfId="210" headerRowBorderDxfId="211" tableBorderDxfId="209" totalsRowBorderDxfId="208">
  <autoFilter ref="A5:C181"/>
  <tableColumns count="3">
    <tableColumn id="1" name="Date" dataDxfId="207"/>
    <tableColumn id="2" name="PMI" dataDxfId="206">
      <calculatedColumnFormula>IF(VLOOKUP(A6,'DB Country PMI'!$A:$AZ,MATCH($A$1,'DB Country PMI'!$A$1:$AZ$1,),)=0,#N/A,VLOOKUP(A6,'DB Country PMI'!$A:$AZ,MATCH($A$1,'DB Country PMI'!$A$1:$AZ$1,),))</calculatedColumnFormula>
    </tableColumn>
    <tableColumn id="3" name="mom" dataDxfId="20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5" headerRowCount="1" totalsRowShown="0" headerRowDxfId="204" dataDxfId="202" headerRowBorderDxfId="203" tableBorderDxfId="201" totalsRowBorderDxfId="200">
  <autoFilter ref="A5:F225"/>
  <tableColumns count="6">
    <tableColumn id="1" name="Date" dataDxfId="199"/>
    <tableColumn id="2" name="PMI" dataDxfId="198">
      <calculatedColumnFormula>IF(VLOOKUP(A6,'DB Country PMI'!$A:$AZ,MATCH($A$1,'DB Country PMI'!$A$1:$AZ$1,),)=0,#N/A,VLOOKUP(A6,'DB Country PMI'!$A:$AZ,MATCH($A$1,'DB Country PMI'!$A$1:$AZ$1,),))</calculatedColumnFormula>
    </tableColumn>
    <tableColumn id="3" name="mom" dataDxfId="197">
      <calculatedColumnFormula>Table134681112[[#This Row],[PMI]]-B5</calculatedColumnFormula>
    </tableColumn>
    <tableColumn id="4" name="EWU" dataDxfId="196">
      <calculatedColumnFormula>IF(VLOOKUP(Table134681112[[#This Row],[Date]],'DB Global PMI'!$A:$F,5)=0,#N/A,VLOOKUP(Table134681112[[#This Row],[Date]],'DB Global PMI'!$A:$F,5))</calculatedColumnFormula>
    </tableColumn>
    <tableColumn id="5" name="PMI yoy" dataDxfId="195"/>
    <tableColumn id="6" name="EWU yoy" dataDxfId="19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201" headerRowCount="1" totalsRowShown="0" headerRowDxfId="193" dataDxfId="191" headerRowBorderDxfId="192" tableBorderDxfId="190" totalsRowBorderDxfId="189">
  <autoFilter ref="A5:C201"/>
  <tableColumns count="3">
    <tableColumn id="1" name="Date" dataDxfId="188"/>
    <tableColumn id="2" name="PMI" dataDxfId="187">
      <calculatedColumnFormula>IF(VLOOKUP(A6,'DB Country PMI'!$A:$AZ,MATCH($A$1,'DB Country PMI'!$A$1:$AZ$1,),)=0,#N/A,VLOOKUP(A6,'DB Country PMI'!$A:$AZ,MATCH($A$1,'DB Country PMI'!$A$1:$AZ$1,),))</calculatedColumnFormula>
    </tableColumn>
    <tableColumn id="3" name="mom" dataDxfId="18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201" headerRowCount="1" totalsRowShown="0" headerRowDxfId="185" dataDxfId="183" headerRowBorderDxfId="184" tableBorderDxfId="182" totalsRowBorderDxfId="181">
  <autoFilter ref="A5:C201"/>
  <tableColumns count="3">
    <tableColumn id="1" name="Date" dataDxfId="180"/>
    <tableColumn id="2" name="PMI" dataDxfId="179">
      <calculatedColumnFormula>IF(VLOOKUP(A6,'DB Country PMI'!$A:$AZ,MATCH($A$1,'DB Country PMI'!$A$1:$AZ$1,),)=0,#N/A,VLOOKUP(A6,'DB Country PMI'!$A:$AZ,MATCH($A$1,'DB Country PMI'!$A$1:$AZ$1,),))</calculatedColumnFormula>
    </tableColumn>
    <tableColumn id="3" name="mom" dataDxfId="17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5" headerRowCount="1" totalsRowShown="0" headerRowDxfId="177" dataDxfId="175" headerRowBorderDxfId="176" tableBorderDxfId="174" totalsRowBorderDxfId="173">
  <autoFilter ref="A5:C155"/>
  <tableColumns count="3">
    <tableColumn id="1" name="Date" dataDxfId="172"/>
    <tableColumn id="2" name="PMI" dataDxfId="171">
      <calculatedColumnFormula>IF(VLOOKUP(A6,'DB Country PMI'!$A:$AZ,MATCH($A$1,'DB Country PMI'!$A$1:$AZ$1,),)=0,#N/A,VLOOKUP(A6,'DB Country PMI'!$A:$AZ,MATCH($A$1,'DB Country PMI'!$A$1:$AZ$1,),))</calculatedColumnFormula>
    </tableColumn>
    <tableColumn id="3" name="mom" dataDxfId="17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9" headerRowCount="1" totalsRowShown="0" headerRowDxfId="169" dataDxfId="167" headerRowBorderDxfId="168" tableBorderDxfId="166" totalsRowBorderDxfId="165">
  <autoFilter ref="A5:C149"/>
  <tableColumns count="3">
    <tableColumn id="1" name="Date" dataDxfId="164"/>
    <tableColumn id="2" name="PMI" dataDxfId="163">
      <calculatedColumnFormula>IF(VLOOKUP(A6,'DB Country PMI'!$A:$AZ,MATCH($A$1,'DB Country PMI'!$A$1:$AZ$1,),)=0,#N/A,VLOOKUP(A6,'DB Country PMI'!$A:$AZ,MATCH($A$1,'DB Country PMI'!$A$1:$AZ$1,),))</calculatedColumnFormula>
    </tableColumn>
    <tableColumn id="3" name="mom" dataDxfId="16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5" headerRowCount="1" totalsRowShown="0" headerRowDxfId="161" dataDxfId="159" headerRowBorderDxfId="160" tableBorderDxfId="158" totalsRowBorderDxfId="157">
  <autoFilter ref="A5:C155"/>
  <tableColumns count="3">
    <tableColumn id="1" name="Date" dataDxfId="156"/>
    <tableColumn id="2" name="PMI" dataDxfId="155">
      <calculatedColumnFormula>IF(VLOOKUP(A6,'DB Country PMI'!$A:$AZ,MATCH($A$1,'DB Country PMI'!$A$1:$AZ$1,),)=0,#N/A,VLOOKUP(A6,'DB Country PMI'!$A:$AZ,MATCH($A$1,'DB Country PMI'!$A$1:$AZ$1,),))</calculatedColumnFormula>
    </tableColumn>
    <tableColumn id="3" name="mom" dataDxfId="15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5" headerRowCount="1" totalsRowShown="0" headerRowDxfId="153" dataDxfId="151" headerRowBorderDxfId="152" tableBorderDxfId="150" totalsRowBorderDxfId="149">
  <autoFilter ref="A5:C155"/>
  <tableColumns count="3">
    <tableColumn id="1" name="Date" dataDxfId="148"/>
    <tableColumn id="2" name="PMI" dataDxfId="147">
      <calculatedColumnFormula>IF(VLOOKUP(A6,'DB Country PMI'!$A:$AZ,MATCH($A$1,'DB Country PMI'!$A$1:$AZ$1,),)=0,#N/A,VLOOKUP(A6,'DB Country PMI'!$A:$AZ,MATCH($A$1,'DB Country PMI'!$A$1:$AZ$1,),))</calculatedColumnFormula>
    </tableColumn>
    <tableColumn id="3" name="mom" dataDxfId="14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9" headerRowCount="1" totalsRowShown="0" headerRowDxfId="145" dataDxfId="143" headerRowBorderDxfId="144" tableBorderDxfId="142" totalsRowBorderDxfId="141">
  <autoFilter ref="A5:C149"/>
  <tableColumns count="3">
    <tableColumn id="1" name="Date" dataDxfId="140"/>
    <tableColumn id="2" name="PMI" dataDxfId="139">
      <calculatedColumnFormula>IF(VLOOKUP(A6,'DB Country PMI'!$A:$AZ,MATCH($A$1,'DB Country PMI'!$A$1:$AZ$1,),)=0,#N/A,VLOOKUP(A6,'DB Country PMI'!$A:$AZ,MATCH($A$1,'DB Country PMI'!$A$1:$AZ$1,),))</calculatedColumnFormula>
    </tableColumn>
    <tableColumn id="3" name="mom" dataDxfId="13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37" dataDxfId="135" headerRowBorderDxfId="136" tableBorderDxfId="134" totalsRowBorderDxfId="133">
  <autoFilter ref="A5:C180"/>
  <tableColumns count="3">
    <tableColumn id="1" name="Date" dataDxfId="132"/>
    <tableColumn id="2" name="PMI" dataDxfId="131">
      <calculatedColumnFormula>IF(VLOOKUP(A6,'DB Country PMI'!$A:$AZ,MATCH($A$1,'DB Country PMI'!$A$1:$AZ$1,),)=0,#N/A,VLOOKUP(A6,'DB Country PMI'!$A:$AZ,MATCH($A$1,'DB Country PMI'!$A$1:$AZ$1,),))</calculatedColumnFormula>
    </tableColumn>
    <tableColumn id="3" name="mom" dataDxfId="13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9" headerRowCount="1" totalsRowShown="0" headerRowDxfId="129" dataDxfId="127" headerRowBorderDxfId="128" tableBorderDxfId="126" totalsRowBorderDxfId="125">
  <autoFilter ref="A5:C149"/>
  <tableColumns count="3">
    <tableColumn id="1" name="Date" dataDxfId="124"/>
    <tableColumn id="2" name="PMI" dataDxfId="123">
      <calculatedColumnFormula>IF(VLOOKUP(A6,'DB Country PMI'!$A:$AZ,MATCH($A$1,'DB Country PMI'!$A$1:$AZ$1,),)=0,#N/A,VLOOKUP(A6,'DB Country PMI'!$A:$AZ,MATCH($A$1,'DB Country PMI'!$A$1:$AZ$1,),))</calculatedColumnFormula>
    </tableColumn>
    <tableColumn id="3" name="mom" dataDxfId="12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53" headerRowCount="1" totalsRowShown="0" headerRowDxfId="121" dataDxfId="119" headerRowBorderDxfId="120" tableBorderDxfId="118" totalsRowBorderDxfId="117">
  <autoFilter ref="A5:C153"/>
  <tableColumns count="3">
    <tableColumn id="1" name="Date" dataDxfId="116"/>
    <tableColumn id="2" name="PMI" dataDxfId="115">
      <calculatedColumnFormula>IF(VLOOKUP(A6,'DB Country PMI'!$A:$AZ,MATCH($A$1,'DB Country PMI'!$A$1:$AZ$1,),)=0,#N/A,VLOOKUP(A6,'DB Country PMI'!$A:$AZ,MATCH($A$1,'DB Country PMI'!$A$1:$AZ$1,),))</calculatedColumnFormula>
    </tableColumn>
    <tableColumn id="3" name="mom" dataDxfId="11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5" headerRowCount="1" totalsRowShown="0" headerRowDxfId="113" dataDxfId="111" headerRowBorderDxfId="112" tableBorderDxfId="110" totalsRowBorderDxfId="109">
  <autoFilter ref="A5:C155"/>
  <tableColumns count="3">
    <tableColumn id="1" name="Date" dataDxfId="108"/>
    <tableColumn id="2" name="PMI" dataDxfId="107">
      <calculatedColumnFormula>IF(VLOOKUP(A6,'DB Country PMI'!$A:$AZ,MATCH($A$1,'DB Country PMI'!$A$1:$AZ$1,),)=0,#N/A,VLOOKUP(A6,'DB Country PMI'!$A:$AZ,MATCH($A$1,'DB Country PMI'!$A$1:$AZ$1,),))</calculatedColumnFormula>
    </tableColumn>
    <tableColumn id="3" name="mom" dataDxfId="10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5" headerRowCount="1" totalsRowShown="0" headerRowDxfId="105" dataDxfId="103" headerRowBorderDxfId="104" tableBorderDxfId="102" totalsRowBorderDxfId="101">
  <autoFilter ref="A5:C155"/>
  <tableColumns count="3">
    <tableColumn id="1" name="Date" dataDxfId="100"/>
    <tableColumn id="2" name="PMI" dataDxfId="99">
      <calculatedColumnFormula>IF(VLOOKUP(A6,'DB Country PMI'!$A:$AZ,MATCH($A$1,'DB Country PMI'!$A$1:$AZ$1,),)=0,#N/A,VLOOKUP(A6,'DB Country PMI'!$A:$AZ,MATCH($A$1,'DB Country PMI'!$A$1:$AZ$1,),))</calculatedColumnFormula>
    </tableColumn>
    <tableColumn id="3" name="mom" dataDxfId="9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5" headerRowCount="1" totalsRowShown="0" headerRowDxfId="97" dataDxfId="95" headerRowBorderDxfId="96" tableBorderDxfId="94" totalsRowBorderDxfId="93">
  <autoFilter ref="A5:C155"/>
  <tableColumns count="3">
    <tableColumn id="1" name="Date" dataDxfId="92"/>
    <tableColumn id="2" name="PMI" dataDxfId="91">
      <calculatedColumnFormula>IF(VLOOKUP(A6,'DB Country PMI'!$A:$AZ,MATCH($A$1,'DB Country PMI'!$A$1:$AZ$1,),)=0,#N/A,VLOOKUP(A6,'DB Country PMI'!$A:$AZ,MATCH($A$1,'DB Country PMI'!$A$1:$AZ$1,),))</calculatedColumnFormula>
    </tableColumn>
    <tableColumn id="3" name="mom" dataDxfId="9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5" headerRowCount="1" totalsRowShown="0" headerRowDxfId="89" dataDxfId="87" headerRowBorderDxfId="88" tableBorderDxfId="86" totalsRowBorderDxfId="85">
  <autoFilter ref="A5:C155"/>
  <tableColumns count="3">
    <tableColumn id="1" name="Date" dataDxfId="84"/>
    <tableColumn id="2" name="PMI" dataDxfId="83">
      <calculatedColumnFormula>IF(VLOOKUP(A6,'DB Country PMI'!$A:$AZ,MATCH($A$1,'DB Country PMI'!$A$1:$AZ$1,),)=0,#N/A,VLOOKUP(A6,'DB Country PMI'!$A:$AZ,MATCH($A$1,'DB Country PMI'!$A$1:$AZ$1,),))</calculatedColumnFormula>
    </tableColumn>
    <tableColumn id="3" name="mom" dataDxfId="8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5" headerRowCount="1" totalsRowShown="0" headerRowDxfId="81" dataDxfId="79" headerRowBorderDxfId="80" tableBorderDxfId="78" totalsRowBorderDxfId="77">
  <autoFilter ref="A5:C155"/>
  <tableColumns count="3">
    <tableColumn id="1" name="Date" dataDxfId="76"/>
    <tableColumn id="2" name="PMI" dataDxfId="75">
      <calculatedColumnFormula>IF(VLOOKUP(A6,'DB Country PMI'!$A:$AZ,MATCH($A$1,'DB Country PMI'!$A$1:$AZ$1,),)=0,#N/A,VLOOKUP(A6,'DB Country PMI'!$A:$AZ,MATCH($A$1,'DB Country PMI'!$A$1:$AZ$1,),))</calculatedColumnFormula>
    </tableColumn>
    <tableColumn id="3" name="mom" dataDxfId="7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5" headerRowCount="1" totalsRowShown="0" headerRowDxfId="73" dataDxfId="71" headerRowBorderDxfId="72" tableBorderDxfId="70" totalsRowBorderDxfId="69">
  <autoFilter ref="A5:C155"/>
  <tableColumns count="3">
    <tableColumn id="1" name="Date" dataDxfId="68"/>
    <tableColumn id="2" name="PMI" dataDxfId="67">
      <calculatedColumnFormula>IF(VLOOKUP(A6,'DB Country PMI'!$A:$AZ,MATCH($A$1,'DB Country PMI'!$A$1:$AZ$1,),)=0,#N/A,VLOOKUP(A6,'DB Country PMI'!$A:$AZ,MATCH($A$1,'DB Country PMI'!$A$1:$AZ$1,),))</calculatedColumnFormula>
    </tableColumn>
    <tableColumn id="3" name="mom" dataDxfId="6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6" headerRowCount="1" totalsRowShown="0" headerRowDxfId="65" dataDxfId="63" headerRowBorderDxfId="64" tableBorderDxfId="62" totalsRowBorderDxfId="61">
  <autoFilter ref="A5:C356"/>
  <tableColumns count="3">
    <tableColumn id="1" name="Date" dataDxfId="60"/>
    <tableColumn id="2" name="PMI" dataDxfId="59">
      <calculatedColumnFormula>IF(VLOOKUP(A6,'DB Country PMI'!$A:$AZ,MATCH($A$1,'DB Country PMI'!$A$1:$AZ$1,),)=0,#N/A,VLOOKUP(A6,'DB Country PMI'!$A:$AZ,MATCH($A$1,'DB Country PMI'!$A$1:$AZ$1,),))</calculatedColumnFormula>
    </tableColumn>
    <tableColumn id="3" name="mom" dataDxfId="5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4" headerRowCount="1" totalsRowShown="0" headerRowDxfId="57" dataDxfId="55" headerRowBorderDxfId="56" tableBorderDxfId="54" totalsRowBorderDxfId="53">
  <autoFilter ref="A5:C134"/>
  <tableColumns count="3">
    <tableColumn id="1" name="Date" dataDxfId="52"/>
    <tableColumn id="2" name="PMI" dataDxfId="51">
      <calculatedColumnFormula>IF(VLOOKUP(A6,'DB Country PMI'!$A:$AZ,MATCH($A$1,'DB Country PMI'!$A$1:$AZ$1,),)=0,#N/A,VLOOKUP(A6,'DB Country PMI'!$A:$AZ,MATCH($A$1,'DB Country PMI'!$A$1:$AZ$1,),))</calculatedColumnFormula>
    </tableColumn>
    <tableColumn id="3" name="mom" dataDxfId="5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6" headerRowCount="1" totalsRowShown="0" headerRowDxfId="49" dataDxfId="47" headerRowBorderDxfId="48" tableBorderDxfId="46" totalsRowBorderDxfId="45">
  <autoFilter ref="A5:C86"/>
  <tableColumns count="3">
    <tableColumn id="1" name="Date" dataDxfId="44"/>
    <tableColumn id="2" name="PMI" dataDxfId="43">
      <calculatedColumnFormula>IF(VLOOKUP(A6,'DB Country PMI'!$A:$AZ,MATCH($A$1,'DB Country PMI'!$A$1:$AZ$1,),)=0,#N/A,VLOOKUP(A6,'DB Country PMI'!$A:$AZ,MATCH($A$1,'DB Country PMI'!$A$1:$AZ$1,),))</calculatedColumnFormula>
    </tableColumn>
    <tableColumn id="3" name="mom" dataDxfId="4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4" headerRowCount="1" totalsRowShown="0" headerRowDxfId="41" dataDxfId="39" headerRowBorderDxfId="40" tableBorderDxfId="38" totalsRowBorderDxfId="37">
  <autoFilter ref="A5:C284"/>
  <tableColumns count="3">
    <tableColumn id="1" name="Date" dataDxfId="36"/>
    <tableColumn id="2" name="PMI" dataDxfId="35">
      <calculatedColumnFormula>IF(VLOOKUP(A6,'DB Country PMI'!$A:$AZ,MATCH($A$1,'DB Country PMI'!$A$1:$AZ$1,),)=0,#N/A,VLOOKUP(A6,'DB Country PMI'!$A:$AZ,MATCH($A$1,'DB Country PMI'!$A$1:$AZ$1,),))</calculatedColumnFormula>
    </tableColumn>
    <tableColumn id="3" name="mom" dataDxfId="3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5" headerRowCount="1" totalsRowShown="0" headerRowDxfId="33" dataDxfId="31" headerRowBorderDxfId="32" tableBorderDxfId="30" totalsRowBorderDxfId="29">
  <autoFilter ref="A5:C135"/>
  <tableColumns count="3">
    <tableColumn id="1" name="Date" dataDxfId="28"/>
    <tableColumn id="2" name="PMI" dataDxfId="27">
      <calculatedColumnFormula>IF(VLOOKUP(A6,'DB Country PMI'!$A:$AZ,MATCH($A$1,'DB Country PMI'!$A$1:$AZ$1,),)=0,#N/A,VLOOKUP(A6,'DB Country PMI'!$A:$AZ,MATCH($A$1,'DB Country PMI'!$A$1:$AZ$1,),))</calculatedColumnFormula>
    </tableColumn>
    <tableColumn id="3" name="mom" dataDxfId="2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100" headerRowCount="1" totalsRowShown="0" headerRowDxfId="25" dataDxfId="23" headerRowBorderDxfId="24" tableBorderDxfId="22" totalsRowBorderDxfId="21">
  <autoFilter ref="A5:C100"/>
  <tableColumns count="3">
    <tableColumn id="1" name="Date" dataDxfId="20"/>
    <tableColumn id="2" name="PMI" dataDxfId="19">
      <calculatedColumnFormula>IF(VLOOKUP(A6,'DB Country PMI'!$A:$AZ,MATCH($A$1,'DB Country PMI'!$A$1:$AZ$1,),)=0,#N/A,VLOOKUP(A6,'DB Country PMI'!$A:$AZ,MATCH($A$1,'DB Country PMI'!$A$1:$AZ$1,),))</calculatedColumnFormula>
    </tableColumn>
    <tableColumn id="3" name="mom" dataDxfId="1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52" headerRowCount="1" totalsRowShown="0" headerRowDxfId="17" dataDxfId="15" headerRowBorderDxfId="16" tableBorderDxfId="14" totalsRowBorderDxfId="13">
  <autoFilter ref="A5:C252"/>
  <tableColumns count="3">
    <tableColumn id="1" name="Date" dataDxfId="12"/>
    <tableColumn id="2" name="PMI" dataDxfId="11">
      <calculatedColumnFormula>IF(VLOOKUP(A6,'DB Country PMI'!$A:$AZ,MATCH($A$1,'DB Country PMI'!$A$1:$AZ$1,),)=0,#N/A,VLOOKUP(A6,'DB Country PMI'!$A:$AZ,MATCH($A$1,'DB Country PMI'!$A$1:$AZ$1,),))</calculatedColumnFormula>
    </tableColumn>
    <tableColumn id="3" name="mom" dataDxfId="1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70" zoomScaleNormal="70" workbookViewId="0">
      <selection activeCell="H345" sqref="H345"/>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77"/>
    <col width="9.1796875" customWidth="1" style="69" min="78"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6" t="n"/>
      <c r="D3" s="76" t="n"/>
      <c r="E3" s="76" t="n"/>
      <c r="F3" s="76" t="n"/>
      <c r="G3" s="76" t="n"/>
      <c r="H3" s="76" t="n"/>
      <c r="I3" s="76" t="n"/>
      <c r="J3" s="77" t="n"/>
    </row>
    <row r="5">
      <c r="B5" s="66" t="inlineStr">
        <is>
          <t>Definition</t>
        </is>
      </c>
      <c r="C5" s="71" t="n"/>
      <c r="D5" s="71" t="n"/>
      <c r="E5" s="71" t="n"/>
      <c r="F5" s="71" t="n"/>
      <c r="G5" s="71" t="n"/>
      <c r="H5" s="71" t="n"/>
      <c r="I5" s="71" t="n"/>
      <c r="J5" s="67" t="n"/>
    </row>
    <row r="7" ht="225.75" customHeight="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72" t="n"/>
      <c r="D8" s="72" t="n"/>
      <c r="E8" s="72" t="n"/>
      <c r="F8" s="72" t="n"/>
      <c r="G8" s="72" t="n"/>
      <c r="H8" s="72" t="n"/>
      <c r="I8" s="72" t="n"/>
      <c r="J8" s="72" t="n"/>
    </row>
    <row r="9" ht="16" customHeight="1" thickBot="1">
      <c r="B9" s="2" t="n"/>
      <c r="C9" s="3" t="n"/>
      <c r="D9" s="3" t="n"/>
      <c r="E9" s="3" t="n"/>
    </row>
    <row r="10" ht="16" customHeight="1" thickBot="1">
      <c r="B10" s="66" t="inlineStr">
        <is>
          <t>Process / TO DO LIST</t>
        </is>
      </c>
      <c r="C10" s="71" t="n"/>
      <c r="D10" s="71" t="n"/>
      <c r="E10" s="71" t="n"/>
      <c r="F10" s="71" t="n"/>
      <c r="G10" s="71" t="n"/>
      <c r="H10" s="71" t="n"/>
      <c r="I10" s="71" t="n"/>
      <c r="J10" s="67" t="n"/>
      <c r="N10" s="79" t="inlineStr">
        <is>
          <t>Summary</t>
        </is>
      </c>
      <c r="O10" s="76" t="n"/>
      <c r="P10" s="76" t="n"/>
      <c r="Q10" s="76" t="n"/>
      <c r="R10" s="76" t="n"/>
      <c r="S10" s="77" t="n"/>
    </row>
    <row r="11">
      <c r="N11" s="4" t="inlineStr">
        <is>
          <t>* input new month</t>
        </is>
      </c>
    </row>
    <row r="12" ht="16" customHeight="1" thickBot="1">
      <c r="B12" s="66" t="inlineStr">
        <is>
          <t>TO DO LIST</t>
        </is>
      </c>
      <c r="C12" s="71" t="n"/>
      <c r="D12" s="71" t="n"/>
      <c r="E12" s="71" t="n"/>
      <c r="F12" s="67" t="n"/>
      <c r="G12" s="66" t="inlineStr">
        <is>
          <t>Comments</t>
        </is>
      </c>
      <c r="H12" s="71" t="n"/>
      <c r="I12" s="71" t="n"/>
      <c r="J12" s="67" t="n"/>
    </row>
    <row r="13">
      <c r="P13" s="5" t="n">
        <v>44927</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72"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72"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68" t="n"/>
    </row>
    <row r="45">
      <c r="B45" s="72" t="n"/>
    </row>
    <row r="46">
      <c r="B46" s="70"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0">
      <formula>0</formula>
    </cfRule>
    <cfRule type="cellIs" priority="8" operator="greaterThan" dxfId="8">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7"/>
  <sheetViews>
    <sheetView zoomScale="160" zoomScaleNormal="160" workbookViewId="0">
      <pane ySplit="1" topLeftCell="A346"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I349" t="n">
        <v>53.7</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E350" t="n">
        <v>47.4</v>
      </c>
      <c r="AF350" t="n">
        <v>51.2</v>
      </c>
      <c r="AG350" t="n">
        <v>52.7</v>
      </c>
      <c r="AH350" t="n">
        <v>43.4</v>
      </c>
      <c r="AI350" t="n">
        <v>54.7</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C351" t="n">
        <v>47.3</v>
      </c>
      <c r="D351" t="n">
        <v>44.2</v>
      </c>
      <c r="E351" t="n">
        <v>49.2</v>
      </c>
      <c r="F351" t="n">
        <v>49</v>
      </c>
      <c r="G351" t="n">
        <v>51.1</v>
      </c>
      <c r="H351" t="n">
        <v>42.6</v>
      </c>
      <c r="I351" t="n">
        <v>51.2</v>
      </c>
      <c r="J351" t="n">
        <v>47.2</v>
      </c>
      <c r="K351" t="n">
        <v>47.8</v>
      </c>
      <c r="L351" t="n">
        <v>49.2</v>
      </c>
      <c r="M351" t="n">
        <v>47.1</v>
      </c>
      <c r="N351" t="n">
        <v>47.2</v>
      </c>
      <c r="O351" t="n">
        <v>49.6</v>
      </c>
      <c r="P351" t="n">
        <v>63.13</v>
      </c>
      <c r="Q351" t="n">
        <v>57.8</v>
      </c>
      <c r="R351" t="n">
        <v>50.9</v>
      </c>
      <c r="S351" t="n">
        <v>48.7</v>
      </c>
      <c r="T351" t="n">
        <v>56.9</v>
      </c>
      <c r="U351" t="n">
        <v>48.5</v>
      </c>
      <c r="V351" t="n">
        <v>48.9</v>
      </c>
      <c r="W351" t="n">
        <v>50.8</v>
      </c>
      <c r="X351" t="n">
        <v>51.6</v>
      </c>
      <c r="Y351" t="n">
        <v>47.3</v>
      </c>
      <c r="Z351" t="n">
        <v>47.8</v>
      </c>
      <c r="AA351" t="n">
        <v>51.3</v>
      </c>
      <c r="AB351" t="n">
        <v>42.1</v>
      </c>
      <c r="AC351" t="n">
        <v>48.6</v>
      </c>
      <c r="AD351" t="n">
        <v>47.2</v>
      </c>
      <c r="AF351" t="n">
        <v>50</v>
      </c>
      <c r="AG351" t="n">
        <v>53.1</v>
      </c>
      <c r="AH351" t="n">
        <v>45.6</v>
      </c>
      <c r="AI351" t="n">
        <v>56.3</v>
      </c>
      <c r="AJ351" t="n">
        <v>49.6</v>
      </c>
      <c r="AK351" t="n">
        <v>53</v>
      </c>
      <c r="AL351" t="n">
        <v>56.9</v>
      </c>
      <c r="AM351" t="n">
        <v>49.7</v>
      </c>
      <c r="AN351" t="n">
        <v>53.1</v>
      </c>
      <c r="AO351" t="n">
        <v>48.2</v>
      </c>
      <c r="AP351" t="n">
        <v>46.4</v>
      </c>
      <c r="AQ351" t="n">
        <v>44.8</v>
      </c>
      <c r="AR351" t="n">
        <v>45.9</v>
      </c>
      <c r="AS351" t="n">
        <v>54.1</v>
      </c>
      <c r="AT351" t="n">
        <v>44.6</v>
      </c>
      <c r="AU351" t="n">
        <v>52.5</v>
      </c>
      <c r="AV351" t="n">
        <v>48.1</v>
      </c>
      <c r="AW351" t="n">
        <v>54.2</v>
      </c>
      <c r="AX351" t="n">
        <v>45.3</v>
      </c>
      <c r="AY351" t="n">
        <v>46.2</v>
      </c>
      <c r="AZ351" t="n">
        <v>46.4</v>
      </c>
      <c r="BA351" t="n">
        <v>48.6</v>
      </c>
    </row>
    <row r="352">
      <c r="A352" s="81" t="n">
        <v>44927</v>
      </c>
      <c r="C352" t="n">
        <v>48.4</v>
      </c>
      <c r="D352" t="n">
        <v>47.5</v>
      </c>
      <c r="E352" t="n">
        <v>51</v>
      </c>
      <c r="F352" t="n">
        <v>49.2</v>
      </c>
      <c r="G352" t="n">
        <v>48.5</v>
      </c>
      <c r="H352" t="n">
        <v>44.6</v>
      </c>
      <c r="I352" t="n">
        <v>54.9</v>
      </c>
      <c r="J352" t="n">
        <v>45.5</v>
      </c>
      <c r="K352" t="n">
        <v>48.8</v>
      </c>
      <c r="L352" t="n">
        <v>50.5</v>
      </c>
      <c r="M352" t="n">
        <v>47.3</v>
      </c>
      <c r="N352" t="n">
        <v>49.2</v>
      </c>
      <c r="O352" t="n">
        <v>51.2</v>
      </c>
      <c r="P352" t="n">
        <v>55</v>
      </c>
      <c r="Q352" t="n">
        <v>55.4</v>
      </c>
      <c r="R352" t="n">
        <v>51.3</v>
      </c>
      <c r="S352" t="n">
        <v>50.1</v>
      </c>
      <c r="T352" t="n">
        <v>53.9</v>
      </c>
      <c r="U352" t="n">
        <v>50.4</v>
      </c>
      <c r="V352" t="n">
        <v>48.9</v>
      </c>
      <c r="W352" t="n">
        <v>50</v>
      </c>
      <c r="X352" t="n">
        <v>52</v>
      </c>
      <c r="Y352" t="n">
        <v>47.7</v>
      </c>
      <c r="Z352" t="n">
        <v>46.5</v>
      </c>
      <c r="AA352" t="n">
        <v>48.9</v>
      </c>
      <c r="AB352" t="n">
        <v>49.6</v>
      </c>
      <c r="AC352" t="n">
        <v>49.6</v>
      </c>
      <c r="AD352" t="n">
        <v>50.8</v>
      </c>
      <c r="AF352" t="n">
        <v>50</v>
      </c>
      <c r="AG352" t="n">
        <v>53.5</v>
      </c>
      <c r="AH352" t="n">
        <v>47.5</v>
      </c>
      <c r="AI352" t="n">
        <v>50.5</v>
      </c>
      <c r="AJ352" t="n">
        <v>45.7</v>
      </c>
      <c r="AK352" t="n">
        <v>52.6</v>
      </c>
      <c r="AL352" t="n">
        <v>58.2</v>
      </c>
      <c r="AM352" t="n">
        <v>49.8</v>
      </c>
      <c r="AN352" t="n">
        <v>53</v>
      </c>
      <c r="AO352" t="n">
        <v>48.5</v>
      </c>
      <c r="AP352" t="n">
        <v>48.4</v>
      </c>
      <c r="AQ352" t="n">
        <v>40.8</v>
      </c>
      <c r="AR352" t="n">
        <v>46.8</v>
      </c>
      <c r="AS352" t="n">
        <v>49.3</v>
      </c>
      <c r="AT352" t="n">
        <v>44.3</v>
      </c>
      <c r="AU352" t="n">
        <v>54.5</v>
      </c>
      <c r="AV352" t="n">
        <v>50.1</v>
      </c>
      <c r="AW352" t="n">
        <v>54.1</v>
      </c>
      <c r="AX352" t="n">
        <v>47</v>
      </c>
      <c r="AY352" t="n">
        <v>46.9</v>
      </c>
      <c r="AZ352" t="n">
        <v>47.4</v>
      </c>
      <c r="BA352" t="n">
        <v>49.1</v>
      </c>
    </row>
    <row r="353">
      <c r="A353" s="81" t="n">
        <v>44958</v>
      </c>
      <c r="B353" t="n">
        <v>-6.4</v>
      </c>
      <c r="C353" t="n">
        <v>47.1</v>
      </c>
      <c r="D353" t="n">
        <v>49.2</v>
      </c>
      <c r="E353" t="n">
        <v>52.4</v>
      </c>
      <c r="F353" t="n">
        <v>51.6</v>
      </c>
      <c r="G353" t="n">
        <v>49.8</v>
      </c>
      <c r="H353" t="n">
        <v>44.3</v>
      </c>
      <c r="I353" t="n">
        <v>44.1</v>
      </c>
      <c r="J353" t="n">
        <v>46.9</v>
      </c>
      <c r="K353" t="n">
        <v>48.5</v>
      </c>
      <c r="L353" t="n">
        <v>47.4</v>
      </c>
      <c r="M353" t="n">
        <v>46.3</v>
      </c>
      <c r="N353" t="n">
        <v>51.7</v>
      </c>
      <c r="O353" t="n">
        <v>53.9</v>
      </c>
      <c r="P353" t="n">
        <v>56.5</v>
      </c>
      <c r="Q353" t="n">
        <v>55.3</v>
      </c>
      <c r="R353" t="n">
        <v>51.2</v>
      </c>
      <c r="S353" t="n">
        <v>51.3</v>
      </c>
      <c r="T353" t="n">
        <v>52.3</v>
      </c>
      <c r="U353" t="n">
        <v>52</v>
      </c>
      <c r="V353" t="n">
        <v>47.7</v>
      </c>
      <c r="W353" t="n">
        <v>51.2</v>
      </c>
      <c r="X353" t="n">
        <v>46.6</v>
      </c>
      <c r="Y353" t="n">
        <v>48.8</v>
      </c>
      <c r="Z353" t="n">
        <v>48.4</v>
      </c>
      <c r="AA353" t="n">
        <v>51</v>
      </c>
      <c r="AB353" t="n">
        <v>51.1</v>
      </c>
      <c r="AC353" t="n">
        <v>48.7</v>
      </c>
      <c r="AD353" t="n">
        <v>52</v>
      </c>
      <c r="AF353" t="n">
        <v>47.46</v>
      </c>
      <c r="AG353" t="n">
        <v>52.7</v>
      </c>
      <c r="AH353" t="n">
        <v>48.5</v>
      </c>
      <c r="AI353" t="n">
        <v>61.1</v>
      </c>
      <c r="AJ353" t="n">
        <v>51.9</v>
      </c>
      <c r="AK353" t="n">
        <v>53.6</v>
      </c>
      <c r="AL353" t="n">
        <v>59.8</v>
      </c>
      <c r="AM353" t="n">
        <v>50</v>
      </c>
      <c r="AN353" t="n">
        <v>48.8</v>
      </c>
      <c r="AO353" t="n">
        <v>48.5</v>
      </c>
      <c r="AP353" t="n">
        <v>50.7</v>
      </c>
      <c r="AQ353" t="n">
        <v>42.3</v>
      </c>
      <c r="AR353" t="n">
        <v>47</v>
      </c>
      <c r="AS353" t="n">
        <v>48.9</v>
      </c>
      <c r="AT353" t="n">
        <v>49</v>
      </c>
      <c r="AU353" t="n">
        <v>54.8</v>
      </c>
      <c r="AV353" t="n">
        <v>50.1</v>
      </c>
      <c r="AW353" t="n">
        <v>54.3</v>
      </c>
      <c r="AX353" t="n">
        <v>49.3</v>
      </c>
      <c r="AY353" t="n">
        <v>47.3</v>
      </c>
      <c r="AZ353" t="n">
        <v>51.2</v>
      </c>
      <c r="BA353" t="n">
        <v>50</v>
      </c>
    </row>
    <row r="354">
      <c r="A354" s="81" t="n">
        <v>44986</v>
      </c>
      <c r="C354" t="n">
        <v>44.7</v>
      </c>
      <c r="D354" t="n">
        <v>47</v>
      </c>
      <c r="E354" t="n">
        <v>48.6</v>
      </c>
      <c r="F354" t="n">
        <v>50</v>
      </c>
      <c r="G354" t="n">
        <v>51.5</v>
      </c>
      <c r="H354" t="n">
        <v>44.3</v>
      </c>
      <c r="I354" t="n">
        <v>44.28</v>
      </c>
      <c r="J354" t="n">
        <v>46.7</v>
      </c>
      <c r="K354" t="n">
        <v>47.3</v>
      </c>
      <c r="L354" t="n">
        <v>47.3</v>
      </c>
      <c r="M354" t="n">
        <v>44.7</v>
      </c>
      <c r="N354" t="n">
        <v>52.8</v>
      </c>
      <c r="O354" t="n">
        <v>53.5</v>
      </c>
      <c r="P354" t="n">
        <v>55.3</v>
      </c>
      <c r="Q354" t="n">
        <v>56.4</v>
      </c>
      <c r="R354" t="n">
        <v>51.9</v>
      </c>
      <c r="S354" t="n">
        <v>49.7</v>
      </c>
      <c r="T354" t="n">
        <v>51.5</v>
      </c>
      <c r="U354" t="n">
        <v>51.1</v>
      </c>
      <c r="V354" t="n">
        <v>49.2</v>
      </c>
      <c r="W354" t="n">
        <v>51.6</v>
      </c>
      <c r="X354" t="n">
        <v>49.2</v>
      </c>
      <c r="Y354" t="n">
        <v>49.7</v>
      </c>
      <c r="Z354" t="n">
        <v>48.8</v>
      </c>
      <c r="AA354" t="n">
        <v>51</v>
      </c>
      <c r="AB354" t="n">
        <v>55.5</v>
      </c>
      <c r="AC354" t="n">
        <v>46.4</v>
      </c>
      <c r="AD354" t="n">
        <v>48.1</v>
      </c>
      <c r="AF354" t="n">
        <v>48.3</v>
      </c>
      <c r="AG354" t="n">
        <v>52.5</v>
      </c>
      <c r="AH354" t="n">
        <v>48.3</v>
      </c>
      <c r="AI354" t="n">
        <v>58.7</v>
      </c>
      <c r="AJ354" t="n">
        <v>53.8</v>
      </c>
      <c r="AK354" t="n">
        <v>53.2</v>
      </c>
      <c r="AL354" t="n">
        <v>58.7</v>
      </c>
      <c r="AM354" t="n">
        <v>49.9</v>
      </c>
      <c r="AN354" t="n">
        <v>48.1</v>
      </c>
      <c r="AO354" t="n">
        <v>47.6</v>
      </c>
      <c r="AP354" t="n">
        <v>51.3</v>
      </c>
      <c r="AQ354" t="n">
        <v>51.4</v>
      </c>
      <c r="AR354" t="n">
        <v>45.7</v>
      </c>
      <c r="AS354" t="n">
        <v>47</v>
      </c>
      <c r="AT354" t="n">
        <v>48.6</v>
      </c>
      <c r="AU354" t="n">
        <v>53.1</v>
      </c>
      <c r="AV354" t="n">
        <v>50.9</v>
      </c>
      <c r="AW354" t="n">
        <v>55.9</v>
      </c>
      <c r="AX354" t="n">
        <v>47.9</v>
      </c>
      <c r="AY354" t="n">
        <v>49.2</v>
      </c>
      <c r="AZ354" t="n">
        <v>47.7</v>
      </c>
      <c r="BA354" t="n">
        <v>49.6</v>
      </c>
    </row>
    <row r="355">
      <c r="A355" s="81" t="n">
        <v>45017</v>
      </c>
      <c r="C355" t="n">
        <v>42</v>
      </c>
      <c r="D355" t="n">
        <v>44.3</v>
      </c>
      <c r="E355" t="n">
        <v>50.2</v>
      </c>
      <c r="F355" t="n">
        <v>49.5</v>
      </c>
      <c r="G355" t="n">
        <v>52.6</v>
      </c>
      <c r="H355" t="n">
        <v>42.8</v>
      </c>
      <c r="I355" t="n">
        <v>44.19</v>
      </c>
      <c r="J355" t="n">
        <v>47.3</v>
      </c>
      <c r="K355" t="n">
        <v>45.8</v>
      </c>
      <c r="L355" t="n">
        <v>45.6</v>
      </c>
      <c r="M355" t="n">
        <v>44.5</v>
      </c>
      <c r="N355" t="n">
        <v>52.4</v>
      </c>
      <c r="O355" t="n">
        <v>52.4</v>
      </c>
      <c r="P355" t="n">
        <v>61.9</v>
      </c>
      <c r="Q355" t="n">
        <v>57.2</v>
      </c>
      <c r="R355" t="n">
        <v>52.7</v>
      </c>
      <c r="S355" t="n">
        <v>48.6</v>
      </c>
      <c r="T355" t="n">
        <v>48.9</v>
      </c>
      <c r="U355" t="n">
        <v>46.8</v>
      </c>
      <c r="V355" t="n">
        <v>49.5</v>
      </c>
      <c r="W355" t="n">
        <v>51.3</v>
      </c>
      <c r="X355" t="n">
        <v>47.2</v>
      </c>
      <c r="Y355" t="n">
        <v>49.5</v>
      </c>
      <c r="Z355" t="n">
        <v>48.8</v>
      </c>
      <c r="AA355" t="n">
        <v>51.1</v>
      </c>
      <c r="AB355" t="n">
        <v>57.4</v>
      </c>
      <c r="AC355" t="n">
        <v>44.9</v>
      </c>
      <c r="AD355" t="n">
        <v>49.1</v>
      </c>
      <c r="AF355" t="n">
        <v>51.2</v>
      </c>
      <c r="AG355" t="n">
        <v>51.4</v>
      </c>
      <c r="AH355" t="n">
        <v>46.6</v>
      </c>
      <c r="AI355" t="n">
        <v>46.7</v>
      </c>
      <c r="AJ355" t="n">
        <v>54.4</v>
      </c>
      <c r="AK355" t="n">
        <v>52.6</v>
      </c>
      <c r="AL355" t="n">
        <v>59.6</v>
      </c>
      <c r="AM355" t="n">
        <v>49.7</v>
      </c>
      <c r="AN355" t="n">
        <v>49.8</v>
      </c>
      <c r="AO355" t="n">
        <v>48.1</v>
      </c>
      <c r="AP355" t="n">
        <v>49</v>
      </c>
      <c r="AQ355" t="n">
        <v>34.7</v>
      </c>
      <c r="AR355" t="n">
        <v>45.5</v>
      </c>
      <c r="AS355" t="n">
        <v>45.3</v>
      </c>
      <c r="AT355" t="n">
        <v>47.1</v>
      </c>
      <c r="AU355" t="n">
        <v>60.4</v>
      </c>
      <c r="AV355" t="n">
        <v>51.5</v>
      </c>
      <c r="AW355" t="n">
        <v>56.6</v>
      </c>
      <c r="AX355" t="n">
        <v>47.8</v>
      </c>
      <c r="AY355" t="n">
        <v>50.2</v>
      </c>
      <c r="AZ355" t="n">
        <v>46.7</v>
      </c>
      <c r="BA355" t="n">
        <v>49.6</v>
      </c>
    </row>
    <row r="356">
      <c r="A356" s="81" t="n">
        <v>45047</v>
      </c>
      <c r="C356" t="n">
        <v>39.7</v>
      </c>
      <c r="D356" t="n">
        <v>47.1</v>
      </c>
      <c r="E356" t="n">
        <v>49</v>
      </c>
      <c r="F356" t="n">
        <v>50.9</v>
      </c>
      <c r="G356" t="n">
        <v>49.9</v>
      </c>
      <c r="H356" t="n">
        <v>42.8</v>
      </c>
      <c r="I356" t="n">
        <v>45.7</v>
      </c>
      <c r="J356" t="n">
        <v>47.8</v>
      </c>
      <c r="K356" t="n">
        <v>44.8</v>
      </c>
      <c r="L356" t="n">
        <v>45.7</v>
      </c>
      <c r="M356" t="n">
        <v>43.2</v>
      </c>
      <c r="N356" t="n">
        <v>51.5</v>
      </c>
      <c r="O356" t="n">
        <v>50.6</v>
      </c>
      <c r="P356" t="n">
        <v>57.1</v>
      </c>
      <c r="Q356" t="n">
        <v>58.7</v>
      </c>
      <c r="R356" t="n">
        <v>50.3</v>
      </c>
      <c r="S356" t="n">
        <v>47.5</v>
      </c>
      <c r="T356" t="n">
        <v>50.2</v>
      </c>
      <c r="U356" t="n">
        <v>45.9</v>
      </c>
      <c r="V356" t="n">
        <v>50.6</v>
      </c>
      <c r="W356" t="n">
        <v>52.3</v>
      </c>
      <c r="X356" t="n">
        <v>49.4</v>
      </c>
      <c r="Y356" t="n">
        <v>49.4</v>
      </c>
      <c r="Z356" t="n">
        <v>47.8</v>
      </c>
      <c r="AA356" t="n">
        <v>50.5</v>
      </c>
      <c r="AB356" t="n">
        <v>53</v>
      </c>
      <c r="AC356" t="n">
        <v>44.2</v>
      </c>
      <c r="AD356" t="n">
        <v>48.9</v>
      </c>
      <c r="AF356" t="n">
        <v>47.4</v>
      </c>
      <c r="AG356" t="n">
        <v>52.2</v>
      </c>
      <c r="AH356" t="n">
        <v>47</v>
      </c>
      <c r="AJ356" t="n">
        <v>55.6</v>
      </c>
      <c r="AK356" t="n">
        <v>53.5</v>
      </c>
      <c r="AL356" t="n">
        <v>58.5</v>
      </c>
      <c r="AM356" t="n">
        <v>49.5</v>
      </c>
      <c r="AN356" t="n">
        <v>49.2</v>
      </c>
      <c r="AO356" t="n">
        <v>48.4</v>
      </c>
      <c r="AP356" t="n">
        <v>48.4</v>
      </c>
      <c r="AQ356" t="n">
        <v>46.2</v>
      </c>
      <c r="AR356" t="n">
        <v>40.6</v>
      </c>
      <c r="AS356" t="n">
        <v>43.2</v>
      </c>
      <c r="AT356" t="n">
        <v>44.3</v>
      </c>
      <c r="AU356" t="n">
        <v>58.2</v>
      </c>
      <c r="AV356" t="n">
        <v>51.5</v>
      </c>
      <c r="AW356" t="n">
        <v>55.5</v>
      </c>
      <c r="AX356" t="n">
        <v>47.1</v>
      </c>
      <c r="AY356" t="n">
        <v>48.4</v>
      </c>
      <c r="AZ356" t="n">
        <v>45.3</v>
      </c>
      <c r="BA356" t="n">
        <v>49.6</v>
      </c>
    </row>
    <row r="357">
      <c r="A357" s="81" t="n">
        <v>45078</v>
      </c>
      <c r="K357" t="n">
        <v>43.6</v>
      </c>
      <c r="L357" t="n">
        <v>45.5</v>
      </c>
      <c r="M357" t="n">
        <v>41</v>
      </c>
      <c r="V357" t="n">
        <v>49.8</v>
      </c>
      <c r="AX357" t="n">
        <v>46.2</v>
      </c>
      <c r="AY357" t="n">
        <v>46.3</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43"/>
  <sheetViews>
    <sheetView zoomScale="110" zoomScaleNormal="110" workbookViewId="0">
      <pane ySplit="1" topLeftCell="A325" activePane="bottomLeft" state="frozen"/>
      <selection activeCell="H345" sqref="H345"/>
      <selection pane="bottomLeft" activeCell="H345" sqref="H345"/>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0.005778477726197828</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0.003488906993436555</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0.003519677362189036</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0.001385370598330848</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0.006959101731688274</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0.004967303182490287</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0.004886980192222105</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0.002487396938892174</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0.01222249906105977</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0.008056481914950529</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0.01136718723986598</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0.006509806207507417</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0.004363005196881692</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0.005742603263323063</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0.001364107921314651</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0.01021223489814813</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0.005277434687421764</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0.01213139406123014</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0.01137559117798559</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0.01197714589525851</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0.009135348533131532</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0.00589708890592701</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0.006349381775787375</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0.009874413062911359</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0.0009900469125444515</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0.001615340310173443</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0.0003488016176285535</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0.001329221580887386</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0.005176015484208941</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0.004210539418388268</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0.001901672633413295</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-0.003235167430273669</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0.0007830908593022845</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0.005851737975936589</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0.006870734292954992</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0.005042205595207169</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0.006113735275889696</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0.002494035503585641</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0.003731168780815071</v>
      </c>
    </row>
    <row r="120">
      <c r="A120" s="81" t="n">
        <v>38292</v>
      </c>
      <c r="B120" t="n">
        <v/>
      </c>
      <c r="C120" t="n">
        <v/>
      </c>
      <c r="D120" t="n">
        <v/>
      </c>
      <c r="E120" t="n">
        <v/>
      </c>
      <c r="F120" t="n">
        <v/>
      </c>
    </row>
    <row r="121">
      <c r="A121" s="81" t="n">
        <v>38322</v>
      </c>
      <c r="B121" t="n">
        <v/>
      </c>
      <c r="C121" t="n">
        <v/>
      </c>
      <c r="D121" t="n">
        <v>21.16686820983887</v>
      </c>
      <c r="E121" t="n">
        <v>17.66545104980469</v>
      </c>
      <c r="F121" t="n">
        <v/>
      </c>
    </row>
    <row r="122">
      <c r="A122" s="81" t="n">
        <v>38353</v>
      </c>
      <c r="B122" t="n">
        <v/>
      </c>
      <c r="C122" t="n">
        <v/>
      </c>
      <c r="D122" t="n">
        <v>21.07809066772461</v>
      </c>
      <c r="E122" t="n">
        <v>17.56843757629395</v>
      </c>
      <c r="F122" t="n">
        <v>0.002126901525538931</v>
      </c>
    </row>
    <row r="123">
      <c r="A123" s="81" t="n">
        <v>38384</v>
      </c>
      <c r="B123" t="n">
        <v/>
      </c>
      <c r="C123" t="n">
        <v/>
      </c>
      <c r="D123" t="n">
        <v>21.99543571472168</v>
      </c>
      <c r="E123" t="n">
        <v>18.49414253234863</v>
      </c>
      <c r="F123" t="n">
        <v/>
      </c>
    </row>
    <row r="124">
      <c r="A124" s="81" t="n">
        <v>38412</v>
      </c>
      <c r="B124" t="n">
        <v/>
      </c>
      <c r="C124" t="n">
        <v/>
      </c>
      <c r="D124" t="n">
        <v>21.46403312683105</v>
      </c>
      <c r="E124" t="n">
        <v>18.04622077941895</v>
      </c>
      <c r="F124" t="n">
        <v/>
      </c>
    </row>
    <row r="125">
      <c r="A125" s="81" t="n">
        <v>38443</v>
      </c>
      <c r="B125" t="n">
        <v/>
      </c>
      <c r="C125" t="n">
        <v/>
      </c>
      <c r="D125" t="n">
        <v>20.72184371948242</v>
      </c>
      <c r="E125" t="n">
        <v>17.82723617553711</v>
      </c>
      <c r="F125" t="n">
        <v>0.006056539892123265</v>
      </c>
    </row>
    <row r="126">
      <c r="A126" s="81" t="n">
        <v>38473</v>
      </c>
      <c r="B126" t="n">
        <v/>
      </c>
      <c r="C126" t="n">
        <v/>
      </c>
      <c r="D126" t="n">
        <v>20.81388092041016</v>
      </c>
      <c r="E126" t="n">
        <v>17.68788528442383</v>
      </c>
      <c r="F126" t="n">
        <v/>
      </c>
    </row>
    <row r="127">
      <c r="A127" s="81" t="n">
        <v>38504</v>
      </c>
      <c r="B127" t="n">
        <v/>
      </c>
      <c r="C127" t="n">
        <v/>
      </c>
      <c r="D127" t="n">
        <v>21.11965751647949</v>
      </c>
      <c r="E127" t="n">
        <v>17.88696098327637</v>
      </c>
      <c r="F127" t="n">
        <v/>
      </c>
    </row>
    <row r="128">
      <c r="A128" s="81" t="n">
        <v>38534</v>
      </c>
      <c r="B128" t="n">
        <v/>
      </c>
      <c r="C128" t="n">
        <v/>
      </c>
      <c r="D128" t="n">
        <v>22.0815258026123</v>
      </c>
      <c r="E128" t="n">
        <v>18.01636505126953</v>
      </c>
      <c r="F128" t="n">
        <v>0.007589032711470601</v>
      </c>
    </row>
    <row r="129">
      <c r="A129" s="81" t="n">
        <v>38565</v>
      </c>
      <c r="B129" t="n">
        <v/>
      </c>
      <c r="C129" t="n">
        <v/>
      </c>
      <c r="D129" t="n">
        <v>22.4437141418457</v>
      </c>
      <c r="E129" t="n">
        <v>18.73303604125977</v>
      </c>
      <c r="F129" t="n">
        <v/>
      </c>
    </row>
    <row r="130">
      <c r="A130" s="81" t="n">
        <v>38596</v>
      </c>
      <c r="B130" t="n">
        <v/>
      </c>
      <c r="C130" t="n">
        <v/>
      </c>
      <c r="D130" t="n">
        <v>22.8355884552002</v>
      </c>
      <c r="E130" t="n">
        <v>18.87238311767578</v>
      </c>
      <c r="F130" t="n">
        <v/>
      </c>
    </row>
    <row r="131">
      <c r="A131" s="81" t="n">
        <v>38626</v>
      </c>
      <c r="B131" t="n">
        <v/>
      </c>
      <c r="C131" t="n">
        <v/>
      </c>
      <c r="D131" t="n">
        <v>21.97464942932129</v>
      </c>
      <c r="E131" t="n">
        <v>18.41451454162598</v>
      </c>
      <c r="F131" t="n">
        <v>0.006313744472718453</v>
      </c>
    </row>
    <row r="132">
      <c r="A132" s="81" t="n">
        <v>38657</v>
      </c>
      <c r="B132" t="n">
        <v/>
      </c>
      <c r="C132" t="n">
        <v/>
      </c>
      <c r="D132" t="n">
        <v>22.37840270996094</v>
      </c>
      <c r="E132" t="n">
        <v>18.44437408447266</v>
      </c>
      <c r="F132" t="n">
        <v/>
      </c>
    </row>
    <row r="133">
      <c r="A133" s="81" t="n">
        <v>38687</v>
      </c>
      <c r="B133" t="n">
        <v/>
      </c>
      <c r="C133" t="n">
        <v/>
      </c>
      <c r="D133" t="n">
        <v>23.05230522155762</v>
      </c>
      <c r="E133" t="n">
        <v>18.49414253234863</v>
      </c>
      <c r="F133" t="n">
        <v/>
      </c>
    </row>
    <row r="134">
      <c r="A134" s="81" t="n">
        <v>38718</v>
      </c>
      <c r="B134" t="n">
        <v/>
      </c>
      <c r="C134" t="n">
        <v/>
      </c>
      <c r="D134" t="n">
        <v>25.02167510986328</v>
      </c>
      <c r="E134" t="n">
        <v>20.22601509094238</v>
      </c>
      <c r="F134" t="n">
        <v>0.008659133859804938</v>
      </c>
    </row>
    <row r="135">
      <c r="A135" s="81" t="n">
        <v>38749</v>
      </c>
      <c r="B135" t="n">
        <v/>
      </c>
      <c r="C135" t="n">
        <v/>
      </c>
      <c r="D135" t="n">
        <v>25.20282173156738</v>
      </c>
      <c r="E135" t="n">
        <v>20.11313629150391</v>
      </c>
      <c r="F135" t="n">
        <v/>
      </c>
    </row>
    <row r="136">
      <c r="A136" s="81" t="n">
        <v>38777</v>
      </c>
      <c r="B136" t="n">
        <v/>
      </c>
      <c r="C136" t="n">
        <v/>
      </c>
      <c r="D136" t="n">
        <v>26.3107967376709</v>
      </c>
      <c r="E136" t="n">
        <v>20.68780136108398</v>
      </c>
      <c r="F136" t="n">
        <v/>
      </c>
    </row>
    <row r="137">
      <c r="A137" s="81" t="n">
        <v>38808</v>
      </c>
      <c r="B137" t="n">
        <v/>
      </c>
      <c r="C137" t="n">
        <v/>
      </c>
      <c r="D137" t="n">
        <v>27.48821640014648</v>
      </c>
      <c r="E137" t="n">
        <v>22.01156806945801</v>
      </c>
      <c r="F137" t="n">
        <v>0.01103416307445168</v>
      </c>
    </row>
    <row r="138">
      <c r="A138" s="81" t="n">
        <v>38838</v>
      </c>
      <c r="B138" t="n">
        <v/>
      </c>
      <c r="C138" t="n">
        <v/>
      </c>
      <c r="D138" t="n">
        <v>26.51005363464355</v>
      </c>
      <c r="E138" t="n">
        <v>21.4266471862793</v>
      </c>
      <c r="F138" t="n">
        <v/>
      </c>
    </row>
    <row r="139">
      <c r="A139" s="81" t="n">
        <v>38869</v>
      </c>
      <c r="B139" t="n">
        <v/>
      </c>
      <c r="C139" t="n">
        <v/>
      </c>
      <c r="D139" t="n">
        <v>26.58553123474121</v>
      </c>
      <c r="E139" t="n">
        <v>21.60109519958496</v>
      </c>
      <c r="F139" t="n">
        <v/>
      </c>
    </row>
    <row r="140">
      <c r="A140" s="81" t="n">
        <v>38899</v>
      </c>
      <c r="B140" t="n">
        <v/>
      </c>
      <c r="C140" t="n">
        <v/>
      </c>
      <c r="D140" t="n">
        <v>26.90253257751465</v>
      </c>
      <c r="E140" t="n">
        <v>22.16549301147461</v>
      </c>
      <c r="F140" t="n">
        <v>0.006186974760044549</v>
      </c>
    </row>
    <row r="141">
      <c r="A141" s="81" t="n">
        <v>38930</v>
      </c>
      <c r="B141" t="n">
        <v/>
      </c>
      <c r="C141" t="n">
        <v/>
      </c>
      <c r="D141" t="n">
        <v>27.94710159301758</v>
      </c>
      <c r="E141" t="n">
        <v>22.64779853820801</v>
      </c>
      <c r="F141" t="n">
        <v/>
      </c>
    </row>
    <row r="142">
      <c r="A142" s="81" t="n">
        <v>38961</v>
      </c>
      <c r="B142" t="n">
        <v/>
      </c>
      <c r="C142" t="n">
        <v/>
      </c>
      <c r="D142" t="n">
        <v>28.43618774414062</v>
      </c>
      <c r="E142" t="n">
        <v>22.46309089660645</v>
      </c>
      <c r="F142" t="n">
        <v/>
      </c>
    </row>
    <row r="143">
      <c r="A143" s="81" t="n">
        <v>38991</v>
      </c>
      <c r="B143" t="n">
        <v/>
      </c>
      <c r="C143" t="n">
        <v/>
      </c>
      <c r="D143" t="n">
        <v>29.40530204772949</v>
      </c>
      <c r="E143" t="n">
        <v>23.4995288848877</v>
      </c>
      <c r="F143" t="n">
        <v>0.01145786712010894</v>
      </c>
    </row>
    <row r="144">
      <c r="A144" s="81" t="n">
        <v>39022</v>
      </c>
      <c r="B144" t="n">
        <v/>
      </c>
      <c r="C144" t="n">
        <v/>
      </c>
      <c r="D144" t="n">
        <v>30.76385688781738</v>
      </c>
      <c r="E144" t="n">
        <v>24.16654777526855</v>
      </c>
      <c r="F144" t="n">
        <v/>
      </c>
    </row>
    <row r="145">
      <c r="A145" s="81" t="n">
        <v>39052</v>
      </c>
      <c r="B145" t="n">
        <v/>
      </c>
      <c r="C145" t="n">
        <v/>
      </c>
      <c r="D145" t="n">
        <v>31.20162391662598</v>
      </c>
      <c r="E145" t="n">
        <v>24.02288055419922</v>
      </c>
      <c r="F145" t="n">
        <v/>
      </c>
    </row>
    <row r="146">
      <c r="A146" s="81" t="n">
        <v>39083</v>
      </c>
      <c r="B146" t="n">
        <v/>
      </c>
      <c r="C146" t="n">
        <v/>
      </c>
      <c r="D146" t="n">
        <v>32.22486877441406</v>
      </c>
      <c r="E146" t="n">
        <v>25.02501678466797</v>
      </c>
      <c r="F146" t="n">
        <v>0.006096333462634118</v>
      </c>
    </row>
    <row r="147">
      <c r="A147" s="81" t="n">
        <v>39114</v>
      </c>
      <c r="B147" t="n">
        <v/>
      </c>
      <c r="C147" t="n">
        <v/>
      </c>
      <c r="D147" t="n">
        <v>31.93288612365723</v>
      </c>
      <c r="E147" t="n">
        <v>24.65341758728027</v>
      </c>
      <c r="F147" t="n">
        <v/>
      </c>
    </row>
    <row r="148">
      <c r="A148" s="81" t="n">
        <v>39142</v>
      </c>
      <c r="B148" t="n">
        <v/>
      </c>
      <c r="C148" t="n">
        <v/>
      </c>
      <c r="D148" t="n">
        <v>33.2606201171875</v>
      </c>
      <c r="E148" t="n">
        <v>25.55588722229004</v>
      </c>
      <c r="F148" t="n">
        <v/>
      </c>
    </row>
    <row r="149">
      <c r="A149" s="81" t="n">
        <v>39173</v>
      </c>
      <c r="B149" t="n">
        <v/>
      </c>
      <c r="C149" t="n">
        <v/>
      </c>
      <c r="D149" t="n">
        <v>35.34439086914062</v>
      </c>
      <c r="E149" t="n">
        <v>26.384033203125</v>
      </c>
      <c r="F149" t="n">
        <v>0.007243904967640398</v>
      </c>
    </row>
    <row r="150">
      <c r="A150" s="81" t="n">
        <v>39203</v>
      </c>
      <c r="B150" t="n">
        <v/>
      </c>
      <c r="C150" t="n">
        <v/>
      </c>
      <c r="D150" t="n">
        <v>36.68132400512695</v>
      </c>
      <c r="E150" t="n">
        <v>26.94675064086914</v>
      </c>
      <c r="F150" t="n">
        <v/>
      </c>
    </row>
    <row r="151">
      <c r="A151" s="81" t="n">
        <v>39234</v>
      </c>
      <c r="B151" t="n">
        <v/>
      </c>
      <c r="C151" t="n">
        <v/>
      </c>
      <c r="D151" t="n">
        <v>36.26643371582031</v>
      </c>
      <c r="E151" t="n">
        <v>27.12724685668945</v>
      </c>
      <c r="F151" t="n">
        <v/>
      </c>
    </row>
    <row r="152">
      <c r="A152" s="81" t="n">
        <v>39264</v>
      </c>
      <c r="B152" t="n">
        <v/>
      </c>
      <c r="C152" t="n">
        <v/>
      </c>
      <c r="D152" t="n">
        <v>35.12618255615234</v>
      </c>
      <c r="E152" t="n">
        <v>26.21415710449219</v>
      </c>
      <c r="F152" t="n">
        <v>0.00448786840469708</v>
      </c>
    </row>
    <row r="153">
      <c r="A153" s="81" t="n">
        <v>39295</v>
      </c>
      <c r="B153" t="n">
        <v/>
      </c>
      <c r="C153" t="n">
        <v/>
      </c>
      <c r="D153" t="n">
        <v>35.11695098876953</v>
      </c>
      <c r="E153" t="n">
        <v>26.26724052429199</v>
      </c>
      <c r="F153" t="n">
        <v/>
      </c>
    </row>
    <row r="154">
      <c r="A154" s="81" t="n">
        <v>39326</v>
      </c>
      <c r="B154" t="n">
        <v/>
      </c>
      <c r="C154" t="n">
        <v/>
      </c>
      <c r="D154" t="n">
        <v>37.15771865844727</v>
      </c>
      <c r="E154" t="n">
        <v>27.31836128234863</v>
      </c>
      <c r="F154" t="n">
        <v/>
      </c>
    </row>
    <row r="155">
      <c r="A155" s="81" t="n">
        <v>39356</v>
      </c>
      <c r="B155" t="n">
        <v/>
      </c>
      <c r="C155" t="n">
        <v/>
      </c>
      <c r="D155" t="n">
        <v>38.99868774414062</v>
      </c>
      <c r="E155" t="n">
        <v>28.90034675598145</v>
      </c>
      <c r="F155" t="n">
        <v>0.005075372422935717</v>
      </c>
    </row>
    <row r="156">
      <c r="A156" s="81" t="n">
        <v>39387</v>
      </c>
      <c r="B156" t="n">
        <v/>
      </c>
      <c r="C156" t="n">
        <v/>
      </c>
      <c r="D156" t="n">
        <v>37.91685485839844</v>
      </c>
      <c r="E156" t="n">
        <v>27.20157241821289</v>
      </c>
      <c r="F156" t="n">
        <v/>
      </c>
    </row>
    <row r="157">
      <c r="A157" s="81" t="n">
        <v>39417</v>
      </c>
      <c r="B157" t="n">
        <v/>
      </c>
      <c r="C157" t="n">
        <v/>
      </c>
      <c r="D157" t="n">
        <v>36.672119140625</v>
      </c>
      <c r="E157" t="n">
        <v>25.56649971008301</v>
      </c>
      <c r="F157" t="n">
        <v/>
      </c>
    </row>
    <row r="158">
      <c r="A158" s="81" t="n">
        <v>39448</v>
      </c>
      <c r="B158" t="n">
        <v/>
      </c>
      <c r="C158" t="n">
        <v/>
      </c>
      <c r="D158" t="n">
        <v>33.72843170166016</v>
      </c>
      <c r="E158" t="n">
        <v>24.34799957275391</v>
      </c>
      <c r="F158" t="n">
        <v>0.005156055193425483</v>
      </c>
    </row>
    <row r="159">
      <c r="A159" s="81" t="n">
        <v>39479</v>
      </c>
      <c r="B159" t="n">
        <v/>
      </c>
      <c r="C159" t="n">
        <v/>
      </c>
      <c r="D159" t="n">
        <v>33.45104598999023</v>
      </c>
      <c r="E159" t="n">
        <v>24.06232261657715</v>
      </c>
      <c r="F159" t="n">
        <v/>
      </c>
    </row>
    <row r="160">
      <c r="A160" s="81" t="n">
        <v>39508</v>
      </c>
      <c r="B160" t="n">
        <v/>
      </c>
      <c r="C160" t="n">
        <v/>
      </c>
      <c r="D160" t="n">
        <v>34.29582977294922</v>
      </c>
      <c r="E160" t="n">
        <v>23.68875694274902</v>
      </c>
      <c r="F160" t="n">
        <v/>
      </c>
    </row>
    <row r="161">
      <c r="A161" s="81" t="n">
        <v>39539</v>
      </c>
      <c r="B161" t="n">
        <v/>
      </c>
      <c r="C161" t="n">
        <v/>
      </c>
      <c r="D161" t="n">
        <v>35.66388320922852</v>
      </c>
      <c r="E161" t="n">
        <v>25.09513473510742</v>
      </c>
      <c r="F161" t="n">
        <v>-0.003466862378427577</v>
      </c>
    </row>
    <row r="162">
      <c r="A162" s="81" t="n">
        <v>39569</v>
      </c>
      <c r="B162" t="n">
        <v/>
      </c>
      <c r="C162" t="n">
        <v/>
      </c>
      <c r="D162" t="n">
        <v>36.08627319335938</v>
      </c>
      <c r="E162" t="n">
        <v>25.04019737243652</v>
      </c>
      <c r="F162" t="n">
        <v/>
      </c>
    </row>
    <row r="163">
      <c r="A163" s="81" t="n">
        <v>39600</v>
      </c>
      <c r="B163" t="n">
        <v/>
      </c>
      <c r="C163" t="n">
        <v/>
      </c>
      <c r="D163" t="n">
        <v>30.88831901550293</v>
      </c>
      <c r="E163" t="n">
        <v>22.76581573486328</v>
      </c>
      <c r="F163" t="n">
        <v/>
      </c>
    </row>
    <row r="164">
      <c r="A164" s="81" t="n">
        <v>39630</v>
      </c>
      <c r="B164" t="n">
        <v/>
      </c>
      <c r="C164" t="n">
        <v/>
      </c>
      <c r="D164" t="n">
        <v>31.24161529541016</v>
      </c>
      <c r="E164" t="n">
        <v>22.3302173614502</v>
      </c>
      <c r="F164" t="n">
        <v>-0.005149039303824655</v>
      </c>
    </row>
    <row r="165">
      <c r="A165" s="81" t="n">
        <v>39661</v>
      </c>
      <c r="B165" t="n">
        <v/>
      </c>
      <c r="C165" t="n">
        <v/>
      </c>
      <c r="D165" t="n">
        <v>30.01285743713379</v>
      </c>
      <c r="E165" t="n">
        <v>21.57725715637207</v>
      </c>
      <c r="F165" t="n">
        <v/>
      </c>
    </row>
    <row r="166">
      <c r="A166" s="81" t="n">
        <v>39692</v>
      </c>
      <c r="B166" t="n">
        <v/>
      </c>
      <c r="C166" t="n">
        <v/>
      </c>
      <c r="D166" t="n">
        <v>25.96060943603516</v>
      </c>
      <c r="E166" t="n">
        <v>18.71153259277344</v>
      </c>
      <c r="F166" t="n">
        <v/>
      </c>
    </row>
    <row r="167">
      <c r="A167" s="81" t="n">
        <v>39722</v>
      </c>
      <c r="B167" t="n">
        <v/>
      </c>
      <c r="C167" t="n">
        <v/>
      </c>
      <c r="D167" t="n">
        <v>19.58156776428223</v>
      </c>
      <c r="E167" t="n">
        <v>15.01418018341064</v>
      </c>
      <c r="F167" t="n">
        <v>-0.01818148721141519</v>
      </c>
    </row>
    <row r="168">
      <c r="A168" s="81" t="n">
        <v>39753</v>
      </c>
      <c r="B168" t="n">
        <v/>
      </c>
      <c r="C168" t="n">
        <v/>
      </c>
      <c r="D168" t="n">
        <v>18.12405967712402</v>
      </c>
      <c r="E168" t="n">
        <v>14.04769420623779</v>
      </c>
      <c r="F168" t="n">
        <v/>
      </c>
    </row>
    <row r="169">
      <c r="A169" s="81" t="n">
        <v>39783</v>
      </c>
      <c r="B169" t="n">
        <v/>
      </c>
      <c r="C169" t="n">
        <v/>
      </c>
      <c r="D169" t="n">
        <v>20.00639724731445</v>
      </c>
      <c r="E169" t="n">
        <v>13.76674365997314</v>
      </c>
      <c r="F169" t="n">
        <v/>
      </c>
    </row>
    <row r="170">
      <c r="A170" s="81" t="n">
        <v>39814</v>
      </c>
      <c r="B170" t="n">
        <v/>
      </c>
      <c r="C170" t="n">
        <v/>
      </c>
      <c r="D170" t="n">
        <v>16.87470436096191</v>
      </c>
      <c r="E170" t="n">
        <v>12.83400821685791</v>
      </c>
      <c r="F170" t="n">
        <v>-0.03105136313043055</v>
      </c>
    </row>
    <row r="171">
      <c r="A171" s="81" t="n">
        <v>39845</v>
      </c>
      <c r="B171" t="n">
        <v/>
      </c>
      <c r="C171" t="n">
        <v/>
      </c>
      <c r="D171" t="n">
        <v>14.83775806427002</v>
      </c>
      <c r="E171" t="n">
        <v>11.58529376983643</v>
      </c>
      <c r="F171" t="n">
        <v/>
      </c>
    </row>
    <row r="172">
      <c r="A172" s="81" t="n">
        <v>39873</v>
      </c>
      <c r="B172" t="n">
        <v/>
      </c>
      <c r="C172" t="n">
        <v/>
      </c>
      <c r="D172" t="n">
        <v>16.30888175964355</v>
      </c>
      <c r="E172" t="n">
        <v>12.11715030670166</v>
      </c>
      <c r="F172" t="n">
        <v/>
      </c>
    </row>
    <row r="173">
      <c r="A173" s="81" t="n">
        <v>39904</v>
      </c>
      <c r="B173" t="n">
        <v/>
      </c>
      <c r="C173" t="n">
        <v/>
      </c>
      <c r="D173" t="n">
        <v>18.69864273071289</v>
      </c>
      <c r="E173" t="n">
        <v>13.56242275238037</v>
      </c>
      <c r="F173" t="n">
        <v>-0.0001495080424317845</v>
      </c>
    </row>
    <row r="174">
      <c r="A174" s="81" t="n">
        <v>39934</v>
      </c>
      <c r="B174" t="n">
        <v/>
      </c>
      <c r="C174" t="n">
        <v/>
      </c>
      <c r="D174" t="n">
        <v>21.16827392578125</v>
      </c>
      <c r="E174" t="n">
        <v>15.87485885620117</v>
      </c>
      <c r="F174" t="n">
        <v/>
      </c>
    </row>
    <row r="175">
      <c r="A175" s="81" t="n">
        <v>39965</v>
      </c>
      <c r="B175" t="n">
        <v/>
      </c>
      <c r="C175" t="n">
        <v/>
      </c>
      <c r="D175" t="n">
        <v>20.17642211914062</v>
      </c>
      <c r="E175" t="n">
        <v>15.27362442016602</v>
      </c>
      <c r="F175" t="n">
        <v/>
      </c>
    </row>
    <row r="176">
      <c r="A176" s="81" t="n">
        <v>39995</v>
      </c>
      <c r="B176" t="n">
        <v/>
      </c>
      <c r="C176" t="n">
        <v/>
      </c>
      <c r="D176" t="n">
        <v>22.92266273498535</v>
      </c>
      <c r="E176" t="n">
        <v>16.86945533752441</v>
      </c>
      <c r="F176" t="n">
        <v>0.003869254954575841</v>
      </c>
    </row>
    <row r="177">
      <c r="A177" s="81" t="n">
        <v>40026</v>
      </c>
      <c r="B177" t="n">
        <v/>
      </c>
      <c r="C177" t="n">
        <v/>
      </c>
      <c r="D177" t="n">
        <v>24.35660171508789</v>
      </c>
      <c r="E177" t="n">
        <v>17.59933090209961</v>
      </c>
      <c r="F177" t="n">
        <v/>
      </c>
    </row>
    <row r="178">
      <c r="A178" s="81" t="n">
        <v>40057</v>
      </c>
      <c r="B178" t="n">
        <v/>
      </c>
      <c r="C178" t="n">
        <v/>
      </c>
      <c r="D178" t="n">
        <v>25.95443153381348</v>
      </c>
      <c r="E178" t="n">
        <v>18.25857353210449</v>
      </c>
      <c r="F178" t="n">
        <v/>
      </c>
    </row>
    <row r="179">
      <c r="A179" s="81" t="n">
        <v>40087</v>
      </c>
      <c r="B179" t="n">
        <v/>
      </c>
      <c r="C179" t="n">
        <v/>
      </c>
      <c r="D179" t="n">
        <v>24.76629829406738</v>
      </c>
      <c r="E179" t="n">
        <v>18.23502731323242</v>
      </c>
      <c r="F179" t="n">
        <v>0.004486314562180578</v>
      </c>
    </row>
    <row r="180">
      <c r="A180" s="81" t="n">
        <v>40118</v>
      </c>
      <c r="B180" t="n">
        <v/>
      </c>
      <c r="C180" t="n">
        <v/>
      </c>
      <c r="D180" t="n">
        <v>25.97491645812988</v>
      </c>
      <c r="E180" t="n">
        <v>19.15325355529785</v>
      </c>
      <c r="F180" t="n">
        <v/>
      </c>
    </row>
    <row r="181">
      <c r="A181" s="81" t="n">
        <v>40148</v>
      </c>
      <c r="B181" t="n">
        <v/>
      </c>
      <c r="C181" t="n">
        <v/>
      </c>
      <c r="D181" t="n">
        <v>25.5856990814209</v>
      </c>
      <c r="E181" t="n">
        <v>19.07085418701172</v>
      </c>
      <c r="F181" t="n">
        <v/>
      </c>
    </row>
    <row r="182">
      <c r="A182" s="81" t="n">
        <v>40179</v>
      </c>
      <c r="B182" t="n">
        <v/>
      </c>
      <c r="C182" t="n">
        <v/>
      </c>
      <c r="D182" t="n">
        <v>23.73918151855469</v>
      </c>
      <c r="E182" t="n">
        <v>18.37687683105469</v>
      </c>
      <c r="F182" t="n">
        <v>0.004224417870551574</v>
      </c>
    </row>
    <row r="183">
      <c r="A183" s="81" t="n">
        <v>40210</v>
      </c>
      <c r="B183" t="n">
        <v/>
      </c>
      <c r="C183" t="n">
        <v/>
      </c>
      <c r="D183" t="n">
        <v>23.03023529052734</v>
      </c>
      <c r="E183" t="n">
        <v>18.22204780578613</v>
      </c>
      <c r="F183" t="n">
        <v/>
      </c>
    </row>
    <row r="184">
      <c r="A184" s="81" t="n">
        <v>40238</v>
      </c>
      <c r="B184" t="n">
        <v/>
      </c>
      <c r="C184" t="n">
        <v/>
      </c>
      <c r="D184" t="n">
        <v>24.73031806945801</v>
      </c>
      <c r="E184" t="n">
        <v>19.37730598449707</v>
      </c>
      <c r="F184" t="n">
        <v/>
      </c>
    </row>
    <row r="185">
      <c r="A185" s="81" t="n">
        <v>40269</v>
      </c>
      <c r="B185" t="n">
        <v/>
      </c>
      <c r="C185" t="n">
        <v/>
      </c>
      <c r="D185" t="n">
        <v>23.50515556335449</v>
      </c>
      <c r="E185" t="n">
        <v>18.96046257019043</v>
      </c>
      <c r="F185" t="n">
        <v>0.009771795375652464</v>
      </c>
    </row>
    <row r="186">
      <c r="A186" s="81" t="n">
        <v>40299</v>
      </c>
      <c r="B186" t="n">
        <v/>
      </c>
      <c r="C186" t="n">
        <v/>
      </c>
      <c r="D186" t="n">
        <v>20.53861618041992</v>
      </c>
      <c r="E186" t="n">
        <v>16.87623977661133</v>
      </c>
      <c r="F186" t="n">
        <v/>
      </c>
    </row>
    <row r="187">
      <c r="A187" s="81" t="n">
        <v>40330</v>
      </c>
      <c r="B187" t="n">
        <v/>
      </c>
      <c r="C187" t="n">
        <v/>
      </c>
      <c r="D187" t="n">
        <v>19.65072441101074</v>
      </c>
      <c r="E187" t="n">
        <v>16.0068187713623</v>
      </c>
      <c r="F187" t="n">
        <v/>
      </c>
    </row>
    <row r="188">
      <c r="A188" s="81" t="n">
        <v>40360</v>
      </c>
      <c r="B188" t="n">
        <v/>
      </c>
      <c r="C188" t="n">
        <v/>
      </c>
      <c r="D188" t="n">
        <v>23.07383155822754</v>
      </c>
      <c r="E188" t="n">
        <v>18.65188407897949</v>
      </c>
      <c r="F188" t="n">
        <v>0.004211908034925885</v>
      </c>
    </row>
    <row r="189">
      <c r="A189" s="81" t="n">
        <v>40391</v>
      </c>
      <c r="B189" t="n">
        <v/>
      </c>
      <c r="C189" t="n">
        <v/>
      </c>
      <c r="D189" t="n">
        <v>21.4648494720459</v>
      </c>
      <c r="E189" t="n">
        <v>18.1307487487793</v>
      </c>
      <c r="F189" t="n">
        <v/>
      </c>
    </row>
    <row r="190">
      <c r="A190" s="81" t="n">
        <v>40422</v>
      </c>
      <c r="B190" t="n">
        <v/>
      </c>
      <c r="C190" t="n">
        <v/>
      </c>
      <c r="D190" t="n">
        <v>24.33150672912598</v>
      </c>
      <c r="E190" t="n">
        <v>19.82748031616211</v>
      </c>
      <c r="F190" t="n">
        <v/>
      </c>
    </row>
    <row r="191">
      <c r="A191" s="81" t="n">
        <v>40452</v>
      </c>
      <c r="B191" t="n">
        <v>53.7</v>
      </c>
      <c r="C191" t="n">
        <v>34.11561965942383</v>
      </c>
      <c r="D191" t="n">
        <v>25.80699157714844</v>
      </c>
      <c r="E191" t="n">
        <v>20.66372108459473</v>
      </c>
      <c r="F191" t="n">
        <v>0.005690758971687215</v>
      </c>
    </row>
    <row r="192">
      <c r="A192" s="81" t="n">
        <v>40483</v>
      </c>
      <c r="B192" t="n">
        <v>54</v>
      </c>
      <c r="C192" t="n">
        <v>33.36983108520508</v>
      </c>
      <c r="D192" t="n">
        <v>22.94735908508301</v>
      </c>
      <c r="E192" t="n">
        <v>19.58509063720703</v>
      </c>
      <c r="F192" t="n">
        <v/>
      </c>
    </row>
    <row r="193">
      <c r="A193" s="81" t="n">
        <v>40513</v>
      </c>
      <c r="B193" t="n">
        <v>54.9</v>
      </c>
      <c r="C193" t="n">
        <v>35.62239837646484</v>
      </c>
      <c r="D193" t="n">
        <v>24.78118324279785</v>
      </c>
      <c r="E193" t="n">
        <v>21.05154418945312</v>
      </c>
      <c r="F193" t="n">
        <v/>
      </c>
    </row>
    <row r="194">
      <c r="A194" s="81" t="n">
        <v>40544</v>
      </c>
      <c r="B194" t="n">
        <v>57.2</v>
      </c>
      <c r="C194" t="n">
        <v>36.35427856445312</v>
      </c>
      <c r="D194" t="n">
        <v>26.56990242004395</v>
      </c>
      <c r="E194" t="n">
        <v>21.49640464782715</v>
      </c>
      <c r="F194" t="n">
        <v>0.009168331517832294</v>
      </c>
    </row>
    <row r="195">
      <c r="A195" s="81" t="n">
        <v>40575</v>
      </c>
      <c r="B195" t="n">
        <v>58.2</v>
      </c>
      <c r="C195" t="n">
        <v>37.48386383056641</v>
      </c>
      <c r="D195" t="n">
        <v>27.34908103942871</v>
      </c>
      <c r="E195" t="n">
        <v>22.47574043273926</v>
      </c>
      <c r="F195" t="n">
        <v/>
      </c>
    </row>
    <row r="196">
      <c r="A196" s="81" t="n">
        <v>40603</v>
      </c>
      <c r="B196" t="n">
        <v>56</v>
      </c>
      <c r="C196" t="n">
        <v>37.16111755371094</v>
      </c>
      <c r="D196" t="n">
        <v>27.44116020202637</v>
      </c>
      <c r="E196" t="n">
        <v>21.92486572265625</v>
      </c>
      <c r="F196" t="n">
        <v/>
      </c>
    </row>
    <row r="197">
      <c r="A197" s="81" t="n">
        <v>40634</v>
      </c>
      <c r="B197" t="n">
        <v>55.5</v>
      </c>
      <c r="C197" t="n">
        <v>38.95156478881836</v>
      </c>
      <c r="D197" t="n">
        <v>29.62993621826172</v>
      </c>
      <c r="E197" t="n">
        <v>23.39386558532715</v>
      </c>
      <c r="F197" t="n">
        <v>-9.965826088783007e-05</v>
      </c>
    </row>
    <row r="198">
      <c r="A198" s="81" t="n">
        <v>40664</v>
      </c>
      <c r="B198" t="n">
        <v>53.1</v>
      </c>
      <c r="C198" t="n">
        <v>38.19082260131836</v>
      </c>
      <c r="D198" t="n">
        <v>28.2203369140625</v>
      </c>
      <c r="E198" t="n">
        <v>22.84299468994141</v>
      </c>
      <c r="F198" t="n">
        <v/>
      </c>
    </row>
    <row r="199">
      <c r="A199" s="81" t="n">
        <v>40695</v>
      </c>
      <c r="B199" t="n">
        <v>52.8</v>
      </c>
      <c r="C199" t="n">
        <v>37.07659530639648</v>
      </c>
      <c r="D199" t="n">
        <v>27.50490760803223</v>
      </c>
      <c r="E199" t="n">
        <v>21.80245018005371</v>
      </c>
      <c r="F199" t="n">
        <v/>
      </c>
    </row>
    <row r="200">
      <c r="A200" s="81" t="n">
        <v>40725</v>
      </c>
      <c r="B200" t="n">
        <v>50.9</v>
      </c>
      <c r="C200" t="n">
        <v>36.66292190551758</v>
      </c>
      <c r="D200" t="n">
        <v>26.00466537475586</v>
      </c>
      <c r="E200" t="n">
        <v>22.09196853637695</v>
      </c>
      <c r="F200" t="n">
        <v>0.001476905166807451</v>
      </c>
    </row>
    <row r="201">
      <c r="A201" s="81" t="n">
        <v>40756</v>
      </c>
      <c r="B201" t="n">
        <v>50.4</v>
      </c>
      <c r="C201" t="n">
        <v>33.96472549438477</v>
      </c>
      <c r="D201" t="n">
        <v>22.83195304870605</v>
      </c>
      <c r="E201" t="n">
        <v>20.3983325958252</v>
      </c>
      <c r="F201" t="n">
        <v/>
      </c>
    </row>
    <row r="202">
      <c r="A202" s="81" t="n">
        <v>40787</v>
      </c>
      <c r="B202" t="n">
        <v>50.1</v>
      </c>
      <c r="C202" t="n">
        <v>30.41895866394043</v>
      </c>
      <c r="D202" t="n">
        <v>19.78962707519531</v>
      </c>
      <c r="E202" t="n">
        <v>18.39337348937988</v>
      </c>
      <c r="F202" t="n">
        <v/>
      </c>
    </row>
    <row r="203">
      <c r="A203" s="81" t="n">
        <v>40817</v>
      </c>
      <c r="B203" t="n">
        <v>49.5</v>
      </c>
      <c r="C203" t="n">
        <v>33.8636474609375</v>
      </c>
      <c r="D203" t="n">
        <v>22.28868103027344</v>
      </c>
      <c r="E203" t="n">
        <v>20.77193450927734</v>
      </c>
      <c r="F203" t="n">
        <v>-0.004171690118232061</v>
      </c>
    </row>
    <row r="204">
      <c r="A204" s="81" t="n">
        <v>40848</v>
      </c>
      <c r="B204" t="n">
        <v>49.6</v>
      </c>
      <c r="C204" t="n">
        <v>33.47484970092773</v>
      </c>
      <c r="D204" t="n">
        <v>21.34700775146484</v>
      </c>
      <c r="E204" t="n">
        <v>20.43569946289062</v>
      </c>
      <c r="F204" t="n">
        <v/>
      </c>
    </row>
    <row r="205">
      <c r="A205" s="81" t="n">
        <v>40878</v>
      </c>
      <c r="B205" t="n">
        <v>50.4</v>
      </c>
      <c r="C205" t="n">
        <v>32.79057693481445</v>
      </c>
      <c r="D205" t="n">
        <v>20.20975494384766</v>
      </c>
      <c r="E205" t="n">
        <v>20.12436866760254</v>
      </c>
      <c r="F205" t="n">
        <v/>
      </c>
    </row>
    <row r="206">
      <c r="A206" s="81" t="n">
        <v>40909</v>
      </c>
      <c r="B206" t="n">
        <v>51</v>
      </c>
      <c r="C206" t="n">
        <v>34.97300338745117</v>
      </c>
      <c r="D206" t="n">
        <v>21.88925743103027</v>
      </c>
      <c r="E206" t="n">
        <v>21.08292770385742</v>
      </c>
      <c r="F206" t="n">
        <v>-0.002242048639614531</v>
      </c>
    </row>
    <row r="207">
      <c r="A207" s="81" t="n">
        <v>40940</v>
      </c>
      <c r="B207" t="n">
        <v>51.2</v>
      </c>
      <c r="C207" t="n">
        <v>36.70278167724609</v>
      </c>
      <c r="D207" t="n">
        <v>23.09107208251953</v>
      </c>
      <c r="E207" t="n">
        <v>22.15730094909668</v>
      </c>
      <c r="F207" t="n">
        <v/>
      </c>
    </row>
    <row r="208">
      <c r="A208" s="81" t="n">
        <v>40969</v>
      </c>
      <c r="B208" t="n">
        <v>51.6</v>
      </c>
      <c r="C208" t="n">
        <v>37.11162948608398</v>
      </c>
      <c r="D208" t="n">
        <v>23.12039566040039</v>
      </c>
      <c r="E208" t="n">
        <v>21.8665828704834</v>
      </c>
      <c r="F208" t="n">
        <v/>
      </c>
    </row>
    <row r="209">
      <c r="A209" s="81" t="n">
        <v>41000</v>
      </c>
      <c r="B209" t="n">
        <v>51.3</v>
      </c>
      <c r="C209" t="n">
        <v>36.68704986572266</v>
      </c>
      <c r="D209" t="n">
        <v>21.82330703735352</v>
      </c>
      <c r="E209" t="n">
        <v>22.18257522583008</v>
      </c>
      <c r="F209" t="n">
        <v>-0.002580713501773031</v>
      </c>
    </row>
    <row r="210">
      <c r="A210" s="81" t="n">
        <v>41030</v>
      </c>
      <c r="B210" t="n">
        <v>50.3</v>
      </c>
      <c r="C210" t="n">
        <v>33.28252792358398</v>
      </c>
      <c r="D210" t="n">
        <v>19.00928497314453</v>
      </c>
      <c r="E210" t="n">
        <v>19.65464401245117</v>
      </c>
      <c r="F210" t="n">
        <v/>
      </c>
    </row>
    <row r="211">
      <c r="A211" s="81" t="n">
        <v>41061</v>
      </c>
      <c r="B211" t="n">
        <v>49.7</v>
      </c>
      <c r="C211" t="n">
        <v>34.49336624145508</v>
      </c>
      <c r="D211" t="n">
        <v>20.11583709716797</v>
      </c>
      <c r="E211" t="n">
        <v>20.5899829864502</v>
      </c>
      <c r="F211" t="n">
        <v/>
      </c>
    </row>
    <row r="212">
      <c r="A212" s="81" t="n">
        <v>41091</v>
      </c>
      <c r="B212" t="n">
        <v>48.8</v>
      </c>
      <c r="C212" t="n">
        <v>35.2576904296875</v>
      </c>
      <c r="D212" t="n">
        <v>20.5038013458252</v>
      </c>
      <c r="E212" t="n">
        <v>21.25909042358398</v>
      </c>
      <c r="F212" t="n">
        <v>-0.0009242136875523573</v>
      </c>
    </row>
    <row r="213">
      <c r="A213" s="81" t="n">
        <v>41122</v>
      </c>
      <c r="B213" t="n">
        <v>48.7</v>
      </c>
      <c r="C213" t="n">
        <v>36.23818206787109</v>
      </c>
      <c r="D213" t="n">
        <v>21.86166763305664</v>
      </c>
      <c r="E213" t="n">
        <v>21.95781135559082</v>
      </c>
      <c r="F213" t="n">
        <v/>
      </c>
    </row>
    <row r="214">
      <c r="A214" s="81" t="n">
        <v>41153</v>
      </c>
      <c r="B214" t="n">
        <v>48.7</v>
      </c>
      <c r="C214" t="n">
        <v>37.21866607666016</v>
      </c>
      <c r="D214" t="n">
        <v>22.66884422302246</v>
      </c>
      <c r="E214" t="n">
        <v>22.51419448852539</v>
      </c>
      <c r="F214" t="n">
        <v/>
      </c>
    </row>
    <row r="215">
      <c r="A215" s="81" t="n">
        <v>41183</v>
      </c>
      <c r="B215" t="n">
        <v>48.9</v>
      </c>
      <c r="C215" t="n">
        <v>37.0273551940918</v>
      </c>
      <c r="D215" t="n">
        <v>23.24971771240234</v>
      </c>
      <c r="E215" t="n">
        <v>22.61770439147949</v>
      </c>
      <c r="F215" t="n">
        <v>-0.004532528382929973</v>
      </c>
    </row>
    <row r="216">
      <c r="A216" s="81" t="n">
        <v>41214</v>
      </c>
      <c r="B216" t="n">
        <v>49.6</v>
      </c>
      <c r="C216" t="n">
        <v>37.61723327636719</v>
      </c>
      <c r="D216" t="n">
        <v>24.04180526733398</v>
      </c>
      <c r="E216" t="n">
        <v>22.87649345397949</v>
      </c>
      <c r="F216" t="n">
        <v/>
      </c>
    </row>
    <row r="217">
      <c r="A217" s="81" t="n">
        <v>41244</v>
      </c>
      <c r="B217" t="n">
        <v>50</v>
      </c>
      <c r="C217" t="n">
        <v>38.32669067382812</v>
      </c>
      <c r="D217" t="n">
        <v>25.24125289916992</v>
      </c>
      <c r="E217" t="n">
        <v>23.21291160583496</v>
      </c>
      <c r="F217" t="n">
        <v/>
      </c>
    </row>
    <row r="218">
      <c r="A218" s="81" t="n">
        <v>41275</v>
      </c>
      <c r="B218" t="n">
        <v>51.5</v>
      </c>
      <c r="C218" t="n">
        <v>40.16693878173828</v>
      </c>
      <c r="D218" t="n">
        <v>26.28933715820312</v>
      </c>
      <c r="E218" t="n">
        <v>24.23861694335938</v>
      </c>
      <c r="F218" t="n">
        <v>-0.003425243311100511</v>
      </c>
    </row>
    <row r="219">
      <c r="A219" s="81" t="n">
        <v>41306</v>
      </c>
      <c r="B219" t="n">
        <v>50.9</v>
      </c>
      <c r="C219" t="n">
        <v>40.12668228149414</v>
      </c>
      <c r="D219" t="n">
        <v>25.07784843444824</v>
      </c>
      <c r="E219" t="n">
        <v>23.58245468139648</v>
      </c>
      <c r="F219" t="n">
        <v/>
      </c>
    </row>
    <row r="220">
      <c r="A220" s="81" t="n">
        <v>41334</v>
      </c>
      <c r="B220" t="n">
        <v>51.2</v>
      </c>
      <c r="C220" t="n">
        <v>40.85932540893555</v>
      </c>
      <c r="D220" t="n">
        <v>24.72197341918945</v>
      </c>
      <c r="E220" t="n">
        <v>23.97615432739258</v>
      </c>
      <c r="F220" t="n">
        <v/>
      </c>
    </row>
    <row r="221">
      <c r="A221" s="81" t="n">
        <v>41365</v>
      </c>
      <c r="B221" t="n">
        <v>50.4</v>
      </c>
      <c r="C221" t="n">
        <v>42.01868438720703</v>
      </c>
      <c r="D221" t="n">
        <v>26.14547157287598</v>
      </c>
      <c r="E221" t="n">
        <v>24.6585636138916</v>
      </c>
      <c r="F221" t="n">
        <v>0.005231817647473845</v>
      </c>
    </row>
    <row r="222">
      <c r="A222" s="81" t="n">
        <v>41395</v>
      </c>
      <c r="B222" t="n">
        <v>50.6</v>
      </c>
      <c r="C222" t="n">
        <v>41.85766983032227</v>
      </c>
      <c r="D222" t="n">
        <v>26.48620223999023</v>
      </c>
      <c r="E222" t="n">
        <v>24.63231468200684</v>
      </c>
      <c r="F222" t="n">
        <v/>
      </c>
    </row>
    <row r="223">
      <c r="A223" s="81" t="n">
        <v>41426</v>
      </c>
      <c r="B223" t="n">
        <v>50.6</v>
      </c>
      <c r="C223" t="n">
        <v>40.25549697875977</v>
      </c>
      <c r="D223" t="n">
        <v>24.5932502746582</v>
      </c>
      <c r="E223" t="n">
        <v>23.17563629150391</v>
      </c>
      <c r="F223" t="n">
        <v/>
      </c>
    </row>
    <row r="224">
      <c r="A224" s="81" t="n">
        <v>41456</v>
      </c>
      <c r="B224" t="n">
        <v>50.8</v>
      </c>
      <c r="C224" t="n">
        <v>42.6358642578125</v>
      </c>
      <c r="D224" t="n">
        <v>27.39898109436035</v>
      </c>
      <c r="E224" t="n">
        <v>25.02401733398438</v>
      </c>
      <c r="F224" t="n">
        <v>0.003132527455420391</v>
      </c>
    </row>
    <row r="225">
      <c r="A225" s="81" t="n">
        <v>41487</v>
      </c>
      <c r="B225" t="n">
        <v>51.6</v>
      </c>
      <c r="C225" t="n">
        <v>41.65740585327148</v>
      </c>
      <c r="D225" t="n">
        <v>26.90251159667969</v>
      </c>
      <c r="E225" t="n">
        <v>24.83756637573242</v>
      </c>
      <c r="F225" t="n">
        <v/>
      </c>
    </row>
    <row r="226">
      <c r="A226" s="81" t="n">
        <v>41518</v>
      </c>
      <c r="B226" t="n">
        <v>51.8</v>
      </c>
      <c r="C226" t="n">
        <v>43.96491622924805</v>
      </c>
      <c r="D226" t="n">
        <v>29.26850128173828</v>
      </c>
      <c r="E226" t="n">
        <v>26.1293888092041</v>
      </c>
      <c r="F226" t="n">
        <v/>
      </c>
    </row>
    <row r="227">
      <c r="A227" s="81" t="n">
        <v>41548</v>
      </c>
      <c r="B227" t="n">
        <v>52.1</v>
      </c>
      <c r="C227" t="n">
        <v>45.70166015625</v>
      </c>
      <c r="D227" t="n">
        <v>30.8587589263916</v>
      </c>
      <c r="E227" t="n">
        <v>27.10158538818359</v>
      </c>
      <c r="F227" t="n">
        <v>0.00296114945454502</v>
      </c>
    </row>
    <row r="228">
      <c r="A228" s="81" t="n">
        <v>41579</v>
      </c>
      <c r="B228" t="n">
        <v>53.1</v>
      </c>
      <c r="C228" t="n">
        <v>46.41103744506836</v>
      </c>
      <c r="D228" t="n">
        <v>31.30869102478027</v>
      </c>
      <c r="E228" t="n">
        <v>27.31466484069824</v>
      </c>
      <c r="F228" t="n">
        <v/>
      </c>
    </row>
    <row r="229">
      <c r="A229" s="81" t="n">
        <v>41609</v>
      </c>
      <c r="B229" t="n">
        <v>53.3</v>
      </c>
      <c r="C229" t="n">
        <v>46.98179626464844</v>
      </c>
      <c r="D229" t="n">
        <v>32.09993743896484</v>
      </c>
      <c r="E229" t="n">
        <v>27.80742454528809</v>
      </c>
      <c r="F229" t="n">
        <v/>
      </c>
    </row>
    <row r="230">
      <c r="A230" s="81" t="n">
        <v>41640</v>
      </c>
      <c r="B230" t="n">
        <v>52.9</v>
      </c>
      <c r="C230" t="n">
        <v>45.17627716064453</v>
      </c>
      <c r="D230" t="n">
        <v>30.56131744384766</v>
      </c>
      <c r="E230" t="n">
        <v>26.83438873291016</v>
      </c>
      <c r="F230" t="n">
        <v>0.004028343803498582</v>
      </c>
    </row>
    <row r="231">
      <c r="A231" s="81" t="n">
        <v>41671</v>
      </c>
      <c r="B231" t="n">
        <v>53.3</v>
      </c>
      <c r="C231" t="n">
        <v>47.52759170532227</v>
      </c>
      <c r="D231" t="n">
        <v>32.69367599487305</v>
      </c>
      <c r="E231" t="n">
        <v>28.65389823913574</v>
      </c>
      <c r="F231" t="n">
        <v/>
      </c>
    </row>
    <row r="232">
      <c r="A232" s="81" t="n">
        <v>41699</v>
      </c>
      <c r="B232" t="n">
        <v>52.4</v>
      </c>
      <c r="C232" t="n">
        <v>47.79889297485352</v>
      </c>
      <c r="D232" t="n">
        <v>32.89603042602539</v>
      </c>
      <c r="E232" t="n">
        <v>27.75088882446289</v>
      </c>
      <c r="F232" t="n">
        <v/>
      </c>
    </row>
    <row r="233">
      <c r="A233" s="81" t="n">
        <v>41730</v>
      </c>
      <c r="B233" t="n">
        <v>51.9</v>
      </c>
      <c r="C233" t="n">
        <v>48.36616897583008</v>
      </c>
      <c r="D233" t="n">
        <v>33.5030517578125</v>
      </c>
      <c r="E233" t="n">
        <v>29.00431823730469</v>
      </c>
      <c r="F233" t="n">
        <v>0.001981858688286125</v>
      </c>
    </row>
    <row r="234">
      <c r="A234" s="81" t="n">
        <v>41760</v>
      </c>
      <c r="B234" t="n">
        <v>52.2</v>
      </c>
      <c r="C234" t="n">
        <v>49.33628082275391</v>
      </c>
      <c r="D234" t="n">
        <v>33.78321075439453</v>
      </c>
      <c r="E234" t="n">
        <v>29.28735733032227</v>
      </c>
      <c r="F234" t="n">
        <v/>
      </c>
    </row>
    <row r="235">
      <c r="A235" s="81" t="n">
        <v>41791</v>
      </c>
      <c r="B235" t="n">
        <v>52.6</v>
      </c>
      <c r="C235" t="n">
        <v>49.54181289672852</v>
      </c>
      <c r="D235" t="n">
        <v>32.93493270874023</v>
      </c>
      <c r="E235" t="n">
        <v>28.14173316955566</v>
      </c>
      <c r="F235" t="n">
        <v/>
      </c>
    </row>
    <row r="236">
      <c r="A236" s="81" t="n">
        <v>41821</v>
      </c>
      <c r="B236" t="n">
        <v>52.5</v>
      </c>
      <c r="C236" t="n">
        <v>49.50807952880859</v>
      </c>
      <c r="D236" t="n">
        <v>31.5695858001709</v>
      </c>
      <c r="E236" t="n">
        <v>28.81668090820312</v>
      </c>
      <c r="F236" t="n">
        <v>0.004898375400129647</v>
      </c>
    </row>
    <row r="237">
      <c r="A237" s="81" t="n">
        <v>41852</v>
      </c>
      <c r="B237" t="n">
        <v>52.6</v>
      </c>
      <c r="C237" t="n">
        <v>50.78350830078125</v>
      </c>
      <c r="D237" t="n">
        <v>31.6251106262207</v>
      </c>
      <c r="E237" t="n">
        <v>29.04291534423828</v>
      </c>
      <c r="F237" t="n">
        <v/>
      </c>
    </row>
    <row r="238">
      <c r="A238" s="81" t="n">
        <v>41883</v>
      </c>
      <c r="B238" t="n">
        <v>52.2</v>
      </c>
      <c r="C238" t="n">
        <v>49.099609375</v>
      </c>
      <c r="D238" t="n">
        <v>30.53841972351074</v>
      </c>
      <c r="E238" t="n">
        <v>27.40270805358887</v>
      </c>
      <c r="F238" t="n">
        <v/>
      </c>
    </row>
    <row r="239">
      <c r="A239" s="81" t="n">
        <v>41913</v>
      </c>
      <c r="B239" t="n">
        <v>52.2</v>
      </c>
      <c r="C239" t="n">
        <v>49.69146347045898</v>
      </c>
      <c r="D239" t="n">
        <v>29.66589164733887</v>
      </c>
      <c r="E239" t="n">
        <v>26.87954711914062</v>
      </c>
      <c r="F239" t="n">
        <v>0.003463887995155454</v>
      </c>
    </row>
    <row r="240">
      <c r="A240" s="81" t="n">
        <v>41944</v>
      </c>
      <c r="B240" t="n">
        <v>51.8</v>
      </c>
      <c r="C240" t="n">
        <v>50.37503433227539</v>
      </c>
      <c r="D240" t="n">
        <v>30.8160457611084</v>
      </c>
      <c r="E240" t="n">
        <v>26.90782737731934</v>
      </c>
      <c r="F240" t="n">
        <v/>
      </c>
    </row>
    <row r="241">
      <c r="A241" s="81" t="n">
        <v>41974</v>
      </c>
      <c r="B241" t="n">
        <v>51.6</v>
      </c>
      <c r="C241" t="n">
        <v>48.76616287231445</v>
      </c>
      <c r="D241" t="n">
        <v>28.81717109680176</v>
      </c>
      <c r="E241" t="n">
        <v>25.49385833740234</v>
      </c>
      <c r="F241" t="n">
        <v/>
      </c>
    </row>
    <row r="242">
      <c r="A242" s="81" t="n">
        <v>42005</v>
      </c>
      <c r="B242" t="n">
        <v>51.7</v>
      </c>
      <c r="C242" t="n">
        <v>48.53993225097656</v>
      </c>
      <c r="D242" t="n">
        <v>29.30595397949219</v>
      </c>
      <c r="E242" t="n">
        <v>26.01786804199219</v>
      </c>
      <c r="F242" t="n">
        <v>0.006379504912732756</v>
      </c>
    </row>
    <row r="243">
      <c r="A243" s="81" t="n">
        <v>42036</v>
      </c>
      <c r="B243" t="n">
        <v>52</v>
      </c>
      <c r="C243" t="n">
        <v>51.21371078491211</v>
      </c>
      <c r="D243" t="n">
        <v>31.12758636474609</v>
      </c>
      <c r="E243" t="n">
        <v>27.54663276672363</v>
      </c>
      <c r="F243" t="n">
        <v/>
      </c>
    </row>
    <row r="244">
      <c r="A244" s="81" t="n">
        <v>42064</v>
      </c>
      <c r="B244" t="n">
        <v>51.8</v>
      </c>
      <c r="C244" t="n">
        <v>50.46538543701172</v>
      </c>
      <c r="D244" t="n">
        <v>30.82398986816406</v>
      </c>
      <c r="E244" t="n">
        <v>25.97459983825684</v>
      </c>
      <c r="F244" t="n">
        <v/>
      </c>
    </row>
    <row r="245">
      <c r="A245" s="81" t="n">
        <v>42095</v>
      </c>
      <c r="B245" t="n">
        <v>51</v>
      </c>
      <c r="C245" t="n">
        <v>51.91157913208008</v>
      </c>
      <c r="D245" t="n">
        <v>31.5110912322998</v>
      </c>
      <c r="E245" t="n">
        <v>27.70528030395508</v>
      </c>
      <c r="F245" t="n">
        <v>0.004682835875476857</v>
      </c>
    </row>
    <row r="246">
      <c r="A246" s="81" t="n">
        <v>42125</v>
      </c>
      <c r="B246" t="n">
        <v>51.2</v>
      </c>
      <c r="C246" t="n">
        <v>51.91157913208008</v>
      </c>
      <c r="D246" t="n">
        <v>31.31134796142578</v>
      </c>
      <c r="E246" t="n">
        <v>27.87834358215332</v>
      </c>
      <c r="F246" t="n">
        <v/>
      </c>
    </row>
    <row r="247">
      <c r="A247" s="81" t="n">
        <v>42156</v>
      </c>
      <c r="B247" t="n">
        <v>51</v>
      </c>
      <c r="C247" t="n">
        <v>49.98612594604492</v>
      </c>
      <c r="D247" t="n">
        <v>29.99306678771973</v>
      </c>
      <c r="E247" t="n">
        <v>26.32073783874512</v>
      </c>
      <c r="F247" t="n">
        <v/>
      </c>
    </row>
    <row r="248">
      <c r="A248" s="81" t="n">
        <v>42186</v>
      </c>
      <c r="B248" t="n">
        <v>51</v>
      </c>
      <c r="C248" t="n">
        <v>50.98995590209961</v>
      </c>
      <c r="D248" t="n">
        <v>31.45451545715332</v>
      </c>
      <c r="E248" t="n">
        <v>27.22647476196289</v>
      </c>
      <c r="F248" t="n">
        <v>0.004200643080782736</v>
      </c>
    </row>
    <row r="249">
      <c r="A249" s="81" t="n">
        <v>42217</v>
      </c>
      <c r="B249" t="n">
        <v>50.7</v>
      </c>
      <c r="C249" t="n">
        <v>47.51916885375977</v>
      </c>
      <c r="D249" t="n">
        <v>29.28383255004883</v>
      </c>
      <c r="E249" t="n">
        <v>25.05304908752441</v>
      </c>
      <c r="F249" t="n">
        <v/>
      </c>
    </row>
    <row r="250">
      <c r="A250" s="81" t="n">
        <v>42248</v>
      </c>
      <c r="B250" t="n">
        <v>50.6</v>
      </c>
      <c r="C250" t="n">
        <v>45.88584899902344</v>
      </c>
      <c r="D250" t="n">
        <v>27.91801834106445</v>
      </c>
      <c r="E250" t="n">
        <v>24.06913757324219</v>
      </c>
      <c r="F250" t="n">
        <v/>
      </c>
    </row>
    <row r="251">
      <c r="A251" s="81" t="n">
        <v>42278</v>
      </c>
      <c r="B251" t="n">
        <v>51.4</v>
      </c>
      <c r="C251" t="n">
        <v>49.3991813659668</v>
      </c>
      <c r="D251" t="n">
        <v>29.9586181640625</v>
      </c>
      <c r="E251" t="n">
        <v>25.6551513671875</v>
      </c>
      <c r="F251" t="n">
        <v>0.004600432197693015</v>
      </c>
    </row>
    <row r="252">
      <c r="A252" s="81" t="n">
        <v>42309</v>
      </c>
      <c r="B252" t="n">
        <v>51.2</v>
      </c>
      <c r="C252" t="n">
        <v>49.13546752929688</v>
      </c>
      <c r="D252" t="n">
        <v>29.72285079956055</v>
      </c>
      <c r="E252" t="n">
        <v>25.22927474975586</v>
      </c>
      <c r="F252" t="n">
        <v/>
      </c>
    </row>
    <row r="253">
      <c r="A253" s="81" t="n">
        <v>42339</v>
      </c>
      <c r="B253" t="n">
        <v>50.9</v>
      </c>
      <c r="C253" t="n">
        <v>47.48514175415039</v>
      </c>
      <c r="D253" t="n">
        <v>28.48711013793945</v>
      </c>
      <c r="E253" t="n">
        <v>23.7020092010498</v>
      </c>
      <c r="F253" t="n">
        <v/>
      </c>
    </row>
    <row r="254">
      <c r="A254" s="81" t="n">
        <v>42370</v>
      </c>
      <c r="B254" t="n">
        <v>50.9</v>
      </c>
      <c r="C254" t="n">
        <v>45.55012512207031</v>
      </c>
      <c r="D254" t="n">
        <v>27.05070877075195</v>
      </c>
      <c r="E254" t="n">
        <v>23.00987434387207</v>
      </c>
      <c r="F254" t="n">
        <v>0.005563206227500376</v>
      </c>
    </row>
    <row r="255">
      <c r="A255" s="81" t="n">
        <v>42401</v>
      </c>
      <c r="B255" t="n">
        <v>50</v>
      </c>
      <c r="C255" t="n">
        <v>44.98138809204102</v>
      </c>
      <c r="D255" t="n">
        <v>25.91001510620117</v>
      </c>
      <c r="E255" t="n">
        <v>22.29081344604492</v>
      </c>
      <c r="F255" t="n">
        <v/>
      </c>
    </row>
    <row r="256">
      <c r="A256" s="81" t="n">
        <v>42430</v>
      </c>
      <c r="B256" t="n">
        <v>50.5</v>
      </c>
      <c r="C256" t="n">
        <v>48.30759811401367</v>
      </c>
      <c r="D256" t="n">
        <v>28.02029228210449</v>
      </c>
      <c r="E256" t="n">
        <v>23.4892463684082</v>
      </c>
      <c r="F256" t="n">
        <v/>
      </c>
    </row>
    <row r="257">
      <c r="A257" s="81" t="n">
        <v>42461</v>
      </c>
      <c r="B257" t="n">
        <v>50.1</v>
      </c>
      <c r="C257" t="n">
        <v>48.95388412475586</v>
      </c>
      <c r="D257" t="n">
        <v>28.73730087280273</v>
      </c>
      <c r="E257" t="n">
        <v>24.43301010131836</v>
      </c>
      <c r="F257" t="n">
        <v>0.002168733856990297</v>
      </c>
    </row>
    <row r="258">
      <c r="A258" s="81" t="n">
        <v>42491</v>
      </c>
      <c r="B258" t="n">
        <v>50</v>
      </c>
      <c r="C258" t="n">
        <v>49.11762237548828</v>
      </c>
      <c r="D258" t="n">
        <v>27.69438171386719</v>
      </c>
      <c r="E258" t="n">
        <v>24.14838218688965</v>
      </c>
      <c r="F258" t="n">
        <v/>
      </c>
    </row>
    <row r="259">
      <c r="A259" s="81" t="n">
        <v>42522</v>
      </c>
      <c r="B259" t="n">
        <v>50.9</v>
      </c>
      <c r="C259" t="n">
        <v>48.4540901184082</v>
      </c>
      <c r="D259" t="n">
        <v>26.2929630279541</v>
      </c>
      <c r="E259" t="n">
        <v>23.02485084533691</v>
      </c>
      <c r="F259" t="n">
        <v/>
      </c>
    </row>
    <row r="260">
      <c r="A260" s="81" t="n">
        <v>42552</v>
      </c>
      <c r="B260" t="n">
        <v>51</v>
      </c>
      <c r="C260" t="n">
        <v>50.94413375854492</v>
      </c>
      <c r="D260" t="n">
        <v>28.25007438659668</v>
      </c>
      <c r="E260" t="n">
        <v>23.95100784301758</v>
      </c>
      <c r="F260" t="n">
        <v>0.004968247105608514</v>
      </c>
    </row>
    <row r="261">
      <c r="A261" s="81" t="n">
        <v>42583</v>
      </c>
      <c r="B261" t="n">
        <v>50.9</v>
      </c>
      <c r="C261" t="n">
        <v>51.11874389648438</v>
      </c>
      <c r="D261" t="n">
        <v>28.56739616394043</v>
      </c>
      <c r="E261" t="n">
        <v>24.21201324462891</v>
      </c>
      <c r="F261" t="n">
        <v/>
      </c>
    </row>
    <row r="262">
      <c r="A262" s="81" t="n">
        <v>42614</v>
      </c>
      <c r="B262" t="n">
        <v>51</v>
      </c>
      <c r="C262" t="n">
        <v>51.59893798828125</v>
      </c>
      <c r="D262" t="n">
        <v>28.80121994018555</v>
      </c>
      <c r="E262" t="n">
        <v>24.31948471069336</v>
      </c>
      <c r="F262" t="n">
        <v/>
      </c>
    </row>
    <row r="263">
      <c r="A263" s="81" t="n">
        <v>42644</v>
      </c>
      <c r="B263" t="n">
        <v>52</v>
      </c>
      <c r="C263" t="n">
        <v>50.61236572265625</v>
      </c>
      <c r="D263" t="n">
        <v>28.50894165039062</v>
      </c>
      <c r="E263" t="n">
        <v>23.02981567382812</v>
      </c>
      <c r="F263" t="n">
        <v>0.007590691899066043</v>
      </c>
    </row>
    <row r="264">
      <c r="A264" s="81" t="n">
        <v>42675</v>
      </c>
      <c r="B264" t="n">
        <v>52.1</v>
      </c>
      <c r="C264" t="n">
        <v>51.13620758056641</v>
      </c>
      <c r="D264" t="n">
        <v>27.37326622009277</v>
      </c>
      <c r="E264" t="n">
        <v>23.07587432861328</v>
      </c>
      <c r="F264" t="n">
        <v/>
      </c>
    </row>
    <row r="265">
      <c r="A265" s="81" t="n">
        <v>42705</v>
      </c>
      <c r="B265" t="n">
        <v>52.7</v>
      </c>
      <c r="C265" t="n">
        <v>51.66005325317383</v>
      </c>
      <c r="D265" t="n">
        <v>28.8930721282959</v>
      </c>
      <c r="E265" t="n">
        <v>23.55949783325195</v>
      </c>
      <c r="F265" t="n">
        <v/>
      </c>
    </row>
    <row r="266">
      <c r="A266" s="81" t="n">
        <v>42736</v>
      </c>
      <c r="B266" t="n">
        <v>52.7</v>
      </c>
      <c r="C266" t="n">
        <v>53.65527725219727</v>
      </c>
      <c r="D266" t="n">
        <v>29.70386123657227</v>
      </c>
      <c r="E266" t="n">
        <v>24.47720909118652</v>
      </c>
      <c r="F266" t="n">
        <v>0.006640912637251553</v>
      </c>
    </row>
    <row r="267">
      <c r="A267" s="81" t="n">
        <v>42767</v>
      </c>
      <c r="B267" t="n">
        <v>53</v>
      </c>
      <c r="C267" t="n">
        <v>55.00349426269531</v>
      </c>
      <c r="D267" t="n">
        <v>29.76269340515137</v>
      </c>
      <c r="E267" t="n">
        <v>24.83521842956543</v>
      </c>
      <c r="F267" t="n">
        <v/>
      </c>
    </row>
    <row r="268">
      <c r="A268" s="81" t="n">
        <v>42795</v>
      </c>
      <c r="B268" t="n">
        <v>53</v>
      </c>
      <c r="C268" t="n">
        <v>55.74369049072266</v>
      </c>
      <c r="D268" t="n">
        <v>31.60343170166016</v>
      </c>
      <c r="E268" t="n">
        <v>25.33332443237305</v>
      </c>
      <c r="F268" t="n">
        <v/>
      </c>
    </row>
    <row r="269">
      <c r="A269" s="81" t="n">
        <v>42826</v>
      </c>
      <c r="B269" t="n">
        <v>52.7</v>
      </c>
      <c r="C269" t="n">
        <v>56.64249801635742</v>
      </c>
      <c r="D269" t="n">
        <v>32.98187255859375</v>
      </c>
      <c r="E269" t="n">
        <v>25.76138114929199</v>
      </c>
      <c r="F269" t="n">
        <v>0.007982111951495924</v>
      </c>
    </row>
    <row r="270">
      <c r="A270" s="81" t="n">
        <v>42856</v>
      </c>
      <c r="B270" t="n">
        <v>52.6</v>
      </c>
      <c r="C270" t="n">
        <v>57.89377975463867</v>
      </c>
      <c r="D270" t="n">
        <v>34.61247634887695</v>
      </c>
      <c r="E270" t="n">
        <v>26.93660354614258</v>
      </c>
      <c r="F270" t="n">
        <v/>
      </c>
    </row>
    <row r="271">
      <c r="A271" s="81" t="n">
        <v>42887</v>
      </c>
      <c r="B271" t="n">
        <v>52.6</v>
      </c>
      <c r="C271" t="n">
        <v>57.70872497558594</v>
      </c>
      <c r="D271" t="n">
        <v>33.89803695678711</v>
      </c>
      <c r="E271" t="n">
        <v>25.94039535522461</v>
      </c>
      <c r="F271" t="n">
        <v/>
      </c>
    </row>
    <row r="272">
      <c r="A272" s="81" t="n">
        <v>42917</v>
      </c>
      <c r="B272" t="n">
        <v>52.8</v>
      </c>
      <c r="C272" t="n">
        <v>59.94430160522461</v>
      </c>
      <c r="D272" t="n">
        <v>35.53690338134766</v>
      </c>
      <c r="E272" t="n">
        <v>27.14095687866211</v>
      </c>
      <c r="F272" t="n">
        <v>0.007905002442556971</v>
      </c>
    </row>
    <row r="273">
      <c r="A273" s="81" t="n">
        <v>42948</v>
      </c>
      <c r="B273" t="n">
        <v>53.2</v>
      </c>
      <c r="C273" t="n">
        <v>60.18486785888672</v>
      </c>
      <c r="D273" t="n">
        <v>35.70762634277344</v>
      </c>
      <c r="E273" t="n">
        <v>26.91823387145996</v>
      </c>
      <c r="F273" t="n">
        <v/>
      </c>
    </row>
    <row r="274">
      <c r="A274" s="81" t="n">
        <v>42979</v>
      </c>
      <c r="B274" t="n">
        <v>53.3</v>
      </c>
      <c r="C274" t="n">
        <v>61.31638717651367</v>
      </c>
      <c r="D274" t="n">
        <v>36.97954177856445</v>
      </c>
      <c r="E274" t="n">
        <v>27.72164154052734</v>
      </c>
      <c r="F274" t="n">
        <v/>
      </c>
    </row>
    <row r="275">
      <c r="A275" s="81" t="n">
        <v>43009</v>
      </c>
      <c r="B275" t="n">
        <v>53.5</v>
      </c>
      <c r="C275" t="n">
        <v>62.63502883911133</v>
      </c>
      <c r="D275" t="n">
        <v>37.41490936279297</v>
      </c>
      <c r="E275" t="n">
        <v>27.8886890411377</v>
      </c>
      <c r="F275" t="n">
        <v>0.008034309365971229</v>
      </c>
    </row>
    <row r="276">
      <c r="A276" s="81" t="n">
        <v>43040</v>
      </c>
      <c r="B276" t="n">
        <v>54.1</v>
      </c>
      <c r="C276" t="n">
        <v>63.90019226074219</v>
      </c>
      <c r="D276" t="n">
        <v>37.32100296020508</v>
      </c>
      <c r="E276" t="n">
        <v>27.85686683654785</v>
      </c>
      <c r="F276" t="n">
        <v/>
      </c>
    </row>
    <row r="277">
      <c r="A277" s="81" t="n">
        <v>43070</v>
      </c>
      <c r="B277" t="n">
        <v>54.5</v>
      </c>
      <c r="C277" t="n">
        <v>64.22985076904297</v>
      </c>
      <c r="D277" t="n">
        <v>37.03076553344727</v>
      </c>
      <c r="E277" t="n">
        <v>28.49323654174805</v>
      </c>
      <c r="F277" t="n">
        <v/>
      </c>
    </row>
    <row r="278">
      <c r="A278" s="81" t="n">
        <v>43101</v>
      </c>
      <c r="B278" t="n">
        <v>54.4</v>
      </c>
      <c r="C278" t="n">
        <v>68.52288055419922</v>
      </c>
      <c r="D278" t="n">
        <v>39.79930114746094</v>
      </c>
      <c r="E278" t="n">
        <v>30.11660766601562</v>
      </c>
      <c r="F278" t="n">
        <v>-0.0001279688789441515</v>
      </c>
    </row>
    <row r="279">
      <c r="A279" s="81" t="n">
        <v>43132</v>
      </c>
      <c r="B279" t="n">
        <v>54.1</v>
      </c>
      <c r="C279" t="n">
        <v>65.45645904541016</v>
      </c>
      <c r="D279" t="n">
        <v>37.41579437255859</v>
      </c>
      <c r="E279" t="n">
        <v>28.09856796264648</v>
      </c>
      <c r="F279" t="n">
        <v/>
      </c>
    </row>
    <row r="280">
      <c r="A280" s="81" t="n">
        <v>43160</v>
      </c>
      <c r="B280" t="n">
        <v>53.3</v>
      </c>
      <c r="C280" t="n">
        <v>64.47626495361328</v>
      </c>
      <c r="D280" t="n">
        <v>37.16715621948242</v>
      </c>
      <c r="E280" t="n">
        <v>28.16341018676758</v>
      </c>
      <c r="F280" t="n">
        <v/>
      </c>
    </row>
    <row r="281">
      <c r="A281" s="81" t="n">
        <v>43191</v>
      </c>
      <c r="B281" t="n">
        <v>53.5</v>
      </c>
      <c r="C281" t="n">
        <v>64.73704528808594</v>
      </c>
      <c r="D281" t="n">
        <v>38.00738525390625</v>
      </c>
      <c r="E281" t="n">
        <v>29.37909317016602</v>
      </c>
      <c r="F281" t="n">
        <v>0.005361126334292888</v>
      </c>
    </row>
    <row r="282">
      <c r="A282" s="81" t="n">
        <v>43221</v>
      </c>
      <c r="B282" t="n">
        <v>53.1</v>
      </c>
      <c r="C282" t="n">
        <v>65.04280853271484</v>
      </c>
      <c r="D282" t="n">
        <v>36.64416122436523</v>
      </c>
      <c r="E282" t="n">
        <v>29.20079040527344</v>
      </c>
      <c r="F282" t="n">
        <v/>
      </c>
    </row>
    <row r="283">
      <c r="A283" s="81" t="n">
        <v>43252</v>
      </c>
      <c r="B283" t="n">
        <v>53</v>
      </c>
      <c r="C283" t="n">
        <v>63.9547004699707</v>
      </c>
      <c r="D283" t="n">
        <v>35.1609001159668</v>
      </c>
      <c r="E283" t="n">
        <v>28.18771743774414</v>
      </c>
      <c r="F283" t="n">
        <v/>
      </c>
    </row>
    <row r="284">
      <c r="A284" s="81" t="n">
        <v>43282</v>
      </c>
      <c r="B284" t="n">
        <v>52.8</v>
      </c>
      <c r="C284" t="n">
        <v>66.64415740966797</v>
      </c>
      <c r="D284" t="n">
        <v>37.38928985595703</v>
      </c>
      <c r="E284" t="n">
        <v>29.12759399414062</v>
      </c>
      <c r="F284" t="n">
        <v>0.0002629078962936583</v>
      </c>
    </row>
    <row r="285">
      <c r="A285" s="81" t="n">
        <v>43313</v>
      </c>
      <c r="B285" t="n">
        <v>52.6</v>
      </c>
      <c r="C285" t="n">
        <v>67.10784912109375</v>
      </c>
      <c r="D285" t="n">
        <v>36.20358657836914</v>
      </c>
      <c r="E285" t="n">
        <v>27.84999847412109</v>
      </c>
      <c r="F285" t="n">
        <v/>
      </c>
    </row>
    <row r="286">
      <c r="A286" s="81" t="n">
        <v>43344</v>
      </c>
      <c r="B286" t="n">
        <v>52.2</v>
      </c>
      <c r="C286" t="n">
        <v>67.51699066162109</v>
      </c>
      <c r="D286" t="n">
        <v>36.01913452148438</v>
      </c>
      <c r="E286" t="n">
        <v>28.30628395080566</v>
      </c>
      <c r="F286" t="n">
        <v/>
      </c>
    </row>
    <row r="287">
      <c r="A287" s="81" t="n">
        <v>43374</v>
      </c>
      <c r="B287" t="n">
        <v>52</v>
      </c>
      <c r="C287" t="n">
        <v>62.49822235107422</v>
      </c>
      <c r="D287" t="n">
        <v>32.82212066650391</v>
      </c>
      <c r="E287" t="n">
        <v>26.38988494873047</v>
      </c>
      <c r="F287" t="n">
        <v>0.006369340087778682</v>
      </c>
    </row>
    <row r="288">
      <c r="A288" s="81" t="n">
        <v>43405</v>
      </c>
      <c r="B288" t="n">
        <v>52</v>
      </c>
      <c r="C288" t="n">
        <v>63.48922729492188</v>
      </c>
      <c r="D288" t="n">
        <v>32.70794677734375</v>
      </c>
      <c r="E288" t="n">
        <v>26.07463645935059</v>
      </c>
      <c r="F288" t="n">
        <v/>
      </c>
    </row>
    <row r="289">
      <c r="A289" s="81" t="n">
        <v>43435</v>
      </c>
      <c r="B289" t="n">
        <v>51.5</v>
      </c>
      <c r="C289" t="n">
        <v>58.33409118652344</v>
      </c>
      <c r="D289" t="n">
        <v>30.79324722290039</v>
      </c>
      <c r="E289" t="n">
        <v>24.34904289245605</v>
      </c>
      <c r="F289" t="n">
        <v/>
      </c>
    </row>
    <row r="290">
      <c r="A290" s="81" t="n">
        <v>43466</v>
      </c>
      <c r="B290" t="n">
        <v>50.7</v>
      </c>
      <c r="C290" t="n">
        <v>63.64948272705078</v>
      </c>
      <c r="D290" t="n">
        <v>32.98284530639648</v>
      </c>
      <c r="E290" t="n">
        <v>26.69406127929688</v>
      </c>
      <c r="F290" t="n">
        <v>0.006232881203209539</v>
      </c>
    </row>
    <row r="291">
      <c r="A291" s="81" t="n">
        <v>43497</v>
      </c>
      <c r="B291" t="n">
        <v>50.6</v>
      </c>
      <c r="C291" t="n">
        <v>65.21959686279297</v>
      </c>
      <c r="D291" t="n">
        <v>34.01604461669922</v>
      </c>
      <c r="E291" t="n">
        <v>27.60957717895508</v>
      </c>
      <c r="F291" t="n">
        <v/>
      </c>
    </row>
    <row r="292">
      <c r="A292" s="81" t="n">
        <v>43525</v>
      </c>
      <c r="B292" t="n">
        <v>50.5</v>
      </c>
      <c r="C292" t="n">
        <v>66.24797058105469</v>
      </c>
      <c r="D292" t="n">
        <v>34.0866813659668</v>
      </c>
      <c r="E292" t="n">
        <v>27.98256683349609</v>
      </c>
      <c r="F292" t="n">
        <v/>
      </c>
    </row>
    <row r="293">
      <c r="A293" s="81" t="n">
        <v>43556</v>
      </c>
      <c r="B293" t="n">
        <v>50.4</v>
      </c>
      <c r="C293" t="n">
        <v>68.51592254638672</v>
      </c>
      <c r="D293" t="n">
        <v>35.79102325439453</v>
      </c>
      <c r="E293" t="n">
        <v>28.61833763122559</v>
      </c>
      <c r="F293" t="n">
        <v>0.003085571519203912</v>
      </c>
    </row>
    <row r="294">
      <c r="A294" s="81" t="n">
        <v>43586</v>
      </c>
      <c r="B294" t="n">
        <v>49.8</v>
      </c>
      <c r="C294" t="n">
        <v>64.35649108886719</v>
      </c>
      <c r="D294" t="n">
        <v>33.48618698120117</v>
      </c>
      <c r="E294" t="n">
        <v>26.86360168457031</v>
      </c>
      <c r="F294" t="n">
        <v/>
      </c>
    </row>
    <row r="295">
      <c r="A295" s="81" t="n">
        <v>43617</v>
      </c>
      <c r="B295" t="n">
        <v>49.4</v>
      </c>
      <c r="C295" t="n">
        <v>67.68036651611328</v>
      </c>
      <c r="D295" t="n">
        <v>34.93444442749023</v>
      </c>
      <c r="E295" t="n">
        <v>27.39765357971191</v>
      </c>
      <c r="F295" t="n">
        <v/>
      </c>
    </row>
    <row r="296">
      <c r="A296" s="81" t="n">
        <v>43647</v>
      </c>
      <c r="B296" t="n">
        <v>49.3</v>
      </c>
      <c r="C296" t="n">
        <v>68.58000183105469</v>
      </c>
      <c r="D296" t="n">
        <v>34.89898681640625</v>
      </c>
      <c r="E296" t="n">
        <v>27.42026710510254</v>
      </c>
      <c r="F296" t="n">
        <v>0.002371516607612402</v>
      </c>
    </row>
    <row r="297">
      <c r="A297" s="81" t="n">
        <v>43678</v>
      </c>
      <c r="B297" t="n">
        <v>49.5</v>
      </c>
      <c r="C297" t="n">
        <v>67.06446075439453</v>
      </c>
      <c r="D297" t="n">
        <v>34.37310028076172</v>
      </c>
      <c r="E297" t="n">
        <v>26.37700653076172</v>
      </c>
      <c r="F297" t="n">
        <v/>
      </c>
    </row>
    <row r="298">
      <c r="A298" s="81" t="n">
        <v>43709</v>
      </c>
      <c r="B298" t="n">
        <v>49.7</v>
      </c>
      <c r="C298" t="n">
        <v>68.57069396972656</v>
      </c>
      <c r="D298" t="n">
        <v>35.26166915893555</v>
      </c>
      <c r="E298" t="n">
        <v>27.32463455200195</v>
      </c>
      <c r="F298" t="n">
        <v/>
      </c>
    </row>
    <row r="299">
      <c r="A299" s="81" t="n">
        <v>43739</v>
      </c>
      <c r="B299" t="n">
        <v>49.8</v>
      </c>
      <c r="C299" t="n">
        <v>70.44883728027344</v>
      </c>
      <c r="D299" t="n">
        <v>36.64892196655273</v>
      </c>
      <c r="E299" t="n">
        <v>28.28095245361328</v>
      </c>
      <c r="F299" t="n">
        <v>-0.0001290175991023759</v>
      </c>
    </row>
    <row r="300">
      <c r="A300" s="81" t="n">
        <v>43770</v>
      </c>
      <c r="B300" t="n">
        <v>50.3</v>
      </c>
      <c r="C300" t="n">
        <v>72.09452819824219</v>
      </c>
      <c r="D300" t="n">
        <v>36.98440170288086</v>
      </c>
      <c r="E300" t="n">
        <v>28.62870788574219</v>
      </c>
      <c r="F300" t="n">
        <v/>
      </c>
    </row>
    <row r="301">
      <c r="A301" s="81" t="n">
        <v>43800</v>
      </c>
      <c r="B301" t="n">
        <v>50.1</v>
      </c>
      <c r="C301" t="n">
        <v>73.68444061279297</v>
      </c>
      <c r="D301" t="n">
        <v>38.00897598266602</v>
      </c>
      <c r="E301" t="n">
        <v>29.6458797454834</v>
      </c>
      <c r="F301" t="n">
        <v/>
      </c>
    </row>
    <row r="302">
      <c r="A302" s="81" t="n">
        <v>43831</v>
      </c>
      <c r="B302" t="n">
        <v>50.4</v>
      </c>
      <c r="C302" t="n">
        <v>73.50322723388672</v>
      </c>
      <c r="D302" t="n">
        <v>36.85421752929688</v>
      </c>
      <c r="E302" t="n">
        <v>28.88395690917969</v>
      </c>
      <c r="F302" t="n">
        <v>-0.03290302558876439</v>
      </c>
    </row>
    <row r="303">
      <c r="A303" s="81" t="n">
        <v>43862</v>
      </c>
      <c r="B303" t="n">
        <v>47.1</v>
      </c>
      <c r="C303" t="n">
        <v>67.99823760986328</v>
      </c>
      <c r="D303" t="n">
        <v>34.13203811645508</v>
      </c>
      <c r="E303" t="n">
        <v>25.92830467224121</v>
      </c>
      <c r="F303" t="n">
        <v/>
      </c>
    </row>
    <row r="304">
      <c r="A304" s="81" t="n">
        <v>43891</v>
      </c>
      <c r="B304" t="n">
        <v>47.3</v>
      </c>
      <c r="C304" t="n">
        <v>58.87974166870117</v>
      </c>
      <c r="D304" t="n">
        <v>27.7772331237793</v>
      </c>
      <c r="E304" t="n">
        <v>21.13201332092285</v>
      </c>
      <c r="F304" t="n">
        <v/>
      </c>
    </row>
    <row r="305">
      <c r="A305" s="81" t="n">
        <v>43922</v>
      </c>
      <c r="B305" t="n">
        <v>39.6</v>
      </c>
      <c r="C305" t="n">
        <v>64.66701507568359</v>
      </c>
      <c r="D305" t="n">
        <v>29.48884201049805</v>
      </c>
      <c r="E305" t="n">
        <v>22.3443603515625</v>
      </c>
      <c r="F305" t="n">
        <v>-0.1137882245154658</v>
      </c>
    </row>
    <row r="306">
      <c r="A306" s="81" t="n">
        <v>43952</v>
      </c>
      <c r="B306" t="n">
        <v>42.4</v>
      </c>
      <c r="C306" t="n">
        <v>67.96059417724609</v>
      </c>
      <c r="D306" t="n">
        <v>31.66476821899414</v>
      </c>
      <c r="E306" t="n">
        <v>22.76912307739258</v>
      </c>
      <c r="F306" t="n">
        <v/>
      </c>
    </row>
    <row r="307">
      <c r="A307" s="81" t="n">
        <v>43983</v>
      </c>
      <c r="B307" t="n">
        <v>47.8</v>
      </c>
      <c r="C307" t="n">
        <v>69.37213134765625</v>
      </c>
      <c r="D307" t="n">
        <v>33.21250534057617</v>
      </c>
      <c r="E307" t="n">
        <v>22.79567337036133</v>
      </c>
      <c r="F307" t="n">
        <v/>
      </c>
    </row>
    <row r="308">
      <c r="A308" s="81" t="n">
        <v>44013</v>
      </c>
      <c r="B308" t="n">
        <v>50.6</v>
      </c>
      <c r="C308" t="n">
        <v>73.70751953125</v>
      </c>
      <c r="D308" t="n">
        <v>34.60070419311523</v>
      </c>
      <c r="E308" t="n">
        <v>23.29680633544922</v>
      </c>
      <c r="F308" t="n">
        <v>0.1216905581671148</v>
      </c>
    </row>
    <row r="309">
      <c r="A309" s="81" t="n">
        <v>44044</v>
      </c>
      <c r="B309" t="n">
        <v>51.8</v>
      </c>
      <c r="C309" t="n">
        <v>78.14875030517578</v>
      </c>
      <c r="D309" t="n">
        <v>36.18056488037109</v>
      </c>
      <c r="E309" t="n">
        <v>23.9347038269043</v>
      </c>
      <c r="F309" t="n">
        <v/>
      </c>
    </row>
    <row r="310">
      <c r="A310" s="81" t="n">
        <v>44075</v>
      </c>
      <c r="B310" t="n">
        <v>52.4</v>
      </c>
      <c r="C310" t="n">
        <v>75.84272766113281</v>
      </c>
      <c r="D310" t="n">
        <v>34.83033752441406</v>
      </c>
      <c r="E310" t="n">
        <v>22.90148735046387</v>
      </c>
      <c r="F310" t="n">
        <v/>
      </c>
    </row>
    <row r="311">
      <c r="A311" s="81" t="n">
        <v>44105</v>
      </c>
      <c r="B311" t="n">
        <v>53</v>
      </c>
      <c r="C311" t="n">
        <v>74.15352630615234</v>
      </c>
      <c r="D311" t="n">
        <v>32.9565544128418</v>
      </c>
      <c r="E311" t="n">
        <v>21.8682689666748</v>
      </c>
      <c r="F311" t="n">
        <v>-0.002201848362980776</v>
      </c>
    </row>
    <row r="312">
      <c r="A312" s="81" t="n">
        <v>44136</v>
      </c>
      <c r="B312" t="n">
        <v>53.8</v>
      </c>
      <c r="C312" t="n">
        <v>82.87469482421875</v>
      </c>
      <c r="D312" t="n">
        <v>39.44131088256836</v>
      </c>
      <c r="E312" t="n">
        <v>25.39019012451172</v>
      </c>
      <c r="F312" t="n">
        <v/>
      </c>
    </row>
    <row r="313">
      <c r="A313" s="81" t="n">
        <v>44166</v>
      </c>
      <c r="B313" t="n">
        <v>53.8</v>
      </c>
      <c r="C313" t="n">
        <v>86.09174346923828</v>
      </c>
      <c r="D313" t="n">
        <v>40.48843002319336</v>
      </c>
      <c r="E313" t="n">
        <v>26.31559562683105</v>
      </c>
      <c r="F313" t="n">
        <v/>
      </c>
    </row>
    <row r="314">
      <c r="A314" s="81" t="n">
        <v>44197</v>
      </c>
      <c r="B314" t="n">
        <v>53.6</v>
      </c>
      <c r="C314" t="n">
        <v>86.49149322509766</v>
      </c>
      <c r="D314" t="n">
        <v>40.35477447509766</v>
      </c>
      <c r="E314" t="n">
        <v>26.55285835266113</v>
      </c>
      <c r="F314" t="n">
        <v>0.0001075060490587748</v>
      </c>
    </row>
    <row r="315">
      <c r="A315" s="81" t="n">
        <v>44228</v>
      </c>
      <c r="B315" t="n">
        <v>53.9</v>
      </c>
      <c r="C315" t="n">
        <v>88.47111511230469</v>
      </c>
      <c r="D315" t="n">
        <v>41.72446823120117</v>
      </c>
      <c r="E315" t="n">
        <v>27.5978889465332</v>
      </c>
      <c r="F315" t="n">
        <v/>
      </c>
    </row>
    <row r="316">
      <c r="A316" s="81" t="n">
        <v>44256</v>
      </c>
      <c r="B316" t="n">
        <v>55</v>
      </c>
      <c r="C316" t="n">
        <v>90.99587249755859</v>
      </c>
      <c r="D316" t="n">
        <v>43.26187896728516</v>
      </c>
      <c r="E316" t="n">
        <v>28.45208740234375</v>
      </c>
      <c r="F316" t="n">
        <v/>
      </c>
    </row>
    <row r="317">
      <c r="A317" s="81" t="n">
        <v>44287</v>
      </c>
      <c r="B317" t="n">
        <v>55.9</v>
      </c>
      <c r="C317" t="n">
        <v>94.85948181152344</v>
      </c>
      <c r="D317" t="n">
        <v>45.27449417114258</v>
      </c>
      <c r="E317" t="n">
        <v>29.56072807312012</v>
      </c>
      <c r="F317" t="n">
        <v>0.01933092478404663</v>
      </c>
    </row>
    <row r="318">
      <c r="A318" s="81" t="n">
        <v>44317</v>
      </c>
      <c r="B318" t="n">
        <v>56</v>
      </c>
      <c r="C318" t="n">
        <v>96.2557373046875</v>
      </c>
      <c r="D318" t="n">
        <v>47.2591552734375</v>
      </c>
      <c r="E318" t="n">
        <v>30.70572090148926</v>
      </c>
      <c r="F318" t="n">
        <v/>
      </c>
    </row>
    <row r="319">
      <c r="A319" s="81" t="n">
        <v>44348</v>
      </c>
      <c r="B319" t="n">
        <v>55.5</v>
      </c>
      <c r="C319" t="n">
        <v>96.77217102050781</v>
      </c>
      <c r="D319" t="n">
        <v>45.98263549804688</v>
      </c>
      <c r="E319" t="n">
        <v>29.71521377563477</v>
      </c>
      <c r="F319" t="n">
        <v/>
      </c>
    </row>
    <row r="320">
      <c r="A320" s="81" t="n">
        <v>44378</v>
      </c>
      <c r="B320" t="n">
        <v>55.4</v>
      </c>
      <c r="C320" t="n">
        <v>98.35557556152344</v>
      </c>
      <c r="D320" t="n">
        <v>46.89109802246094</v>
      </c>
      <c r="E320" t="n">
        <v>30.30218505859375</v>
      </c>
      <c r="F320" t="n">
        <v>0.02207405854121466</v>
      </c>
    </row>
    <row r="321">
      <c r="A321" s="81" t="n">
        <v>44409</v>
      </c>
      <c r="B321" t="n">
        <v>54.1</v>
      </c>
      <c r="C321" t="n">
        <v>100.4939498901367</v>
      </c>
      <c r="D321" t="n">
        <v>47.81293106079102</v>
      </c>
      <c r="E321" t="n">
        <v>30.50548934936523</v>
      </c>
      <c r="F321" t="n">
        <v/>
      </c>
    </row>
    <row r="322">
      <c r="A322" s="81" t="n">
        <v>44440</v>
      </c>
      <c r="B322" t="n">
        <v>54.1</v>
      </c>
      <c r="C322" t="n">
        <v>96.24610137939453</v>
      </c>
      <c r="D322" t="n">
        <v>45.26377868652344</v>
      </c>
      <c r="E322" t="n">
        <v>29.80315399169922</v>
      </c>
      <c r="F322" t="n">
        <v/>
      </c>
    </row>
    <row r="323">
      <c r="A323" s="81" t="n">
        <v>44470</v>
      </c>
      <c r="B323" t="n">
        <v>54.2</v>
      </c>
      <c r="C323" t="n">
        <v>101.4379196166992</v>
      </c>
      <c r="D323" t="n">
        <v>47.33319854736328</v>
      </c>
      <c r="E323" t="n">
        <v>31.12465667724609</v>
      </c>
      <c r="F323" t="n">
        <v>0.00520439876568878</v>
      </c>
    </row>
    <row r="324">
      <c r="A324" s="81" t="n">
        <v>44501</v>
      </c>
      <c r="B324" t="n">
        <v>54.2</v>
      </c>
      <c r="C324" t="n">
        <v>99.09725189208984</v>
      </c>
      <c r="D324" t="n">
        <v>44.7746467590332</v>
      </c>
      <c r="E324" t="n">
        <v>29.60908508300781</v>
      </c>
      <c r="F324" t="n">
        <v/>
      </c>
    </row>
    <row r="325">
      <c r="A325" s="81" t="n">
        <v>44531</v>
      </c>
      <c r="B325" t="n">
        <v>54.3</v>
      </c>
      <c r="C325" t="n">
        <v>101.8906326293945</v>
      </c>
      <c r="D325" t="n">
        <v>46.1009521484375</v>
      </c>
      <c r="E325" t="n">
        <v>30.62562942504883</v>
      </c>
      <c r="F325" t="n">
        <v/>
      </c>
    </row>
    <row r="326">
      <c r="A326" s="81" t="n">
        <v>44562</v>
      </c>
      <c r="B326" t="n">
        <v>53.2</v>
      </c>
      <c r="C326" t="n">
        <v>98.26871490478516</v>
      </c>
      <c r="D326" t="n">
        <v>45.23426818847656</v>
      </c>
      <c r="E326" t="n">
        <v>32.17117309570312</v>
      </c>
      <c r="F326" t="n">
        <v>0.007229595433023902</v>
      </c>
    </row>
    <row r="327">
      <c r="A327" s="81" t="n">
        <v>44593</v>
      </c>
      <c r="B327" t="n">
        <v>53.6</v>
      </c>
      <c r="C327" t="n">
        <v>95.26138305664062</v>
      </c>
      <c r="D327" t="n">
        <v>41.89278030395508</v>
      </c>
      <c r="E327" t="n">
        <v>31.79146385192871</v>
      </c>
      <c r="F327" t="n">
        <v/>
      </c>
    </row>
    <row r="328">
      <c r="A328" s="81" t="n">
        <v>44621</v>
      </c>
      <c r="B328" t="n">
        <v>52.9</v>
      </c>
      <c r="C328" t="n">
        <v>97.11054992675781</v>
      </c>
      <c r="D328" t="n">
        <v>41.31040573120117</v>
      </c>
      <c r="E328" t="n">
        <v>31.93385124206543</v>
      </c>
      <c r="F328" t="n">
        <v/>
      </c>
    </row>
    <row r="329">
      <c r="A329" s="81" t="n">
        <v>44652</v>
      </c>
      <c r="B329" t="n">
        <v>52.2</v>
      </c>
      <c r="C329" t="n">
        <v>89.27591705322266</v>
      </c>
      <c r="D329" t="n">
        <v>38.29351043701172</v>
      </c>
      <c r="E329" t="n">
        <v>30.66181564331055</v>
      </c>
      <c r="F329" t="n">
        <v>0.008348535136076786</v>
      </c>
    </row>
    <row r="330">
      <c r="A330" s="81" t="n">
        <v>44682</v>
      </c>
      <c r="B330" t="n">
        <v>52.3</v>
      </c>
      <c r="C330" t="n">
        <v>89.67494201660156</v>
      </c>
      <c r="D330" t="n">
        <v>39.95470809936523</v>
      </c>
      <c r="E330" t="n">
        <v>31.48769187927246</v>
      </c>
      <c r="F330" t="n">
        <v/>
      </c>
    </row>
    <row r="331">
      <c r="A331" s="81" t="n">
        <v>44713</v>
      </c>
      <c r="B331" t="n">
        <v>52.2</v>
      </c>
      <c r="C331" t="n">
        <v>81.64566802978516</v>
      </c>
      <c r="D331" t="n">
        <v>34.70378875732422</v>
      </c>
      <c r="E331" t="n">
        <v>28.44049453735352</v>
      </c>
      <c r="F331" t="n">
        <v/>
      </c>
    </row>
    <row r="332">
      <c r="A332" s="81" t="n">
        <v>44743</v>
      </c>
      <c r="B332" t="n">
        <v/>
      </c>
      <c r="C332" t="n">
        <v>88.2301025390625</v>
      </c>
      <c r="D332" t="n">
        <v>37.26656341552734</v>
      </c>
      <c r="E332" t="n">
        <v>29.86920166015625</v>
      </c>
      <c r="F332" t="n">
        <v>0.00364748681073327</v>
      </c>
    </row>
    <row r="333">
      <c r="A333" s="81" t="n">
        <v>44774</v>
      </c>
      <c r="B333" t="n">
        <v/>
      </c>
      <c r="C333" t="n">
        <v>84.37949371337891</v>
      </c>
      <c r="D333" t="n">
        <v>34.50282669067383</v>
      </c>
      <c r="E333" t="n">
        <v>27.93654632568359</v>
      </c>
      <c r="F333" t="n">
        <v/>
      </c>
    </row>
    <row r="334">
      <c r="A334" s="81" t="n">
        <v>44805</v>
      </c>
      <c r="B334" t="n">
        <v/>
      </c>
      <c r="C334" t="n">
        <v>76.45233917236328</v>
      </c>
      <c r="D334" t="n">
        <v>31.23125648498535</v>
      </c>
      <c r="E334" t="n">
        <v>25.32745933532715</v>
      </c>
      <c r="F334" t="n">
        <v/>
      </c>
    </row>
    <row r="335">
      <c r="A335" s="81" t="n">
        <v>44834</v>
      </c>
      <c r="B335" t="n">
        <v/>
      </c>
      <c r="C335" t="n">
        <v>77.83000183105469</v>
      </c>
      <c r="D335" t="n">
        <v>31.97999954223633</v>
      </c>
      <c r="E335" t="n">
        <v>26.20999908447266</v>
      </c>
      <c r="F335" t="n">
        <v/>
      </c>
    </row>
    <row r="336">
      <c r="A336" s="81" t="n">
        <v>44835</v>
      </c>
      <c r="B336" t="n">
        <v/>
      </c>
      <c r="C336" t="n">
        <v>81.30489349365234</v>
      </c>
      <c r="D336" t="n">
        <v>34.3856315612793</v>
      </c>
      <c r="E336" t="n">
        <v>27.09584045410156</v>
      </c>
      <c r="F336" t="n">
        <v>-0.001129544529126658</v>
      </c>
    </row>
    <row r="337">
      <c r="A337" s="81" t="n">
        <v>44866</v>
      </c>
      <c r="B337" t="n">
        <v/>
      </c>
      <c r="C337" t="n">
        <v>88.08275604248047</v>
      </c>
      <c r="D337" t="n">
        <v>39.59084701538086</v>
      </c>
      <c r="E337" t="n">
        <v>30.46832466125488</v>
      </c>
      <c r="F337" t="n">
        <v/>
      </c>
    </row>
    <row r="338">
      <c r="A338" s="81" t="n">
        <v>44896</v>
      </c>
      <c r="B338" t="n">
        <v/>
      </c>
      <c r="C338" t="n">
        <v>83.37754058837891</v>
      </c>
      <c r="D338" t="n">
        <v>38.55566024780273</v>
      </c>
      <c r="E338" t="n">
        <v>29.62762069702148</v>
      </c>
      <c r="F338" t="n">
        <v/>
      </c>
    </row>
    <row r="339">
      <c r="A339" s="81" t="n">
        <v>44927</v>
      </c>
      <c r="B339" t="n">
        <v/>
      </c>
      <c r="C339" t="n">
        <v>90.32772827148438</v>
      </c>
      <c r="D339" t="n">
        <v>43.48970031738281</v>
      </c>
      <c r="E339" t="n">
        <v>31.94971466064453</v>
      </c>
      <c r="F339" t="n">
        <v>-0.0009956560238809976</v>
      </c>
    </row>
    <row r="340">
      <c r="A340" s="81" t="n">
        <v>44958</v>
      </c>
      <c r="B340" t="n">
        <v/>
      </c>
      <c r="C340" t="n">
        <v>87.32835388183594</v>
      </c>
      <c r="D340" t="n">
        <v>42.7442741394043</v>
      </c>
      <c r="E340" t="n">
        <v>31.66523551940918</v>
      </c>
      <c r="F340" t="n">
        <v/>
      </c>
    </row>
    <row r="341">
      <c r="A341" s="81" t="n">
        <v>44986</v>
      </c>
      <c r="B341" t="n">
        <v/>
      </c>
      <c r="C341" t="n">
        <v>90.23863983154297</v>
      </c>
      <c r="D341" t="n">
        <v>44.21551132202148</v>
      </c>
      <c r="E341" t="n">
        <v>31.64561653137207</v>
      </c>
      <c r="F341" t="n">
        <v/>
      </c>
    </row>
    <row r="342">
      <c r="A342" s="81" t="n">
        <v>45017</v>
      </c>
      <c r="B342" t="n">
        <v/>
      </c>
      <c r="C342" t="n">
        <v>91.65418243408203</v>
      </c>
      <c r="D342" t="n">
        <v>45.62789535522461</v>
      </c>
      <c r="E342" t="n">
        <v>33.2838134765625</v>
      </c>
      <c r="F342" t="n">
        <v/>
      </c>
    </row>
    <row r="343">
      <c r="A343" s="81" t="n">
        <v>45047</v>
      </c>
      <c r="B343" t="n">
        <v/>
      </c>
      <c r="C343" t="n">
        <v>90.69399261474609</v>
      </c>
      <c r="D343" t="n">
        <v>43.28372573852539</v>
      </c>
      <c r="E343" t="n">
        <v>31.29247283935547</v>
      </c>
      <c r="F343"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25"/>
  <sheetViews>
    <sheetView zoomScale="140" zoomScaleNormal="14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0.187</v>
      </c>
    </row>
    <row r="198">
      <c r="A198" s="81" t="n">
        <v>44317</v>
      </c>
      <c r="B198" t="n">
        <v>51</v>
      </c>
    </row>
    <row r="199">
      <c r="A199" s="81" t="n">
        <v>44348</v>
      </c>
      <c r="B199" t="n">
        <v>50.9</v>
      </c>
    </row>
    <row r="200">
      <c r="A200" s="81" t="n">
        <v>44378</v>
      </c>
      <c r="B200" t="n">
        <v>50.4</v>
      </c>
      <c r="C200" t="n">
        <v>0.083</v>
      </c>
    </row>
    <row r="201">
      <c r="A201" s="81" t="n">
        <v>44409</v>
      </c>
      <c r="B201" t="n">
        <v>50.1</v>
      </c>
    </row>
    <row r="202">
      <c r="A202" s="81" t="n">
        <v>44440</v>
      </c>
      <c r="B202" t="n">
        <v>49.6</v>
      </c>
    </row>
    <row r="203">
      <c r="A203" s="81" t="n">
        <v>44470</v>
      </c>
      <c r="B203" t="n">
        <v>49.2</v>
      </c>
      <c r="C203" t="n">
        <v>0.052</v>
      </c>
    </row>
    <row r="204">
      <c r="A204" s="81" t="n">
        <v>44501</v>
      </c>
      <c r="B204" t="n">
        <v>50.1</v>
      </c>
    </row>
    <row r="205">
      <c r="A205" s="81" t="n">
        <v>44531</v>
      </c>
      <c r="B205" t="n">
        <v>50.3</v>
      </c>
    </row>
    <row r="206">
      <c r="A206" s="81" t="n">
        <v>44562</v>
      </c>
      <c r="B206" t="n">
        <v>50.1</v>
      </c>
      <c r="C206" t="n">
        <v>0.043</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44896</v>
      </c>
      <c r="B217" t="n">
        <v>47</v>
      </c>
    </row>
    <row r="218">
      <c r="A218" s="81" t="n">
        <v>44927</v>
      </c>
      <c r="B218" t="n">
        <v>50.1</v>
      </c>
      <c r="C218" t="n">
        <v>0.029</v>
      </c>
    </row>
    <row r="219">
      <c r="A219" s="81" t="n">
        <v>44958</v>
      </c>
      <c r="B219" t="n">
        <v>52.6</v>
      </c>
    </row>
    <row r="220">
      <c r="A220" s="81" t="n">
        <v>44986</v>
      </c>
      <c r="B220" t="n">
        <v>51.9</v>
      </c>
    </row>
    <row r="221">
      <c r="A221" s="81" t="n">
        <v>45017</v>
      </c>
      <c r="B221" t="n">
        <v>49.2</v>
      </c>
      <c r="C221" t="n">
        <v>0.045</v>
      </c>
    </row>
    <row r="222">
      <c r="A222" s="81" t="n">
        <v>45047</v>
      </c>
      <c r="B222" t="n">
        <v>48.8</v>
      </c>
    </row>
    <row r="223">
      <c r="A223" s="81" t="n">
        <v>45108</v>
      </c>
    </row>
    <row r="224">
      <c r="A224" s="81" t="n">
        <v>45200</v>
      </c>
    </row>
    <row r="225">
      <c r="A225" s="81" t="n">
        <v>45292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53"/>
  <sheetViews>
    <sheetView zoomScale="130" zoomScaleNormal="130" workbookViewId="0">
      <pane ySplit="1" topLeftCell="A131"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row r="148">
      <c r="A148" s="81" t="n">
        <v>44896</v>
      </c>
      <c r="B148" t="n">
        <v>48.4</v>
      </c>
    </row>
    <row r="149">
      <c r="A149" s="81" t="n">
        <v>44927</v>
      </c>
      <c r="B149" t="n">
        <v>47.4</v>
      </c>
    </row>
    <row r="150">
      <c r="A150" s="81" t="n">
        <v>44958</v>
      </c>
      <c r="B150" t="n">
        <v>47.7</v>
      </c>
    </row>
    <row r="151">
      <c r="A151" s="81" t="n">
        <v>44986</v>
      </c>
      <c r="B151" t="n">
        <v>46.3</v>
      </c>
    </row>
    <row r="152">
      <c r="A152" s="81" t="n">
        <v>45017</v>
      </c>
      <c r="B152" t="n">
        <v>47.1</v>
      </c>
    </row>
    <row r="153">
      <c r="A153" s="81" t="n">
        <v>45047</v>
      </c>
      <c r="B153" t="n">
        <v>46.9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8"/>
  <sheetViews>
    <sheetView tabSelected="1" zoomScale="96" zoomScaleNormal="110" workbookViewId="0">
      <pane xSplit="2" ySplit="11" topLeftCell="C101" activePane="bottomRight" state="frozen"/>
      <selection activeCell="H345" sqref="H345"/>
      <selection pane="topRight" activeCell="H345" sqref="H345"/>
      <selection pane="bottomLeft" activeCell="H345" sqref="H345"/>
      <selection pane="bottomRight" activeCell="A110" sqref="A110"/>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44986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c r="B105" s="29" t="n">
        <v>44896</v>
      </c>
      <c r="C105" s="30">
        <f>VLOOKUP(B105,Global!$A:$B,2,)</f>
        <v/>
      </c>
      <c r="D105" s="30">
        <f>VLOOKUP(B105,US!$A:$D,4,)</f>
        <v/>
      </c>
      <c r="E105" s="30">
        <f>VLOOKUP(B105,US!$A:$B,2,)</f>
        <v/>
      </c>
      <c r="F105" s="30">
        <f>VLOOKUP(B105,China!$A:$B,2,)</f>
        <v/>
      </c>
      <c r="G105" s="30">
        <f>VLOOKUP(B105,'Euro Area'!A:B,2,)</f>
        <v/>
      </c>
      <c r="H105" s="30">
        <f>VLOOKUP(B105,Japan!$A:$B,2,)</f>
        <v/>
      </c>
      <c r="I105" s="30">
        <f>VLOOKUP(B105,Germany!$A:$B,2,)</f>
        <v/>
      </c>
      <c r="J105" s="30">
        <f>VLOOKUP(B105,France!$A:$B,2,)</f>
        <v/>
      </c>
      <c r="K105" s="30">
        <f>VLOOKUP(B105,UK!$A:$B,2,)</f>
        <v/>
      </c>
      <c r="L105" s="30">
        <f>VLOOKUP(B105,Italy!$A:$B,2,)</f>
        <v/>
      </c>
      <c r="M105" s="30">
        <f>VLOOKUP(B105,Spain!$A:$B,2,)</f>
        <v/>
      </c>
      <c r="N105" s="30">
        <f>VLOOKUP(B105,Brazil!$A:$B,2,)</f>
        <v/>
      </c>
      <c r="O105" s="30">
        <f>VLOOKUP(B105,Mexico!$A:$B,2,)</f>
        <v/>
      </c>
      <c r="P105" s="30">
        <f>VLOOKUP(B105,Russia!$A:$B,2,)</f>
        <v/>
      </c>
      <c r="Q105" s="30">
        <f>VLOOKUP(B105,India!$A:$B,2,)</f>
        <v/>
      </c>
      <c r="R105" s="30">
        <f>VLOOKUP(B105,Canada!$A:$B,2,)</f>
        <v/>
      </c>
      <c r="S105" s="30">
        <f>VLOOKUP(B105,Australia!$A:$B,2,)</f>
        <v/>
      </c>
      <c r="T105" s="30">
        <f>VLOOKUP(B105,Indonesia!$A:$B,2,)</f>
        <v/>
      </c>
      <c r="U105" s="30">
        <f>VLOOKUP(B105,SouthKorea!$A:$B,2,)</f>
        <v/>
      </c>
      <c r="V105" s="30">
        <f>VLOOKUP(B105,Taiwan!$A:$B,2,)</f>
        <v/>
      </c>
      <c r="W105" s="30">
        <f>VLOOKUP(B105,Greece!$A:$B,2,)</f>
        <v/>
      </c>
      <c r="X105" s="30">
        <f>VLOOKUP(B105,Ireland!$A:$B,2,)</f>
        <v/>
      </c>
      <c r="Y105" s="30">
        <f>VLOOKUP(B105,Turkey!$A:$B,2,)</f>
        <v/>
      </c>
      <c r="Z105" s="30">
        <f>VLOOKUP(B105,CzechRepublic!$A:$B,2,)</f>
        <v/>
      </c>
      <c r="AA105" s="30">
        <f>VLOOKUP(B105,Poland!$A:$B,2,)</f>
        <v/>
      </c>
      <c r="AB105" s="30">
        <f>VLOOKUP(B105,Denmark!$A:$B,2,)</f>
        <v/>
      </c>
    </row>
    <row r="106" customFormat="1" s="69">
      <c r="B106" s="29" t="n">
        <v>44927</v>
      </c>
      <c r="C106" s="30">
        <f>VLOOKUP(B106,Global!$A:$B,2,)</f>
        <v/>
      </c>
      <c r="D106" s="30">
        <f>VLOOKUP(B106,US!$A:$D,4,)</f>
        <v/>
      </c>
      <c r="E106" s="30">
        <f>VLOOKUP(B106,US!$A:$B,2,)</f>
        <v/>
      </c>
      <c r="F106" s="30">
        <f>VLOOKUP(B106,China!$A:$B,2,)</f>
        <v/>
      </c>
      <c r="G106" s="30">
        <f>VLOOKUP(B106,'Euro Area'!A:B,2,)</f>
        <v/>
      </c>
      <c r="H106" s="30">
        <f>VLOOKUP(B106,Japan!$A:$B,2,)</f>
        <v/>
      </c>
      <c r="I106" s="30">
        <f>VLOOKUP(B106,Germany!$A:$B,2,)</f>
        <v/>
      </c>
      <c r="J106" s="30">
        <f>VLOOKUP(B106,France!$A:$B,2,)</f>
        <v/>
      </c>
      <c r="K106" s="30">
        <f>VLOOKUP(B106,UK!$A:$B,2,)</f>
        <v/>
      </c>
      <c r="L106" s="30">
        <f>VLOOKUP(B106,Italy!$A:$B,2,)</f>
        <v/>
      </c>
      <c r="M106" s="30">
        <f>VLOOKUP(B106,Spain!$A:$B,2,)</f>
        <v/>
      </c>
      <c r="N106" s="30">
        <f>VLOOKUP(B106,Brazil!$A:$B,2,)</f>
        <v/>
      </c>
      <c r="O106" s="30">
        <f>VLOOKUP(B106,Mexico!$A:$B,2,)</f>
        <v/>
      </c>
      <c r="P106" s="30">
        <f>VLOOKUP(B106,Russia!$A:$B,2,)</f>
        <v/>
      </c>
      <c r="Q106" s="30">
        <f>VLOOKUP(B106,India!$A:$B,2,)</f>
        <v/>
      </c>
      <c r="R106" s="30">
        <f>VLOOKUP(B106,Canada!$A:$B,2,)</f>
        <v/>
      </c>
      <c r="S106" s="30">
        <f>VLOOKUP(B106,Australia!$A:$B,2,)</f>
        <v/>
      </c>
      <c r="T106" s="30">
        <f>VLOOKUP(B106,Indonesia!$A:$B,2,)</f>
        <v/>
      </c>
      <c r="U106" s="30">
        <f>VLOOKUP(B106,SouthKorea!$A:$B,2,)</f>
        <v/>
      </c>
      <c r="V106" s="30">
        <f>VLOOKUP(B106,Taiwan!$A:$B,2,)</f>
        <v/>
      </c>
      <c r="W106" s="30">
        <f>VLOOKUP(B106,Greece!$A:$B,2,)</f>
        <v/>
      </c>
      <c r="X106" s="30">
        <f>VLOOKUP(B106,Ireland!$A:$B,2,)</f>
        <v/>
      </c>
      <c r="Y106" s="30">
        <f>VLOOKUP(B106,Turkey!$A:$B,2,)</f>
        <v/>
      </c>
      <c r="Z106" s="30">
        <f>VLOOKUP(B106,CzechRepublic!$A:$B,2,)</f>
        <v/>
      </c>
      <c r="AA106" s="30">
        <f>VLOOKUP(B106,Poland!$A:$B,2,)</f>
        <v/>
      </c>
      <c r="AB106" s="30">
        <f>VLOOKUP(B106,Denmark!$A:$B,2,)</f>
        <v/>
      </c>
    </row>
    <row r="107" customFormat="1" s="69">
      <c r="B107" s="29" t="n">
        <v>44958</v>
      </c>
      <c r="C107" s="30">
        <f>VLOOKUP(B107,Global!$A:$B,2,)</f>
        <v/>
      </c>
      <c r="D107" s="30">
        <f>VLOOKUP(B107,US!$A:$D,4,)</f>
        <v/>
      </c>
      <c r="E107" s="30">
        <f>VLOOKUP(B107,US!$A:$B,2,)</f>
        <v/>
      </c>
      <c r="F107" s="30">
        <f>VLOOKUP(B107,China!$A:$B,2,)</f>
        <v/>
      </c>
      <c r="G107" s="30">
        <f>VLOOKUP(B107,'Euro Area'!A:B,2,)</f>
        <v/>
      </c>
      <c r="H107" s="30">
        <f>VLOOKUP(B107,Japan!$A:$B,2,)</f>
        <v/>
      </c>
      <c r="I107" s="30">
        <f>VLOOKUP(B107,Germany!$A:$B,2,)</f>
        <v/>
      </c>
      <c r="J107" s="30">
        <f>VLOOKUP(B107,France!$A:$B,2,)</f>
        <v/>
      </c>
      <c r="K107" s="30">
        <f>VLOOKUP(B107,UK!$A:$B,2,)</f>
        <v/>
      </c>
      <c r="L107" s="30">
        <f>VLOOKUP(B107,Italy!$A:$B,2,)</f>
        <v/>
      </c>
      <c r="M107" s="30">
        <f>VLOOKUP(B107,Spain!$A:$B,2,)</f>
        <v/>
      </c>
      <c r="N107" s="30">
        <f>VLOOKUP(B107,Brazil!$A:$B,2,)</f>
        <v/>
      </c>
      <c r="O107" s="30">
        <f>VLOOKUP(B107,Mexico!$A:$B,2,)</f>
        <v/>
      </c>
      <c r="P107" s="30">
        <f>VLOOKUP(B107,Russia!$A:$B,2,)</f>
        <v/>
      </c>
      <c r="Q107" s="30">
        <f>VLOOKUP(B107,India!$A:$B,2,)</f>
        <v/>
      </c>
      <c r="R107" s="30">
        <f>VLOOKUP(B107,Canada!$A:$B,2,)</f>
        <v/>
      </c>
      <c r="S107" s="30">
        <f>VLOOKUP(B107,Australia!$A:$B,2,)</f>
        <v/>
      </c>
      <c r="T107" s="30">
        <f>VLOOKUP(B107,Indonesia!$A:$B,2,)</f>
        <v/>
      </c>
      <c r="U107" s="30">
        <f>VLOOKUP(B107,SouthKorea!$A:$B,2,)</f>
        <v/>
      </c>
      <c r="V107" s="30">
        <f>VLOOKUP(B107,Taiwan!$A:$B,2,)</f>
        <v/>
      </c>
      <c r="W107" s="30">
        <f>VLOOKUP(B107,Greece!$A:$B,2,)</f>
        <v/>
      </c>
      <c r="X107" s="30">
        <f>VLOOKUP(B107,Ireland!$A:$B,2,)</f>
        <v/>
      </c>
      <c r="Y107" s="30">
        <f>VLOOKUP(B107,Turkey!$A:$B,2,)</f>
        <v/>
      </c>
      <c r="Z107" s="30">
        <f>VLOOKUP(B107,CzechRepublic!$A:$B,2,)</f>
        <v/>
      </c>
      <c r="AA107" s="30">
        <f>VLOOKUP(B107,Poland!$A:$B,2,)</f>
        <v/>
      </c>
      <c r="AB107" s="30">
        <f>VLOOKUP(B107,Denmark!$A:$B,2,)</f>
        <v/>
      </c>
    </row>
    <row r="108" customFormat="1" s="69">
      <c r="B108" s="29" t="n">
        <v>44986</v>
      </c>
      <c r="C108" s="30">
        <f>VLOOKUP(B108,Global!$A:$B,2,)</f>
        <v/>
      </c>
      <c r="D108" s="30">
        <f>VLOOKUP(B108,US!$A:$D,4,)</f>
        <v/>
      </c>
      <c r="E108" s="30">
        <f>VLOOKUP(B108,US!$A:$B,2,)</f>
        <v/>
      </c>
      <c r="F108" s="30">
        <f>VLOOKUP(B108,China!$A:$B,2,)</f>
        <v/>
      </c>
      <c r="G108" s="30">
        <f>VLOOKUP(B108,'Euro Area'!A:B,2,)</f>
        <v/>
      </c>
      <c r="H108" s="30">
        <f>VLOOKUP(B108,Japan!$A:$B,2,)</f>
        <v/>
      </c>
      <c r="I108" s="30">
        <f>VLOOKUP(B108,Germany!$A:$B,2,)</f>
        <v/>
      </c>
      <c r="J108" s="30">
        <f>VLOOKUP(B108,France!$A:$B,2,)</f>
        <v/>
      </c>
      <c r="K108" s="30">
        <f>VLOOKUP(B108,UK!$A:$B,2,)</f>
        <v/>
      </c>
      <c r="L108" s="30">
        <f>VLOOKUP(B108,Italy!$A:$B,2,)</f>
        <v/>
      </c>
      <c r="M108" s="30">
        <f>VLOOKUP(B108,Spain!$A:$B,2,)</f>
        <v/>
      </c>
      <c r="N108" s="30">
        <f>VLOOKUP(B108,Brazil!$A:$B,2,)</f>
        <v/>
      </c>
      <c r="O108" s="30">
        <f>VLOOKUP(B108,Mexico!$A:$B,2,)</f>
        <v/>
      </c>
      <c r="P108" s="30">
        <f>VLOOKUP(B108,Russia!$A:$B,2,)</f>
        <v/>
      </c>
      <c r="Q108" s="30">
        <f>VLOOKUP(B108,India!$A:$B,2,)</f>
        <v/>
      </c>
      <c r="R108" s="30">
        <f>VLOOKUP(B108,Canada!$A:$B,2,)</f>
        <v/>
      </c>
      <c r="S108" s="30">
        <f>VLOOKUP(B108,Australia!$A:$B,2,)</f>
        <v/>
      </c>
      <c r="T108" s="30">
        <f>VLOOKUP(B108,Indonesia!$A:$B,2,)</f>
        <v/>
      </c>
      <c r="U108" s="30">
        <f>VLOOKUP(B108,SouthKorea!$A:$B,2,)</f>
        <v/>
      </c>
      <c r="V108" s="30">
        <f>VLOOKUP(B108,Taiwan!$A:$B,2,)</f>
        <v/>
      </c>
      <c r="W108" s="30">
        <f>VLOOKUP(B108,Greece!$A:$B,2,)</f>
        <v/>
      </c>
      <c r="X108" s="30">
        <f>VLOOKUP(B108,Ireland!$A:$B,2,)</f>
        <v/>
      </c>
      <c r="Y108" s="30">
        <f>VLOOKUP(B108,Turkey!$A:$B,2,)</f>
        <v/>
      </c>
      <c r="Z108" s="30">
        <f>VLOOKUP(B108,CzechRepublic!$A:$B,2,)</f>
        <v/>
      </c>
      <c r="AA108" s="30">
        <f>VLOOKUP(B108,Poland!$A:$B,2,)</f>
        <v/>
      </c>
      <c r="AB108" s="30">
        <f>VLOOKUP(B108,Denmark!$A:$B,2,)</f>
        <v/>
      </c>
    </row>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6:AB6">
    <cfRule type="containsText" priority="7" operator="containsText" dxfId="7" text="below">
      <formula>NOT(ISERROR(SEARCH("below",C6)))</formula>
    </cfRule>
    <cfRule type="containsText" priority="8" operator="containsText" dxfId="6" text="above">
      <formula>NOT(ISERROR(SEARCH("above",C6)))</formula>
    </cfRule>
  </conditionalFormatting>
  <conditionalFormatting sqref="C8: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conditionalFormatting sqref="C12:AB108">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tabColor rgb="FFFFC000"/>
    <outlinePr summaryBelow="1" summaryRight="1"/>
    <pageSetUpPr/>
  </sheetPr>
  <dimension ref="A1:K146"/>
  <sheetViews>
    <sheetView zoomScale="110" zoomScaleNormal="110" workbookViewId="0">
      <pane ySplit="5" topLeftCell="A132" activePane="bottomLeft" state="frozen"/>
      <selection activeCell="X324" sqref="X324"/>
      <selection pane="bottomLeft" activeCell="A142" sqref="A142:F146"/>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62"/>
    <col width="9.1796875" customWidth="1" style="69" min="63"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5"/>
  <sheetViews>
    <sheetView zoomScale="90" zoomScaleNormal="90" workbookViewId="0">
      <pane ySplit="5" topLeftCell="A131" activePane="bottomLeft" state="frozen"/>
      <selection activeCell="O117" sqref="O117"/>
      <selection pane="bottomLeft" activeCell="A148" sqref="A148:D155"/>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62"/>
    <col width="9.1796875" customWidth="1" style="69" min="63"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row r="152">
      <c r="A152" s="10" t="n">
        <v>44896</v>
      </c>
      <c r="B152" s="18">
        <f>IF(VLOOKUP(A152,'DB Country PMI'!$A:$AZ,MATCH($A$1,'DB Country PMI'!$A$1:$AZ$1,),)=0,#N/A,VLOOKUP(A152,'DB Country PMI'!$A:$AZ,MATCH($A$1,'DB Country PMI'!$A$1:$AZ$1,),))</f>
        <v/>
      </c>
      <c r="C152" s="24">
        <f>Table1346811[[#This Row],[PMI]]-B151</f>
        <v/>
      </c>
      <c r="D152" s="24">
        <f>IF(VLOOKUP(Table1346811[[#This Row],[Date]],'DB US ISM Manufacturing'!$A:$B,2)=0,#N/A,VLOOKUP(Table1346811[[#This Row],[Date]],'DB US ISM Manufacturing'!$A:$B,2))</f>
        <v/>
      </c>
    </row>
    <row r="153">
      <c r="A153" s="10" t="n">
        <v>44927</v>
      </c>
      <c r="B153" s="18">
        <f>IF(VLOOKUP(A153,'DB Country PMI'!$A:$AZ,MATCH($A$1,'DB Country PMI'!$A$1:$AZ$1,),)=0,#N/A,VLOOKUP(A153,'DB Country PMI'!$A:$AZ,MATCH($A$1,'DB Country PMI'!$A$1:$AZ$1,),))</f>
        <v/>
      </c>
      <c r="C153" s="24">
        <f>Table1346811[[#This Row],[PMI]]-B152</f>
        <v/>
      </c>
      <c r="D153" s="24">
        <f>IF(VLOOKUP(Table1346811[[#This Row],[Date]],'DB US ISM Manufacturing'!$A:$B,2)=0,#N/A,VLOOKUP(Table1346811[[#This Row],[Date]],'DB US ISM Manufacturing'!$A:$B,2))</f>
        <v/>
      </c>
    </row>
    <row r="154">
      <c r="A154" s="10" t="n">
        <v>44958</v>
      </c>
      <c r="B154" s="18">
        <f>IF(VLOOKUP(A154,'DB Country PMI'!$A:$AZ,MATCH($A$1,'DB Country PMI'!$A$1:$AZ$1,),)=0,#N/A,VLOOKUP(A154,'DB Country PMI'!$A:$AZ,MATCH($A$1,'DB Country PMI'!$A$1:$AZ$1,),))</f>
        <v/>
      </c>
      <c r="C154" s="24">
        <f>Table1346811[[#This Row],[PMI]]-B153</f>
        <v/>
      </c>
      <c r="D154" s="24">
        <f>IF(VLOOKUP(Table1346811[[#This Row],[Date]],'DB US ISM Manufacturing'!$A:$B,2)=0,#N/A,VLOOKUP(Table1346811[[#This Row],[Date]],'DB US ISM Manufacturing'!$A:$B,2))</f>
        <v/>
      </c>
    </row>
    <row r="155">
      <c r="A155" s="10" t="n">
        <v>44986</v>
      </c>
      <c r="B155" s="18">
        <f>IF(VLOOKUP(A155,'DB Country PMI'!$A:$AZ,MATCH($A$1,'DB Country PMI'!$A$1:$AZ$1,),)=0,#N/A,VLOOKUP(A155,'DB Country PMI'!$A:$AZ,MATCH($A$1,'DB Country PMI'!$A$1:$AZ$1,),))</f>
        <v/>
      </c>
      <c r="C155" s="24">
        <f>Table1346811[[#This Row],[PMI]]-B154</f>
        <v/>
      </c>
      <c r="D155" s="24">
        <f>IF(VLOOKUP(Table1346811[[#This Row],[Date]],'DB US ISM Manufacturing'!$A:$B,2)=0,#N/A,VLOOKUP(Table1346811[[#This Row],[Date]],'DB US ISM Manufacturing'!$A:$B,2))</f>
        <v/>
      </c>
    </row>
  </sheetData>
  <conditionalFormatting sqref="B6:B155">
    <cfRule type="colorScale" priority="64">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5">
    <cfRule type="colorScale" priority="6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4"/>
  <sheetViews>
    <sheetView zoomScale="80" zoomScaleNormal="80" workbookViewId="0">
      <pane ySplit="5" topLeftCell="A195" activePane="bottomLeft" state="frozen"/>
      <selection activeCell="K199" sqref="K199"/>
      <selection pane="bottomLeft" activeCell="A216" sqref="A216:F224"/>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62"/>
    <col width="9.1796875" customWidth="1" style="69" min="63"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row r="221">
      <c r="A221" s="10" t="n">
        <v>44896</v>
      </c>
      <c r="B221" s="18">
        <f>IF(VLOOKUP(A221,'DB Country PMI'!$A:$AZ,MATCH($A$2,'DB Country PMI'!$A$1:$AZ$1,),)=0,#N/A,VLOOKUP(A221,'DB Country PMI'!$A:$AZ,MATCH($A$2,'DB Country PMI'!$A$1:$AZ$1,),))</f>
        <v/>
      </c>
      <c r="C221" s="24">
        <f>Table1346811121415161718192021[[#This Row],[Caixin PMI]]-B220</f>
        <v/>
      </c>
      <c r="D221" s="24">
        <f>IF(VLOOKUP(Table1346811121415161718192021[[#This Row],[Date]],'DB China Official PMI'!$A:$C,2)=0,#N/A,VLOOKUP(Table1346811121415161718192021[[#This Row],[Date]],'DB China Official PMI'!$A:$C,2))</f>
        <v/>
      </c>
      <c r="E221" s="24">
        <f>Table1346811121415161718192021[[#This Row],[Official PMI]]-D220</f>
        <v/>
      </c>
      <c r="F221" s="52">
        <f>IF(VLOOKUP(Table1346811121415161718192021[[#This Row],[Date]],'DB China Official PMI'!$A:$C,3)=0,"",VLOOKUP(Table1346811121415161718192021[[#This Row],[Date]],'DB China Official PMI'!$A:$C,3))</f>
        <v/>
      </c>
    </row>
    <row r="222">
      <c r="A222" s="10" t="n">
        <v>44927</v>
      </c>
      <c r="B222" s="18">
        <f>IF(VLOOKUP(A222,'DB Country PMI'!$A:$AZ,MATCH($A$2,'DB Country PMI'!$A$1:$AZ$1,),)=0,#N/A,VLOOKUP(A222,'DB Country PMI'!$A:$AZ,MATCH($A$2,'DB Country PMI'!$A$1:$AZ$1,),))</f>
        <v/>
      </c>
      <c r="C222" s="24">
        <f>Table1346811121415161718192021[[#This Row],[Caixin PMI]]-B221</f>
        <v/>
      </c>
      <c r="D222" s="24">
        <f>IF(VLOOKUP(Table1346811121415161718192021[[#This Row],[Date]],'DB China Official PMI'!$A:$C,2)=0,#N/A,VLOOKUP(Table1346811121415161718192021[[#This Row],[Date]],'DB China Official PMI'!$A:$C,2))</f>
        <v/>
      </c>
      <c r="E222" s="24">
        <f>Table1346811121415161718192021[[#This Row],[Official PMI]]-D221</f>
        <v/>
      </c>
      <c r="F222" s="52">
        <f>IF(VLOOKUP(Table1346811121415161718192021[[#This Row],[Date]],'DB China Official PMI'!$A:$C,3)=0,"",VLOOKUP(Table1346811121415161718192021[[#This Row],[Date]],'DB China Official PMI'!$A:$C,3))</f>
        <v/>
      </c>
    </row>
    <row r="223">
      <c r="A223" s="10" t="n">
        <v>44958</v>
      </c>
      <c r="B223" s="18">
        <f>IF(VLOOKUP(A223,'DB Country PMI'!$A:$AZ,MATCH($A$2,'DB Country PMI'!$A$1:$AZ$1,),)=0,#N/A,VLOOKUP(A223,'DB Country PMI'!$A:$AZ,MATCH($A$2,'DB Country PMI'!$A$1:$AZ$1,),))</f>
        <v/>
      </c>
      <c r="C223" s="24">
        <f>Table1346811121415161718192021[[#This Row],[Caixin PMI]]-B222</f>
        <v/>
      </c>
      <c r="D223" s="24">
        <f>IF(VLOOKUP(Table1346811121415161718192021[[#This Row],[Date]],'DB China Official PMI'!$A:$C,2)=0,#N/A,VLOOKUP(Table1346811121415161718192021[[#This Row],[Date]],'DB China Official PMI'!$A:$C,2))</f>
        <v/>
      </c>
      <c r="E223" s="24">
        <f>Table1346811121415161718192021[[#This Row],[Official PMI]]-D222</f>
        <v/>
      </c>
      <c r="F223" s="52">
        <f>IF(VLOOKUP(Table1346811121415161718192021[[#This Row],[Date]],'DB China Official PMI'!$A:$C,3)=0,"",VLOOKUP(Table1346811121415161718192021[[#This Row],[Date]],'DB China Official PMI'!$A:$C,3))</f>
        <v/>
      </c>
    </row>
    <row r="224">
      <c r="A224" s="10" t="n">
        <v>44986</v>
      </c>
      <c r="B224" s="18">
        <f>IF(VLOOKUP(A224,'DB Country PMI'!$A:$AZ,MATCH($A$2,'DB Country PMI'!$A$1:$AZ$1,),)=0,#N/A,VLOOKUP(A224,'DB Country PMI'!$A:$AZ,MATCH($A$2,'DB Country PMI'!$A$1:$AZ$1,),))</f>
        <v/>
      </c>
      <c r="C224" s="24">
        <f>Table1346811121415161718192021[[#This Row],[Caixin PMI]]-B223</f>
        <v/>
      </c>
      <c r="D224" s="24">
        <f>IF(VLOOKUP(Table1346811121415161718192021[[#This Row],[Date]],'DB China Official PMI'!$A:$C,2)=0,#N/A,VLOOKUP(Table1346811121415161718192021[[#This Row],[Date]],'DB China Official PMI'!$A:$C,2))</f>
        <v/>
      </c>
      <c r="E224" s="24">
        <f>Table1346811121415161718192021[[#This Row],[Official PMI]]-D223</f>
        <v/>
      </c>
      <c r="F224" s="52">
        <f>IF(VLOOKUP(Table1346811121415161718192021[[#This Row],[Date]],'DB China Official PMI'!$A:$C,3)=0,"",VLOOKUP(Table1346811121415161718192021[[#This Row],[Date]],'DB China Official PMI'!$A:$C,3))</f>
        <v/>
      </c>
    </row>
  </sheetData>
  <conditionalFormatting sqref="B66:B224">
    <cfRule type="colorScale" priority="2">
      <colorScale>
        <cfvo type="min"/>
        <cfvo type="percentile" val="50"/>
        <cfvo type="max"/>
        <color rgb="FFF8696B"/>
        <color rgb="FFFFEB84"/>
        <color rgb="FF63BE7B"/>
      </colorScale>
    </cfRule>
  </conditionalFormatting>
  <conditionalFormatting sqref="C66:C224">
    <cfRule type="colorScale" priority="4">
      <colorScale>
        <cfvo type="min"/>
        <cfvo type="percentile" val="50"/>
        <cfvo type="max"/>
        <color rgb="FFF8696B"/>
        <color rgb="FFFCFCFF"/>
        <color rgb="FF5A8AC6"/>
      </colorScale>
    </cfRule>
  </conditionalFormatting>
  <conditionalFormatting sqref="D66:D224">
    <cfRule type="colorScale" priority="1">
      <colorScale>
        <cfvo type="min"/>
        <cfvo type="percentile" val="50"/>
        <cfvo type="max"/>
        <color rgb="FFF8696B"/>
        <color rgb="FFFFEB84"/>
        <color rgb="FF63BE7B"/>
      </colorScale>
    </cfRule>
  </conditionalFormatting>
  <conditionalFormatting sqref="E66:E224">
    <cfRule type="colorScale" priority="3">
      <colorScale>
        <cfvo type="min"/>
        <cfvo type="percentile" val="50"/>
        <cfvo type="max"/>
        <color rgb="FFF8696B"/>
        <color rgb="FFFCFCFF"/>
        <color rgb="FF5A8AC6"/>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5"/>
  <sheetViews>
    <sheetView zoomScale="70" zoomScaleNormal="70" workbookViewId="0">
      <pane ySplit="5" topLeftCell="A194" activePane="bottomLeft" state="frozen"/>
      <selection activeCell="P121" sqref="P121"/>
      <selection pane="bottomLeft" activeCell="A215" sqref="A215:G22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row r="222">
      <c r="A222" s="10" t="n">
        <v>44896</v>
      </c>
      <c r="B222" s="18">
        <f>IF(VLOOKUP(A222,'DB Country PMI'!$A:$AZ,MATCH($A$1,'DB Country PMI'!$A$1:$AZ$1,),)=0,#N/A,VLOOKUP(A222,'DB Country PMI'!$A:$AZ,MATCH($A$1,'DB Country PMI'!$A$1:$AZ$1,),))</f>
        <v/>
      </c>
      <c r="C222" s="24">
        <f>Table13468111214[[#This Row],[Euro Area PMI]]-B221</f>
        <v/>
      </c>
      <c r="D222" s="11">
        <f>IF(VLOOKUP(Table13468111214[[#This Row],[Date]],'DB Global PMI'!$A:$F,4)=0,#N/A,VLOOKUP(Table13468111214[[#This Row],[Date]],'DB Global PMI'!$A:$F,4))</f>
        <v/>
      </c>
      <c r="E222" s="24">
        <f>Table13468111214[[#This Row],[Euro Area PMI]]-B210</f>
        <v/>
      </c>
      <c r="F222" s="52">
        <f>(Table13468111214[[#This Row],[EZU]]-D210)/D210</f>
        <v/>
      </c>
      <c r="G222" s="52">
        <f>IF(VLOOKUP(Table13468111214[[#This Row],[Date]],'DB Global PMI'!$A:$F,6)=0,"",VLOOKUP(Table13468111214[[#This Row],[Date]],'DB Global PMI'!$A:$F,6))</f>
        <v/>
      </c>
    </row>
    <row r="223">
      <c r="A223" s="10" t="n">
        <v>44927</v>
      </c>
      <c r="B223" s="18">
        <f>IF(VLOOKUP(A223,'DB Country PMI'!$A:$AZ,MATCH($A$1,'DB Country PMI'!$A$1:$AZ$1,),)=0,#N/A,VLOOKUP(A223,'DB Country PMI'!$A:$AZ,MATCH($A$1,'DB Country PMI'!$A$1:$AZ$1,),))</f>
        <v/>
      </c>
      <c r="C223" s="24">
        <f>Table13468111214[[#This Row],[Euro Area PMI]]-B222</f>
        <v/>
      </c>
      <c r="D223" s="11">
        <f>IF(VLOOKUP(Table13468111214[[#This Row],[Date]],'DB Global PMI'!$A:$F,4)=0,#N/A,VLOOKUP(Table13468111214[[#This Row],[Date]],'DB Global PMI'!$A:$F,4))</f>
        <v/>
      </c>
      <c r="E223" s="24">
        <f>Table13468111214[[#This Row],[Euro Area PMI]]-B211</f>
        <v/>
      </c>
      <c r="F223" s="52">
        <f>(Table13468111214[[#This Row],[EZU]]-D211)/D211</f>
        <v/>
      </c>
      <c r="G223" s="52">
        <f>IF(VLOOKUP(Table13468111214[[#This Row],[Date]],'DB Global PMI'!$A:$F,6)=0,"",VLOOKUP(Table13468111214[[#This Row],[Date]],'DB Global PMI'!$A:$F,6))</f>
        <v/>
      </c>
    </row>
    <row r="224">
      <c r="A224" s="10" t="n">
        <v>44958</v>
      </c>
      <c r="B224" s="18">
        <f>IF(VLOOKUP(A224,'DB Country PMI'!$A:$AZ,MATCH($A$1,'DB Country PMI'!$A$1:$AZ$1,),)=0,#N/A,VLOOKUP(A224,'DB Country PMI'!$A:$AZ,MATCH($A$1,'DB Country PMI'!$A$1:$AZ$1,),))</f>
        <v/>
      </c>
      <c r="C224" s="24">
        <f>Table13468111214[[#This Row],[Euro Area PMI]]-B223</f>
        <v/>
      </c>
      <c r="D224" s="11">
        <f>IF(VLOOKUP(Table13468111214[[#This Row],[Date]],'DB Global PMI'!$A:$F,4)=0,#N/A,VLOOKUP(Table13468111214[[#This Row],[Date]],'DB Global PMI'!$A:$F,4))</f>
        <v/>
      </c>
      <c r="E224" s="24">
        <f>Table13468111214[[#This Row],[Euro Area PMI]]-B212</f>
        <v/>
      </c>
      <c r="F224" s="52">
        <f>(Table13468111214[[#This Row],[EZU]]-D212)/D212</f>
        <v/>
      </c>
      <c r="G224" s="52">
        <f>IF(VLOOKUP(Table13468111214[[#This Row],[Date]],'DB Global PMI'!$A:$F,6)=0,"",VLOOKUP(Table13468111214[[#This Row],[Date]],'DB Global PMI'!$A:$F,6))</f>
        <v/>
      </c>
    </row>
    <row r="225">
      <c r="A225" s="10" t="n">
        <v>44986</v>
      </c>
      <c r="B225" s="18">
        <f>IF(VLOOKUP(A225,'DB Country PMI'!$A:$AZ,MATCH($A$1,'DB Country PMI'!$A$1:$AZ$1,),)=0,#N/A,VLOOKUP(A225,'DB Country PMI'!$A:$AZ,MATCH($A$1,'DB Country PMI'!$A$1:$AZ$1,),))</f>
        <v/>
      </c>
      <c r="C225" s="24">
        <f>Table13468111214[[#This Row],[Euro Area PMI]]-B224</f>
        <v/>
      </c>
      <c r="D225" s="11">
        <f>IF(VLOOKUP(Table13468111214[[#This Row],[Date]],'DB Global PMI'!$A:$F,4)=0,#N/A,VLOOKUP(Table13468111214[[#This Row],[Date]],'DB Global PMI'!$A:$F,4))</f>
        <v/>
      </c>
      <c r="E225" s="24">
        <f>Table13468111214[[#This Row],[Euro Area PMI]]-B213</f>
        <v/>
      </c>
      <c r="F225" s="52">
        <f>(Table13468111214[[#This Row],[EZU]]-D213)/D213</f>
        <v/>
      </c>
      <c r="G225" s="52">
        <f>IF(VLOOKUP(Table13468111214[[#This Row],[Date]],'DB Global PMI'!$A:$F,6)=0,"",VLOOKUP(Table13468111214[[#This Row],[Date]],'DB Global PMI'!$A:$F,6))</f>
        <v/>
      </c>
    </row>
  </sheetData>
  <conditionalFormatting sqref="B6:B225">
    <cfRule type="colorScale" priority="53">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7"/>
  <sheetViews>
    <sheetView zoomScale="90" zoomScaleNormal="90" workbookViewId="0">
      <pane ySplit="5" topLeftCell="A164" activePane="bottomLeft" state="frozen"/>
      <selection activeCell="B327" sqref="B327"/>
      <selection pane="bottomLeft" activeCell="A179" sqref="A179:C187"/>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row r="184">
      <c r="A184" s="10" t="n">
        <v>44896</v>
      </c>
      <c r="B184" s="18">
        <f>IF(VLOOKUP(A184,'DB Country PMI'!$A:$AZ,MATCH($A$1,'DB Country PMI'!$A$1:$AZ$1,),)=0,#N/A,VLOOKUP(A184,'DB Country PMI'!$A:$AZ,MATCH($A$1,'DB Country PMI'!$A$1:$AZ$1,),))</f>
        <v/>
      </c>
      <c r="C184" s="24">
        <f>Table1346811121415161718192022[[#This Row],[PMI]]-B183</f>
        <v/>
      </c>
    </row>
    <row r="185">
      <c r="A185" s="10" t="n">
        <v>44927</v>
      </c>
      <c r="B185" s="18">
        <f>IF(VLOOKUP(A185,'DB Country PMI'!$A:$AZ,MATCH($A$1,'DB Country PMI'!$A$1:$AZ$1,),)=0,#N/A,VLOOKUP(A185,'DB Country PMI'!$A:$AZ,MATCH($A$1,'DB Country PMI'!$A$1:$AZ$1,),))</f>
        <v/>
      </c>
      <c r="C185" s="24">
        <f>Table1346811121415161718192022[[#This Row],[PMI]]-B184</f>
        <v/>
      </c>
    </row>
    <row r="186">
      <c r="A186" s="10" t="n">
        <v>44958</v>
      </c>
      <c r="B186" s="18">
        <f>IF(VLOOKUP(A186,'DB Country PMI'!$A:$AZ,MATCH($A$1,'DB Country PMI'!$A$1:$AZ$1,),)=0,#N/A,VLOOKUP(A186,'DB Country PMI'!$A:$AZ,MATCH($A$1,'DB Country PMI'!$A$1:$AZ$1,),))</f>
        <v/>
      </c>
      <c r="C186" s="24">
        <f>Table1346811121415161718192022[[#This Row],[PMI]]-B185</f>
        <v/>
      </c>
    </row>
    <row r="187">
      <c r="A187" s="10" t="n">
        <v>44986</v>
      </c>
      <c r="B187" s="18">
        <f>IF(VLOOKUP(A187,'DB Country PMI'!$A:$AZ,MATCH($A$1,'DB Country PMI'!$A$1:$AZ$1,),)=0,#N/A,VLOOKUP(A187,'DB Country PMI'!$A:$AZ,MATCH($A$1,'DB Country PMI'!$A$1:$AZ$1,),))</f>
        <v/>
      </c>
      <c r="C187" s="24">
        <f>Table1346811121415161718192022[[#This Row],[PMI]]-B186</f>
        <v/>
      </c>
    </row>
  </sheetData>
  <conditionalFormatting sqref="B6:B187">
    <cfRule type="colorScale" priority="66">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8"/>
  <sheetViews>
    <sheetView zoomScale="80" zoomScaleNormal="80" workbookViewId="0">
      <pane ySplit="5" topLeftCell="A161" activePane="bottomLeft" state="frozen"/>
      <selection pane="bottomLeft" activeCell="A180" sqref="A180:C188"/>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row r="185">
      <c r="A185" s="10" t="n">
        <v>44896</v>
      </c>
      <c r="B185" s="18">
        <f>IF(VLOOKUP(A185,'DB Country PMI'!$A:$AZ,MATCH($A$1,'DB Country PMI'!$A$1:$AZ$1,),)=0,#N/A,VLOOKUP(A185,'DB Country PMI'!$A:$AZ,MATCH($A$1,'DB Country PMI'!$A$1:$AZ$1,),))</f>
        <v/>
      </c>
      <c r="C185" s="24">
        <f>Table1346811121415[[#This Row],[PMI]]-B184</f>
        <v/>
      </c>
    </row>
    <row r="186">
      <c r="A186" s="10" t="n">
        <v>44927</v>
      </c>
      <c r="B186" s="18">
        <f>IF(VLOOKUP(A186,'DB Country PMI'!$A:$AZ,MATCH($A$1,'DB Country PMI'!$A$1:$AZ$1,),)=0,#N/A,VLOOKUP(A186,'DB Country PMI'!$A:$AZ,MATCH($A$1,'DB Country PMI'!$A$1:$AZ$1,),))</f>
        <v/>
      </c>
      <c r="C186" s="24">
        <f>Table1346811121415[[#This Row],[PMI]]-B185</f>
        <v/>
      </c>
    </row>
    <row r="187">
      <c r="A187" s="10" t="n">
        <v>44958</v>
      </c>
      <c r="B187" s="18">
        <f>IF(VLOOKUP(A187,'DB Country PMI'!$A:$AZ,MATCH($A$1,'DB Country PMI'!$A$1:$AZ$1,),)=0,#N/A,VLOOKUP(A187,'DB Country PMI'!$A:$AZ,MATCH($A$1,'DB Country PMI'!$A$1:$AZ$1,),))</f>
        <v/>
      </c>
      <c r="C187" s="24">
        <f>Table1346811121415[[#This Row],[PMI]]-B186</f>
        <v/>
      </c>
    </row>
    <row r="188">
      <c r="A188" s="10" t="n">
        <v>44986</v>
      </c>
      <c r="B188" s="18">
        <f>IF(VLOOKUP(A188,'DB Country PMI'!$A:$AZ,MATCH($A$1,'DB Country PMI'!$A$1:$AZ$1,),)=0,#N/A,VLOOKUP(A188,'DB Country PMI'!$A:$AZ,MATCH($A$1,'DB Country PMI'!$A$1:$AZ$1,),))</f>
        <v/>
      </c>
      <c r="C188" s="24">
        <f>Table1346811121415[[#This Row],[PMI]]-B187</f>
        <v/>
      </c>
    </row>
  </sheetData>
  <conditionalFormatting sqref="B6:B188">
    <cfRule type="colorScale" priority="1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81"/>
  <sheetViews>
    <sheetView zoomScaleNormal="100" workbookViewId="0">
      <pane ySplit="5" topLeftCell="A160" activePane="bottomLeft" state="frozen"/>
      <selection pane="bottomLeft" activeCell="A172" sqref="A172:C181"/>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row r="178">
      <c r="A178" s="10" t="n">
        <v>44896</v>
      </c>
      <c r="B178" s="18">
        <f>IF(VLOOKUP(A178,'DB Country PMI'!$A:$AZ,MATCH($A$1,'DB Country PMI'!$A$1:$AZ$1,),)=0,#N/A,VLOOKUP(A178,'DB Country PMI'!$A:$AZ,MATCH($A$1,'DB Country PMI'!$A$1:$AZ$1,),))</f>
        <v/>
      </c>
      <c r="C178" s="24">
        <f>Table134681112141516[[#This Row],[PMI]]-B177</f>
        <v/>
      </c>
    </row>
    <row r="179">
      <c r="A179" s="10" t="n">
        <v>44927</v>
      </c>
      <c r="B179" s="18">
        <f>IF(VLOOKUP(A179,'DB Country PMI'!$A:$AZ,MATCH($A$1,'DB Country PMI'!$A$1:$AZ$1,),)=0,#N/A,VLOOKUP(A179,'DB Country PMI'!$A:$AZ,MATCH($A$1,'DB Country PMI'!$A$1:$AZ$1,),))</f>
        <v/>
      </c>
      <c r="C179" s="24">
        <f>Table134681112141516[[#This Row],[PMI]]-B178</f>
        <v/>
      </c>
    </row>
    <row r="180">
      <c r="A180" s="10" t="n">
        <v>44958</v>
      </c>
      <c r="B180" s="18">
        <f>IF(VLOOKUP(A180,'DB Country PMI'!$A:$AZ,MATCH($A$1,'DB Country PMI'!$A$1:$AZ$1,),)=0,#N/A,VLOOKUP(A180,'DB Country PMI'!$A:$AZ,MATCH($A$1,'DB Country PMI'!$A$1:$AZ$1,),))</f>
        <v/>
      </c>
      <c r="C180" s="24">
        <f>Table134681112141516[[#This Row],[PMI]]-B179</f>
        <v/>
      </c>
    </row>
    <row r="181">
      <c r="A181" s="10" t="n">
        <v>44986</v>
      </c>
      <c r="B181" s="18">
        <f>IF(VLOOKUP(A181,'DB Country PMI'!$A:$AZ,MATCH($A$1,'DB Country PMI'!$A$1:$AZ$1,),)=0,#N/A,VLOOKUP(A181,'DB Country PMI'!$A:$AZ,MATCH($A$1,'DB Country PMI'!$A$1:$AZ$1,),))</f>
        <v/>
      </c>
      <c r="C181" s="24">
        <f>Table134681112141516[[#This Row],[PMI]]-B180</f>
        <v/>
      </c>
    </row>
  </sheetData>
  <conditionalFormatting sqref="B6:B181">
    <cfRule type="colorScale" priority="13">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5"/>
  <sheetViews>
    <sheetView zoomScale="80" zoomScaleNormal="80" workbookViewId="0">
      <pane ySplit="5" topLeftCell="A197" activePane="bottomLeft" state="frozen"/>
      <selection activeCell="P121" sqref="P121"/>
      <selection pane="bottomLeft" activeCell="A209" sqref="A209:F22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row r="222">
      <c r="A222" s="10" t="n">
        <v>44896</v>
      </c>
      <c r="B222" s="18">
        <f>IF(VLOOKUP(A222,'DB Country PMI'!$A:$AZ,MATCH($A$1,'DB Country PMI'!$A$1:$AZ$1,),)=0,#N/A,VLOOKUP(A222,'DB Country PMI'!$A:$AZ,MATCH($A$1,'DB Country PMI'!$A$1:$AZ$1,),))</f>
        <v/>
      </c>
      <c r="C222" s="24">
        <f>Table134681112[[#This Row],[PMI]]-B221</f>
        <v/>
      </c>
      <c r="D222" s="11">
        <f>IF(VLOOKUP(Table134681112[[#This Row],[Date]],'DB Global PMI'!$A:$F,5)=0,#N/A,VLOOKUP(Table134681112[[#This Row],[Date]],'DB Global PMI'!$A:$F,5))</f>
        <v/>
      </c>
      <c r="E222" s="24">
        <f>Table134681112[[#This Row],[PMI]]-B210</f>
        <v/>
      </c>
      <c r="F222" s="52">
        <f>(Table134681112[[#This Row],[EWU]]-D210)/D210</f>
        <v/>
      </c>
    </row>
    <row r="223">
      <c r="A223" s="10" t="n">
        <v>44927</v>
      </c>
      <c r="B223" s="18">
        <f>IF(VLOOKUP(A223,'DB Country PMI'!$A:$AZ,MATCH($A$1,'DB Country PMI'!$A$1:$AZ$1,),)=0,#N/A,VLOOKUP(A223,'DB Country PMI'!$A:$AZ,MATCH($A$1,'DB Country PMI'!$A$1:$AZ$1,),))</f>
        <v/>
      </c>
      <c r="C223" s="24">
        <f>Table134681112[[#This Row],[PMI]]-B222</f>
        <v/>
      </c>
      <c r="D223" s="11">
        <f>IF(VLOOKUP(Table134681112[[#This Row],[Date]],'DB Global PMI'!$A:$F,5)=0,#N/A,VLOOKUP(Table134681112[[#This Row],[Date]],'DB Global PMI'!$A:$F,5))</f>
        <v/>
      </c>
      <c r="E223" s="24">
        <f>Table134681112[[#This Row],[PMI]]-B211</f>
        <v/>
      </c>
      <c r="F223" s="52">
        <f>(Table134681112[[#This Row],[EWU]]-D211)/D211</f>
        <v/>
      </c>
    </row>
    <row r="224">
      <c r="A224" s="10" t="n">
        <v>44958</v>
      </c>
      <c r="B224" s="18">
        <f>IF(VLOOKUP(A224,'DB Country PMI'!$A:$AZ,MATCH($A$1,'DB Country PMI'!$A$1:$AZ$1,),)=0,#N/A,VLOOKUP(A224,'DB Country PMI'!$A:$AZ,MATCH($A$1,'DB Country PMI'!$A$1:$AZ$1,),))</f>
        <v/>
      </c>
      <c r="C224" s="24">
        <f>Table134681112[[#This Row],[PMI]]-B223</f>
        <v/>
      </c>
      <c r="D224" s="11">
        <f>IF(VLOOKUP(Table134681112[[#This Row],[Date]],'DB Global PMI'!$A:$F,5)=0,#N/A,VLOOKUP(Table134681112[[#This Row],[Date]],'DB Global PMI'!$A:$F,5))</f>
        <v/>
      </c>
      <c r="E224" s="24">
        <f>Table134681112[[#This Row],[PMI]]-B212</f>
        <v/>
      </c>
      <c r="F224" s="52">
        <f>(Table134681112[[#This Row],[EWU]]-D212)/D212</f>
        <v/>
      </c>
    </row>
    <row r="225">
      <c r="A225" s="10" t="n">
        <v>44986</v>
      </c>
      <c r="B225" s="18">
        <f>IF(VLOOKUP(A225,'DB Country PMI'!$A:$AZ,MATCH($A$1,'DB Country PMI'!$A$1:$AZ$1,),)=0,#N/A,VLOOKUP(A225,'DB Country PMI'!$A:$AZ,MATCH($A$1,'DB Country PMI'!$A$1:$AZ$1,),))</f>
        <v/>
      </c>
      <c r="C225" s="24">
        <f>Table134681112[[#This Row],[PMI]]-B224</f>
        <v/>
      </c>
      <c r="D225" s="11">
        <f>IF(VLOOKUP(Table134681112[[#This Row],[Date]],'DB Global PMI'!$A:$F,5)=0,#N/A,VLOOKUP(Table134681112[[#This Row],[Date]],'DB Global PMI'!$A:$F,5))</f>
        <v/>
      </c>
      <c r="E225" s="24">
        <f>Table134681112[[#This Row],[PMI]]-B213</f>
        <v/>
      </c>
      <c r="F225" s="52">
        <f>(Table134681112[[#This Row],[EWU]]-D213)/D213</f>
        <v/>
      </c>
    </row>
  </sheetData>
  <conditionalFormatting sqref="B6:B225">
    <cfRule type="colorScale" priority="48">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201"/>
  <sheetViews>
    <sheetView zoomScaleNormal="100" workbookViewId="0">
      <pane ySplit="5" topLeftCell="A182" activePane="bottomLeft" state="frozen"/>
      <selection pane="bottomLeft" activeCell="A191" sqref="A191:C201"/>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row r="198">
      <c r="A198" s="10" t="n">
        <v>44896</v>
      </c>
      <c r="B198" s="18">
        <f>IF(VLOOKUP(A198,'DB Country PMI'!$A:$AZ,MATCH($A$1,'DB Country PMI'!$A$1:$AZ$1,),)=0,#N/A,VLOOKUP(A198,'DB Country PMI'!$A:$AZ,MATCH($A$1,'DB Country PMI'!$A$1:$AZ$1,),))</f>
        <v/>
      </c>
      <c r="C198" s="24">
        <f>Table13468111214151617[[#This Row],[PMI]]-B197</f>
        <v/>
      </c>
    </row>
    <row r="199">
      <c r="A199" s="10" t="n">
        <v>44927</v>
      </c>
      <c r="B199" s="18">
        <f>IF(VLOOKUP(A199,'DB Country PMI'!$A:$AZ,MATCH($A$1,'DB Country PMI'!$A$1:$AZ$1,),)=0,#N/A,VLOOKUP(A199,'DB Country PMI'!$A:$AZ,MATCH($A$1,'DB Country PMI'!$A$1:$AZ$1,),))</f>
        <v/>
      </c>
      <c r="C199" s="24">
        <f>Table13468111214151617[[#This Row],[PMI]]-B198</f>
        <v/>
      </c>
    </row>
    <row r="200">
      <c r="A200" s="10" t="n">
        <v>44958</v>
      </c>
      <c r="B200" s="18">
        <f>IF(VLOOKUP(A200,'DB Country PMI'!$A:$AZ,MATCH($A$1,'DB Country PMI'!$A$1:$AZ$1,),)=0,#N/A,VLOOKUP(A200,'DB Country PMI'!$A:$AZ,MATCH($A$1,'DB Country PMI'!$A$1:$AZ$1,),))</f>
        <v/>
      </c>
      <c r="C200" s="24">
        <f>Table13468111214151617[[#This Row],[PMI]]-B199</f>
        <v/>
      </c>
    </row>
    <row r="201">
      <c r="A201" s="10" t="n">
        <v>44986</v>
      </c>
      <c r="B201" s="18">
        <f>IF(VLOOKUP(A201,'DB Country PMI'!$A:$AZ,MATCH($A$1,'DB Country PMI'!$A$1:$AZ$1,),)=0,#N/A,VLOOKUP(A201,'DB Country PMI'!$A:$AZ,MATCH($A$1,'DB Country PMI'!$A$1:$AZ$1,),))</f>
        <v/>
      </c>
      <c r="C201" s="24">
        <f>Table13468111214151617[[#This Row],[PMI]]-B200</f>
        <v/>
      </c>
    </row>
  </sheetData>
  <conditionalFormatting sqref="B6:B201">
    <cfRule type="colorScale" priority="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201"/>
  <sheetViews>
    <sheetView zoomScale="80" zoomScaleNormal="80" workbookViewId="0">
      <pane ySplit="5" topLeftCell="A172" activePane="bottomLeft" state="frozen"/>
      <selection pane="bottomLeft" activeCell="A192" sqref="A192:C201"/>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row r="198">
      <c r="A198" s="10" t="n">
        <v>44896</v>
      </c>
      <c r="B198" s="18">
        <f>IF(VLOOKUP(A198,'DB Country PMI'!$A:$AZ,MATCH($A$1,'DB Country PMI'!$A$1:$AZ$1,),)=0,#N/A,VLOOKUP(A198,'DB Country PMI'!$A:$AZ,MATCH($A$1,'DB Country PMI'!$A$1:$AZ$1,),))</f>
        <v/>
      </c>
      <c r="C198" s="24">
        <f>Table1346811121415161718[[#This Row],[PMI]]-B197</f>
        <v/>
      </c>
    </row>
    <row r="199">
      <c r="A199" s="10" t="n">
        <v>44927</v>
      </c>
      <c r="B199" s="18">
        <f>IF(VLOOKUP(A199,'DB Country PMI'!$A:$AZ,MATCH($A$1,'DB Country PMI'!$A$1:$AZ$1,),)=0,#N/A,VLOOKUP(A199,'DB Country PMI'!$A:$AZ,MATCH($A$1,'DB Country PMI'!$A$1:$AZ$1,),))</f>
        <v/>
      </c>
      <c r="C199" s="24">
        <f>Table1346811121415161718[[#This Row],[PMI]]-B198</f>
        <v/>
      </c>
    </row>
    <row r="200">
      <c r="A200" s="10" t="n">
        <v>44958</v>
      </c>
      <c r="B200" s="18">
        <f>IF(VLOOKUP(A200,'DB Country PMI'!$A:$AZ,MATCH($A$1,'DB Country PMI'!$A$1:$AZ$1,),)=0,#N/A,VLOOKUP(A200,'DB Country PMI'!$A:$AZ,MATCH($A$1,'DB Country PMI'!$A$1:$AZ$1,),))</f>
        <v/>
      </c>
      <c r="C200" s="24">
        <f>Table1346811121415161718[[#This Row],[PMI]]-B199</f>
        <v/>
      </c>
    </row>
    <row r="201">
      <c r="A201" s="10" t="n">
        <v>44986</v>
      </c>
      <c r="B201" s="18">
        <f>IF(VLOOKUP(A201,'DB Country PMI'!$A:$AZ,MATCH($A$1,'DB Country PMI'!$A$1:$AZ$1,),)=0,#N/A,VLOOKUP(A201,'DB Country PMI'!$A:$AZ,MATCH($A$1,'DB Country PMI'!$A$1:$AZ$1,),))</f>
        <v/>
      </c>
      <c r="C201" s="24">
        <f>Table1346811121415161718[[#This Row],[PMI]]-B200</f>
        <v/>
      </c>
    </row>
  </sheetData>
  <conditionalFormatting sqref="B6:B201">
    <cfRule type="colorScale" priority="60">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5"/>
  <sheetViews>
    <sheetView zoomScale="90" zoomScaleNormal="90" workbookViewId="0">
      <pane ySplit="5" topLeftCell="A132" activePane="bottomLeft" state="frozen"/>
      <selection pane="bottomLeft" activeCell="A142" sqref="A142: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row r="152">
      <c r="A152" s="10" t="n">
        <v>44896</v>
      </c>
      <c r="B152" s="18">
        <f>IF(VLOOKUP(A152,'DB Country PMI'!$A:$AZ,MATCH($A$1,'DB Country PMI'!$A$1:$AZ$1,),)=0,#N/A,VLOOKUP(A152,'DB Country PMI'!$A:$AZ,MATCH($A$1,'DB Country PMI'!$A$1:$AZ$1,),))</f>
        <v/>
      </c>
      <c r="C152" s="24">
        <f>Table134681112141516171819202223[[#This Row],[PMI]]-B151</f>
        <v/>
      </c>
    </row>
    <row r="153">
      <c r="A153" s="10" t="n">
        <v>44927</v>
      </c>
      <c r="B153" s="18">
        <f>IF(VLOOKUP(A153,'DB Country PMI'!$A:$AZ,MATCH($A$1,'DB Country PMI'!$A$1:$AZ$1,),)=0,#N/A,VLOOKUP(A153,'DB Country PMI'!$A:$AZ,MATCH($A$1,'DB Country PMI'!$A$1:$AZ$1,),))</f>
        <v/>
      </c>
      <c r="C153" s="24">
        <f>Table134681112141516171819202223[[#This Row],[PMI]]-B152</f>
        <v/>
      </c>
    </row>
    <row r="154">
      <c r="A154" s="10" t="n">
        <v>44958</v>
      </c>
      <c r="B154" s="18">
        <f>IF(VLOOKUP(A154,'DB Country PMI'!$A:$AZ,MATCH($A$1,'DB Country PMI'!$A$1:$AZ$1,),)=0,#N/A,VLOOKUP(A154,'DB Country PMI'!$A:$AZ,MATCH($A$1,'DB Country PMI'!$A$1:$AZ$1,),))</f>
        <v/>
      </c>
      <c r="C154" s="24">
        <f>Table134681112141516171819202223[[#This Row],[PMI]]-B153</f>
        <v/>
      </c>
    </row>
    <row r="155">
      <c r="A155" s="10" t="n">
        <v>44986</v>
      </c>
      <c r="B155" s="18">
        <f>IF(VLOOKUP(A155,'DB Country PMI'!$A:$AZ,MATCH($A$1,'DB Country PMI'!$A$1:$AZ$1,),)=0,#N/A,VLOOKUP(A155,'DB Country PMI'!$A:$AZ,MATCH($A$1,'DB Country PMI'!$A$1:$AZ$1,),))</f>
        <v/>
      </c>
      <c r="C155" s="24">
        <f>Table134681112141516171819202223[[#This Row],[PMI]]-B154</f>
        <v/>
      </c>
    </row>
  </sheetData>
  <conditionalFormatting sqref="B6:B155">
    <cfRule type="colorScale" priority="61">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9"/>
  <sheetViews>
    <sheetView zoomScale="80" zoomScaleNormal="80" workbookViewId="0">
      <pane ySplit="5" topLeftCell="A124" activePane="bottomLeft" state="frozen"/>
      <selection pane="bottomLeft" activeCell="A135" sqref="A135:C149"/>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row r="146">
      <c r="A146" s="10" t="n">
        <v>44896</v>
      </c>
      <c r="B146" s="18">
        <f>IF(VLOOKUP(A146,'DB Country PMI'!$A:$AZ,MATCH($A$1,'DB Country PMI'!$A$1:$AZ$1,),)=0,#N/A,VLOOKUP(A146,'DB Country PMI'!$A:$AZ,MATCH($A$1,'DB Country PMI'!$A$1:$AZ$1,),))</f>
        <v/>
      </c>
      <c r="C146" s="24">
        <f>Table13468111214151617181920222526[[#This Row],[PMI]]-B145</f>
        <v/>
      </c>
    </row>
    <row r="147">
      <c r="A147" s="10" t="n">
        <v>44927</v>
      </c>
      <c r="B147" s="18">
        <f>IF(VLOOKUP(A147,'DB Country PMI'!$A:$AZ,MATCH($A$1,'DB Country PMI'!$A$1:$AZ$1,),)=0,#N/A,VLOOKUP(A147,'DB Country PMI'!$A:$AZ,MATCH($A$1,'DB Country PMI'!$A$1:$AZ$1,),))</f>
        <v/>
      </c>
      <c r="C147" s="24">
        <f>Table13468111214151617181920222526[[#This Row],[PMI]]-B146</f>
        <v/>
      </c>
    </row>
    <row r="148">
      <c r="A148" s="10" t="n">
        <v>44958</v>
      </c>
      <c r="B148" s="18">
        <f>IF(VLOOKUP(A148,'DB Country PMI'!$A:$AZ,MATCH($A$1,'DB Country PMI'!$A$1:$AZ$1,),)=0,#N/A,VLOOKUP(A148,'DB Country PMI'!$A:$AZ,MATCH($A$1,'DB Country PMI'!$A$1:$AZ$1,),))</f>
        <v/>
      </c>
      <c r="C148" s="24">
        <f>Table13468111214151617181920222526[[#This Row],[PMI]]-B147</f>
        <v/>
      </c>
    </row>
    <row r="149">
      <c r="A149" s="10" t="n">
        <v>44986</v>
      </c>
      <c r="B149" s="18">
        <f>IF(VLOOKUP(A149,'DB Country PMI'!$A:$AZ,MATCH($A$1,'DB Country PMI'!$A$1:$AZ$1,),)=0,#N/A,VLOOKUP(A149,'DB Country PMI'!$A:$AZ,MATCH($A$1,'DB Country PMI'!$A$1:$AZ$1,),))</f>
        <v/>
      </c>
      <c r="C149" s="24">
        <f>Table13468111214151617181920222526[[#This Row],[PMI]]-B148</f>
        <v/>
      </c>
    </row>
  </sheetData>
  <conditionalFormatting sqref="B6:B149">
    <cfRule type="colorScale" priority="17">
      <colorScale>
        <cfvo type="min"/>
        <cfvo type="percentile" val="50"/>
        <cfvo type="max"/>
        <color rgb="FFF8696B"/>
        <color rgb="FFFFEB84"/>
        <color rgb="FF63BE7B"/>
      </colorScale>
    </cfRule>
  </conditionalFormatting>
  <conditionalFormatting sqref="C7:C14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5"/>
  <sheetViews>
    <sheetView zoomScale="110" zoomScaleNormal="110" workbookViewId="0">
      <pane ySplit="5" topLeftCell="A136" activePane="bottomLeft" state="frozen"/>
      <selection pane="bottomLeft" activeCell="A143" sqref="A143: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row r="152">
      <c r="A152" s="10" t="n">
        <v>44896</v>
      </c>
      <c r="B152" s="18">
        <f>IF(VLOOKUP(A152,'DB Country PMI'!$A:$AZ,MATCH($A$1,'DB Country PMI'!$A$1:$AZ$1,),)=0,#N/A,VLOOKUP(A152,'DB Country PMI'!$A:$AZ,MATCH($A$1,'DB Country PMI'!$A$1:$AZ$1,),))</f>
        <v/>
      </c>
      <c r="C152" s="24">
        <f>Table134681112141516171819202225[[#This Row],[PMI]]-B151</f>
        <v/>
      </c>
    </row>
    <row r="153">
      <c r="A153" s="10" t="n">
        <v>44927</v>
      </c>
      <c r="B153" s="18">
        <f>IF(VLOOKUP(A153,'DB Country PMI'!$A:$AZ,MATCH($A$1,'DB Country PMI'!$A$1:$AZ$1,),)=0,#N/A,VLOOKUP(A153,'DB Country PMI'!$A:$AZ,MATCH($A$1,'DB Country PMI'!$A$1:$AZ$1,),))</f>
        <v/>
      </c>
      <c r="C153" s="24">
        <f>Table134681112141516171819202225[[#This Row],[PMI]]-B152</f>
        <v/>
      </c>
    </row>
    <row r="154">
      <c r="A154" s="10" t="n">
        <v>44958</v>
      </c>
      <c r="B154" s="18">
        <f>IF(VLOOKUP(A154,'DB Country PMI'!$A:$AZ,MATCH($A$1,'DB Country PMI'!$A$1:$AZ$1,),)=0,#N/A,VLOOKUP(A154,'DB Country PMI'!$A:$AZ,MATCH($A$1,'DB Country PMI'!$A$1:$AZ$1,),))</f>
        <v/>
      </c>
      <c r="C154" s="24">
        <f>Table134681112141516171819202225[[#This Row],[PMI]]-B153</f>
        <v/>
      </c>
    </row>
    <row r="155">
      <c r="A155" s="10" t="n">
        <v>44986</v>
      </c>
      <c r="B155" s="18">
        <f>IF(VLOOKUP(A155,'DB Country PMI'!$A:$AZ,MATCH($A$1,'DB Country PMI'!$A$1:$AZ$1,),)=0,#N/A,VLOOKUP(A155,'DB Country PMI'!$A:$AZ,MATCH($A$1,'DB Country PMI'!$A$1:$AZ$1,),))</f>
        <v/>
      </c>
      <c r="C155" s="24">
        <f>Table134681112141516171819202225[[#This Row],[PMI]]-B154</f>
        <v/>
      </c>
    </row>
  </sheetData>
  <conditionalFormatting sqref="B6:B155">
    <cfRule type="colorScale" priority="16">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5"/>
  <sheetViews>
    <sheetView zoomScale="110" zoomScaleNormal="110" workbookViewId="0">
      <pane ySplit="5" topLeftCell="A137" activePane="bottomLeft" state="frozen"/>
      <selection pane="bottomLeft" activeCell="A146" sqref="A146: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row r="152">
      <c r="A152" s="10" t="n">
        <v>44896</v>
      </c>
      <c r="B152" s="18">
        <f>IF(VLOOKUP(A152,'DB Country PMI'!$A:$AZ,MATCH($A$1,'DB Country PMI'!$A$1:$AZ$1,),)=0,#N/A,VLOOKUP(A152,'DB Country PMI'!$A:$AZ,MATCH($A$1,'DB Country PMI'!$A$1:$AZ$1,),))</f>
        <v/>
      </c>
      <c r="C152" s="24">
        <f>Table13468111214151617181920222324[[#This Row],[PMI]]-B151</f>
        <v/>
      </c>
    </row>
    <row r="153">
      <c r="A153" s="10" t="n">
        <v>44927</v>
      </c>
      <c r="B153" s="18">
        <f>IF(VLOOKUP(A153,'DB Country PMI'!$A:$AZ,MATCH($A$1,'DB Country PMI'!$A$1:$AZ$1,),)=0,#N/A,VLOOKUP(A153,'DB Country PMI'!$A:$AZ,MATCH($A$1,'DB Country PMI'!$A$1:$AZ$1,),))</f>
        <v/>
      </c>
      <c r="C153" s="24">
        <f>Table13468111214151617181920222324[[#This Row],[PMI]]-B152</f>
        <v/>
      </c>
    </row>
    <row r="154">
      <c r="A154" s="10" t="n">
        <v>44958</v>
      </c>
      <c r="B154" s="18">
        <f>IF(VLOOKUP(A154,'DB Country PMI'!$A:$AZ,MATCH($A$1,'DB Country PMI'!$A$1:$AZ$1,),)=0,#N/A,VLOOKUP(A154,'DB Country PMI'!$A:$AZ,MATCH($A$1,'DB Country PMI'!$A$1:$AZ$1,),))</f>
        <v/>
      </c>
      <c r="C154" s="24">
        <f>Table13468111214151617181920222324[[#This Row],[PMI]]-B153</f>
        <v/>
      </c>
    </row>
    <row r="155">
      <c r="A155" s="10" t="n">
        <v>44986</v>
      </c>
      <c r="B155" s="18">
        <f>IF(VLOOKUP(A155,'DB Country PMI'!$A:$AZ,MATCH($A$1,'DB Country PMI'!$A$1:$AZ$1,),)=0,#N/A,VLOOKUP(A155,'DB Country PMI'!$A:$AZ,MATCH($A$1,'DB Country PMI'!$A$1:$AZ$1,),))</f>
        <v/>
      </c>
      <c r="C155" s="24">
        <f>Table13468111214151617181920222324[[#This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9"/>
  <sheetViews>
    <sheetView zoomScaleNormal="100" workbookViewId="0">
      <pane ySplit="5" topLeftCell="A130" activePane="bottomLeft" state="frozen"/>
      <selection pane="bottomLeft" activeCell="A139" sqref="A139:C149"/>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row r="146">
      <c r="A146" s="10" t="n">
        <v>44896</v>
      </c>
      <c r="B146" s="18">
        <f>IF(VLOOKUP(A146,'DB Country PMI'!$A:$AZ,MATCH($A$1,'DB Country PMI'!$A$1:$AZ$1,),)=0,#N/A,VLOOKUP(A146,'DB Country PMI'!$A:$AZ,MATCH($A$1,'DB Country PMI'!$A$1:$AZ$1,),))</f>
        <v/>
      </c>
      <c r="C146" s="24">
        <f>Table13468[[#This Row],[PMI]]-B145</f>
        <v/>
      </c>
    </row>
    <row r="147">
      <c r="A147" s="10" t="n">
        <v>44927</v>
      </c>
      <c r="B147" s="18">
        <f>IF(VLOOKUP(A147,'DB Country PMI'!$A:$AZ,MATCH($A$1,'DB Country PMI'!$A$1:$AZ$1,),)=0,#N/A,VLOOKUP(A147,'DB Country PMI'!$A:$AZ,MATCH($A$1,'DB Country PMI'!$A$1:$AZ$1,),))</f>
        <v/>
      </c>
      <c r="C147" s="24">
        <f>Table13468[[#This Row],[PMI]]-B146</f>
        <v/>
      </c>
    </row>
    <row r="148">
      <c r="A148" s="10" t="n">
        <v>44958</v>
      </c>
      <c r="B148" s="18">
        <f>IF(VLOOKUP(A148,'DB Country PMI'!$A:$AZ,MATCH($A$1,'DB Country PMI'!$A$1:$AZ$1,),)=0,#N/A,VLOOKUP(A148,'DB Country PMI'!$A:$AZ,MATCH($A$1,'DB Country PMI'!$A$1:$AZ$1,),))</f>
        <v/>
      </c>
      <c r="C148" s="24">
        <f>Table13468[[#This Row],[PMI]]-B147</f>
        <v/>
      </c>
    </row>
    <row r="149">
      <c r="A149" s="10" t="n">
        <v>44986</v>
      </c>
      <c r="B149" s="18">
        <f>IF(VLOOKUP(A149,'DB Country PMI'!$A:$AZ,MATCH($A$1,'DB Country PMI'!$A$1:$AZ$1,),)=0,#N/A,VLOOKUP(A149,'DB Country PMI'!$A:$AZ,MATCH($A$1,'DB Country PMI'!$A$1:$AZ$1,),))</f>
        <v/>
      </c>
      <c r="C149" s="24">
        <f>Table13468[[#This Row],[PMI]]-B148</f>
        <v/>
      </c>
    </row>
  </sheetData>
  <conditionalFormatting sqref="B6:B149">
    <cfRule type="colorScale" priority="2">
      <colorScale>
        <cfvo type="min"/>
        <cfvo type="percentile" val="50"/>
        <cfvo type="max"/>
        <color rgb="FFF8696B"/>
        <color rgb="FFFFEB84"/>
        <color rgb="FF63BE7B"/>
      </colorScale>
    </cfRule>
  </conditionalFormatting>
  <conditionalFormatting sqref="C7:C14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2" activePane="bottomLeft" state="frozen"/>
      <selection pane="bottomLeft" activeCell="A181" sqref="A181:XFD182"/>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6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9"/>
  <sheetViews>
    <sheetView zoomScaleNormal="100" workbookViewId="0">
      <pane ySplit="5" topLeftCell="A133" activePane="bottomLeft" state="frozen"/>
      <selection pane="bottomLeft" activeCell="A140" sqref="A140:C149"/>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row r="146">
      <c r="A146" s="10" t="n">
        <v>44896</v>
      </c>
      <c r="B146" s="18">
        <f>IF(VLOOKUP(A146,'DB Country PMI'!$A:$AZ,MATCH($A$1,'DB Country PMI'!$A$1:$AZ$1,),)=0,#N/A,VLOOKUP(A146,'DB Country PMI'!$A:$AZ,MATCH($A$1,'DB Country PMI'!$A$1:$AZ$1,),))</f>
        <v/>
      </c>
      <c r="C146" s="24">
        <f>Table13468111214151617181920222530[[#This Row],[PMI]]-B145</f>
        <v/>
      </c>
    </row>
    <row r="147">
      <c r="A147" s="10" t="n">
        <v>44927</v>
      </c>
      <c r="B147" s="18">
        <f>IF(VLOOKUP(A147,'DB Country PMI'!$A:$AZ,MATCH($A$1,'DB Country PMI'!$A$1:$AZ$1,),)=0,#N/A,VLOOKUP(A147,'DB Country PMI'!$A:$AZ,MATCH($A$1,'DB Country PMI'!$A$1:$AZ$1,),))</f>
        <v/>
      </c>
      <c r="C147" s="24">
        <f>Table13468111214151617181920222530[[#This Row],[PMI]]-B146</f>
        <v/>
      </c>
    </row>
    <row r="148">
      <c r="A148" s="10" t="n">
        <v>44958</v>
      </c>
      <c r="B148" s="18">
        <f>IF(VLOOKUP(A148,'DB Country PMI'!$A:$AZ,MATCH($A$1,'DB Country PMI'!$A$1:$AZ$1,),)=0,#N/A,VLOOKUP(A148,'DB Country PMI'!$A:$AZ,MATCH($A$1,'DB Country PMI'!$A$1:$AZ$1,),))</f>
        <v/>
      </c>
      <c r="C148" s="24">
        <f>Table13468111214151617181920222530[[#This Row],[PMI]]-B147</f>
        <v/>
      </c>
    </row>
    <row r="149">
      <c r="A149" s="10" t="n">
        <v>44986</v>
      </c>
      <c r="B149" s="18">
        <f>IF(VLOOKUP(A149,'DB Country PMI'!$A:$AZ,MATCH($A$1,'DB Country PMI'!$A$1:$AZ$1,),)=0,#N/A,VLOOKUP(A149,'DB Country PMI'!$A:$AZ,MATCH($A$1,'DB Country PMI'!$A$1:$AZ$1,),))</f>
        <v/>
      </c>
      <c r="C149" s="24">
        <f>Table13468111214151617181920222530[[#This Row],[PMI]]-B148</f>
        <v/>
      </c>
    </row>
  </sheetData>
  <conditionalFormatting sqref="B6:B149">
    <cfRule type="colorScale" priority="18">
      <colorScale>
        <cfvo type="min"/>
        <cfvo type="percentile" val="50"/>
        <cfvo type="max"/>
        <color rgb="FFF8696B"/>
        <color rgb="FFFFEB84"/>
        <color rgb="FF63BE7B"/>
      </colorScale>
    </cfRule>
  </conditionalFormatting>
  <conditionalFormatting sqref="C7:C14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53"/>
  <sheetViews>
    <sheetView zoomScale="80" zoomScaleNormal="80" workbookViewId="0">
      <pane ySplit="5" topLeftCell="A128" activePane="bottomLeft" state="frozen"/>
      <selection pane="bottomLeft" activeCell="A144" sqref="A144:C153"/>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row r="150">
      <c r="A150" s="10" t="n">
        <v>44896</v>
      </c>
      <c r="B150" s="18">
        <f>IF(VLOOKUP(A150,'DB Country PMI'!$A:$AZ,MATCH($A$1,'DB Country PMI'!$A$1:$AZ$1,),)=0,#N/A,VLOOKUP(A150,'DB Country PMI'!$A:$AZ,MATCH($A$1,'DB Country PMI'!$A$1:$AZ$1,),))</f>
        <v/>
      </c>
      <c r="C150" s="24">
        <f>Table1346811121415161718192022252629[[#This Row],[PMI]]-B149</f>
        <v/>
      </c>
    </row>
    <row r="151">
      <c r="A151" s="10" t="n">
        <v>44927</v>
      </c>
      <c r="B151" s="18">
        <f>IF(VLOOKUP(A151,'DB Country PMI'!$A:$AZ,MATCH($A$1,'DB Country PMI'!$A$1:$AZ$1,),)=0,#N/A,VLOOKUP(A151,'DB Country PMI'!$A:$AZ,MATCH($A$1,'DB Country PMI'!$A$1:$AZ$1,),))</f>
        <v/>
      </c>
      <c r="C151" s="24">
        <f>Table1346811121415161718192022252629[[#This Row],[PMI]]-B150</f>
        <v/>
      </c>
    </row>
    <row r="152">
      <c r="A152" s="10" t="n">
        <v>44958</v>
      </c>
      <c r="B152" s="18">
        <f>IF(VLOOKUP(A152,'DB Country PMI'!$A:$AZ,MATCH($A$1,'DB Country PMI'!$A$1:$AZ$1,),)=0,#N/A,VLOOKUP(A152,'DB Country PMI'!$A:$AZ,MATCH($A$1,'DB Country PMI'!$A$1:$AZ$1,),))</f>
        <v/>
      </c>
      <c r="C152" s="24">
        <f>Table1346811121415161718192022252629[[#This Row],[PMI]]-B151</f>
        <v/>
      </c>
    </row>
    <row r="153">
      <c r="A153" s="10" t="n">
        <v>44986</v>
      </c>
      <c r="B153" s="18">
        <f>IF(VLOOKUP(A153,'DB Country PMI'!$A:$AZ,MATCH($A$1,'DB Country PMI'!$A$1:$AZ$1,),)=0,#N/A,VLOOKUP(A153,'DB Country PMI'!$A:$AZ,MATCH($A$1,'DB Country PMI'!$A$1:$AZ$1,),))</f>
        <v/>
      </c>
      <c r="C153" s="24">
        <f>Table1346811121415161718192022252629[[#This Row],[PMI]]-B152</f>
        <v/>
      </c>
    </row>
  </sheetData>
  <conditionalFormatting sqref="B6:B153">
    <cfRule type="colorScale" priority="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5"/>
  <sheetViews>
    <sheetView zoomScaleNormal="100" workbookViewId="0">
      <pane ySplit="5" topLeftCell="A138" activePane="bottomLeft" state="frozen"/>
      <selection pane="bottomLeft" activeCell="A143" sqref="A143: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row r="152">
      <c r="A152" s="10" t="n">
        <v>44896</v>
      </c>
      <c r="B152" s="18">
        <f>IF(VLOOKUP(A152,'DB Country PMI'!$A:$AZ,MATCH($A$1,'DB Country PMI'!$A$1:$AZ$1,),)=0,#N/A,VLOOKUP(A152,'DB Country PMI'!$A:$AZ,MATCH($A$1,'DB Country PMI'!$A$1:$AZ$1,),))</f>
        <v/>
      </c>
      <c r="C152" s="24">
        <f>Table1346811121415161718192022253033[[#This Row],[PMI]]-B151</f>
        <v/>
      </c>
    </row>
    <row r="153">
      <c r="A153" s="10" t="n">
        <v>44927</v>
      </c>
      <c r="B153" s="18">
        <f>IF(VLOOKUP(A153,'DB Country PMI'!$A:$AZ,MATCH($A$1,'DB Country PMI'!$A$1:$AZ$1,),)=0,#N/A,VLOOKUP(A153,'DB Country PMI'!$A:$AZ,MATCH($A$1,'DB Country PMI'!$A$1:$AZ$1,),))</f>
        <v/>
      </c>
      <c r="C153" s="24">
        <f>Table1346811121415161718192022253033[[#This Row],[PMI]]-B152</f>
        <v/>
      </c>
    </row>
    <row r="154">
      <c r="A154" s="10" t="n">
        <v>44958</v>
      </c>
      <c r="B154" s="18">
        <f>IF(VLOOKUP(A154,'DB Country PMI'!$A:$AZ,MATCH($A$1,'DB Country PMI'!$A$1:$AZ$1,),)=0,#N/A,VLOOKUP(A154,'DB Country PMI'!$A:$AZ,MATCH($A$1,'DB Country PMI'!$A$1:$AZ$1,),))</f>
        <v/>
      </c>
      <c r="C154" s="24">
        <f>Table1346811121415161718192022253033[[#This Row],[PMI]]-B153</f>
        <v/>
      </c>
    </row>
    <row r="155">
      <c r="A155" s="10" t="n">
        <v>44986</v>
      </c>
      <c r="B155" s="18">
        <f>IF(VLOOKUP(A155,'DB Country PMI'!$A:$AZ,MATCH($A$1,'DB Country PMI'!$A$1:$AZ$1,),)=0,#N/A,VLOOKUP(A155,'DB Country PMI'!$A:$AZ,MATCH($A$1,'DB Country PMI'!$A$1:$AZ$1,),))</f>
        <v/>
      </c>
      <c r="C155" s="24">
        <f>Table1346811121415161718192022253033[[#This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5"/>
  <sheetViews>
    <sheetView zoomScale="90" zoomScaleNormal="90" workbookViewId="0">
      <pane ySplit="5" topLeftCell="A130" activePane="bottomLeft" state="frozen"/>
      <selection pane="bottomLeft" activeCell="A146" sqref="A146: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row r="152">
      <c r="A152" s="10" t="n">
        <v>44896</v>
      </c>
      <c r="B152" s="18">
        <f>IF(VLOOKUP(A152,'DB Country PMI'!$A:$AZ,MATCH($A$1,'DB Country PMI'!$A$1:$AZ$1,),)=0,#N/A,VLOOKUP(A152,'DB Country PMI'!$A:$AZ,MATCH($A$1,'DB Country PMI'!$A$1:$AZ$1,),))</f>
        <v/>
      </c>
      <c r="C152" s="24">
        <f>Table134681112141516171819[[#This Row],[PMI]]-B151</f>
        <v/>
      </c>
    </row>
    <row r="153">
      <c r="A153" s="10" t="n">
        <v>44927</v>
      </c>
      <c r="B153" s="18">
        <f>IF(VLOOKUP(A153,'DB Country PMI'!$A:$AZ,MATCH($A$1,'DB Country PMI'!$A$1:$AZ$1,),)=0,#N/A,VLOOKUP(A153,'DB Country PMI'!$A:$AZ,MATCH($A$1,'DB Country PMI'!$A$1:$AZ$1,),))</f>
        <v/>
      </c>
      <c r="C153" s="24">
        <f>Table134681112141516171819[[#This Row],[PMI]]-B152</f>
        <v/>
      </c>
    </row>
    <row r="154">
      <c r="A154" s="10" t="n">
        <v>44958</v>
      </c>
      <c r="B154" s="18">
        <f>IF(VLOOKUP(A154,'DB Country PMI'!$A:$AZ,MATCH($A$1,'DB Country PMI'!$A$1:$AZ$1,),)=0,#N/A,VLOOKUP(A154,'DB Country PMI'!$A:$AZ,MATCH($A$1,'DB Country PMI'!$A$1:$AZ$1,),))</f>
        <v/>
      </c>
      <c r="C154" s="24">
        <f>Table134681112141516171819[[#This Row],[PMI]]-B153</f>
        <v/>
      </c>
    </row>
    <row r="155">
      <c r="A155" s="10" t="n">
        <v>44986</v>
      </c>
      <c r="B155" s="18">
        <f>IF(VLOOKUP(A155,'DB Country PMI'!$A:$AZ,MATCH($A$1,'DB Country PMI'!$A$1:$AZ$1,),)=0,#N/A,VLOOKUP(A155,'DB Country PMI'!$A:$AZ,MATCH($A$1,'DB Country PMI'!$A$1:$AZ$1,),))</f>
        <v/>
      </c>
      <c r="C155" s="24">
        <f>Table134681112141516171819[[#This Row],[PMI]]-B154</f>
        <v/>
      </c>
    </row>
  </sheetData>
  <conditionalFormatting sqref="B6:B155">
    <cfRule type="colorScale" priority="14">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5"/>
  <sheetViews>
    <sheetView zoomScaleNormal="100" workbookViewId="0">
      <pane ySplit="5" topLeftCell="A133" activePane="bottomLeft" state="frozen"/>
      <selection pane="bottomLeft" activeCell="A146" sqref="A146: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row r="152">
      <c r="A152" s="10" t="n">
        <v>44896</v>
      </c>
      <c r="B152" s="18">
        <f>IF(VLOOKUP(A152,'DB Country PMI'!$A:$AZ,MATCH($A$1,'DB Country PMI'!$A$1:$AZ$1,),)=0,#N/A,VLOOKUP(A152,'DB Country PMI'!$A:$AZ,MATCH($A$1,'DB Country PMI'!$A$1:$AZ$1,),))</f>
        <v/>
      </c>
      <c r="C152" s="24">
        <f>Table13468111214151617181920[[#This Row],[PMI]]-B151</f>
        <v/>
      </c>
    </row>
    <row r="153">
      <c r="A153" s="10" t="n">
        <v>44927</v>
      </c>
      <c r="B153" s="18">
        <f>IF(VLOOKUP(A153,'DB Country PMI'!$A:$AZ,MATCH($A$1,'DB Country PMI'!$A$1:$AZ$1,),)=0,#N/A,VLOOKUP(A153,'DB Country PMI'!$A:$AZ,MATCH($A$1,'DB Country PMI'!$A$1:$AZ$1,),))</f>
        <v/>
      </c>
      <c r="C153" s="24">
        <f>Table13468111214151617181920[[#This Row],[PMI]]-B152</f>
        <v/>
      </c>
    </row>
    <row r="154">
      <c r="A154" s="10" t="n">
        <v>44958</v>
      </c>
      <c r="B154" s="18">
        <f>IF(VLOOKUP(A154,'DB Country PMI'!$A:$AZ,MATCH($A$1,'DB Country PMI'!$A$1:$AZ$1,),)=0,#N/A,VLOOKUP(A154,'DB Country PMI'!$A:$AZ,MATCH($A$1,'DB Country PMI'!$A$1:$AZ$1,),))</f>
        <v/>
      </c>
      <c r="C154" s="24">
        <f>Table13468111214151617181920[[#This Row],[PMI]]-B153</f>
        <v/>
      </c>
    </row>
    <row r="155">
      <c r="A155" s="10" t="n">
        <v>44986</v>
      </c>
      <c r="B155" s="18">
        <f>IF(VLOOKUP(A155,'DB Country PMI'!$A:$AZ,MATCH($A$1,'DB Country PMI'!$A$1:$AZ$1,),)=0,#N/A,VLOOKUP(A155,'DB Country PMI'!$A:$AZ,MATCH($A$1,'DB Country PMI'!$A$1:$AZ$1,),))</f>
        <v/>
      </c>
      <c r="C155" s="24">
        <f>Table13468111214151617181920[[#This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5"/>
  <sheetViews>
    <sheetView zoomScale="90" zoomScaleNormal="90" workbookViewId="0">
      <pane ySplit="5" topLeftCell="A131" activePane="bottomLeft" state="frozen"/>
      <selection pane="bottomLeft" activeCell="A143" sqref="A143: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row r="152">
      <c r="A152" s="10" t="n">
        <v>44896</v>
      </c>
      <c r="B152" s="18">
        <f>IF(VLOOKUP(A152,'DB Country PMI'!$A:$AZ,MATCH($A$1,'DB Country PMI'!$A$1:$AZ$1,),)=0,#N/A,VLOOKUP(A152,'DB Country PMI'!$A:$AZ,MATCH($A$1,'DB Country PMI'!$A$1:$AZ$1,),))</f>
        <v/>
      </c>
      <c r="C152" s="24">
        <f>Table134681112141516171819202225303334[[#This Row],[PMI]]-B151</f>
        <v/>
      </c>
    </row>
    <row r="153">
      <c r="A153" s="10" t="n">
        <v>44927</v>
      </c>
      <c r="B153" s="18">
        <f>IF(VLOOKUP(A153,'DB Country PMI'!$A:$AZ,MATCH($A$1,'DB Country PMI'!$A$1:$AZ$1,),)=0,#N/A,VLOOKUP(A153,'DB Country PMI'!$A:$AZ,MATCH($A$1,'DB Country PMI'!$A$1:$AZ$1,),))</f>
        <v/>
      </c>
      <c r="C153" s="24">
        <f>Table134681112141516171819202225303334[[#This Row],[PMI]]-B152</f>
        <v/>
      </c>
    </row>
    <row r="154">
      <c r="A154" s="10" t="n">
        <v>44958</v>
      </c>
      <c r="B154" s="18">
        <f>IF(VLOOKUP(A154,'DB Country PMI'!$A:$AZ,MATCH($A$1,'DB Country PMI'!$A$1:$AZ$1,),)=0,#N/A,VLOOKUP(A154,'DB Country PMI'!$A:$AZ,MATCH($A$1,'DB Country PMI'!$A$1:$AZ$1,),))</f>
        <v/>
      </c>
      <c r="C154" s="24">
        <f>Table134681112141516171819202225303334[[#This Row],[PMI]]-B153</f>
        <v/>
      </c>
    </row>
    <row r="155">
      <c r="A155" s="10" t="n">
        <v>44986</v>
      </c>
      <c r="B155" s="18">
        <f>IF(VLOOKUP(A155,'DB Country PMI'!$A:$AZ,MATCH($A$1,'DB Country PMI'!$A$1:$AZ$1,),)=0,#N/A,VLOOKUP(A155,'DB Country PMI'!$A:$AZ,MATCH($A$1,'DB Country PMI'!$A$1:$AZ$1,),))</f>
        <v/>
      </c>
      <c r="C155" s="24">
        <f>Table134681112141516171819202225303334[[#This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5"/>
  <sheetViews>
    <sheetView zoomScaleNormal="100" workbookViewId="0">
      <pane ySplit="5" topLeftCell="A135" activePane="bottomLeft" state="frozen"/>
      <selection pane="bottomLeft" activeCell="A146" sqref="A146: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row r="152">
      <c r="A152" s="10" t="n">
        <v>44896</v>
      </c>
      <c r="B152" s="18">
        <f>IF(VLOOKUP(A152,'DB Country PMI'!$A:$AZ,MATCH($A$1,'DB Country PMI'!$A$1:$AZ$1,),)=0,#N/A,VLOOKUP(A152,'DB Country PMI'!$A:$AZ,MATCH($A$1,'DB Country PMI'!$A$1:$AZ$1,),))</f>
        <v/>
      </c>
      <c r="C152" s="24">
        <f>Table13468111214151617181920222530333435[[#This Row],[PMI]]-B151</f>
        <v/>
      </c>
    </row>
    <row r="153">
      <c r="A153" s="10" t="n">
        <v>44927</v>
      </c>
      <c r="B153" s="18">
        <f>IF(VLOOKUP(A153,'DB Country PMI'!$A:$AZ,MATCH($A$1,'DB Country PMI'!$A$1:$AZ$1,),)=0,#N/A,VLOOKUP(A153,'DB Country PMI'!$A:$AZ,MATCH($A$1,'DB Country PMI'!$A$1:$AZ$1,),))</f>
        <v/>
      </c>
      <c r="C153" s="24">
        <f>Table13468111214151617181920222530333435[[#This Row],[PMI]]-B152</f>
        <v/>
      </c>
    </row>
    <row r="154">
      <c r="A154" s="10" t="n">
        <v>44958</v>
      </c>
      <c r="B154" s="18">
        <f>IF(VLOOKUP(A154,'DB Country PMI'!$A:$AZ,MATCH($A$1,'DB Country PMI'!$A$1:$AZ$1,),)=0,#N/A,VLOOKUP(A154,'DB Country PMI'!$A:$AZ,MATCH($A$1,'DB Country PMI'!$A$1:$AZ$1,),))</f>
        <v/>
      </c>
      <c r="C154" s="24">
        <f>Table13468111214151617181920222530333435[[#This Row],[PMI]]-B153</f>
        <v/>
      </c>
    </row>
    <row r="155">
      <c r="A155" s="10" t="n">
        <v>44986</v>
      </c>
      <c r="B155" s="18">
        <f>IF(VLOOKUP(A155,'DB Country PMI'!$A:$AZ,MATCH($A$1,'DB Country PMI'!$A$1:$AZ$1,),)=0,#N/A,VLOOKUP(A155,'DB Country PMI'!$A:$AZ,MATCH($A$1,'DB Country PMI'!$A$1:$AZ$1,),))</f>
        <v/>
      </c>
      <c r="C155" s="24">
        <f>Table13468111214151617181920222530333435[[#This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5"/>
  <sheetViews>
    <sheetView zoomScaleNormal="100" workbookViewId="0">
      <pane ySplit="5" topLeftCell="A135" activePane="bottomLeft" state="frozen"/>
      <selection pane="bottomLeft" activeCell="A145" sqref="A145:C15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row r="152">
      <c r="A152" s="10" t="n">
        <v>44896</v>
      </c>
      <c r="B152" s="18">
        <f>IF(VLOOKUP(A152,'DB Country PMI'!$A:$AZ,MATCH($A$1,'DB Country PMI'!$A$1:$AZ$1,),)=0,#N/A,VLOOKUP(A152,'DB Country PMI'!$A:$AZ,MATCH($A$1,'DB Country PMI'!$A$1:$AZ$1,),))</f>
        <v/>
      </c>
      <c r="C152" s="24">
        <f>Table1346811121415161718192022253033343536[[#This Row],[PMI]]-B151</f>
        <v/>
      </c>
    </row>
    <row r="153">
      <c r="A153" s="10" t="n">
        <v>44927</v>
      </c>
      <c r="B153" s="18">
        <f>IF(VLOOKUP(A153,'DB Country PMI'!$A:$AZ,MATCH($A$1,'DB Country PMI'!$A$1:$AZ$1,),)=0,#N/A,VLOOKUP(A153,'DB Country PMI'!$A:$AZ,MATCH($A$1,'DB Country PMI'!$A$1:$AZ$1,),))</f>
        <v/>
      </c>
      <c r="C153" s="24">
        <f>Table1346811121415161718192022253033343536[[#This Row],[PMI]]-B152</f>
        <v/>
      </c>
    </row>
    <row r="154">
      <c r="A154" s="10" t="n">
        <v>44958</v>
      </c>
      <c r="B154" s="18">
        <f>IF(VLOOKUP(A154,'DB Country PMI'!$A:$AZ,MATCH($A$1,'DB Country PMI'!$A$1:$AZ$1,),)=0,#N/A,VLOOKUP(A154,'DB Country PMI'!$A:$AZ,MATCH($A$1,'DB Country PMI'!$A$1:$AZ$1,),))</f>
        <v/>
      </c>
      <c r="C154" s="24">
        <f>Table1346811121415161718192022253033343536[[#This Row],[PMI]]-B153</f>
        <v/>
      </c>
    </row>
    <row r="155">
      <c r="A155" s="10" t="n">
        <v>44986</v>
      </c>
      <c r="B155" s="18">
        <f>IF(VLOOKUP(A155,'DB Country PMI'!$A:$AZ,MATCH($A$1,'DB Country PMI'!$A$1:$AZ$1,),)=0,#N/A,VLOOKUP(A155,'DB Country PMI'!$A:$AZ,MATCH($A$1,'DB Country PMI'!$A$1:$AZ$1,),))</f>
        <v/>
      </c>
      <c r="C155" s="24">
        <f>Table1346811121415161718192022253033343536[[#This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0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6"/>
  <sheetViews>
    <sheetView zoomScale="90" zoomScaleNormal="90" workbookViewId="0">
      <pane ySplit="5" topLeftCell="A333" activePane="bottomLeft" state="frozen"/>
      <selection pane="bottomLeft" activeCell="A345" sqref="A345:C356"/>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row r="353">
      <c r="A353" s="10" t="n">
        <v>44896</v>
      </c>
      <c r="B353" s="18">
        <f>IF(VLOOKUP(A353,'DB Country PMI'!$A:$AZ,MATCH($A$1,'DB Country PMI'!$A$1:$AZ$1,),)=0,#N/A,VLOOKUP(A353,'DB Country PMI'!$A:$AZ,MATCH($A$1,'DB Country PMI'!$A$1:$AZ$1,),))</f>
        <v/>
      </c>
      <c r="C353" s="24">
        <f>Table13[[#This Row],[PMI]]-B352</f>
        <v/>
      </c>
    </row>
    <row r="354">
      <c r="A354" s="10" t="n">
        <v>44927</v>
      </c>
      <c r="B354" s="18">
        <f>IF(VLOOKUP(A354,'DB Country PMI'!$A:$AZ,MATCH($A$1,'DB Country PMI'!$A$1:$AZ$1,),)=0,#N/A,VLOOKUP(A354,'DB Country PMI'!$A:$AZ,MATCH($A$1,'DB Country PMI'!$A$1:$AZ$1,),))</f>
        <v/>
      </c>
      <c r="C354" s="24">
        <f>Table13[[#This Row],[PMI]]-B353</f>
        <v/>
      </c>
    </row>
    <row r="355">
      <c r="A355" s="10" t="n">
        <v>44958</v>
      </c>
      <c r="B355" s="18">
        <f>IF(VLOOKUP(A355,'DB Country PMI'!$A:$AZ,MATCH($A$1,'DB Country PMI'!$A$1:$AZ$1,),)=0,#N/A,VLOOKUP(A355,'DB Country PMI'!$A:$AZ,MATCH($A$1,'DB Country PMI'!$A$1:$AZ$1,),))</f>
        <v/>
      </c>
      <c r="C355" s="24">
        <f>Table13[[#This Row],[PMI]]-B354</f>
        <v/>
      </c>
    </row>
    <row r="356">
      <c r="A356" s="10" t="n">
        <v>44986</v>
      </c>
      <c r="B356" s="18">
        <f>IF(VLOOKUP(A356,'DB Country PMI'!$A:$AZ,MATCH($A$1,'DB Country PMI'!$A$1:$AZ$1,),)=0,#N/A,VLOOKUP(A356,'DB Country PMI'!$A:$AZ,MATCH($A$1,'DB Country PMI'!$A$1:$AZ$1,),))</f>
        <v/>
      </c>
      <c r="C356" s="24">
        <f>Table13[[#This Row],[PMI]]-B355</f>
        <v/>
      </c>
    </row>
  </sheetData>
  <conditionalFormatting sqref="B198:B356">
    <cfRule type="colorScale" priority="1">
      <colorScale>
        <cfvo type="min"/>
        <cfvo type="percentile" val="50"/>
        <cfvo type="max"/>
        <color rgb="FFF8696B"/>
        <color rgb="FFFFEB84"/>
        <color rgb="FF63BE7B"/>
      </colorScale>
    </cfRule>
  </conditionalFormatting>
  <conditionalFormatting sqref="C198:C356">
    <cfRule type="colorScale" priority="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4"/>
  <sheetViews>
    <sheetView zoomScale="90" zoomScaleNormal="90" workbookViewId="0">
      <pane ySplit="5" topLeftCell="A110" activePane="bottomLeft" state="frozen"/>
      <selection activeCell="P121" sqref="P121"/>
      <selection pane="bottomLeft" activeCell="A126" sqref="A126:C134"/>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row r="131">
      <c r="A131" s="10" t="n">
        <v>44896</v>
      </c>
      <c r="B131" s="18">
        <f>IF(VLOOKUP(A131,'DB Country PMI'!$A:$AZ,MATCH($A$1,'DB Country PMI'!$A$1:$AZ$1,),)=0,#N/A,VLOOKUP(A131,'DB Country PMI'!$A:$AZ,MATCH($A$1,'DB Country PMI'!$A$1:$AZ$1,),))</f>
        <v/>
      </c>
      <c r="C131" s="24">
        <f>Table134[[#This Row],[PMI]]-B130</f>
        <v/>
      </c>
    </row>
    <row r="132">
      <c r="A132" s="10" t="n">
        <v>44927</v>
      </c>
      <c r="B132" s="18">
        <f>IF(VLOOKUP(A132,'DB Country PMI'!$A:$AZ,MATCH($A$1,'DB Country PMI'!$A$1:$AZ$1,),)=0,#N/A,VLOOKUP(A132,'DB Country PMI'!$A:$AZ,MATCH($A$1,'DB Country PMI'!$A$1:$AZ$1,),))</f>
        <v/>
      </c>
      <c r="C132" s="24">
        <f>Table134[[#This Row],[PMI]]-B131</f>
        <v/>
      </c>
    </row>
    <row r="133">
      <c r="A133" s="10" t="n">
        <v>44958</v>
      </c>
      <c r="B133" s="18">
        <f>IF(VLOOKUP(A133,'DB Country PMI'!$A:$AZ,MATCH($A$1,'DB Country PMI'!$A$1:$AZ$1,),)=0,#N/A,VLOOKUP(A133,'DB Country PMI'!$A:$AZ,MATCH($A$1,'DB Country PMI'!$A$1:$AZ$1,),))</f>
        <v/>
      </c>
      <c r="C133" s="24">
        <f>Table134[[#This Row],[PMI]]-B132</f>
        <v/>
      </c>
    </row>
    <row r="134">
      <c r="A134" s="10" t="n">
        <v>44986</v>
      </c>
      <c r="B134" s="18">
        <f>IF(VLOOKUP(A134,'DB Country PMI'!$A:$AZ,MATCH($A$1,'DB Country PMI'!$A$1:$AZ$1,),)=0,#N/A,VLOOKUP(A134,'DB Country PMI'!$A:$AZ,MATCH($A$1,'DB Country PMI'!$A$1:$AZ$1,),))</f>
        <v/>
      </c>
      <c r="C134" s="24">
        <f>Table134[[#This Row],[PMI]]-B133</f>
        <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6"/>
  <sheetViews>
    <sheetView zoomScale="90" zoomScaleNormal="90" workbookViewId="0">
      <pane ySplit="5" topLeftCell="A65" activePane="bottomLeft" state="frozen"/>
      <selection pane="bottomLeft" activeCell="A74" sqref="A74:C86"/>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row r="83">
      <c r="A83" s="10" t="n">
        <v>44896</v>
      </c>
      <c r="B83" s="18">
        <f>IF(VLOOKUP(A83,'DB Country PMI'!$A:$AZ,MATCH($A$1,'DB Country PMI'!$A$1:$AZ$1,),)=0,#N/A,VLOOKUP(A83,'DB Country PMI'!$A:$AZ,MATCH($A$1,'DB Country PMI'!$A$1:$AZ$1,),))</f>
        <v/>
      </c>
      <c r="C83" s="24">
        <f>Table1345[[#This Row],[PMI]]-B82</f>
        <v/>
      </c>
    </row>
    <row r="84">
      <c r="A84" s="10" t="n">
        <v>44927</v>
      </c>
      <c r="B84" s="18">
        <f>IF(VLOOKUP(A84,'DB Country PMI'!$A:$AZ,MATCH($A$1,'DB Country PMI'!$A$1:$AZ$1,),)=0,#N/A,VLOOKUP(A84,'DB Country PMI'!$A:$AZ,MATCH($A$1,'DB Country PMI'!$A$1:$AZ$1,),))</f>
        <v/>
      </c>
      <c r="C84" s="24">
        <f>Table1345[[#This Row],[PMI]]-B83</f>
        <v/>
      </c>
    </row>
    <row r="85">
      <c r="A85" s="10" t="n">
        <v>44958</v>
      </c>
      <c r="B85" s="18">
        <f>IF(VLOOKUP(A85,'DB Country PMI'!$A:$AZ,MATCH($A$1,'DB Country PMI'!$A$1:$AZ$1,),)=0,#N/A,VLOOKUP(A85,'DB Country PMI'!$A:$AZ,MATCH($A$1,'DB Country PMI'!$A$1:$AZ$1,),))</f>
        <v/>
      </c>
      <c r="C85" s="24">
        <f>Table1345[[#This Row],[PMI]]-B84</f>
        <v/>
      </c>
    </row>
    <row r="86">
      <c r="A86" s="10" t="n">
        <v>44986</v>
      </c>
      <c r="B86" s="18">
        <f>IF(VLOOKUP(A86,'DB Country PMI'!$A:$AZ,MATCH($A$1,'DB Country PMI'!$A$1:$AZ$1,),)=0,#N/A,VLOOKUP(A86,'DB Country PMI'!$A:$AZ,MATCH($A$1,'DB Country PMI'!$A$1:$AZ$1,),))</f>
        <v/>
      </c>
      <c r="C86" s="24">
        <f>Table1345[[#This Row],[PMI]]-B85</f>
        <v/>
      </c>
    </row>
  </sheetData>
  <conditionalFormatting sqref="B6:B86">
    <cfRule type="colorScale" priority="51">
      <colorScale>
        <cfvo type="min"/>
        <cfvo type="percentile" val="50"/>
        <cfvo type="max"/>
        <color rgb="FFF8696B"/>
        <color rgb="FFFFEB84"/>
        <color rgb="FF63BE7B"/>
      </colorScale>
    </cfRule>
  </conditionalFormatting>
  <conditionalFormatting sqref="C7:C86">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4"/>
  <sheetViews>
    <sheetView zoomScaleNormal="100" workbookViewId="0">
      <pane ySplit="5" topLeftCell="A267" activePane="bottomLeft" state="frozen"/>
      <selection pane="bottomLeft" activeCell="A273" sqref="A273:C284"/>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row r="281">
      <c r="A281" s="10" t="n">
        <v>44896</v>
      </c>
      <c r="B281" s="18">
        <f>IF(VLOOKUP(A281,'DB Country PMI'!$A:$AZ,MATCH($A$1,'DB Country PMI'!$A$1:$AZ$1,),)=0,#N/A,VLOOKUP(A281,'DB Country PMI'!$A:$AZ,MATCH($A$1,'DB Country PMI'!$A$1:$AZ$1,),))</f>
        <v/>
      </c>
      <c r="C281" s="24">
        <f>Table1346[[#This Row],[PMI]]-B280</f>
        <v/>
      </c>
    </row>
    <row r="282">
      <c r="A282" s="10" t="n">
        <v>44927</v>
      </c>
      <c r="B282" s="18">
        <f>IF(VLOOKUP(A282,'DB Country PMI'!$A:$AZ,MATCH($A$1,'DB Country PMI'!$A$1:$AZ$1,),)=0,#N/A,VLOOKUP(A282,'DB Country PMI'!$A:$AZ,MATCH($A$1,'DB Country PMI'!$A$1:$AZ$1,),))</f>
        <v/>
      </c>
      <c r="C282" s="24">
        <f>Table1346[[#This Row],[PMI]]-B281</f>
        <v/>
      </c>
    </row>
    <row r="283">
      <c r="A283" s="10" t="n">
        <v>44958</v>
      </c>
      <c r="B283" s="18">
        <f>IF(VLOOKUP(A283,'DB Country PMI'!$A:$AZ,MATCH($A$1,'DB Country PMI'!$A$1:$AZ$1,),)=0,#N/A,VLOOKUP(A283,'DB Country PMI'!$A:$AZ,MATCH($A$1,'DB Country PMI'!$A$1:$AZ$1,),))</f>
        <v/>
      </c>
      <c r="C283" s="24">
        <f>Table1346[[#This Row],[PMI]]-B282</f>
        <v/>
      </c>
    </row>
    <row r="284">
      <c r="A284" s="10" t="n">
        <v>44986</v>
      </c>
      <c r="B284" s="18">
        <f>IF(VLOOKUP(A284,'DB Country PMI'!$A:$AZ,MATCH($A$1,'DB Country PMI'!$A$1:$AZ$1,),)=0,#N/A,VLOOKUP(A284,'DB Country PMI'!$A:$AZ,MATCH($A$1,'DB Country PMI'!$A$1:$AZ$1,),))</f>
        <v/>
      </c>
      <c r="C284" s="24">
        <f>Table1346[[#This Row],[PMI]]-B283</f>
        <v/>
      </c>
    </row>
  </sheetData>
  <conditionalFormatting sqref="B126:B284">
    <cfRule type="colorScale" priority="1">
      <colorScale>
        <cfvo type="min"/>
        <cfvo type="percentile" val="50"/>
        <cfvo type="max"/>
        <color rgb="FFF8696B"/>
        <color rgb="FFFFEB84"/>
        <color rgb="FF63BE7B"/>
      </colorScale>
    </cfRule>
  </conditionalFormatting>
  <conditionalFormatting sqref="C126:C284">
    <cfRule type="colorScale" priority="59">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5"/>
  <sheetViews>
    <sheetView zoomScale="90" zoomScaleNormal="90" workbookViewId="0">
      <pane ySplit="5" topLeftCell="A116" activePane="bottomLeft" state="frozen"/>
      <selection pane="bottomLeft" activeCell="A125" sqref="A125:C135"/>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row r="131">
      <c r="A131" s="10" t="n">
        <v>44866</v>
      </c>
      <c r="B131" s="18">
        <f>IF(VLOOKUP(A131,'DB Country PMI'!$A:$AZ,MATCH($A$1,'DB Country PMI'!$A$1:$AZ$1,),)=0,#N/A,VLOOKUP(A131,'DB Country PMI'!$A:$AZ,MATCH($A$1,'DB Country PMI'!$A$1:$AZ$1,),))</f>
        <v/>
      </c>
      <c r="C131" s="24">
        <f>Table13467[[#This Row],[PMI]]-B130</f>
        <v/>
      </c>
    </row>
    <row r="132">
      <c r="A132" s="10" t="n">
        <v>44896</v>
      </c>
      <c r="B132" s="18">
        <f>IF(VLOOKUP(A132,'DB Country PMI'!$A:$AZ,MATCH($A$1,'DB Country PMI'!$A$1:$AZ$1,),)=0,#N/A,VLOOKUP(A132,'DB Country PMI'!$A:$AZ,MATCH($A$1,'DB Country PMI'!$A$1:$AZ$1,),))</f>
        <v/>
      </c>
      <c r="C132" s="24">
        <f>Table13467[[#This Row],[PMI]]-B131</f>
        <v/>
      </c>
    </row>
    <row r="133">
      <c r="A133" s="10" t="n">
        <v>44927</v>
      </c>
      <c r="B133" s="18">
        <f>IF(VLOOKUP(A133,'DB Country PMI'!$A:$AZ,MATCH($A$1,'DB Country PMI'!$A$1:$AZ$1,),)=0,#N/A,VLOOKUP(A133,'DB Country PMI'!$A:$AZ,MATCH($A$1,'DB Country PMI'!$A$1:$AZ$1,),))</f>
        <v/>
      </c>
      <c r="C133" s="24">
        <f>Table13467[[#This Row],[PMI]]-B132</f>
        <v/>
      </c>
    </row>
    <row r="134">
      <c r="A134" s="10" t="n">
        <v>44958</v>
      </c>
      <c r="B134" s="18">
        <f>IF(VLOOKUP(A134,'DB Country PMI'!$A:$AZ,MATCH($A$1,'DB Country PMI'!$A$1:$AZ$1,),)=0,#N/A,VLOOKUP(A134,'DB Country PMI'!$A:$AZ,MATCH($A$1,'DB Country PMI'!$A$1:$AZ$1,),))</f>
        <v/>
      </c>
      <c r="C134" s="24">
        <f>Table13467[[#This Row],[PMI]]-B133</f>
        <v/>
      </c>
    </row>
    <row r="135">
      <c r="A135" s="10" t="n">
        <v>44986</v>
      </c>
      <c r="B135" s="18">
        <f>IF(VLOOKUP(A135,'DB Country PMI'!$A:$AZ,MATCH($A$1,'DB Country PMI'!$A$1:$AZ$1,),)=0,#N/A,VLOOKUP(A135,'DB Country PMI'!$A:$AZ,MATCH($A$1,'DB Country PMI'!$A$1:$AZ$1,),))</f>
        <v/>
      </c>
      <c r="C135" s="24">
        <f>Table13467[[#This Row],[PMI]]-B134</f>
        <v/>
      </c>
    </row>
  </sheetData>
  <conditionalFormatting sqref="B6:B13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100"/>
  <sheetViews>
    <sheetView zoomScale="90" zoomScaleNormal="90" workbookViewId="0">
      <pane ySplit="5" topLeftCell="A78" activePane="bottomLeft" state="frozen"/>
      <selection pane="bottomLeft" activeCell="A86" sqref="A86:C100"/>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row r="97">
      <c r="A97" s="10" t="n">
        <v>44866</v>
      </c>
      <c r="B97" s="18">
        <f>IF(VLOOKUP(A97,'DB Country PMI'!$A:$AZ,MATCH($A$1,'DB Country PMI'!$A$1:$AZ$1,),)=0,#N/A,VLOOKUP(A97,'DB Country PMI'!$A:$AZ,MATCH($A$1,'DB Country PMI'!$A$1:$AZ$1,),))</f>
        <v/>
      </c>
      <c r="C97" s="24">
        <f>Table134689[[#This Row],[PMI]]-B96</f>
        <v/>
      </c>
    </row>
    <row r="98">
      <c r="A98" s="10" t="n">
        <v>44896</v>
      </c>
      <c r="B98" s="18">
        <f>IF(VLOOKUP(A98,'DB Country PMI'!$A:$AZ,MATCH($A$1,'DB Country PMI'!$A$1:$AZ$1,),)=0,#N/A,VLOOKUP(A98,'DB Country PMI'!$A:$AZ,MATCH($A$1,'DB Country PMI'!$A$1:$AZ$1,),))</f>
        <v/>
      </c>
      <c r="C98" s="24">
        <f>Table134689[[#This Row],[PMI]]-B97</f>
        <v/>
      </c>
    </row>
    <row r="99">
      <c r="A99" s="10" t="n">
        <v>44927</v>
      </c>
      <c r="B99" s="18">
        <f>IF(VLOOKUP(A99,'DB Country PMI'!$A:$AZ,MATCH($A$1,'DB Country PMI'!$A$1:$AZ$1,),)=0,#N/A,VLOOKUP(A99,'DB Country PMI'!$A:$AZ,MATCH($A$1,'DB Country PMI'!$A$1:$AZ$1,),))</f>
        <v/>
      </c>
      <c r="C99" s="24">
        <f>Table134689[[#This Row],[PMI]]-B98</f>
        <v/>
      </c>
    </row>
    <row r="100">
      <c r="A100" s="10" t="n">
        <v>44958</v>
      </c>
      <c r="B100" s="18">
        <f>IF(VLOOKUP(A100,'DB Country PMI'!$A:$AZ,MATCH($A$1,'DB Country PMI'!$A$1:$AZ$1,),)=0,#N/A,VLOOKUP(A100,'DB Country PMI'!$A:$AZ,MATCH($A$1,'DB Country PMI'!$A$1:$AZ$1,),))</f>
        <v/>
      </c>
      <c r="C100" s="24">
        <f>Table134689[[#This Row],[PMI]]-B99</f>
        <v/>
      </c>
    </row>
  </sheetData>
  <conditionalFormatting sqref="B6:B100">
    <cfRule type="colorScale" priority="54">
      <colorScale>
        <cfvo type="min"/>
        <cfvo type="percentile" val="50"/>
        <cfvo type="max"/>
        <color rgb="FFF8696B"/>
        <color rgb="FFFFEB84"/>
        <color rgb="FF63BE7B"/>
      </colorScale>
    </cfRule>
  </conditionalFormatting>
  <conditionalFormatting sqref="C7:C100">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52"/>
  <sheetViews>
    <sheetView zoomScaleNormal="100" workbookViewId="0">
      <pane ySplit="5" topLeftCell="A237" activePane="bottomLeft" state="frozen"/>
      <selection activeCell="B327" sqref="B327"/>
      <selection pane="bottomLeft" activeCell="A246" sqref="A246:C252"/>
    </sheetView>
  </sheetViews>
  <sheetFormatPr baseColWidth="8" defaultColWidth="9.1796875" defaultRowHeight="14.5"/>
  <cols>
    <col width="13.453125" customWidth="1" style="69" min="1" max="1"/>
    <col width="11.36328125" customWidth="1" style="69" min="2" max="2"/>
    <col width="9.1796875" customWidth="1" style="69" min="3" max="60"/>
    <col width="9.1796875" customWidth="1" style="69" min="61"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row r="249">
      <c r="A249" s="10" t="n">
        <v>44866</v>
      </c>
      <c r="B249" s="19">
        <f>IF(VLOOKUP(A249,'DB Country PMI'!$A:$AZ,MATCH($A$1,'DB Country PMI'!$A$1:$AZ$1,),)=0,#N/A,VLOOKUP(A249,'DB Country PMI'!$A:$AZ,MATCH($A$1,'DB Country PMI'!$A$1:$AZ$1,),))</f>
        <v/>
      </c>
      <c r="C249" s="26">
        <f>Table1346811121415161718192022253032[[#This Row],[PMI]]-B248</f>
        <v/>
      </c>
    </row>
    <row r="250">
      <c r="A250" s="10" t="n">
        <v>44896</v>
      </c>
      <c r="B250" s="19">
        <f>IF(VLOOKUP(A250,'DB Country PMI'!$A:$AZ,MATCH($A$1,'DB Country PMI'!$A$1:$AZ$1,),)=0,#N/A,VLOOKUP(A250,'DB Country PMI'!$A:$AZ,MATCH($A$1,'DB Country PMI'!$A$1:$AZ$1,),))</f>
        <v/>
      </c>
      <c r="C250" s="26">
        <f>Table1346811121415161718192022253032[[#This Row],[PMI]]-B249</f>
        <v/>
      </c>
    </row>
    <row r="251">
      <c r="A251" s="10" t="n">
        <v>44927</v>
      </c>
      <c r="B251" s="19">
        <f>IF(VLOOKUP(A251,'DB Country PMI'!$A:$AZ,MATCH($A$1,'DB Country PMI'!$A$1:$AZ$1,),)=0,#N/A,VLOOKUP(A251,'DB Country PMI'!$A:$AZ,MATCH($A$1,'DB Country PMI'!$A$1:$AZ$1,),))</f>
        <v/>
      </c>
      <c r="C251" s="26">
        <f>Table1346811121415161718192022253032[[#This Row],[PMI]]-B250</f>
        <v/>
      </c>
    </row>
    <row r="252">
      <c r="A252" s="10" t="n">
        <v>44958</v>
      </c>
      <c r="B252" s="19">
        <f>IF(VLOOKUP(A252,'DB Country PMI'!$A:$AZ,MATCH($A$1,'DB Country PMI'!$A$1:$AZ$1,),)=0,#N/A,VLOOKUP(A252,'DB Country PMI'!$A:$AZ,MATCH($A$1,'DB Country PMI'!$A$1:$AZ$1,),))</f>
        <v/>
      </c>
      <c r="C252" s="26">
        <f>Table1346811121415161718192022253032[[#This Row],[PMI]]-B251</f>
        <v/>
      </c>
    </row>
  </sheetData>
  <conditionalFormatting sqref="B95:B252">
    <cfRule type="colorScale" priority="1">
      <colorScale>
        <cfvo type="min"/>
        <cfvo type="percentile" val="50"/>
        <cfvo type="max"/>
        <color rgb="FFF8696B"/>
        <color rgb="FFFFEB84"/>
        <color rgb="FF63BE7B"/>
      </colorScale>
    </cfRule>
  </conditionalFormatting>
  <conditionalFormatting sqref="C95:C252">
    <cfRule type="colorScale" priority="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2023-04-16T07:40:05Z</dcterms:modified>
  <cp:lastModifiedBy>Mark Mukherjee</cp:lastModifiedBy>
</cp:coreProperties>
</file>