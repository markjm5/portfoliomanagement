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7520" yWindow="540" windowWidth="44320" windowHeight="25020" tabRatio="804" firstSheet="0" activeTab="3"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4"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Global!$K$2</f>
          <strCache>
            <ptCount val="1"/>
            <pt idx="0">
              <v>Global Manufacturing PMI</v>
            </pt>
          </strCache>
        </strRef>
      </tx>
      <overlay val="0"/>
      <spPr>
        <a:noFill xmlns:a="http://schemas.openxmlformats.org/drawingml/2006/main"/>
        <a:ln xmlns:a="http://schemas.openxmlformats.org/drawingml/2006/main">
          <a:noFill/>
          <a:prstDash val="solid"/>
        </a:ln>
      </sp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United States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US!$B$6:$B$142</f>
              <numCache>
                <formatCode>General</formatCode>
                <ptCount val="137"/>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China!$D$6:$D$210</f>
              <numCache>
                <formatCode>General</formatCode>
                <ptCount val="20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China!$F$6:$F$210</f>
              <numCache>
                <formatCode>0.0%</formatCode>
                <ptCount val="20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Area'!$E$18:$E$215</f>
              <numCache>
                <formatCode>General</formatCode>
                <ptCount val="19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Area'!$F$18:$F$215</f>
              <numCache>
                <formatCode>0.0%</formatCode>
                <ptCount val="198"/>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Area'!$G$6:$G$211</f>
              <numCache>
                <formatCode>0.0%</formatCode>
                <ptCount val="206"/>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v>
                </pt>
                <pt idx="203">
                  <v>0</v>
                </pt>
                <pt idx="204">
                  <v>0</v>
                </pt>
                <pt idx="20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Japan!$A$6:$A$173</f>
              <numCache>
                <formatCode>m/d/yy</formatCode>
                <ptCount val="16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numCache>
            </numRef>
          </cat>
          <val>
            <numRef>
              <f>Japan!$B$6:$B$173</f>
              <numCache>
                <formatCode>General</formatCode>
                <ptCount val="16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Germany!$A$6:$A$174</f>
              <numCache>
                <formatCode>m/d/yy</formatCode>
                <ptCount val="16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numCache>
            </numRef>
          </cat>
          <val>
            <numRef>
              <f>Germany!$B$6:$B$174</f>
              <numCache>
                <formatCode>General</formatCode>
                <ptCount val="16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UK!$B$18:$B$216</f>
              <numCache>
                <formatCode>General</formatCode>
                <ptCount val="19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UK!$D$18:$D$216</f>
              <numCache>
                <formatCode>0.00</formatCode>
                <ptCount val="199"/>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UK!$B$6:$B$211</f>
              <numCache>
                <formatCode>General</formatCode>
                <ptCount val="20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Italy!$B$6:$B$187</f>
              <numCache>
                <formatCode>General</formatCode>
                <ptCount val="18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Spain!$B$6:$B$187</f>
              <numCache>
                <formatCode>General</formatCode>
                <ptCount val="18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Mexico!$B$6:$B$135</f>
              <numCache>
                <formatCode>General</formatCode>
                <ptCount val="13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Canada!$B$6:$B$135</f>
              <numCache>
                <formatCode>General</formatCode>
                <ptCount val="13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Australia!$A$6:$A$170</f>
              <numCache>
                <formatCode>m/d/yy</formatCode>
                <ptCount val="16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numCache>
            </numRef>
          </cat>
          <val>
            <numRef>
              <f>Australia!$B$6:$B$170</f>
              <numCache>
                <formatCode>General</formatCode>
                <ptCount val="16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Indonesia!$B$6:$B$135</f>
              <numCache>
                <formatCode>General</formatCode>
                <ptCount val="13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SouthKorea!$A$6:$A$139</f>
              <numCache>
                <formatCode>m/d/yy</formatCode>
                <ptCount val="13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numCache>
            </numRef>
          </cat>
          <val>
            <numRef>
              <f>SouthKorea!$B$6:$B$139</f>
              <numCache>
                <formatCode>General</formatCode>
                <ptCount val="13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Taiwan!$B$6:$B$141</f>
              <numCache>
                <formatCode>General</formatCode>
                <ptCount val="13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Greece!$A$6:$A$141</f>
              <numCache>
                <formatCode>m/d/yy</formatCode>
                <ptCount val="13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Greece!$B$6:$B$141</f>
              <numCache>
                <formatCode>General</formatCode>
                <ptCount val="13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Turkey!$B$6:$B$141</f>
              <numCache>
                <formatCode>General</formatCode>
                <ptCount val="13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CzechRepublic!$B$6:$B$141</f>
              <numCache>
                <formatCode>General</formatCode>
                <ptCount val="13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Poland!$B$6:$B$141</f>
              <numCache>
                <formatCode>General</formatCode>
                <ptCount val="13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Denmark!$A$6:$A$342</f>
              <numCache>
                <formatCode>m/d/yy</formatCode>
                <ptCount val="33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numCache>
            </numRef>
          </cat>
          <val>
            <numRef>
              <f>Denmark!$B$6:$B$342</f>
              <numCache>
                <formatCode>General</formatCode>
                <ptCount val="33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Vietnam!$A$6:$A$120</f>
              <numCache>
                <formatCode>m/d/yy</formatCode>
                <ptCount val="11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Vietnam!$B$6:$B$120</f>
              <numCache>
                <formatCode>General</formatCode>
                <ptCount val="11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444499</colOff>
      <row>100</row>
      <rowOff>33866</rowOff>
    </from>
    <to>
      <col>15</col>
      <colOff>465666</colOff>
      <row>121</row>
      <rowOff>177803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1" headerRowCount="1" totalsRowShown="0" headerRowDxfId="250" dataDxfId="248" headerRowBorderDxfId="249" tableBorderDxfId="247" totalsRowBorderDxfId="246">
  <autoFilter ref="A5:D14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1" headerRowCount="1" totalsRowShown="0" headerRowDxfId="230" dataDxfId="228" headerRowBorderDxfId="229" tableBorderDxfId="227" totalsRowBorderDxfId="226">
  <autoFilter ref="A5:G21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3" headerRowCount="1" totalsRowShown="0" headerRowDxfId="218" dataDxfId="216" headerRowBorderDxfId="217" tableBorderDxfId="215" totalsRowBorderDxfId="214">
  <autoFilter ref="A5:C17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4" headerRowCount="1" totalsRowShown="0" headerRowDxfId="210" dataDxfId="208" headerRowBorderDxfId="209" tableBorderDxfId="207" totalsRowBorderDxfId="206">
  <autoFilter ref="A5:C17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7" headerRowCount="1" totalsRowShown="0" headerRowDxfId="202" dataDxfId="200" headerRowBorderDxfId="201" tableBorderDxfId="199" totalsRowBorderDxfId="198">
  <autoFilter ref="A5:C16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1" headerRowCount="1" totalsRowShown="0" headerRowDxfId="194" dataDxfId="192" headerRowBorderDxfId="193" tableBorderDxfId="191" totalsRowBorderDxfId="190">
  <autoFilter ref="A5:F21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7" headerRowCount="1" totalsRowShown="0" headerRowDxfId="183" dataDxfId="181" headerRowBorderDxfId="182" tableBorderDxfId="180" totalsRowBorderDxfId="179">
  <autoFilter ref="A5:C18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7" headerRowCount="1" totalsRowShown="0" headerRowDxfId="175" dataDxfId="173" headerRowBorderDxfId="174" tableBorderDxfId="172" totalsRowBorderDxfId="171">
  <autoFilter ref="A5:C18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1" headerRowCount="1" totalsRowShown="0" headerRowDxfId="167" dataDxfId="165" headerRowBorderDxfId="166" tableBorderDxfId="164" totalsRowBorderDxfId="163">
  <autoFilter ref="A5:C14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5" headerRowCount="1" totalsRowShown="0" headerRowDxfId="159" dataDxfId="157" headerRowBorderDxfId="158" tableBorderDxfId="156" totalsRowBorderDxfId="155">
  <autoFilter ref="A5:C13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1" headerRowCount="1" totalsRowShown="0" headerRowDxfId="151" dataDxfId="149" headerRowBorderDxfId="150" tableBorderDxfId="148" totalsRowBorderDxfId="147">
  <autoFilter ref="A5:C14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1" headerRowCount="1" totalsRowShown="0" headerRowDxfId="143" dataDxfId="141" headerRowBorderDxfId="142" tableBorderDxfId="140" totalsRowBorderDxfId="139">
  <autoFilter ref="A5:C14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5" headerRowCount="1" totalsRowShown="0" headerRowDxfId="135" dataDxfId="133" headerRowBorderDxfId="134" tableBorderDxfId="132" totalsRowBorderDxfId="131">
  <autoFilter ref="A5:C13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0" headerRowCount="1" totalsRowShown="0" headerRowDxfId="127" dataDxfId="125" headerRowBorderDxfId="126" tableBorderDxfId="124" totalsRowBorderDxfId="123">
  <autoFilter ref="A5:C17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5" headerRowCount="1" totalsRowShown="0" headerRowDxfId="119" dataDxfId="117" headerRowBorderDxfId="118" tableBorderDxfId="116" totalsRowBorderDxfId="115">
  <autoFilter ref="A5:C13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9" headerRowCount="1" totalsRowShown="0" headerRowDxfId="111" dataDxfId="109" headerRowBorderDxfId="110" tableBorderDxfId="108" totalsRowBorderDxfId="107">
  <autoFilter ref="A5:C13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1" headerRowCount="1" totalsRowShown="0" headerRowDxfId="103" dataDxfId="101" headerRowBorderDxfId="102" tableBorderDxfId="100" totalsRowBorderDxfId="99">
  <autoFilter ref="A5:C14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1" headerRowCount="1" totalsRowShown="0" headerRowDxfId="95" dataDxfId="93" headerRowBorderDxfId="94" tableBorderDxfId="92" totalsRowBorderDxfId="91">
  <autoFilter ref="A5:C14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1" headerRowCount="1" totalsRowShown="0" headerRowDxfId="87" dataDxfId="85" headerRowBorderDxfId="86" tableBorderDxfId="84" totalsRowBorderDxfId="83">
  <autoFilter ref="A5:C14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1" headerRowCount="1" totalsRowShown="0" headerRowDxfId="79" dataDxfId="77" headerRowBorderDxfId="78" tableBorderDxfId="76" totalsRowBorderDxfId="75">
  <autoFilter ref="A5:C14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2" headerRowCount="1" totalsRowShown="0" headerRowDxfId="55" dataDxfId="53" headerRowBorderDxfId="54" tableBorderDxfId="52" totalsRowBorderDxfId="51">
  <autoFilter ref="A5:C34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0" headerRowCount="1" totalsRowShown="0" headerRowDxfId="47" dataDxfId="45" headerRowBorderDxfId="46" tableBorderDxfId="44" totalsRowBorderDxfId="43">
  <autoFilter ref="A5:C12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6" sqref="B16:F1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49"/>
    <col width="9.1640625" customWidth="1" style="70" min="50" max="16384"/>
  </cols>
  <sheetData>
    <row r="1">
      <c r="B1" s="74" t="n"/>
    </row>
    <row r="2" ht="16" customHeight="1" s="63" thickBot="1">
      <c r="B2" s="75" t="n"/>
      <c r="C2" s="75" t="n"/>
      <c r="D2" s="75" t="n"/>
      <c r="E2" s="75" t="n"/>
      <c r="F2" s="75" t="n"/>
      <c r="G2" s="75" t="n"/>
      <c r="H2" s="75" t="n"/>
      <c r="I2" s="75" t="n"/>
      <c r="J2" s="75" t="n"/>
    </row>
    <row r="3" ht="16" customHeight="1" s="63"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3">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3">
      <c r="B8" s="1" t="n"/>
      <c r="C8" s="69" t="n"/>
      <c r="D8" s="69" t="n"/>
      <c r="E8" s="69" t="n"/>
      <c r="F8" s="69" t="n"/>
      <c r="G8" s="69" t="n"/>
      <c r="H8" s="69" t="n"/>
      <c r="I8" s="69" t="n"/>
      <c r="J8" s="69" t="n"/>
    </row>
    <row r="9" ht="16" customHeight="1" s="63" thickBot="1">
      <c r="B9" s="2" t="n"/>
      <c r="C9" s="3" t="n"/>
      <c r="D9" s="3" t="n"/>
      <c r="E9" s="3" t="n"/>
    </row>
    <row r="10" ht="16" customHeight="1" s="63"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3" thickBot="1">
      <c r="B12" s="67" t="inlineStr">
        <is>
          <t>TO DO LIST</t>
        </is>
      </c>
      <c r="C12" s="77" t="n"/>
      <c r="D12" s="77" t="n"/>
      <c r="E12" s="77" t="n"/>
      <c r="F12" s="68" t="n"/>
      <c r="G12" s="67" t="inlineStr">
        <is>
          <t>Comments</t>
        </is>
      </c>
      <c r="H12" s="77" t="n"/>
      <c r="I12" s="77" t="n"/>
      <c r="J12" s="68" t="n"/>
    </row>
    <row r="13">
      <c r="P13" s="5" t="n">
        <v>44562</v>
      </c>
      <c r="Q13" s="6">
        <f>DATE(YEAR(P13),MONTH(P13)-1,DAY(P13))</f>
        <v/>
      </c>
      <c r="R13" s="7" t="n"/>
      <c r="S13" s="61" t="inlineStr">
        <is>
          <t>%</t>
        </is>
      </c>
    </row>
    <row r="14" ht="16" customHeight="1" s="63"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2" t="inlineStr">
        <is>
          <t>World GDP</t>
        </is>
      </c>
    </row>
    <row r="15" ht="30.75" customHeight="1" s="63">
      <c r="G15" s="69" t="inlineStr">
        <is>
          <t>JPMorgan Global Manufacturing PMI</t>
        </is>
      </c>
      <c r="N15" s="67" t="inlineStr">
        <is>
          <t>Global</t>
        </is>
      </c>
      <c r="O15" s="68" t="n"/>
      <c r="P15" s="24">
        <f>VLOOKUP($P$13,Summary!$B:$AB,MATCH(Note!N15,Summary!$B$2:$AB$2,),)</f>
        <v/>
      </c>
      <c r="Q15" s="24">
        <f>VLOOKUP($Q$13,Summary!$B:$AB,MATCH(Note!N15,Summary!$B$2:$AB$2,),)</f>
        <v/>
      </c>
      <c r="R15" s="58">
        <f>P15-Q15</f>
        <v/>
      </c>
      <c r="S15" s="60"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8">
        <f>P16-Q16</f>
        <v/>
      </c>
      <c r="S16" s="59"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8">
        <f>P17-Q17</f>
        <v/>
      </c>
      <c r="S17" s="59" t="n">
        <v>0.152</v>
      </c>
    </row>
    <row r="18">
      <c r="B18" s="70" t="n"/>
      <c r="N18" s="67" t="inlineStr">
        <is>
          <t>Eurozone</t>
        </is>
      </c>
      <c r="O18" s="68" t="n"/>
      <c r="P18" s="24">
        <f>VLOOKUP($P$13,Summary!$B:$AB,MATCH(Note!N18,Summary!$B$2:$AB$2,),)</f>
        <v/>
      </c>
      <c r="Q18" s="24">
        <f>VLOOKUP($Q$13,Summary!$B:$AB,MATCH(Note!N18,Summary!$B$2:$AB$2,),)</f>
        <v/>
      </c>
      <c r="R18" s="58">
        <f>P18-Q18</f>
        <v/>
      </c>
      <c r="S18" s="59" t="n">
        <v>0.156</v>
      </c>
    </row>
    <row r="19">
      <c r="N19" s="67" t="inlineStr">
        <is>
          <t xml:space="preserve">Japan </t>
        </is>
      </c>
      <c r="O19" s="68" t="n"/>
      <c r="P19" s="24">
        <f>VLOOKUP($P$13,Summary!$B:$AB,MATCH(Note!N19,Summary!$B$2:$AB$2,),)</f>
        <v/>
      </c>
      <c r="Q19" s="24">
        <f>VLOOKUP($Q$13,Summary!$B:$AB,MATCH(Note!N19,Summary!$B$2:$AB$2,),)</f>
        <v/>
      </c>
      <c r="R19" s="58">
        <f>P19-Q19</f>
        <v/>
      </c>
      <c r="S19" s="59" t="n">
        <v>0.06</v>
      </c>
    </row>
    <row r="20">
      <c r="B20" s="70" t="n"/>
      <c r="G20" s="70" t="n"/>
      <c r="N20" s="67" t="inlineStr">
        <is>
          <t>Germany</t>
        </is>
      </c>
      <c r="O20" s="68" t="n"/>
      <c r="P20" s="24">
        <f>VLOOKUP($P$13,Summary!$B:$AB,MATCH(Note!N20,Summary!$B$2:$AB$2,),)</f>
        <v/>
      </c>
      <c r="Q20" s="24">
        <f>VLOOKUP($Q$13,Summary!$B:$AB,MATCH(Note!N20,Summary!$B$2:$AB$2,),)</f>
        <v/>
      </c>
      <c r="R20" s="58">
        <f>P20-Q20</f>
        <v/>
      </c>
      <c r="S20" s="59" t="n">
        <v>0.04564243244249699</v>
      </c>
    </row>
    <row r="21">
      <c r="B21" s="70" t="n"/>
      <c r="G21" s="70" t="n"/>
      <c r="N21" s="67" t="inlineStr">
        <is>
          <t>France</t>
        </is>
      </c>
      <c r="O21" s="68" t="n"/>
      <c r="P21" s="24">
        <f>VLOOKUP($P$13,Summary!$B:$AB,MATCH(Note!N21,Summary!$B$2:$AB$2,),)</f>
        <v/>
      </c>
      <c r="Q21" s="24">
        <f>VLOOKUP($Q$13,Summary!$B:$AB,MATCH(Note!N21,Summary!$B$2:$AB$2,),)</f>
        <v/>
      </c>
      <c r="R21" s="58">
        <f>P21-Q21</f>
        <v/>
      </c>
      <c r="S21" s="59" t="n">
        <v>0.03206266059259443</v>
      </c>
    </row>
    <row r="22">
      <c r="B22" s="70" t="n"/>
      <c r="G22" s="70" t="n"/>
      <c r="N22" s="67" t="inlineStr">
        <is>
          <t>UK</t>
        </is>
      </c>
      <c r="O22" s="68" t="n"/>
      <c r="P22" s="24">
        <f>VLOOKUP($P$13,Summary!$B:$AB,MATCH(Note!N22,Summary!$B$2:$AB$2,),)</f>
        <v/>
      </c>
      <c r="Q22" s="24">
        <f>VLOOKUP($Q$13,Summary!$B:$AB,MATCH(Note!N22,Summary!$B$2:$AB$2,),)</f>
        <v/>
      </c>
      <c r="R22" s="58">
        <f>P22-Q22</f>
        <v/>
      </c>
      <c r="S22" s="59" t="n">
        <v>0.033</v>
      </c>
    </row>
    <row r="23">
      <c r="B23" s="70" t="n"/>
      <c r="N23" s="67" t="inlineStr">
        <is>
          <t xml:space="preserve">Italy </t>
        </is>
      </c>
      <c r="O23" s="68" t="n"/>
      <c r="P23" s="24">
        <f>VLOOKUP($P$13,Summary!$B:$AB,MATCH(Note!N23,Summary!$B$2:$AB$2,),)</f>
        <v/>
      </c>
      <c r="Q23" s="24">
        <f>VLOOKUP($Q$13,Summary!$B:$AB,MATCH(Note!N23,Summary!$B$2:$AB$2,),)</f>
        <v/>
      </c>
      <c r="R23" s="58">
        <f>P23-Q23</f>
        <v/>
      </c>
      <c r="S23" s="59" t="n">
        <v>0.024</v>
      </c>
    </row>
    <row r="24">
      <c r="B24" s="70" t="n"/>
      <c r="N24" s="67" t="inlineStr">
        <is>
          <t>Spain</t>
        </is>
      </c>
      <c r="O24" s="68" t="n"/>
      <c r="P24" s="24">
        <f>VLOOKUP($P$13,Summary!$B:$AB,MATCH(Note!N24,Summary!$B$2:$AB$2,),)</f>
        <v/>
      </c>
      <c r="Q24" s="24">
        <f>VLOOKUP($Q$13,Summary!$B:$AB,MATCH(Note!N24,Summary!$B$2:$AB$2,),)</f>
        <v/>
      </c>
      <c r="R24" s="58">
        <f>P24-Q24</f>
        <v/>
      </c>
      <c r="S24" s="59" t="n">
        <v>0.01627338290239694</v>
      </c>
    </row>
    <row r="25">
      <c r="N25" s="67" t="inlineStr">
        <is>
          <t>Brazil</t>
        </is>
      </c>
      <c r="O25" s="68" t="n"/>
      <c r="P25" s="24">
        <f>VLOOKUP($P$13,Summary!$B:$AB,MATCH(Note!N25,Summary!$B$2:$AB$2,),)</f>
        <v/>
      </c>
      <c r="Q25" s="24">
        <f>VLOOKUP($Q$13,Summary!$B:$AB,MATCH(Note!N25,Summary!$B$2:$AB$2,),)</f>
        <v/>
      </c>
      <c r="R25" s="58">
        <f>P25-Q25</f>
        <v/>
      </c>
      <c r="S25" s="59" t="n">
        <v>0.02552103375082236</v>
      </c>
    </row>
    <row r="26">
      <c r="N26" s="67" t="inlineStr">
        <is>
          <t>Mexico</t>
        </is>
      </c>
      <c r="O26" s="68" t="n"/>
      <c r="P26" s="24">
        <f>VLOOKUP($P$13,Summary!$B:$AB,MATCH(Note!N26,Summary!$B$2:$AB$2,),)</f>
        <v/>
      </c>
      <c r="Q26" s="24">
        <f>VLOOKUP($Q$13,Summary!$B:$AB,MATCH(Note!N26,Summary!$B$2:$AB$2,),)</f>
        <v/>
      </c>
      <c r="R26" s="58">
        <f>P26-Q26</f>
        <v/>
      </c>
      <c r="S26" s="59" t="n">
        <v>0.0142873102369633</v>
      </c>
    </row>
    <row r="27">
      <c r="N27" s="67" t="inlineStr">
        <is>
          <t>Russia</t>
        </is>
      </c>
      <c r="O27" s="68" t="n"/>
      <c r="P27" s="24">
        <f>VLOOKUP($P$13,Summary!$B:$AB,MATCH(Note!N27,Summary!$B$2:$AB$2,),)</f>
        <v/>
      </c>
      <c r="Q27" s="24">
        <f>VLOOKUP($Q$13,Summary!$B:$AB,MATCH(Note!N27,Summary!$B$2:$AB$2,),)</f>
        <v/>
      </c>
      <c r="R27" s="58">
        <f>P27-Q27</f>
        <v/>
      </c>
      <c r="S27" s="59" t="n">
        <v>0.01958764166283934</v>
      </c>
    </row>
    <row r="28">
      <c r="N28" s="67" t="inlineStr">
        <is>
          <t>India</t>
        </is>
      </c>
      <c r="O28" s="68" t="n"/>
      <c r="P28" s="24">
        <f>VLOOKUP($P$13,Summary!$B:$AB,MATCH(Note!N28,Summary!$B$2:$AB$2,),)</f>
        <v/>
      </c>
      <c r="Q28" s="24">
        <f>VLOOKUP($Q$13,Summary!$B:$AB,MATCH(Note!N28,Summary!$B$2:$AB$2,),)</f>
        <v/>
      </c>
      <c r="R28" s="58">
        <f>P28-Q28</f>
        <v/>
      </c>
      <c r="S28" s="59" t="n">
        <v>0.03228609376745572</v>
      </c>
    </row>
    <row r="29">
      <c r="N29" s="67" t="inlineStr">
        <is>
          <t>Canada</t>
        </is>
      </c>
      <c r="O29" s="68" t="n"/>
      <c r="P29" s="24">
        <f>VLOOKUP($P$13,Summary!$B:$AB,MATCH(Note!N29,Summary!$B$2:$AB$2,),)</f>
        <v/>
      </c>
      <c r="Q29" s="24">
        <f>VLOOKUP($Q$13,Summary!$B:$AB,MATCH(Note!N29,Summary!$B$2:$AB$2,),)</f>
        <v/>
      </c>
      <c r="R29" s="58">
        <f>P29-Q29</f>
        <v/>
      </c>
      <c r="S29" s="59" t="n">
        <v>0.02051861322476136</v>
      </c>
    </row>
    <row r="30">
      <c r="N30" s="67" t="inlineStr">
        <is>
          <t>Australia</t>
        </is>
      </c>
      <c r="O30" s="68" t="n"/>
      <c r="P30" s="24">
        <f>VLOOKUP($P$13,Summary!$B:$AB,MATCH(Note!N30,Summary!$B$2:$AB$2,),)</f>
        <v/>
      </c>
      <c r="Q30" s="24">
        <f>VLOOKUP($Q$13,Summary!$B:$AB,MATCH(Note!N30,Summary!$B$2:$AB$2,),)</f>
        <v/>
      </c>
      <c r="R30" s="58">
        <f>P30-Q30</f>
        <v/>
      </c>
      <c r="S30" s="59" t="n">
        <v>0.01642233835230446</v>
      </c>
    </row>
    <row r="31">
      <c r="N31" s="67" t="inlineStr">
        <is>
          <t>Indonesia</t>
        </is>
      </c>
      <c r="O31" s="68" t="n"/>
      <c r="P31" s="24">
        <f>VLOOKUP($P$13,Summary!$B:$AB,MATCH(Note!N31,Summary!$B$2:$AB$2,),)</f>
        <v/>
      </c>
      <c r="Q31" s="24">
        <f>VLOOKUP($Q$13,Summary!$B:$AB,MATCH(Note!N31,Summary!$B$2:$AB$2,),)</f>
        <v/>
      </c>
      <c r="R31" s="58">
        <f>P31-Q31</f>
        <v/>
      </c>
      <c r="S31" s="59" t="n">
        <v>0.01261156142550366</v>
      </c>
    </row>
    <row r="32">
      <c r="N32" s="67" t="inlineStr">
        <is>
          <t xml:space="preserve">S Korea </t>
        </is>
      </c>
      <c r="O32" s="68" t="n"/>
      <c r="P32" s="24">
        <f>VLOOKUP($P$13,Summary!$B:$AB,MATCH(Note!N32,Summary!$B$2:$AB$2,),)</f>
        <v/>
      </c>
      <c r="Q32" s="24">
        <f>VLOOKUP($Q$13,Summary!$B:$AB,MATCH(Note!N32,Summary!$B$2:$AB$2,),)</f>
        <v/>
      </c>
      <c r="R32" s="58">
        <f>P32-Q32</f>
        <v/>
      </c>
      <c r="S32" s="59" t="n">
        <v>0.019</v>
      </c>
    </row>
    <row r="33">
      <c r="N33" s="67" t="inlineStr">
        <is>
          <t>Taiwan</t>
        </is>
      </c>
      <c r="O33" s="68" t="n"/>
      <c r="P33" s="24">
        <f>VLOOKUP($P$13,Summary!$B:$AB,MATCH(Note!N33,Summary!$B$2:$AB$2,),)</f>
        <v/>
      </c>
      <c r="Q33" s="24">
        <f>VLOOKUP($Q$13,Summary!$B:$AB,MATCH(Note!N33,Summary!$B$2:$AB$2,),)</f>
        <v/>
      </c>
      <c r="R33" s="58">
        <f>P33-Q33</f>
        <v/>
      </c>
      <c r="S33" s="59" t="n">
        <v>0.007112622733084247</v>
      </c>
    </row>
    <row r="34">
      <c r="N34" s="67" t="inlineStr">
        <is>
          <t>Greece</t>
        </is>
      </c>
      <c r="O34" s="68" t="n"/>
      <c r="P34" s="24">
        <f>VLOOKUP($P$13,Summary!$B:$AB,MATCH(Note!N34,Summary!$B$2:$AB$2,),)</f>
        <v/>
      </c>
      <c r="Q34" s="24">
        <f>VLOOKUP($Q$13,Summary!$B:$AB,MATCH(Note!N34,Summary!$B$2:$AB$2,),)</f>
        <v/>
      </c>
      <c r="R34" s="58">
        <f>P34-Q34</f>
        <v/>
      </c>
      <c r="S34" s="59" t="n">
        <v>0.002482590831792058</v>
      </c>
    </row>
    <row r="35">
      <c r="N35" s="67" t="inlineStr">
        <is>
          <t>Ireland</t>
        </is>
      </c>
      <c r="O35" s="68" t="n"/>
      <c r="P35" s="24">
        <f>VLOOKUP($P$13,Summary!$B:$AB,MATCH(Note!N35,Summary!$B$2:$AB$2,),)</f>
        <v/>
      </c>
      <c r="Q35" s="24">
        <f>VLOOKUP($Q$13,Summary!$B:$AB,MATCH(Note!N35,Summary!$B$2:$AB$2,),)</f>
        <v/>
      </c>
      <c r="R35" s="58">
        <f>P35-Q35</f>
        <v/>
      </c>
      <c r="S35" s="59" t="n">
        <v>0.004145926689092737</v>
      </c>
    </row>
    <row r="36">
      <c r="N36" s="67" t="inlineStr">
        <is>
          <t>Turkey</t>
        </is>
      </c>
      <c r="O36" s="68" t="n"/>
      <c r="P36" s="24">
        <f>VLOOKUP($P$13,Summary!$B:$AB,MATCH(Note!N36,Summary!$B$2:$AB$2,),)</f>
        <v/>
      </c>
      <c r="Q36" s="24">
        <f>VLOOKUP($Q$13,Summary!$B:$AB,MATCH(Note!N36,Summary!$B$2:$AB$2,),)</f>
        <v/>
      </c>
      <c r="R36" s="58">
        <f>P36-Q36</f>
        <v/>
      </c>
      <c r="S36" s="59" t="n">
        <v>0.01056342398927521</v>
      </c>
    </row>
    <row r="37">
      <c r="N37" s="67" t="inlineStr">
        <is>
          <t xml:space="preserve">Czech </t>
        </is>
      </c>
      <c r="O37" s="68" t="n"/>
      <c r="P37" s="24">
        <f>VLOOKUP($P$13,Summary!$B:$AB,MATCH(Note!N37,Summary!$B$2:$AB$2,),)</f>
        <v/>
      </c>
      <c r="Q37" s="24">
        <f>VLOOKUP($Q$13,Summary!$B:$AB,MATCH(Note!N37,Summary!$B$2:$AB$2,),)</f>
        <v/>
      </c>
      <c r="R37" s="58">
        <f>P37-Q37</f>
        <v/>
      </c>
      <c r="S37" s="59" t="n">
        <v>0.003</v>
      </c>
    </row>
    <row r="38">
      <c r="N38" s="67" t="inlineStr">
        <is>
          <t>Poland</t>
        </is>
      </c>
      <c r="O38" s="68" t="n"/>
      <c r="P38" s="24">
        <f>VLOOKUP($P$13,Summary!$B:$AB,MATCH(Note!N38,Summary!$B$2:$AB$2,),)</f>
        <v/>
      </c>
      <c r="Q38" s="24">
        <f>VLOOKUP($Q$13,Summary!$B:$AB,MATCH(Note!N38,Summary!$B$2:$AB$2,),)</f>
        <v/>
      </c>
      <c r="R38" s="58">
        <f>P38-Q38</f>
        <v/>
      </c>
      <c r="S38" s="59" t="n">
        <v>0.006516800933454153</v>
      </c>
    </row>
    <row r="39">
      <c r="N39" s="67" t="inlineStr">
        <is>
          <t>Denmark</t>
        </is>
      </c>
      <c r="O39" s="68" t="n"/>
      <c r="P39" s="24">
        <f>VLOOKUP($P$13,Summary!$B:$AB,MATCH(Note!N39,Summary!$B$2:$AB$2,),)</f>
        <v/>
      </c>
      <c r="Q39" s="24">
        <f>VLOOKUP($Q$13,Summary!$B:$AB,MATCH(Note!N39,Summary!$B$2:$AB$2,),)</f>
        <v/>
      </c>
      <c r="R39" s="58">
        <f>P39-Q39</f>
        <v/>
      </c>
      <c r="S39" s="59" t="n">
        <v>0.004034210101662094</v>
      </c>
    </row>
    <row r="41" ht="30" customHeight="1" s="63"/>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252" activePane="bottomLeft" state="frozen"/>
      <selection pane="bottomLeft" activeCell="X324" sqref="X324"/>
    </sheetView>
  </sheetViews>
  <sheetFormatPr baseColWidth="10" defaultRowHeight="15"/>
  <cols>
    <col width="10.83203125" customWidth="1" style="63" min="1" max="21"/>
    <col width="10.83203125" customWidth="1" style="63" min="22"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tabSelected="1" zoomScale="160" zoomScaleNormal="160" workbookViewId="0">
      <pane ySplit="1" topLeftCell="A298" activePane="bottomLeft" state="frozen"/>
      <selection activeCell="K192" sqref="K192"/>
      <selection pane="bottomLeft" activeCell="B327" sqref="B327"/>
    </sheetView>
  </sheetViews>
  <sheetFormatPr baseColWidth="10" defaultRowHeight="15"/>
  <cols>
    <col width="10.83203125" customWidth="1" style="63" min="1" max="5"/>
    <col width="17.33203125" customWidth="1" style="63" min="6" max="6"/>
    <col width="10.83203125" customWidth="1" style="63" min="7" max="22"/>
    <col width="10.83203125" customWidth="1" style="63" min="23" max="16384"/>
  </cols>
  <sheetData>
    <row r="1">
      <c r="A1" t="inlineStr">
        <is>
          <t>DATE</t>
        </is>
      </c>
      <c r="B1" t="inlineStr">
        <is>
          <t>Global</t>
        </is>
      </c>
      <c r="C1" t="inlineStr">
        <is>
          <t>ACWI</t>
        </is>
      </c>
      <c r="D1" t="inlineStr">
        <is>
          <t>EZU</t>
        </is>
      </c>
      <c r="E1" t="inlineStr">
        <is>
          <t>EWU</t>
        </is>
      </c>
      <c r="F1" t="inlineStr">
        <is>
          <t>EuroGDPQoQ</t>
        </is>
      </c>
    </row>
    <row r="2">
      <c r="A2" s="82" t="n">
        <v>34700</v>
      </c>
    </row>
    <row r="3">
      <c r="A3" s="82" t="n">
        <v>34731</v>
      </c>
    </row>
    <row r="4">
      <c r="A4" s="82" t="n">
        <v>34759</v>
      </c>
    </row>
    <row r="5">
      <c r="A5" s="82" t="n">
        <v>34790</v>
      </c>
      <c r="F5" t="n">
        <v>0.005572378964655846</v>
      </c>
    </row>
    <row r="6">
      <c r="A6" s="82" t="n">
        <v>34820</v>
      </c>
    </row>
    <row r="7">
      <c r="A7" s="82" t="n">
        <v>34851</v>
      </c>
    </row>
    <row r="8">
      <c r="A8" s="82" t="n">
        <v>34881</v>
      </c>
      <c r="F8" t="n">
        <v>0.002196780173741038</v>
      </c>
    </row>
    <row r="9">
      <c r="A9" s="82" t="n">
        <v>34912</v>
      </c>
    </row>
    <row r="10">
      <c r="A10" s="82" t="n">
        <v>34943</v>
      </c>
    </row>
    <row r="11">
      <c r="A11" s="82" t="n">
        <v>34973</v>
      </c>
      <c r="F11" t="n">
        <v>0.003542710832364428</v>
      </c>
    </row>
    <row r="12">
      <c r="A12" s="82" t="n">
        <v>35004</v>
      </c>
    </row>
    <row r="13">
      <c r="A13" s="82" t="n">
        <v>35034</v>
      </c>
    </row>
    <row r="14">
      <c r="A14" s="82" t="n">
        <v>35065</v>
      </c>
      <c r="F14" t="n">
        <v>0.001942712867942231</v>
      </c>
    </row>
    <row r="15">
      <c r="A15" s="82" t="n">
        <v>35096</v>
      </c>
    </row>
    <row r="16">
      <c r="A16" s="82" t="n">
        <v>35125</v>
      </c>
    </row>
    <row r="17">
      <c r="A17" s="82" t="n">
        <v>35156</v>
      </c>
      <c r="F17" t="n">
        <v>0.00707701076294708</v>
      </c>
    </row>
    <row r="18">
      <c r="A18" s="82" t="n">
        <v>35186</v>
      </c>
    </row>
    <row r="19">
      <c r="A19" s="82" t="n">
        <v>35217</v>
      </c>
    </row>
    <row r="20">
      <c r="A20" s="82" t="n">
        <v>35247</v>
      </c>
      <c r="F20" t="n">
        <v>0.005408774226634588</v>
      </c>
    </row>
    <row r="21">
      <c r="A21" s="82" t="n">
        <v>35278</v>
      </c>
    </row>
    <row r="22">
      <c r="A22" s="82" t="n">
        <v>35309</v>
      </c>
    </row>
    <row r="23">
      <c r="A23" s="82" t="n">
        <v>35339</v>
      </c>
      <c r="F23" t="n">
        <v>0.004389970709835348</v>
      </c>
    </row>
    <row r="24">
      <c r="A24" s="82" t="n">
        <v>35370</v>
      </c>
    </row>
    <row r="25">
      <c r="A25" s="82" t="n">
        <v>35400</v>
      </c>
    </row>
    <row r="26">
      <c r="A26" s="82" t="n">
        <v>35431</v>
      </c>
      <c r="F26" t="n">
        <v>0.002576417142976121</v>
      </c>
    </row>
    <row r="27">
      <c r="A27" s="82" t="n">
        <v>35462</v>
      </c>
    </row>
    <row r="28">
      <c r="A28" s="82" t="n">
        <v>35490</v>
      </c>
    </row>
    <row r="29">
      <c r="A29" s="82" t="n">
        <v>35521</v>
      </c>
      <c r="F29" t="n">
        <v>0.01239738119301462</v>
      </c>
    </row>
    <row r="30">
      <c r="A30" s="82" t="n">
        <v>35551</v>
      </c>
    </row>
    <row r="31">
      <c r="A31" s="82" t="n">
        <v>35582</v>
      </c>
    </row>
    <row r="32">
      <c r="A32" s="82" t="n">
        <v>35612</v>
      </c>
      <c r="F32" t="n">
        <v>0.007753804278516108</v>
      </c>
    </row>
    <row r="33">
      <c r="A33" s="82" t="n">
        <v>35643</v>
      </c>
    </row>
    <row r="34">
      <c r="A34" s="82" t="n">
        <v>35674</v>
      </c>
    </row>
    <row r="35">
      <c r="A35" s="82" t="n">
        <v>35704</v>
      </c>
      <c r="F35" t="n">
        <v>0.01127903265870928</v>
      </c>
    </row>
    <row r="36">
      <c r="A36" s="82" t="n">
        <v>35735</v>
      </c>
    </row>
    <row r="37">
      <c r="A37" s="82" t="n">
        <v>35765</v>
      </c>
    </row>
    <row r="38">
      <c r="A38" s="82" t="n">
        <v>35796</v>
      </c>
      <c r="F38" t="n">
        <v>0.006448190519709418</v>
      </c>
    </row>
    <row r="39">
      <c r="A39" s="82" t="n">
        <v>35827</v>
      </c>
    </row>
    <row r="40">
      <c r="A40" s="82" t="n">
        <v>35855</v>
      </c>
    </row>
    <row r="41">
      <c r="A41" s="82" t="n">
        <v>35886</v>
      </c>
      <c r="F41" t="n">
        <v>0.00461615600321455</v>
      </c>
    </row>
    <row r="42">
      <c r="A42" s="82" t="n">
        <v>35916</v>
      </c>
    </row>
    <row r="43">
      <c r="A43" s="82" t="n">
        <v>35947</v>
      </c>
    </row>
    <row r="44">
      <c r="A44" s="82" t="n">
        <v>35977</v>
      </c>
      <c r="F44" t="n">
        <v>0.005940954827727079</v>
      </c>
    </row>
    <row r="45">
      <c r="A45" s="82" t="n">
        <v>36008</v>
      </c>
    </row>
    <row r="46">
      <c r="A46" s="82" t="n">
        <v>36039</v>
      </c>
    </row>
    <row r="47">
      <c r="A47" s="82" t="n">
        <v>36069</v>
      </c>
      <c r="F47" t="n">
        <v>0.001398196871179425</v>
      </c>
    </row>
    <row r="48">
      <c r="A48" s="82" t="n">
        <v>36100</v>
      </c>
    </row>
    <row r="49">
      <c r="A49" s="82" t="n">
        <v>36130</v>
      </c>
    </row>
    <row r="50">
      <c r="A50" s="82" t="n">
        <v>36161</v>
      </c>
      <c r="F50" t="n">
        <v>0.009903441867869891</v>
      </c>
    </row>
    <row r="51">
      <c r="A51" s="82" t="n">
        <v>36192</v>
      </c>
    </row>
    <row r="52">
      <c r="A52" s="82" t="n">
        <v>36220</v>
      </c>
    </row>
    <row r="53">
      <c r="A53" s="82" t="n">
        <v>36251</v>
      </c>
      <c r="F53" t="n">
        <v>0.005768015076544173</v>
      </c>
    </row>
    <row r="54">
      <c r="A54" s="82" t="n">
        <v>36281</v>
      </c>
    </row>
    <row r="55">
      <c r="A55" s="82" t="n">
        <v>36312</v>
      </c>
    </row>
    <row r="56">
      <c r="A56" s="82" t="n">
        <v>36342</v>
      </c>
      <c r="F56" t="n">
        <v>0.01153930866798152</v>
      </c>
    </row>
    <row r="57">
      <c r="A57" s="82" t="n">
        <v>36373</v>
      </c>
    </row>
    <row r="58">
      <c r="A58" s="82" t="n">
        <v>36404</v>
      </c>
    </row>
    <row r="59">
      <c r="A59" s="82" t="n">
        <v>36434</v>
      </c>
      <c r="F59" t="n">
        <v>0.011499442352521</v>
      </c>
    </row>
    <row r="60">
      <c r="A60" s="82" t="n">
        <v>36465</v>
      </c>
    </row>
    <row r="61">
      <c r="A61" s="82" t="n">
        <v>36495</v>
      </c>
    </row>
    <row r="62">
      <c r="A62" s="82" t="n">
        <v>36526</v>
      </c>
      <c r="F62" t="n">
        <v>0.01212351300049259</v>
      </c>
    </row>
    <row r="63">
      <c r="A63" s="82" t="n">
        <v>36557</v>
      </c>
    </row>
    <row r="64">
      <c r="A64" s="82" t="n">
        <v>36586</v>
      </c>
    </row>
    <row r="65">
      <c r="A65" s="82" t="n">
        <v>36617</v>
      </c>
      <c r="F65" t="n">
        <v>0.00917156713634323</v>
      </c>
    </row>
    <row r="66">
      <c r="A66" s="82" t="n">
        <v>36647</v>
      </c>
    </row>
    <row r="67">
      <c r="A67" s="82" t="n">
        <v>36678</v>
      </c>
    </row>
    <row r="68">
      <c r="A68" s="82" t="n">
        <v>36708</v>
      </c>
      <c r="F68" t="n">
        <v>0.005399897470420746</v>
      </c>
    </row>
    <row r="69">
      <c r="A69" s="82" t="n">
        <v>36739</v>
      </c>
    </row>
    <row r="70">
      <c r="A70" s="82" t="n">
        <v>36770</v>
      </c>
    </row>
    <row r="71">
      <c r="A71" s="82" t="n">
        <v>36800</v>
      </c>
      <c r="F71" t="n">
        <v>0.006674893115193551</v>
      </c>
    </row>
    <row r="72">
      <c r="A72" s="82" t="n">
        <v>36831</v>
      </c>
    </row>
    <row r="73">
      <c r="A73" s="82" t="n">
        <v>36861</v>
      </c>
    </row>
    <row r="74">
      <c r="A74" s="82" t="n">
        <v>36892</v>
      </c>
      <c r="F74" t="n">
        <v>0.01022951233929343</v>
      </c>
    </row>
    <row r="75">
      <c r="A75" s="82" t="n">
        <v>36923</v>
      </c>
    </row>
    <row r="76">
      <c r="A76" s="82" t="n">
        <v>36951</v>
      </c>
    </row>
    <row r="77">
      <c r="A77" s="82" t="n">
        <v>36982</v>
      </c>
      <c r="F77" t="n">
        <v>0.0009526124053542181</v>
      </c>
    </row>
    <row r="78">
      <c r="A78" s="82" t="n">
        <v>37012</v>
      </c>
    </row>
    <row r="79">
      <c r="A79" s="82" t="n">
        <v>37043</v>
      </c>
    </row>
    <row r="80">
      <c r="A80" s="82" t="n">
        <v>37073</v>
      </c>
      <c r="F80" t="n">
        <v>0.0009960935120852145</v>
      </c>
    </row>
    <row r="81">
      <c r="A81" s="82" t="n">
        <v>37104</v>
      </c>
    </row>
    <row r="82">
      <c r="A82" s="82" t="n">
        <v>37135</v>
      </c>
    </row>
    <row r="83">
      <c r="A83" s="82" t="n">
        <v>37165</v>
      </c>
      <c r="F83" t="n">
        <v>0.001183124451582714</v>
      </c>
    </row>
    <row r="84">
      <c r="A84" s="82" t="n">
        <v>37196</v>
      </c>
    </row>
    <row r="85">
      <c r="A85" s="82" t="n">
        <v>37226</v>
      </c>
    </row>
    <row r="86">
      <c r="A86" s="82" t="n">
        <v>37257</v>
      </c>
      <c r="F86" t="n">
        <v>0.000944064294162423</v>
      </c>
    </row>
    <row r="87">
      <c r="A87" s="82" t="n">
        <v>37288</v>
      </c>
    </row>
    <row r="88">
      <c r="A88" s="82" t="n">
        <v>37316</v>
      </c>
    </row>
    <row r="89">
      <c r="A89" s="82" t="n">
        <v>37347</v>
      </c>
      <c r="F89" t="n">
        <v>0.005426205119090722</v>
      </c>
    </row>
    <row r="90">
      <c r="A90" s="82" t="n">
        <v>37377</v>
      </c>
    </row>
    <row r="91">
      <c r="A91" s="82" t="n">
        <v>37408</v>
      </c>
    </row>
    <row r="92">
      <c r="A92" s="82" t="n">
        <v>37438</v>
      </c>
      <c r="F92" t="n">
        <v>0.004151128774705715</v>
      </c>
    </row>
    <row r="93">
      <c r="A93" s="82" t="n">
        <v>37469</v>
      </c>
    </row>
    <row r="94">
      <c r="A94" s="82" t="n">
        <v>37500</v>
      </c>
    </row>
    <row r="95">
      <c r="A95" s="82" t="n">
        <v>37530</v>
      </c>
      <c r="F95" t="n">
        <v>0.001576007868011613</v>
      </c>
    </row>
    <row r="96">
      <c r="A96" s="82" t="n">
        <v>37561</v>
      </c>
    </row>
    <row r="97">
      <c r="A97" s="82" t="n">
        <v>37591</v>
      </c>
    </row>
    <row r="98">
      <c r="A98" s="82" t="n">
        <v>37622</v>
      </c>
      <c r="F98" t="n">
        <v>-0.00306654182883776</v>
      </c>
    </row>
    <row r="99">
      <c r="A99" s="82" t="n">
        <v>37653</v>
      </c>
    </row>
    <row r="100">
      <c r="A100" s="82" t="n">
        <v>37681</v>
      </c>
    </row>
    <row r="101">
      <c r="A101" s="82" t="n">
        <v>37712</v>
      </c>
      <c r="F101" t="n">
        <v>0.0008648354852849554</v>
      </c>
    </row>
    <row r="102">
      <c r="A102" s="82" t="n">
        <v>37742</v>
      </c>
    </row>
    <row r="103">
      <c r="A103" s="82" t="n">
        <v>37773</v>
      </c>
    </row>
    <row r="104">
      <c r="A104" s="82" t="n">
        <v>37803</v>
      </c>
      <c r="F104" t="n">
        <v>0.005404038730152291</v>
      </c>
    </row>
    <row r="105">
      <c r="A105" s="82" t="n">
        <v>37834</v>
      </c>
    </row>
    <row r="106">
      <c r="A106" s="82" t="n">
        <v>37865</v>
      </c>
    </row>
    <row r="107">
      <c r="A107" s="82" t="n">
        <v>37895</v>
      </c>
      <c r="F107" t="n">
        <v>0.007351884935929493</v>
      </c>
    </row>
    <row r="108">
      <c r="A108" s="82" t="n">
        <v>37926</v>
      </c>
    </row>
    <row r="109">
      <c r="A109" s="82" t="n">
        <v>37956</v>
      </c>
    </row>
    <row r="110">
      <c r="A110" s="82" t="n">
        <v>37987</v>
      </c>
      <c r="F110" t="n">
        <v>0.004929389203795287</v>
      </c>
    </row>
    <row r="111">
      <c r="A111" s="82" t="n">
        <v>38018</v>
      </c>
    </row>
    <row r="112">
      <c r="A112" s="82" t="n">
        <v>38047</v>
      </c>
    </row>
    <row r="113">
      <c r="A113" s="82" t="n">
        <v>38078</v>
      </c>
      <c r="F113" t="n">
        <v>0.006341194138634979</v>
      </c>
    </row>
    <row r="114">
      <c r="A114" s="82" t="n">
        <v>38108</v>
      </c>
    </row>
    <row r="115">
      <c r="A115" s="82" t="n">
        <v>38139</v>
      </c>
    </row>
    <row r="116">
      <c r="A116" s="82" t="n">
        <v>38169</v>
      </c>
      <c r="F116" t="n">
        <v>0.002416831641831761</v>
      </c>
    </row>
    <row r="117">
      <c r="A117" s="82" t="n">
        <v>38200</v>
      </c>
    </row>
    <row r="118">
      <c r="A118" s="82" t="n">
        <v>38231</v>
      </c>
    </row>
    <row r="119">
      <c r="A119" s="82" t="n">
        <v>38261</v>
      </c>
      <c r="F119" t="n">
        <v>0.003638064328120734</v>
      </c>
    </row>
    <row r="120">
      <c r="A120" s="82" t="n">
        <v>38292</v>
      </c>
    </row>
    <row r="121">
      <c r="A121" s="82" t="n">
        <v>38322</v>
      </c>
      <c r="D121" t="n">
        <v>22.17093467712402</v>
      </c>
      <c r="E121" t="n">
        <v>18.60927391052246</v>
      </c>
    </row>
    <row r="122">
      <c r="A122" s="82" t="n">
        <v>38353</v>
      </c>
      <c r="D122" t="n">
        <v>22.07795143127441</v>
      </c>
      <c r="E122" t="n">
        <v>18.50707626342773</v>
      </c>
      <c r="F122" t="n">
        <v>0.002373109956616418</v>
      </c>
    </row>
    <row r="123">
      <c r="A123" s="82" t="n">
        <v>38384</v>
      </c>
      <c r="D123" t="n">
        <v>23.0388069152832</v>
      </c>
      <c r="E123" t="n">
        <v>19.48223686218262</v>
      </c>
    </row>
    <row r="124">
      <c r="A124" s="82" t="n">
        <v>38412</v>
      </c>
      <c r="D124" t="n">
        <v>22.4821949005127</v>
      </c>
      <c r="E124" t="n">
        <v>19.01039123535156</v>
      </c>
    </row>
    <row r="125">
      <c r="A125" s="82" t="n">
        <v>38443</v>
      </c>
      <c r="D125" t="n">
        <v>21.70480537414551</v>
      </c>
      <c r="E125" t="n">
        <v>18.77970123291016</v>
      </c>
      <c r="F125" t="n">
        <v>0.00568122960912859</v>
      </c>
    </row>
    <row r="126">
      <c r="A126" s="82" t="n">
        <v>38473</v>
      </c>
      <c r="D126" t="n">
        <v>21.80119705200195</v>
      </c>
      <c r="E126" t="n">
        <v>18.63290214538574</v>
      </c>
    </row>
    <row r="127">
      <c r="A127" s="82" t="n">
        <v>38504</v>
      </c>
      <c r="D127" t="n">
        <v>22.12148857116699</v>
      </c>
      <c r="E127" t="n">
        <v>18.84261703491211</v>
      </c>
    </row>
    <row r="128">
      <c r="A128" s="82" t="n">
        <v>38534</v>
      </c>
      <c r="D128" t="n">
        <v>23.12898826599121</v>
      </c>
      <c r="E128" t="n">
        <v>18.97892951965332</v>
      </c>
      <c r="F128" t="n">
        <v>0.00744763910204726</v>
      </c>
    </row>
    <row r="129">
      <c r="A129" s="82" t="n">
        <v>38565</v>
      </c>
      <c r="D129" t="n">
        <v>23.50835418701172</v>
      </c>
      <c r="E129" t="n">
        <v>19.7338924407959</v>
      </c>
    </row>
    <row r="130">
      <c r="A130" s="82" t="n">
        <v>38596</v>
      </c>
      <c r="D130" t="n">
        <v>23.9188175201416</v>
      </c>
      <c r="E130" t="n">
        <v>19.88069152832031</v>
      </c>
    </row>
    <row r="131">
      <c r="A131" s="82" t="n">
        <v>38626</v>
      </c>
      <c r="D131" t="n">
        <v>23.01703643798828</v>
      </c>
      <c r="E131" t="n">
        <v>19.39835166931152</v>
      </c>
      <c r="F131" t="n">
        <v>0.006513438786644205</v>
      </c>
    </row>
    <row r="132">
      <c r="A132" s="82" t="n">
        <v>38657</v>
      </c>
      <c r="D132" t="n">
        <v>23.43994140625</v>
      </c>
      <c r="E132" t="n">
        <v>19.4298152923584</v>
      </c>
    </row>
    <row r="133">
      <c r="A133" s="82" t="n">
        <v>38687</v>
      </c>
      <c r="D133" t="n">
        <v>24.14581680297852</v>
      </c>
      <c r="E133" t="n">
        <v>19.48223686218262</v>
      </c>
    </row>
    <row r="134">
      <c r="A134" s="82" t="n">
        <v>38718</v>
      </c>
      <c r="D134" t="n">
        <v>26.20860290527344</v>
      </c>
      <c r="E134" t="n">
        <v>21.306640625</v>
      </c>
      <c r="F134" t="n">
        <v>0.008761069710671199</v>
      </c>
    </row>
    <row r="135">
      <c r="A135" s="82" t="n">
        <v>38749</v>
      </c>
      <c r="D135" t="n">
        <v>26.39834022521973</v>
      </c>
      <c r="E135" t="n">
        <v>21.18773078918457</v>
      </c>
    </row>
    <row r="136">
      <c r="A136" s="82" t="n">
        <v>38777</v>
      </c>
      <c r="D136" t="n">
        <v>27.55888366699219</v>
      </c>
      <c r="E136" t="n">
        <v>21.79309272766113</v>
      </c>
    </row>
    <row r="137">
      <c r="A137" s="82" t="n">
        <v>38808</v>
      </c>
      <c r="D137" t="n">
        <v>28.79213714599609</v>
      </c>
      <c r="E137" t="n">
        <v>23.18759346008301</v>
      </c>
      <c r="F137" t="n">
        <v>0.01098615237747919</v>
      </c>
    </row>
    <row r="138">
      <c r="A138" s="82" t="n">
        <v>38838</v>
      </c>
      <c r="D138" t="n">
        <v>27.76758575439453</v>
      </c>
      <c r="E138" t="n">
        <v>22.5714168548584</v>
      </c>
    </row>
    <row r="139">
      <c r="A139" s="82" t="n">
        <v>38869</v>
      </c>
      <c r="D139" t="n">
        <v>27.84663963317871</v>
      </c>
      <c r="E139" t="n">
        <v>22.75518798828125</v>
      </c>
    </row>
    <row r="140">
      <c r="A140" s="82" t="n">
        <v>38899</v>
      </c>
      <c r="D140" t="n">
        <v>28.17867660522461</v>
      </c>
      <c r="E140" t="n">
        <v>23.34974670410156</v>
      </c>
      <c r="F140" t="n">
        <v>0.005785902632427613</v>
      </c>
    </row>
    <row r="141">
      <c r="A141" s="82" t="n">
        <v>38930</v>
      </c>
      <c r="D141" t="n">
        <v>29.27280616760254</v>
      </c>
      <c r="E141" t="n">
        <v>23.85781288146973</v>
      </c>
    </row>
    <row r="142">
      <c r="A142" s="82" t="n">
        <v>38961</v>
      </c>
      <c r="D142" t="n">
        <v>29.78509521484375</v>
      </c>
      <c r="E142" t="n">
        <v>23.66323280334473</v>
      </c>
    </row>
    <row r="143">
      <c r="A143" s="82" t="n">
        <v>38991</v>
      </c>
      <c r="D143" t="n">
        <v>30.80016326904297</v>
      </c>
      <c r="E143" t="n">
        <v>24.75505828857422</v>
      </c>
      <c r="F143" t="n">
        <v>0.01176764611043488</v>
      </c>
    </row>
    <row r="144">
      <c r="A144" s="82" t="n">
        <v>39022</v>
      </c>
      <c r="D144" t="n">
        <v>32.22316741943359</v>
      </c>
      <c r="E144" t="n">
        <v>25.45770835876465</v>
      </c>
    </row>
    <row r="145">
      <c r="A145" s="82" t="n">
        <v>39052</v>
      </c>
      <c r="D145" t="n">
        <v>32.68168640136719</v>
      </c>
      <c r="E145" t="n">
        <v>25.30636787414551</v>
      </c>
    </row>
    <row r="146">
      <c r="A146" s="82" t="n">
        <v>39083</v>
      </c>
      <c r="D146" t="n">
        <v>33.75348663330078</v>
      </c>
      <c r="E146" t="n">
        <v>26.36204147338867</v>
      </c>
      <c r="F146" t="n">
        <v>0.006261726375147719</v>
      </c>
    </row>
    <row r="147">
      <c r="A147" s="82" t="n">
        <v>39114</v>
      </c>
      <c r="D147" t="n">
        <v>33.44765853881836</v>
      </c>
      <c r="E147" t="n">
        <v>25.9705810546875</v>
      </c>
    </row>
    <row r="148">
      <c r="A148" s="82" t="n">
        <v>39142</v>
      </c>
      <c r="D148" t="n">
        <v>34.83836364746094</v>
      </c>
      <c r="E148" t="n">
        <v>26.92127227783203</v>
      </c>
    </row>
    <row r="149">
      <c r="A149" s="82" t="n">
        <v>39173</v>
      </c>
      <c r="D149" t="n">
        <v>37.02099990844727</v>
      </c>
      <c r="E149" t="n">
        <v>27.79367256164551</v>
      </c>
      <c r="F149" t="n">
        <v>0.007187588147183276</v>
      </c>
    </row>
    <row r="150">
      <c r="A150" s="82" t="n">
        <v>39203</v>
      </c>
      <c r="D150" t="n">
        <v>38.42134857177734</v>
      </c>
      <c r="E150" t="n">
        <v>28.38644981384277</v>
      </c>
    </row>
    <row r="151">
      <c r="A151" s="82" t="n">
        <v>39234</v>
      </c>
      <c r="D151" t="n">
        <v>37.98675155639648</v>
      </c>
      <c r="E151" t="n">
        <v>28.57659530639648</v>
      </c>
    </row>
    <row r="152">
      <c r="A152" s="82" t="n">
        <v>39264</v>
      </c>
      <c r="D152" t="n">
        <v>36.79242706298828</v>
      </c>
      <c r="E152" t="n">
        <v>27.61471939086914</v>
      </c>
      <c r="F152" t="n">
        <v>0.004292591115049461</v>
      </c>
    </row>
    <row r="153">
      <c r="A153" s="82" t="n">
        <v>39295</v>
      </c>
      <c r="D153" t="n">
        <v>36.78276824951172</v>
      </c>
      <c r="E153" t="n">
        <v>27.6706371307373</v>
      </c>
    </row>
    <row r="154">
      <c r="A154" s="82" t="n">
        <v>39326</v>
      </c>
      <c r="D154" t="n">
        <v>38.92032623291016</v>
      </c>
      <c r="E154" t="n">
        <v>28.77791404724121</v>
      </c>
    </row>
    <row r="155">
      <c r="A155" s="82" t="n">
        <v>39356</v>
      </c>
      <c r="D155" t="n">
        <v>40.8486328125</v>
      </c>
      <c r="E155" t="n">
        <v>30.44441413879395</v>
      </c>
      <c r="F155" t="n">
        <v>0.005376043618680066</v>
      </c>
    </row>
    <row r="156">
      <c r="A156" s="82" t="n">
        <v>39387</v>
      </c>
      <c r="D156" t="n">
        <v>39.71548461914062</v>
      </c>
      <c r="E156" t="n">
        <v>28.65487670898438</v>
      </c>
    </row>
    <row r="157">
      <c r="A157" s="82" t="n">
        <v>39417</v>
      </c>
      <c r="D157" t="n">
        <v>38.41168975830078</v>
      </c>
      <c r="E157" t="n">
        <v>26.93245315551758</v>
      </c>
    </row>
    <row r="158">
      <c r="A158" s="82" t="n">
        <v>39448</v>
      </c>
      <c r="D158" t="n">
        <v>35.32838439941406</v>
      </c>
      <c r="E158" t="n">
        <v>25.64885330200195</v>
      </c>
      <c r="F158" t="n">
        <v>0.004741288422510499</v>
      </c>
    </row>
    <row r="159">
      <c r="A159" s="82" t="n">
        <v>39479</v>
      </c>
      <c r="D159" t="n">
        <v>35.03783798217773</v>
      </c>
      <c r="E159" t="n">
        <v>25.3479175567627</v>
      </c>
    </row>
    <row r="160">
      <c r="A160" s="82" t="n">
        <v>39508</v>
      </c>
      <c r="D160" t="n">
        <v>35.92268753051758</v>
      </c>
      <c r="E160" t="n">
        <v>24.95438766479492</v>
      </c>
    </row>
    <row r="161">
      <c r="A161" s="82" t="n">
        <v>39539</v>
      </c>
      <c r="D161" t="n">
        <v>37.35563278198242</v>
      </c>
      <c r="E161" t="n">
        <v>26.4359073638916</v>
      </c>
      <c r="F161" t="n">
        <v>-0.003259068903049832</v>
      </c>
    </row>
    <row r="162">
      <c r="A162" s="82" t="n">
        <v>39569</v>
      </c>
      <c r="D162" t="n">
        <v>37.79806518554688</v>
      </c>
      <c r="E162" t="n">
        <v>26.37803840637207</v>
      </c>
    </row>
    <row r="163">
      <c r="A163" s="82" t="n">
        <v>39600</v>
      </c>
      <c r="D163" t="n">
        <v>32.35353851318359</v>
      </c>
      <c r="E163" t="n">
        <v>23.98213386535645</v>
      </c>
    </row>
    <row r="164">
      <c r="A164" s="82" t="n">
        <v>39630</v>
      </c>
      <c r="D164" t="n">
        <v>32.72359085083008</v>
      </c>
      <c r="E164" t="n">
        <v>23.52326774597168</v>
      </c>
      <c r="F164" t="n">
        <v>-0.005354358585678789</v>
      </c>
    </row>
    <row r="165">
      <c r="A165" s="82" t="n">
        <v>39661</v>
      </c>
      <c r="D165" t="n">
        <v>31.43655204772949</v>
      </c>
      <c r="E165" t="n">
        <v>22.73008728027344</v>
      </c>
    </row>
    <row r="166">
      <c r="A166" s="82" t="n">
        <v>39692</v>
      </c>
      <c r="D166" t="n">
        <v>27.19206809997559</v>
      </c>
      <c r="E166" t="n">
        <v>19.71124839782715</v>
      </c>
    </row>
    <row r="167">
      <c r="A167" s="82" t="n">
        <v>39722</v>
      </c>
      <c r="D167" t="n">
        <v>20.51043510437012</v>
      </c>
      <c r="E167" t="n">
        <v>15.81634712219238</v>
      </c>
      <c r="F167" t="n">
        <v>-0.01781536400651185</v>
      </c>
    </row>
    <row r="168">
      <c r="A168" s="82" t="n">
        <v>39753</v>
      </c>
      <c r="D168" t="n">
        <v>18.98379325866699</v>
      </c>
      <c r="E168" t="n">
        <v>14.79823589324951</v>
      </c>
    </row>
    <row r="169">
      <c r="A169" s="82" t="n">
        <v>39783</v>
      </c>
      <c r="D169" t="n">
        <v>20.95541954040527</v>
      </c>
      <c r="E169" t="n">
        <v>14.50226783752441</v>
      </c>
    </row>
    <row r="170">
      <c r="A170" s="82" t="n">
        <v>39814</v>
      </c>
      <c r="D170" t="n">
        <v>17.6751708984375</v>
      </c>
      <c r="E170" t="n">
        <v>13.51969814300537</v>
      </c>
      <c r="F170" t="n">
        <v>-0.03110206545240362</v>
      </c>
    </row>
    <row r="171">
      <c r="A171" s="82" t="n">
        <v>39845</v>
      </c>
      <c r="D171" t="n">
        <v>15.54160690307617</v>
      </c>
      <c r="E171" t="n">
        <v>12.20426750183105</v>
      </c>
    </row>
    <row r="172">
      <c r="A172" s="82" t="n">
        <v>39873</v>
      </c>
      <c r="D172" t="n">
        <v>17.08251190185547</v>
      </c>
      <c r="E172" t="n">
        <v>12.76454162597656</v>
      </c>
    </row>
    <row r="173">
      <c r="A173" s="82" t="n">
        <v>39904</v>
      </c>
      <c r="D173" t="n">
        <v>19.58563232421875</v>
      </c>
      <c r="E173" t="n">
        <v>14.28703308105469</v>
      </c>
      <c r="F173" t="n">
        <v>-0.0002015911470144634</v>
      </c>
    </row>
    <row r="174">
      <c r="A174" s="82" t="n">
        <v>39934</v>
      </c>
      <c r="D174" t="n">
        <v>22.17240715026855</v>
      </c>
      <c r="E174" t="n">
        <v>16.72301292419434</v>
      </c>
    </row>
    <row r="175">
      <c r="A175" s="82" t="n">
        <v>39965</v>
      </c>
      <c r="D175" t="n">
        <v>21.13351440429688</v>
      </c>
      <c r="E175" t="n">
        <v>16.08966255187988</v>
      </c>
    </row>
    <row r="176">
      <c r="A176" s="82" t="n">
        <v>39995</v>
      </c>
      <c r="D176" t="n">
        <v>24.0100154876709</v>
      </c>
      <c r="E176" t="n">
        <v>17.77075576782227</v>
      </c>
      <c r="F176" t="n">
        <v>0.003896021635706352</v>
      </c>
    </row>
    <row r="177">
      <c r="A177" s="82" t="n">
        <v>40026</v>
      </c>
      <c r="D177" t="n">
        <v>25.5119800567627</v>
      </c>
      <c r="E177" t="n">
        <v>18.53962135314941</v>
      </c>
    </row>
    <row r="178">
      <c r="A178" s="82" t="n">
        <v>40057</v>
      </c>
      <c r="D178" t="n">
        <v>27.18560409545898</v>
      </c>
      <c r="E178" t="n">
        <v>19.23408317565918</v>
      </c>
    </row>
    <row r="179">
      <c r="A179" s="82" t="n">
        <v>40087</v>
      </c>
      <c r="D179" t="n">
        <v>25.94112205505371</v>
      </c>
      <c r="E179" t="n">
        <v>19.20927810668945</v>
      </c>
      <c r="F179" t="n">
        <v>0.004567447150381795</v>
      </c>
    </row>
    <row r="180">
      <c r="A180" s="82" t="n">
        <v>40118</v>
      </c>
      <c r="D180" t="n">
        <v>27.20705986022949</v>
      </c>
      <c r="E180" t="n">
        <v>20.17656517028809</v>
      </c>
    </row>
    <row r="181">
      <c r="A181" s="82" t="n">
        <v>40148</v>
      </c>
      <c r="D181" t="n">
        <v>26.79938507080078</v>
      </c>
      <c r="E181" t="n">
        <v>20.08975791931152</v>
      </c>
    </row>
    <row r="182">
      <c r="A182" s="82" t="n">
        <v>40179</v>
      </c>
      <c r="D182" t="n">
        <v>24.86527061462402</v>
      </c>
      <c r="E182" t="n">
        <v>19.35871124267578</v>
      </c>
      <c r="F182" t="n">
        <v>0.004008230254392896</v>
      </c>
    </row>
    <row r="183">
      <c r="A183" s="82" t="n">
        <v>40210</v>
      </c>
      <c r="D183" t="n">
        <v>24.12269592285156</v>
      </c>
      <c r="E183" t="n">
        <v>19.19561195373535</v>
      </c>
    </row>
    <row r="184">
      <c r="A184" s="82" t="n">
        <v>40238</v>
      </c>
      <c r="D184" t="n">
        <v>25.90341758728027</v>
      </c>
      <c r="E184" t="n">
        <v>20.4125862121582</v>
      </c>
    </row>
    <row r="185">
      <c r="A185" s="82" t="n">
        <v>40269</v>
      </c>
      <c r="D185" t="n">
        <v>24.62014579772949</v>
      </c>
      <c r="E185" t="n">
        <v>19.97347068786621</v>
      </c>
      <c r="F185" t="n">
        <v>0.009705944382897234</v>
      </c>
    </row>
    <row r="186">
      <c r="A186" s="82" t="n">
        <v>40299</v>
      </c>
      <c r="D186" t="n">
        <v>21.51289176940918</v>
      </c>
      <c r="E186" t="n">
        <v>17.77789306640625</v>
      </c>
    </row>
    <row r="187">
      <c r="A187" s="82" t="n">
        <v>40330</v>
      </c>
      <c r="D187" t="n">
        <v>20.5828742980957</v>
      </c>
      <c r="E187" t="n">
        <v>16.86202812194824</v>
      </c>
    </row>
    <row r="188">
      <c r="A188" s="82" t="n">
        <v>40360</v>
      </c>
      <c r="D188" t="n">
        <v>24.16836166381836</v>
      </c>
      <c r="E188" t="n">
        <v>19.64841651916504</v>
      </c>
      <c r="F188" t="n">
        <v>0.004403357655901216</v>
      </c>
    </row>
    <row r="189">
      <c r="A189" s="82" t="n">
        <v>40391</v>
      </c>
      <c r="D189" t="n">
        <v>22.4830493927002</v>
      </c>
      <c r="E189" t="n">
        <v>19.09942817687988</v>
      </c>
    </row>
    <row r="190">
      <c r="A190" s="82" t="n">
        <v>40422</v>
      </c>
      <c r="D190" t="n">
        <v>25.48570442199707</v>
      </c>
      <c r="E190" t="n">
        <v>20.88680839538574</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row>
    <row r="193">
      <c r="A193" s="82" t="n">
        <v>40513</v>
      </c>
      <c r="B193" t="n">
        <v>54.9</v>
      </c>
      <c r="C193" t="n">
        <v>36.60160827636719</v>
      </c>
      <c r="D193" t="n">
        <v>25.95669746398926</v>
      </c>
      <c r="E193" t="n">
        <v>22.17627906799316</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row>
    <row r="196">
      <c r="A196" s="82" t="n">
        <v>40603</v>
      </c>
      <c r="B196" t="n">
        <v>56</v>
      </c>
      <c r="C196" t="n">
        <v>38.18263244628906</v>
      </c>
      <c r="D196" t="n">
        <v>28.74286270141602</v>
      </c>
      <c r="E196" t="n">
        <v>23.09625434875488</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row>
    <row r="199">
      <c r="A199" s="82" t="n">
        <v>40695</v>
      </c>
      <c r="B199" t="n">
        <v>52.8</v>
      </c>
      <c r="C199" t="n">
        <v>38.09578323364258</v>
      </c>
      <c r="D199" t="n">
        <v>28.80963134765625</v>
      </c>
      <c r="E199" t="n">
        <v>22.96729469299316</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row>
    <row r="202">
      <c r="A202" s="82" t="n">
        <v>40787</v>
      </c>
      <c r="B202" t="n">
        <v>50.1</v>
      </c>
      <c r="C202" t="n">
        <v>31.2551326751709</v>
      </c>
      <c r="D202" t="n">
        <v>20.72836494445801</v>
      </c>
      <c r="E202" t="n">
        <v>19.37608528137207</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row>
    <row r="205">
      <c r="A205" s="82" t="n">
        <v>40878</v>
      </c>
      <c r="B205" t="n">
        <v>50.4</v>
      </c>
      <c r="C205" t="n">
        <v>33.69194793701172</v>
      </c>
      <c r="D205" t="n">
        <v>21.16842079162598</v>
      </c>
      <c r="E205" t="n">
        <v>21.19956016540527</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row>
    <row r="208">
      <c r="A208" s="82" t="n">
        <v>40969</v>
      </c>
      <c r="B208" t="n">
        <v>51.6</v>
      </c>
      <c r="C208" t="n">
        <v>38.13177871704102</v>
      </c>
      <c r="D208" t="n">
        <v>24.21712684631348</v>
      </c>
      <c r="E208" t="n">
        <v>23.03486061096191</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row>
    <row r="211">
      <c r="A211" s="82" t="n">
        <v>41061</v>
      </c>
      <c r="B211" t="n">
        <v>49.7</v>
      </c>
      <c r="C211" t="n">
        <v>35.44155120849609</v>
      </c>
      <c r="D211" t="n">
        <v>21.0700569152832</v>
      </c>
      <c r="E211" t="n">
        <v>21.69005393981934</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row>
    <row r="214">
      <c r="A214" s="82" t="n">
        <v>41153</v>
      </c>
      <c r="B214" t="n">
        <v>48.7</v>
      </c>
      <c r="C214" t="n">
        <v>38.24175643920898</v>
      </c>
      <c r="D214" t="n">
        <v>23.74416160583496</v>
      </c>
      <c r="E214" t="n">
        <v>23.71706771850586</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row>
    <row r="217">
      <c r="A217" s="82" t="n">
        <v>41244</v>
      </c>
      <c r="B217" t="n">
        <v>50</v>
      </c>
      <c r="C217" t="n">
        <v>39.38024520874023</v>
      </c>
      <c r="D217" t="n">
        <v>26.43859100341797</v>
      </c>
      <c r="E217" t="n">
        <v>24.45311546325684</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row>
    <row r="220">
      <c r="A220" s="82" t="n">
        <v>41334</v>
      </c>
      <c r="B220" t="n">
        <v>51.2</v>
      </c>
      <c r="C220" t="n">
        <v>41.98250198364258</v>
      </c>
      <c r="D220" t="n">
        <v>25.89468193054199</v>
      </c>
      <c r="E220" t="n">
        <v>25.25713920593262</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row>
    <row r="223">
      <c r="A223" s="82" t="n">
        <v>41426</v>
      </c>
      <c r="B223" t="n">
        <v>50.6</v>
      </c>
      <c r="C223" t="n">
        <v>41.36206817626953</v>
      </c>
      <c r="D223" t="n">
        <v>25.75984954833984</v>
      </c>
      <c r="E223" t="n">
        <v>24.41385269165039</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row>
    <row r="226">
      <c r="A226" s="82" t="n">
        <v>41518</v>
      </c>
      <c r="B226" t="n">
        <v>51.8</v>
      </c>
      <c r="C226" t="n">
        <v>45.17345428466797</v>
      </c>
      <c r="D226" t="n">
        <v>30.65688323974609</v>
      </c>
      <c r="E226" t="n">
        <v>27.52541351318359</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row>
    <row r="229">
      <c r="A229" s="82" t="n">
        <v>41609</v>
      </c>
      <c r="B229" t="n">
        <v>53.3</v>
      </c>
      <c r="C229" t="n">
        <v>48.27326202392578</v>
      </c>
      <c r="D229" t="n">
        <v>33.62263488769531</v>
      </c>
      <c r="E229" t="n">
        <v>29.29310607910156</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row>
    <row r="232">
      <c r="A232" s="82" t="n">
        <v>41699</v>
      </c>
      <c r="B232" t="n">
        <v>52.4</v>
      </c>
      <c r="C232" t="n">
        <v>49.11282730102539</v>
      </c>
      <c r="D232" t="n">
        <v>34.45647811889648</v>
      </c>
      <c r="E232" t="n">
        <v>29.23353385925293</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row>
    <row r="235">
      <c r="A235" s="82" t="n">
        <v>41791</v>
      </c>
      <c r="B235" t="n">
        <v>52.6</v>
      </c>
      <c r="C235" t="n">
        <v>50.90365219116211</v>
      </c>
      <c r="D235" t="n">
        <v>34.49723434448242</v>
      </c>
      <c r="E235" t="n">
        <v>29.64528465270996</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row>
    <row r="238">
      <c r="A238" s="82" t="n">
        <v>41883</v>
      </c>
      <c r="B238" t="n">
        <v>52.2</v>
      </c>
      <c r="C238" t="n">
        <v>50.44929504394531</v>
      </c>
      <c r="D238" t="n">
        <v>31.9870433807373</v>
      </c>
      <c r="E238" t="n">
        <v>28.86677551269531</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row>
    <row r="241">
      <c r="A241" s="82" t="n">
        <v>41974</v>
      </c>
      <c r="B241" t="n">
        <v>51.6</v>
      </c>
      <c r="C241" t="n">
        <v>50.106689453125</v>
      </c>
      <c r="D241" t="n">
        <v>30.18413734436035</v>
      </c>
      <c r="E241" t="n">
        <v>26.85593032836914</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row>
    <row r="244">
      <c r="A244" s="82" t="n">
        <v>42064</v>
      </c>
      <c r="B244" t="n">
        <v>51.8</v>
      </c>
      <c r="C244" t="n">
        <v>51.85261535644531</v>
      </c>
      <c r="D244" t="n">
        <v>32.28615570068359</v>
      </c>
      <c r="E244" t="n">
        <v>27.36235618591309</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row>
    <row r="247">
      <c r="A247" s="82" t="n">
        <v>42156</v>
      </c>
      <c r="B247" t="n">
        <v>51</v>
      </c>
      <c r="C247" t="n">
        <v>51.36018753051758</v>
      </c>
      <c r="D247" t="n">
        <v>31.41581535339355</v>
      </c>
      <c r="E247" t="n">
        <v>27.72698974609375</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row>
    <row r="250">
      <c r="A250" s="82" t="n">
        <v>42248</v>
      </c>
      <c r="B250" t="n">
        <v>50.6</v>
      </c>
      <c r="C250" t="n">
        <v>47.14720153808594</v>
      </c>
      <c r="D250" t="n">
        <v>29.24233245849609</v>
      </c>
      <c r="E250" t="n">
        <v>25.3550968170166</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row>
    <row r="253">
      <c r="A253" s="82" t="n">
        <v>42339</v>
      </c>
      <c r="B253" t="n">
        <v>50.9</v>
      </c>
      <c r="C253" t="n">
        <v>48.79045104980469</v>
      </c>
      <c r="D253" t="n">
        <v>29.83842086791992</v>
      </c>
      <c r="E253" t="n">
        <v>24.96834945678711</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row>
    <row r="256">
      <c r="A256" s="82" t="n">
        <v>42430</v>
      </c>
      <c r="B256" t="n">
        <v>50.5</v>
      </c>
      <c r="C256" t="n">
        <v>49.63551712036133</v>
      </c>
      <c r="D256" t="n">
        <v>29.34946632385254</v>
      </c>
      <c r="E256" t="n">
        <v>24.74421691894531</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row>
    <row r="259">
      <c r="A259" s="82" t="n">
        <v>42522</v>
      </c>
      <c r="B259" t="n">
        <v>50.9</v>
      </c>
      <c r="C259" t="n">
        <v>49.7860221862793</v>
      </c>
      <c r="D259" t="n">
        <v>27.54019165039062</v>
      </c>
      <c r="E259" t="n">
        <v>24.25501441955566</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row>
    <row r="262">
      <c r="A262" s="82" t="n">
        <v>42614</v>
      </c>
      <c r="B262" t="n">
        <v>51</v>
      </c>
      <c r="C262" t="n">
        <v>53.01732635498047</v>
      </c>
      <c r="D262" t="n">
        <v>30.16743087768555</v>
      </c>
      <c r="E262" t="n">
        <v>25.61881446838379</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row>
    <row r="265">
      <c r="A265" s="82" t="n">
        <v>42705</v>
      </c>
      <c r="B265" t="n">
        <v>52.7</v>
      </c>
      <c r="C265" t="n">
        <v>53.08012008666992</v>
      </c>
      <c r="D265" t="n">
        <v>30.26364707946777</v>
      </c>
      <c r="E265" t="n">
        <v>24.8182258605957</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row>
    <row r="268">
      <c r="A268" s="82" t="n">
        <v>42795</v>
      </c>
      <c r="B268" t="n">
        <v>53</v>
      </c>
      <c r="C268" t="n">
        <v>57.2760124206543</v>
      </c>
      <c r="D268" t="n">
        <v>33.10256576538086</v>
      </c>
      <c r="E268" t="n">
        <v>26.68682289123535</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row>
    <row r="271">
      <c r="A271" s="82" t="n">
        <v>42887</v>
      </c>
      <c r="B271" t="n">
        <v>52.6</v>
      </c>
      <c r="C271" t="n">
        <v>59.29507064819336</v>
      </c>
      <c r="D271" t="n">
        <v>35.50602340698242</v>
      </c>
      <c r="E271" t="n">
        <v>27.32632255554199</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row>
    <row r="274">
      <c r="A274" s="82" t="n">
        <v>42979</v>
      </c>
      <c r="B274" t="n">
        <v>53.3</v>
      </c>
      <c r="C274" t="n">
        <v>63.00190353393555</v>
      </c>
      <c r="D274" t="n">
        <v>38.73370361328125</v>
      </c>
      <c r="E274" t="n">
        <v>29.20273971557617</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row>
    <row r="277">
      <c r="A277" s="82" t="n">
        <v>43070</v>
      </c>
      <c r="B277" t="n">
        <v>54.5</v>
      </c>
      <c r="C277" t="n">
        <v>65.99544525146484</v>
      </c>
      <c r="D277" t="n">
        <v>38.78735733032227</v>
      </c>
      <c r="E277" t="n">
        <v>30.01556015014648</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row>
    <row r="280">
      <c r="A280" s="82" t="n">
        <v>43160</v>
      </c>
      <c r="B280" t="n">
        <v>53.3</v>
      </c>
      <c r="C280" t="n">
        <v>66.24864196777344</v>
      </c>
      <c r="D280" t="n">
        <v>38.93021774291992</v>
      </c>
      <c r="E280" t="n">
        <v>29.66810989379883</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row>
    <row r="283">
      <c r="A283" s="82" t="n">
        <v>43252</v>
      </c>
      <c r="B283" t="n">
        <v>53</v>
      </c>
      <c r="C283" t="n">
        <v>65.71274566650391</v>
      </c>
      <c r="D283" t="n">
        <v>36.82879638671875</v>
      </c>
      <c r="E283" t="n">
        <v>29.6937198638916</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row>
    <row r="286">
      <c r="A286" s="82" t="n">
        <v>43344</v>
      </c>
      <c r="B286" t="n">
        <v>52.2</v>
      </c>
      <c r="C286" t="n">
        <v>69.37293243408203</v>
      </c>
      <c r="D286" t="n">
        <v>37.72774505615234</v>
      </c>
      <c r="E286" t="n">
        <v>29.81861877441406</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row>
    <row r="289">
      <c r="A289" s="82" t="n">
        <v>43435</v>
      </c>
      <c r="B289" t="n">
        <v>51.5</v>
      </c>
      <c r="C289" t="n">
        <v>59.9376220703125</v>
      </c>
      <c r="D289" t="n">
        <v>32.25395965576172</v>
      </c>
      <c r="E289" t="n">
        <v>25.64995574951172</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row>
    <row r="292">
      <c r="A292" s="82" t="n">
        <v>43525</v>
      </c>
      <c r="B292" t="n">
        <v>50.5</v>
      </c>
      <c r="C292" t="n">
        <v>68.06904602050781</v>
      </c>
      <c r="D292" t="n">
        <v>35.70362091064453</v>
      </c>
      <c r="E292" t="n">
        <v>29.47760391235352</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row>
    <row r="295">
      <c r="A295" s="82" t="n">
        <v>43617</v>
      </c>
      <c r="B295" t="n">
        <v>49.4</v>
      </c>
      <c r="C295" t="n">
        <v>69.54081726074219</v>
      </c>
      <c r="D295" t="n">
        <v>36.59159088134766</v>
      </c>
      <c r="E295" t="n">
        <v>28.86144065856934</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row>
    <row r="298">
      <c r="A298" s="82" t="n">
        <v>43709</v>
      </c>
      <c r="B298" t="n">
        <v>49.7</v>
      </c>
      <c r="C298" t="n">
        <v>70.45561218261719</v>
      </c>
      <c r="D298" t="n">
        <v>36.93434524536133</v>
      </c>
      <c r="E298" t="n">
        <v>28.78452110290527</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row>
    <row r="301">
      <c r="A301" s="82" t="n">
        <v>43800</v>
      </c>
      <c r="B301" t="n">
        <v>50.1</v>
      </c>
      <c r="C301" t="n">
        <v>75.70993804931641</v>
      </c>
      <c r="D301" t="n">
        <v>39.81196975708008</v>
      </c>
      <c r="E301" t="n">
        <v>31.22978591918945</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row>
    <row r="304">
      <c r="A304" s="82" t="n">
        <v>43891</v>
      </c>
      <c r="B304" t="n">
        <v>47.3</v>
      </c>
      <c r="C304" t="n">
        <v>60.49827194213867</v>
      </c>
      <c r="D304" t="n">
        <v>29.09487152099609</v>
      </c>
      <c r="E304" t="n">
        <v>22.26104354858398</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row>
    <row r="307">
      <c r="A307" s="82" t="n">
        <v>43983</v>
      </c>
      <c r="B307" t="n">
        <v>47.8</v>
      </c>
      <c r="C307" t="n">
        <v>71.27909088134766</v>
      </c>
      <c r="D307" t="n">
        <v>34.78797149658203</v>
      </c>
      <c r="E307" t="n">
        <v>24.01359176635742</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row>
    <row r="310">
      <c r="A310" s="82" t="n">
        <v>44075</v>
      </c>
      <c r="B310" t="n">
        <v>52.4</v>
      </c>
      <c r="C310" t="n">
        <v>77.92754364013672</v>
      </c>
      <c r="D310" t="n">
        <v>36.4825439453125</v>
      </c>
      <c r="E310" t="n">
        <v>24.12505722045898</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row>
    <row r="313">
      <c r="A313" s="82" t="n">
        <v>44166</v>
      </c>
      <c r="B313" t="n">
        <v>53.8</v>
      </c>
      <c r="C313" t="n">
        <v>88.45829772949219</v>
      </c>
      <c r="D313" t="n">
        <v>42.40903472900391</v>
      </c>
      <c r="E313" t="n">
        <v>27.7215747833252</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row>
    <row r="316">
      <c r="A316" s="82" t="n">
        <v>44256</v>
      </c>
      <c r="B316" t="n">
        <v>55</v>
      </c>
      <c r="C316" t="n">
        <v>93.49722290039062</v>
      </c>
      <c r="D316" t="n">
        <v>45.31404876708984</v>
      </c>
      <c r="E316" t="n">
        <v>29.97221183776855</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row>
    <row r="319">
      <c r="A319" s="82" t="n">
        <v>44348</v>
      </c>
      <c r="B319" t="n">
        <v>55.5</v>
      </c>
      <c r="C319" t="n">
        <v>99.43231201171875</v>
      </c>
      <c r="D319" t="n">
        <v>48.16386413574219</v>
      </c>
      <c r="E319" t="n">
        <v>31.30282211303711</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row>
    <row r="322">
      <c r="A322" s="82" t="n">
        <v>44440</v>
      </c>
      <c r="B322" t="n">
        <v>54.1</v>
      </c>
      <c r="C322" t="n">
        <v>98.89178466796875</v>
      </c>
      <c r="D322" t="n">
        <v>47.41091156005859</v>
      </c>
      <c r="E322" t="n">
        <v>31.39546203613281</v>
      </c>
    </row>
    <row r="323">
      <c r="A323" s="82" t="n">
        <v>44470</v>
      </c>
      <c r="B323" t="n">
        <v>54.2</v>
      </c>
      <c r="C323" t="n">
        <v>104.226318359375</v>
      </c>
      <c r="D323" t="n">
        <v>49.57849502563477</v>
      </c>
      <c r="E323" t="n">
        <v>32.78757095336914</v>
      </c>
    </row>
    <row r="324">
      <c r="A324" s="82" t="n">
        <v>44501</v>
      </c>
      <c r="B324" t="n">
        <v>54.2</v>
      </c>
      <c r="C324" t="n">
        <v>101.8213195800781</v>
      </c>
      <c r="D324" t="n">
        <v>46.89857482910156</v>
      </c>
      <c r="E324" t="n">
        <v>31.19102668762207</v>
      </c>
    </row>
    <row r="325">
      <c r="A325" s="82" t="n">
        <v>44531</v>
      </c>
      <c r="B325" t="n">
        <v>54.3</v>
      </c>
      <c r="C325" t="n">
        <v>104.6914825439453</v>
      </c>
      <c r="D325" t="n">
        <v>48.28779602050781</v>
      </c>
      <c r="E325" t="n">
        <v>32.26187896728516</v>
      </c>
    </row>
    <row r="326">
      <c r="A326" s="82" t="n">
        <v>44562</v>
      </c>
      <c r="B326" t="n">
        <v>51.4</v>
      </c>
      <c r="C326" t="n">
        <v>100.9700012207031</v>
      </c>
      <c r="D326" t="n">
        <v>47.38000106811523</v>
      </c>
      <c r="E326" t="n">
        <v>33.88999938964844</v>
      </c>
    </row>
    <row r="327">
      <c r="A327" s="82" t="n">
        <v>44593</v>
      </c>
      <c r="C327" t="n">
        <v>101.75</v>
      </c>
      <c r="D327" t="n">
        <v>47.86000061035156</v>
      </c>
      <c r="E327" t="n">
        <v>34.27999877929688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0"/>
  <sheetViews>
    <sheetView zoomScale="200" zoomScaleNormal="200" workbookViewId="0">
      <pane ySplit="1" topLeftCell="A181" activePane="bottomLeft" state="frozen"/>
      <selection pane="bottomLeft" activeCell="H18" sqref="H18"/>
    </sheetView>
  </sheetViews>
  <sheetFormatPr baseColWidth="10" defaultRowHeight="15"/>
  <cols>
    <col width="10.83203125" customWidth="1" style="63" min="1" max="1"/>
    <col width="21.83203125" customWidth="1" style="63" min="2" max="2"/>
    <col width="10.83203125" customWidth="1" style="63" min="3" max="17"/>
    <col width="10.83203125" customWidth="1" style="63" min="18" max="16384"/>
  </cols>
  <sheetData>
    <row r="1">
      <c r="A1" t="inlineStr">
        <is>
          <t>DATE</t>
        </is>
      </c>
      <c r="B1" t="inlineStr">
        <is>
          <t>China Business Confidence</t>
        </is>
      </c>
      <c r="C1" t="inlineStr">
        <is>
          <t>China GDP</t>
        </is>
      </c>
    </row>
    <row r="2">
      <c r="A2" s="82" t="n">
        <v>38353</v>
      </c>
      <c r="B2" t="n">
        <v>55.7</v>
      </c>
      <c r="C2" t="n">
        <v/>
      </c>
    </row>
    <row r="3">
      <c r="A3" s="82" t="n">
        <v>38384</v>
      </c>
      <c r="B3" t="n">
        <v>54.4</v>
      </c>
      <c r="C3" t="n">
        <v/>
      </c>
    </row>
    <row r="4">
      <c r="A4" s="82" t="n">
        <v>38412</v>
      </c>
      <c r="B4" t="n">
        <v>63.4</v>
      </c>
      <c r="C4" t="n">
        <v/>
      </c>
    </row>
    <row r="5">
      <c r="A5" s="82" t="n">
        <v>38443</v>
      </c>
      <c r="B5" t="n">
        <v>56.9</v>
      </c>
      <c r="C5" t="n">
        <v>0.111</v>
      </c>
    </row>
    <row r="6">
      <c r="A6" s="82" t="n">
        <v>38473</v>
      </c>
      <c r="B6" t="n">
        <v>52.1</v>
      </c>
      <c r="C6" t="n">
        <v/>
      </c>
    </row>
    <row r="7">
      <c r="A7" s="82" t="n">
        <v>38504</v>
      </c>
      <c r="B7" t="n">
        <v>52.1</v>
      </c>
      <c r="C7" t="n">
        <v/>
      </c>
    </row>
    <row r="8">
      <c r="A8" s="82" t="n">
        <v>38534</v>
      </c>
      <c r="B8" t="n">
        <v>51.2</v>
      </c>
      <c r="C8" t="n">
        <v>0.111</v>
      </c>
    </row>
    <row r="9">
      <c r="A9" s="82" t="n">
        <v>38565</v>
      </c>
      <c r="B9" t="n">
        <v>54.1</v>
      </c>
      <c r="C9" t="n">
        <v/>
      </c>
    </row>
    <row r="10">
      <c r="A10" s="82" t="n">
        <v>38596</v>
      </c>
      <c r="B10" t="n">
        <v>56.9</v>
      </c>
      <c r="C10" t="n">
        <v/>
      </c>
    </row>
    <row r="11">
      <c r="A11" s="82" t="n">
        <v>38626</v>
      </c>
      <c r="B11" t="n">
        <v>54.1</v>
      </c>
      <c r="C11" t="n">
        <v>0.108</v>
      </c>
    </row>
    <row r="12">
      <c r="A12" s="82" t="n">
        <v>38657</v>
      </c>
      <c r="B12" t="n">
        <v>54.1</v>
      </c>
      <c r="C12" t="n">
        <v/>
      </c>
    </row>
    <row r="13">
      <c r="A13" s="82" t="n">
        <v>38687</v>
      </c>
      <c r="B13" t="n">
        <v>54.3</v>
      </c>
      <c r="C13" t="n">
        <v/>
      </c>
    </row>
    <row r="14">
      <c r="A14" s="82" t="n">
        <v>38718</v>
      </c>
      <c r="B14" t="n">
        <v>52.1</v>
      </c>
      <c r="C14" t="n">
        <v>0.124</v>
      </c>
    </row>
    <row r="15">
      <c r="A15" s="82" t="n">
        <v>38749</v>
      </c>
      <c r="B15" t="n">
        <v>52.1</v>
      </c>
      <c r="C15" t="n">
        <v/>
      </c>
    </row>
    <row r="16">
      <c r="A16" s="82" t="n">
        <v>38777</v>
      </c>
      <c r="B16" t="n">
        <v>55.3</v>
      </c>
      <c r="C16" t="n">
        <v/>
      </c>
    </row>
    <row r="17">
      <c r="A17" s="82" t="n">
        <v>38808</v>
      </c>
      <c r="B17" t="n">
        <v>58.1</v>
      </c>
      <c r="C17" t="n">
        <v>0.125</v>
      </c>
    </row>
    <row r="18">
      <c r="A18" s="82" t="n">
        <v>38838</v>
      </c>
      <c r="B18" t="n">
        <v>54.8</v>
      </c>
      <c r="C18" t="n">
        <v/>
      </c>
    </row>
    <row r="19">
      <c r="A19" s="82" t="n">
        <v>38869</v>
      </c>
      <c r="B19" t="n">
        <v>54.1</v>
      </c>
      <c r="C19" t="n">
        <v/>
      </c>
    </row>
    <row r="20">
      <c r="A20" s="82" t="n">
        <v>38899</v>
      </c>
      <c r="B20" t="n">
        <v>52.4</v>
      </c>
      <c r="C20" t="n">
        <v>0.137</v>
      </c>
    </row>
    <row r="21">
      <c r="A21" s="82" t="n">
        <v>38930</v>
      </c>
      <c r="B21" t="n">
        <v>53.1</v>
      </c>
      <c r="C21" t="n">
        <v/>
      </c>
    </row>
    <row r="22">
      <c r="A22" s="82" t="n">
        <v>38961</v>
      </c>
      <c r="B22" t="n">
        <v>57</v>
      </c>
      <c r="C22" t="n">
        <v/>
      </c>
    </row>
    <row r="23">
      <c r="A23" s="82" t="n">
        <v>38991</v>
      </c>
      <c r="B23" t="n">
        <v>54.7</v>
      </c>
      <c r="C23" t="n">
        <v>0.122</v>
      </c>
    </row>
    <row r="24">
      <c r="A24" s="82" t="n">
        <v>39022</v>
      </c>
      <c r="B24" t="n">
        <v>55.3</v>
      </c>
      <c r="C24" t="n">
        <v/>
      </c>
    </row>
    <row r="25">
      <c r="A25" s="82" t="n">
        <v>39052</v>
      </c>
      <c r="B25" t="n">
        <v>54.8</v>
      </c>
      <c r="C25" t="n">
        <v/>
      </c>
    </row>
    <row r="26">
      <c r="A26" s="82" t="n">
        <v>39083</v>
      </c>
      <c r="B26" t="n">
        <v>55.1</v>
      </c>
      <c r="C26" t="n">
        <v>0.125</v>
      </c>
    </row>
    <row r="27">
      <c r="A27" s="82" t="n">
        <v>39114</v>
      </c>
      <c r="B27" t="n">
        <v>53.1</v>
      </c>
      <c r="C27" t="n">
        <v/>
      </c>
    </row>
    <row r="28">
      <c r="A28" s="82" t="n">
        <v>39142</v>
      </c>
      <c r="B28" t="n">
        <v>56.1</v>
      </c>
      <c r="C28" t="n">
        <v/>
      </c>
    </row>
    <row r="29">
      <c r="A29" s="82" t="n">
        <v>39173</v>
      </c>
      <c r="B29" t="n">
        <v>58.6</v>
      </c>
      <c r="C29" t="n">
        <v>0.138</v>
      </c>
    </row>
    <row r="30">
      <c r="A30" s="82" t="n">
        <v>39203</v>
      </c>
      <c r="B30" t="n">
        <v>55.7</v>
      </c>
      <c r="C30" t="n">
        <v/>
      </c>
    </row>
    <row r="31">
      <c r="A31" s="82" t="n">
        <v>39234</v>
      </c>
      <c r="B31" t="n">
        <v>54.5</v>
      </c>
      <c r="C31" t="n">
        <v/>
      </c>
    </row>
    <row r="32">
      <c r="A32" s="82" t="n">
        <v>39264</v>
      </c>
      <c r="B32" t="n">
        <v>53.3</v>
      </c>
      <c r="C32" t="n">
        <v>0.15</v>
      </c>
    </row>
    <row r="33">
      <c r="A33" s="82" t="n">
        <v>39295</v>
      </c>
      <c r="B33" t="n">
        <v>54</v>
      </c>
      <c r="C33" t="n">
        <v/>
      </c>
    </row>
    <row r="34">
      <c r="A34" s="82" t="n">
        <v>39326</v>
      </c>
      <c r="B34" t="n">
        <v>56.1</v>
      </c>
      <c r="C34" t="n">
        <v/>
      </c>
    </row>
    <row r="35">
      <c r="A35" s="82" t="n">
        <v>39356</v>
      </c>
      <c r="B35" t="n">
        <v>53.2</v>
      </c>
      <c r="C35" t="n">
        <v>0.143</v>
      </c>
    </row>
    <row r="36">
      <c r="A36" s="82" t="n">
        <v>39387</v>
      </c>
      <c r="B36" t="n">
        <v>55.4</v>
      </c>
      <c r="C36" t="n">
        <v/>
      </c>
    </row>
    <row r="37">
      <c r="A37" s="82" t="n">
        <v>39417</v>
      </c>
      <c r="B37" t="n">
        <v>55.3</v>
      </c>
      <c r="C37" t="n">
        <v/>
      </c>
    </row>
    <row r="38">
      <c r="A38" s="82" t="n">
        <v>39448</v>
      </c>
      <c r="B38" t="n">
        <v>53</v>
      </c>
      <c r="C38" t="n">
        <v>0.139</v>
      </c>
    </row>
    <row r="39">
      <c r="A39" s="82" t="n">
        <v>39479</v>
      </c>
      <c r="B39" t="n">
        <v>53.4</v>
      </c>
      <c r="C39" t="n">
        <v/>
      </c>
    </row>
    <row r="40">
      <c r="A40" s="82" t="n">
        <v>39508</v>
      </c>
      <c r="B40" t="n">
        <v>58.4</v>
      </c>
      <c r="C40" t="n">
        <v/>
      </c>
    </row>
    <row r="41">
      <c r="A41" s="82" t="n">
        <v>39539</v>
      </c>
      <c r="B41" t="n">
        <v>59.2</v>
      </c>
      <c r="C41" t="n">
        <v>0.115</v>
      </c>
    </row>
    <row r="42">
      <c r="A42" s="82" t="n">
        <v>39569</v>
      </c>
      <c r="B42" t="n">
        <v>53.3</v>
      </c>
      <c r="C42" t="n">
        <v/>
      </c>
    </row>
    <row r="43">
      <c r="A43" s="82" t="n">
        <v>39600</v>
      </c>
      <c r="B43" t="n">
        <v>52</v>
      </c>
      <c r="C43" t="n">
        <v/>
      </c>
    </row>
    <row r="44">
      <c r="A44" s="82" t="n">
        <v>39630</v>
      </c>
      <c r="B44" t="n">
        <v>48.4</v>
      </c>
      <c r="C44" t="n">
        <v>0.109</v>
      </c>
    </row>
    <row r="45">
      <c r="A45" s="82" t="n">
        <v>39661</v>
      </c>
      <c r="B45" t="n">
        <v>48.4</v>
      </c>
      <c r="C45" t="n">
        <v/>
      </c>
    </row>
    <row r="46">
      <c r="A46" s="82" t="n">
        <v>39692</v>
      </c>
      <c r="B46" t="n">
        <v>51.2</v>
      </c>
      <c r="C46" t="n">
        <v/>
      </c>
    </row>
    <row r="47">
      <c r="A47" s="82" t="n">
        <v>39722</v>
      </c>
      <c r="B47" t="n">
        <v>44.6</v>
      </c>
      <c r="C47" t="n">
        <v>0.095</v>
      </c>
    </row>
    <row r="48">
      <c r="A48" s="82" t="n">
        <v>39753</v>
      </c>
      <c r="B48" t="n">
        <v>38.8</v>
      </c>
      <c r="C48" t="n">
        <v/>
      </c>
    </row>
    <row r="49">
      <c r="A49" s="82" t="n">
        <v>39783</v>
      </c>
      <c r="B49" t="n">
        <v>41.2</v>
      </c>
      <c r="C49" t="n">
        <v/>
      </c>
    </row>
    <row r="50">
      <c r="A50" s="82" t="n">
        <v>39814</v>
      </c>
      <c r="B50" t="n">
        <v>45.3</v>
      </c>
      <c r="C50" t="n">
        <v>0.07099999999999999</v>
      </c>
    </row>
    <row r="51">
      <c r="A51" s="82" t="n">
        <v>39845</v>
      </c>
      <c r="B51" t="n">
        <v>49</v>
      </c>
      <c r="C51" t="n">
        <v/>
      </c>
    </row>
    <row r="52">
      <c r="A52" s="82" t="n">
        <v>39873</v>
      </c>
      <c r="B52" t="n">
        <v>52.4</v>
      </c>
      <c r="C52" t="n">
        <v/>
      </c>
    </row>
    <row r="53">
      <c r="A53" s="82" t="n">
        <v>39904</v>
      </c>
      <c r="B53" t="n">
        <v>53.5</v>
      </c>
      <c r="C53" t="n">
        <v>0.064</v>
      </c>
    </row>
    <row r="54">
      <c r="A54" s="82" t="n">
        <v>39934</v>
      </c>
      <c r="B54" t="n">
        <v>53.1</v>
      </c>
      <c r="C54" t="n">
        <v/>
      </c>
    </row>
    <row r="55">
      <c r="A55" s="82" t="n">
        <v>39965</v>
      </c>
      <c r="B55" t="n">
        <v>53.2</v>
      </c>
      <c r="C55" t="n">
        <v/>
      </c>
    </row>
    <row r="56">
      <c r="A56" s="82" t="n">
        <v>39995</v>
      </c>
      <c r="B56" t="n">
        <v>53.3</v>
      </c>
      <c r="C56" t="n">
        <v>0.08199999999999999</v>
      </c>
    </row>
    <row r="57">
      <c r="A57" s="82" t="n">
        <v>40026</v>
      </c>
      <c r="B57" t="n">
        <v>54</v>
      </c>
      <c r="C57" t="n">
        <v/>
      </c>
    </row>
    <row r="58">
      <c r="A58" s="82" t="n">
        <v>40057</v>
      </c>
      <c r="B58" t="n">
        <v>54.3</v>
      </c>
      <c r="C58" t="n">
        <v/>
      </c>
    </row>
    <row r="59">
      <c r="A59" s="82" t="n">
        <v>40087</v>
      </c>
      <c r="B59" t="n">
        <v>55.2</v>
      </c>
      <c r="C59" t="n">
        <v>0.106</v>
      </c>
    </row>
    <row r="60">
      <c r="A60" s="82" t="n">
        <v>40118</v>
      </c>
      <c r="B60" t="n">
        <v>55.2</v>
      </c>
      <c r="C60" t="n">
        <v/>
      </c>
    </row>
    <row r="61">
      <c r="A61" s="82" t="n">
        <v>40148</v>
      </c>
      <c r="B61" t="n">
        <v>56.6</v>
      </c>
      <c r="C61" t="n">
        <v/>
      </c>
    </row>
    <row r="62">
      <c r="A62" s="82" t="n">
        <v>40179</v>
      </c>
      <c r="B62" t="n">
        <v>55.8</v>
      </c>
      <c r="C62" t="n">
        <v>0.119</v>
      </c>
    </row>
    <row r="63">
      <c r="A63" s="82" t="n">
        <v>40210</v>
      </c>
      <c r="B63" t="n">
        <v>52</v>
      </c>
      <c r="C63" t="n">
        <v/>
      </c>
    </row>
    <row r="64">
      <c r="A64" s="82" t="n">
        <v>40238</v>
      </c>
      <c r="B64" t="n">
        <v>55.1</v>
      </c>
      <c r="C64" t="n">
        <v/>
      </c>
    </row>
    <row r="65">
      <c r="A65" s="82" t="n">
        <v>40269</v>
      </c>
      <c r="B65" t="n">
        <v>55.7</v>
      </c>
      <c r="C65" t="n">
        <v>0.122</v>
      </c>
    </row>
    <row r="66">
      <c r="A66" s="82" t="n">
        <v>40299</v>
      </c>
      <c r="B66" t="n">
        <v>53.9</v>
      </c>
      <c r="C66" t="n">
        <v/>
      </c>
    </row>
    <row r="67">
      <c r="A67" s="82" t="n">
        <v>40330</v>
      </c>
      <c r="B67" t="n">
        <v>52.1</v>
      </c>
      <c r="C67" t="n">
        <v/>
      </c>
    </row>
    <row r="68">
      <c r="A68" s="82" t="n">
        <v>40360</v>
      </c>
      <c r="B68" t="n">
        <v>51.2</v>
      </c>
      <c r="C68" t="n">
        <v>0.108</v>
      </c>
    </row>
    <row r="69">
      <c r="A69" s="82" t="n">
        <v>40391</v>
      </c>
      <c r="B69" t="n">
        <v>51.7</v>
      </c>
      <c r="C69" t="n">
        <v/>
      </c>
    </row>
    <row r="70">
      <c r="A70" s="82" t="n">
        <v>40422</v>
      </c>
      <c r="B70" t="n">
        <v>53.8</v>
      </c>
      <c r="C70" t="n">
        <v/>
      </c>
    </row>
    <row r="71">
      <c r="A71" s="82" t="n">
        <v>40452</v>
      </c>
      <c r="B71" t="n">
        <v>54.7</v>
      </c>
      <c r="C71" t="n">
        <v>0.099</v>
      </c>
    </row>
    <row r="72">
      <c r="A72" s="82" t="n">
        <v>40483</v>
      </c>
      <c r="B72" t="n">
        <v>55.2</v>
      </c>
      <c r="C72" t="n">
        <v/>
      </c>
    </row>
    <row r="73">
      <c r="A73" s="82" t="n">
        <v>40513</v>
      </c>
      <c r="B73" t="n">
        <v>53.9</v>
      </c>
      <c r="C73" t="n">
        <v/>
      </c>
    </row>
    <row r="74">
      <c r="A74" s="82" t="n">
        <v>40544</v>
      </c>
      <c r="B74" t="n">
        <v>52.9</v>
      </c>
      <c r="C74" t="n">
        <v>0.099</v>
      </c>
    </row>
    <row r="75">
      <c r="A75" s="82" t="n">
        <v>40575</v>
      </c>
      <c r="B75" t="n">
        <v>52.2</v>
      </c>
      <c r="C75" t="n">
        <v/>
      </c>
    </row>
    <row r="76">
      <c r="A76" s="82" t="n">
        <v>40603</v>
      </c>
      <c r="B76" t="n">
        <v>53.4</v>
      </c>
      <c r="C76" t="n">
        <v/>
      </c>
    </row>
    <row r="77">
      <c r="A77" s="82" t="n">
        <v>40634</v>
      </c>
      <c r="B77" t="n">
        <v>52.9</v>
      </c>
      <c r="C77" t="n">
        <v>0.102</v>
      </c>
    </row>
    <row r="78">
      <c r="A78" s="82" t="n">
        <v>40664</v>
      </c>
      <c r="B78" t="n">
        <v>52</v>
      </c>
      <c r="C78" t="n">
        <v/>
      </c>
    </row>
    <row r="79">
      <c r="A79" s="82" t="n">
        <v>40695</v>
      </c>
      <c r="B79" t="n">
        <v>50.9</v>
      </c>
      <c r="C79" t="n">
        <v/>
      </c>
    </row>
    <row r="80">
      <c r="A80" s="82" t="n">
        <v>40725</v>
      </c>
      <c r="B80" t="n">
        <v>50.7</v>
      </c>
      <c r="C80" t="n">
        <v>0.1</v>
      </c>
    </row>
    <row r="81">
      <c r="A81" s="82" t="n">
        <v>40756</v>
      </c>
      <c r="B81" t="n">
        <v>50.9</v>
      </c>
      <c r="C81" t="n">
        <v/>
      </c>
    </row>
    <row r="82">
      <c r="A82" s="82" t="n">
        <v>40787</v>
      </c>
      <c r="B82" t="n">
        <v>51.2</v>
      </c>
      <c r="C82" t="n">
        <v/>
      </c>
    </row>
    <row r="83">
      <c r="A83" s="82" t="n">
        <v>40817</v>
      </c>
      <c r="B83" t="n">
        <v>50.4</v>
      </c>
      <c r="C83" t="n">
        <v>0.094</v>
      </c>
    </row>
    <row r="84">
      <c r="A84" s="82" t="n">
        <v>40848</v>
      </c>
      <c r="B84" t="n">
        <v>49</v>
      </c>
      <c r="C84" t="n">
        <v/>
      </c>
    </row>
    <row r="85">
      <c r="A85" s="82" t="n">
        <v>40878</v>
      </c>
      <c r="B85" t="n">
        <v>50.3</v>
      </c>
      <c r="C85" t="n">
        <v/>
      </c>
    </row>
    <row r="86">
      <c r="A86" s="82" t="n">
        <v>40909</v>
      </c>
      <c r="B86" t="n">
        <v>50.5</v>
      </c>
      <c r="C86" t="n">
        <v>0.08800000000000001</v>
      </c>
    </row>
    <row r="87">
      <c r="A87" s="82" t="n">
        <v>40940</v>
      </c>
      <c r="B87" t="n">
        <v>51</v>
      </c>
      <c r="C87" t="n">
        <v/>
      </c>
    </row>
    <row r="88">
      <c r="A88" s="82" t="n">
        <v>40969</v>
      </c>
      <c r="B88" t="n">
        <v>53.1</v>
      </c>
      <c r="C88" t="n">
        <v/>
      </c>
    </row>
    <row r="89">
      <c r="A89" s="82" t="n">
        <v>41000</v>
      </c>
      <c r="B89" t="n">
        <v>53.3</v>
      </c>
      <c r="C89" t="n">
        <v>0.081</v>
      </c>
    </row>
    <row r="90">
      <c r="A90" s="82" t="n">
        <v>41030</v>
      </c>
      <c r="B90" t="n">
        <v>50.4</v>
      </c>
      <c r="C90" t="n">
        <v/>
      </c>
    </row>
    <row r="91">
      <c r="A91" s="82" t="n">
        <v>41061</v>
      </c>
      <c r="B91" t="n">
        <v>50.2</v>
      </c>
      <c r="C91" t="n">
        <v/>
      </c>
    </row>
    <row r="92">
      <c r="A92" s="82" t="n">
        <v>41091</v>
      </c>
      <c r="B92" t="n">
        <v>50.1</v>
      </c>
      <c r="C92" t="n">
        <v>0.077</v>
      </c>
    </row>
    <row r="93">
      <c r="A93" s="82" t="n">
        <v>41122</v>
      </c>
      <c r="B93" t="n">
        <v>49.2</v>
      </c>
      <c r="C93" t="n">
        <v/>
      </c>
    </row>
    <row r="94">
      <c r="A94" s="82" t="n">
        <v>41153</v>
      </c>
      <c r="B94" t="n">
        <v>49.8</v>
      </c>
      <c r="C94" t="n">
        <v/>
      </c>
    </row>
    <row r="95">
      <c r="A95" s="82" t="n">
        <v>41183</v>
      </c>
      <c r="B95" t="n">
        <v>50.2</v>
      </c>
      <c r="C95" t="n">
        <v>0.075</v>
      </c>
    </row>
    <row r="96">
      <c r="A96" s="82" t="n">
        <v>41214</v>
      </c>
      <c r="B96" t="n">
        <v>50.6</v>
      </c>
      <c r="C96" t="n">
        <v/>
      </c>
    </row>
    <row r="97">
      <c r="A97" s="82" t="n">
        <v>41244</v>
      </c>
      <c r="B97" t="n">
        <v>50.6</v>
      </c>
      <c r="C97" t="n">
        <v/>
      </c>
    </row>
    <row r="98">
      <c r="A98" s="82" t="n">
        <v>41275</v>
      </c>
      <c r="B98" t="n">
        <v>50.4</v>
      </c>
      <c r="C98" t="n">
        <v>0.081</v>
      </c>
    </row>
    <row r="99">
      <c r="A99" s="82" t="n">
        <v>41306</v>
      </c>
      <c r="B99" t="n">
        <v>50.1</v>
      </c>
      <c r="C99" t="n">
        <v/>
      </c>
    </row>
    <row r="100">
      <c r="A100" s="82" t="n">
        <v>41334</v>
      </c>
      <c r="B100" t="n">
        <v>50.9</v>
      </c>
      <c r="C100" t="n">
        <v/>
      </c>
    </row>
    <row r="101">
      <c r="A101" s="82" t="n">
        <v>41365</v>
      </c>
      <c r="B101" t="n">
        <v>50.6</v>
      </c>
      <c r="C101" t="n">
        <v>0.079</v>
      </c>
    </row>
    <row r="102">
      <c r="A102" s="82" t="n">
        <v>41395</v>
      </c>
      <c r="B102" t="n">
        <v>50.8</v>
      </c>
      <c r="C102" t="n">
        <v/>
      </c>
    </row>
    <row r="103">
      <c r="A103" s="82" t="n">
        <v>41426</v>
      </c>
      <c r="B103" t="n">
        <v>50.1</v>
      </c>
      <c r="C103" t="n">
        <v/>
      </c>
    </row>
    <row r="104">
      <c r="A104" s="82" t="n">
        <v>41456</v>
      </c>
      <c r="B104" t="n">
        <v>50.3</v>
      </c>
      <c r="C104" t="n">
        <v>0.076</v>
      </c>
    </row>
    <row r="105">
      <c r="A105" s="82" t="n">
        <v>41487</v>
      </c>
      <c r="B105" t="n">
        <v>51</v>
      </c>
      <c r="C105" t="n">
        <v/>
      </c>
    </row>
    <row r="106">
      <c r="A106" s="82" t="n">
        <v>41518</v>
      </c>
      <c r="B106" t="n">
        <v>51.1</v>
      </c>
      <c r="C106" t="n">
        <v/>
      </c>
    </row>
    <row r="107">
      <c r="A107" s="82" t="n">
        <v>41548</v>
      </c>
      <c r="B107" t="n">
        <v>51.4</v>
      </c>
      <c r="C107" t="n">
        <v>0.079</v>
      </c>
    </row>
    <row r="108">
      <c r="A108" s="82" t="n">
        <v>41579</v>
      </c>
      <c r="B108" t="n">
        <v>51.4</v>
      </c>
      <c r="C108" t="n">
        <v/>
      </c>
    </row>
    <row r="109">
      <c r="A109" s="82" t="n">
        <v>41609</v>
      </c>
      <c r="B109" t="n">
        <v>51</v>
      </c>
      <c r="C109" t="n">
        <v/>
      </c>
    </row>
    <row r="110">
      <c r="A110" s="82" t="n">
        <v>41640</v>
      </c>
      <c r="B110" t="n">
        <v>50.5</v>
      </c>
      <c r="C110" t="n">
        <v>0.077</v>
      </c>
    </row>
    <row r="111">
      <c r="A111" s="82" t="n">
        <v>41671</v>
      </c>
      <c r="B111" t="n">
        <v>50.2</v>
      </c>
      <c r="C111" t="n">
        <v/>
      </c>
    </row>
    <row r="112">
      <c r="A112" s="82" t="n">
        <v>41699</v>
      </c>
      <c r="B112" t="n">
        <v>50.3</v>
      </c>
      <c r="C112" t="n">
        <v/>
      </c>
    </row>
    <row r="113">
      <c r="A113" s="82" t="n">
        <v>41730</v>
      </c>
      <c r="B113" t="n">
        <v>50.4</v>
      </c>
      <c r="C113" t="n">
        <v>0.075</v>
      </c>
    </row>
    <row r="114">
      <c r="A114" s="82" t="n">
        <v>41760</v>
      </c>
      <c r="B114" t="n">
        <v>50.8</v>
      </c>
      <c r="C114" t="n">
        <v/>
      </c>
    </row>
    <row r="115">
      <c r="A115" s="82" t="n">
        <v>41791</v>
      </c>
      <c r="B115" t="n">
        <v>51</v>
      </c>
      <c r="C115" t="n">
        <v/>
      </c>
    </row>
    <row r="116">
      <c r="A116" s="82" t="n">
        <v>41821</v>
      </c>
      <c r="B116" t="n">
        <v>51.7</v>
      </c>
      <c r="C116" t="n">
        <v>0.076</v>
      </c>
    </row>
    <row r="117">
      <c r="A117" s="82" t="n">
        <v>41852</v>
      </c>
      <c r="B117" t="n">
        <v>51.1</v>
      </c>
      <c r="C117" t="n">
        <v/>
      </c>
    </row>
    <row r="118">
      <c r="A118" s="82" t="n">
        <v>41883</v>
      </c>
      <c r="B118" t="n">
        <v>51.1</v>
      </c>
      <c r="C118" t="n">
        <v/>
      </c>
    </row>
    <row r="119">
      <c r="A119" s="82" t="n">
        <v>41913</v>
      </c>
      <c r="B119" t="n">
        <v>50.8</v>
      </c>
      <c r="C119" t="n">
        <v>0.07200000000000001</v>
      </c>
    </row>
    <row r="120">
      <c r="A120" s="82" t="n">
        <v>41944</v>
      </c>
      <c r="B120" t="n">
        <v>50.3</v>
      </c>
      <c r="C120" t="n">
        <v/>
      </c>
    </row>
    <row r="121">
      <c r="A121" s="82" t="n">
        <v>41974</v>
      </c>
      <c r="B121" t="n">
        <v>50.1</v>
      </c>
      <c r="C121" t="n">
        <v/>
      </c>
    </row>
    <row r="122">
      <c r="A122" s="82" t="n">
        <v>42005</v>
      </c>
      <c r="B122" t="n">
        <v>49.8</v>
      </c>
      <c r="C122" t="n">
        <v>0.073</v>
      </c>
    </row>
    <row r="123">
      <c r="A123" s="82" t="n">
        <v>42036</v>
      </c>
      <c r="B123" t="n">
        <v>49.9</v>
      </c>
      <c r="C123" t="n">
        <v/>
      </c>
    </row>
    <row r="124">
      <c r="A124" s="82" t="n">
        <v>42064</v>
      </c>
      <c r="B124" t="n">
        <v>50.1</v>
      </c>
      <c r="C124" t="n">
        <v/>
      </c>
    </row>
    <row r="125">
      <c r="A125" s="82" t="n">
        <v>42095</v>
      </c>
      <c r="B125" t="n">
        <v>50.1</v>
      </c>
      <c r="C125" t="n">
        <v>0.07099999999999999</v>
      </c>
    </row>
    <row r="126">
      <c r="A126" s="82" t="n">
        <v>42125</v>
      </c>
      <c r="B126" t="n">
        <v>50.2</v>
      </c>
      <c r="C126" t="n">
        <v/>
      </c>
    </row>
    <row r="127">
      <c r="A127" s="82" t="n">
        <v>42156</v>
      </c>
      <c r="B127" t="n">
        <v>50.2</v>
      </c>
      <c r="C127" t="n">
        <v/>
      </c>
    </row>
    <row r="128">
      <c r="A128" s="82" t="n">
        <v>42186</v>
      </c>
      <c r="B128" t="n">
        <v>50</v>
      </c>
      <c r="C128" t="n">
        <v>0.07099999999999999</v>
      </c>
    </row>
    <row r="129">
      <c r="A129" s="82" t="n">
        <v>42217</v>
      </c>
      <c r="B129" t="n">
        <v>49.7</v>
      </c>
      <c r="C129" t="n">
        <v/>
      </c>
    </row>
    <row r="130">
      <c r="A130" s="82" t="n">
        <v>42248</v>
      </c>
      <c r="B130" t="n">
        <v>49.8</v>
      </c>
      <c r="C130" t="n">
        <v/>
      </c>
    </row>
    <row r="131">
      <c r="A131" s="82" t="n">
        <v>42278</v>
      </c>
      <c r="B131" t="n">
        <v>49.8</v>
      </c>
      <c r="C131" t="n">
        <v>0.07000000000000001</v>
      </c>
    </row>
    <row r="132">
      <c r="A132" s="82" t="n">
        <v>42309</v>
      </c>
      <c r="B132" t="n">
        <v>49.6</v>
      </c>
      <c r="C132" t="n">
        <v/>
      </c>
    </row>
    <row r="133">
      <c r="A133" s="82" t="n">
        <v>42339</v>
      </c>
      <c r="B133" t="n">
        <v>49.7</v>
      </c>
      <c r="C133" t="n">
        <v/>
      </c>
    </row>
    <row r="134">
      <c r="A134" s="82" t="n">
        <v>42370</v>
      </c>
      <c r="B134" t="n">
        <v>49.4</v>
      </c>
      <c r="C134" t="n">
        <v>0.06900000000000001</v>
      </c>
    </row>
    <row r="135">
      <c r="A135" s="82" t="n">
        <v>42401</v>
      </c>
      <c r="B135" t="n">
        <v>49</v>
      </c>
      <c r="C135" t="n">
        <v/>
      </c>
    </row>
    <row r="136">
      <c r="A136" s="82" t="n">
        <v>42430</v>
      </c>
      <c r="B136" t="n">
        <v>50.2</v>
      </c>
      <c r="C136" t="n">
        <v/>
      </c>
    </row>
    <row r="137">
      <c r="A137" s="82" t="n">
        <v>42461</v>
      </c>
      <c r="B137" t="n">
        <v>50.1</v>
      </c>
      <c r="C137" t="n">
        <v>0.06900000000000001</v>
      </c>
    </row>
    <row r="138">
      <c r="A138" s="82" t="n">
        <v>42491</v>
      </c>
      <c r="B138" t="n">
        <v>50.1</v>
      </c>
      <c r="C138" t="n">
        <v/>
      </c>
    </row>
    <row r="139">
      <c r="A139" s="82" t="n">
        <v>42522</v>
      </c>
      <c r="B139" t="n">
        <v>50</v>
      </c>
      <c r="C139" t="n">
        <v/>
      </c>
    </row>
    <row r="140">
      <c r="A140" s="82" t="n">
        <v>42552</v>
      </c>
      <c r="B140" t="n">
        <v>49.9</v>
      </c>
      <c r="C140" t="n">
        <v>0.068</v>
      </c>
    </row>
    <row r="141">
      <c r="A141" s="82" t="n">
        <v>42583</v>
      </c>
      <c r="B141" t="n">
        <v>50.4</v>
      </c>
      <c r="C141" t="n">
        <v/>
      </c>
    </row>
    <row r="142">
      <c r="A142" s="82" t="n">
        <v>42614</v>
      </c>
      <c r="B142" t="n">
        <v>50.4</v>
      </c>
      <c r="C142" t="n">
        <v/>
      </c>
    </row>
    <row r="143">
      <c r="A143" s="82" t="n">
        <v>42644</v>
      </c>
      <c r="B143" t="n">
        <v>51.2</v>
      </c>
      <c r="C143" t="n">
        <v>0.068</v>
      </c>
    </row>
    <row r="144">
      <c r="A144" s="82" t="n">
        <v>42675</v>
      </c>
      <c r="B144" t="n">
        <v>51.7</v>
      </c>
      <c r="C144" t="n">
        <v/>
      </c>
    </row>
    <row r="145">
      <c r="A145" s="82" t="n">
        <v>42705</v>
      </c>
      <c r="B145" t="n">
        <v>51.4</v>
      </c>
      <c r="C145" t="n">
        <v/>
      </c>
    </row>
    <row r="146">
      <c r="A146" s="82" t="n">
        <v>42736</v>
      </c>
      <c r="B146" t="n">
        <v>51.3</v>
      </c>
      <c r="C146" t="n">
        <v>0.06900000000000001</v>
      </c>
    </row>
    <row r="147">
      <c r="A147" s="82" t="n">
        <v>42767</v>
      </c>
      <c r="B147" t="n">
        <v>51.6</v>
      </c>
      <c r="C147" t="n">
        <v/>
      </c>
    </row>
    <row r="148">
      <c r="A148" s="82" t="n">
        <v>42795</v>
      </c>
      <c r="B148" t="n">
        <v>51.8</v>
      </c>
      <c r="C148" t="n">
        <v/>
      </c>
    </row>
    <row r="149">
      <c r="A149" s="82" t="n">
        <v>42826</v>
      </c>
      <c r="B149" t="n">
        <v>51.2</v>
      </c>
      <c r="C149" t="n">
        <v>0.07000000000000001</v>
      </c>
    </row>
    <row r="150">
      <c r="A150" s="82" t="n">
        <v>42856</v>
      </c>
      <c r="B150" t="n">
        <v>51.2</v>
      </c>
      <c r="C150" t="n">
        <v/>
      </c>
    </row>
    <row r="151">
      <c r="A151" s="82" t="n">
        <v>42887</v>
      </c>
      <c r="B151" t="n">
        <v>51.7</v>
      </c>
      <c r="C151" t="n">
        <v/>
      </c>
    </row>
    <row r="152">
      <c r="A152" s="82" t="n">
        <v>42917</v>
      </c>
      <c r="B152" t="n">
        <v>51.4</v>
      </c>
      <c r="C152" t="n">
        <v>0.07000000000000001</v>
      </c>
    </row>
    <row r="153">
      <c r="A153" s="82" t="n">
        <v>42948</v>
      </c>
      <c r="B153" t="n">
        <v>51.7</v>
      </c>
      <c r="C153" t="n">
        <v/>
      </c>
    </row>
    <row r="154">
      <c r="A154" s="82" t="n">
        <v>42979</v>
      </c>
      <c r="B154" t="n">
        <v>52.4</v>
      </c>
      <c r="C154" t="n">
        <v/>
      </c>
    </row>
    <row r="155">
      <c r="A155" s="82" t="n">
        <v>43009</v>
      </c>
      <c r="B155" t="n">
        <v>51.6</v>
      </c>
      <c r="C155" t="n">
        <v>0.06900000000000001</v>
      </c>
    </row>
    <row r="156">
      <c r="A156" s="82" t="n">
        <v>43040</v>
      </c>
      <c r="B156" t="n">
        <v>51.8</v>
      </c>
      <c r="C156" t="n">
        <v/>
      </c>
    </row>
    <row r="157">
      <c r="A157" s="82" t="n">
        <v>43070</v>
      </c>
      <c r="B157" t="n">
        <v>51.6</v>
      </c>
      <c r="C157" t="n">
        <v/>
      </c>
    </row>
    <row r="158">
      <c r="A158" s="82" t="n">
        <v>43101</v>
      </c>
      <c r="B158" t="n">
        <v>51.3</v>
      </c>
      <c r="C158" t="n">
        <v>0.068</v>
      </c>
    </row>
    <row r="159">
      <c r="A159" s="82" t="n">
        <v>43132</v>
      </c>
      <c r="B159" t="n">
        <v>50.3</v>
      </c>
      <c r="C159" t="n">
        <v/>
      </c>
    </row>
    <row r="160">
      <c r="A160" s="82" t="n">
        <v>43160</v>
      </c>
      <c r="B160" t="n">
        <v>51.5</v>
      </c>
      <c r="C160" t="n">
        <v/>
      </c>
    </row>
    <row r="161">
      <c r="A161" s="82" t="n">
        <v>43191</v>
      </c>
      <c r="B161" t="n">
        <v>51.4</v>
      </c>
      <c r="C161" t="n">
        <v>0.06900000000000001</v>
      </c>
    </row>
    <row r="162">
      <c r="A162" s="82" t="n">
        <v>43221</v>
      </c>
      <c r="B162" t="n">
        <v>51.9</v>
      </c>
      <c r="C162" t="n">
        <v/>
      </c>
    </row>
    <row r="163">
      <c r="A163" s="82" t="n">
        <v>43252</v>
      </c>
      <c r="B163" t="n">
        <v>51.5</v>
      </c>
      <c r="C163" t="n">
        <v/>
      </c>
    </row>
    <row r="164">
      <c r="A164" s="82" t="n">
        <v>43282</v>
      </c>
      <c r="B164" t="n">
        <v>51.2</v>
      </c>
      <c r="C164" t="n">
        <v>0.06900000000000001</v>
      </c>
    </row>
    <row r="165">
      <c r="A165" s="82" t="n">
        <v>43313</v>
      </c>
      <c r="B165" t="n">
        <v>51.3</v>
      </c>
      <c r="C165" t="n">
        <v/>
      </c>
    </row>
    <row r="166">
      <c r="A166" s="82" t="n">
        <v>43344</v>
      </c>
      <c r="B166" t="n">
        <v>50.8</v>
      </c>
      <c r="C166" t="n">
        <v/>
      </c>
    </row>
    <row r="167">
      <c r="A167" s="82" t="n">
        <v>43374</v>
      </c>
      <c r="B167" t="n">
        <v>50.2</v>
      </c>
      <c r="C167" t="n">
        <v>0.067</v>
      </c>
    </row>
    <row r="168">
      <c r="A168" s="82" t="n">
        <v>43405</v>
      </c>
      <c r="B168" t="n">
        <v>50</v>
      </c>
      <c r="C168" t="n">
        <v/>
      </c>
    </row>
    <row r="169">
      <c r="A169" s="82" t="n">
        <v>43435</v>
      </c>
      <c r="B169" t="n">
        <v>49.4</v>
      </c>
      <c r="C169" t="n">
        <v/>
      </c>
    </row>
    <row r="170">
      <c r="A170" s="82" t="n">
        <v>43466</v>
      </c>
      <c r="B170" t="n">
        <v>49.5</v>
      </c>
      <c r="C170" t="n">
        <v>0.065</v>
      </c>
    </row>
    <row r="171">
      <c r="A171" s="82" t="n">
        <v>43497</v>
      </c>
      <c r="B171" t="n">
        <v>49.2</v>
      </c>
      <c r="C171" t="n">
        <v/>
      </c>
    </row>
    <row r="172">
      <c r="A172" s="82" t="n">
        <v>43525</v>
      </c>
      <c r="B172" t="n">
        <v>50.5</v>
      </c>
      <c r="C172" t="n">
        <v/>
      </c>
    </row>
    <row r="173">
      <c r="A173" s="82" t="n">
        <v>43556</v>
      </c>
      <c r="B173" t="n">
        <v>50.1</v>
      </c>
      <c r="C173" t="n">
        <v>0.063</v>
      </c>
    </row>
    <row r="174">
      <c r="A174" s="82" t="n">
        <v>43586</v>
      </c>
      <c r="B174" t="n">
        <v>49.4</v>
      </c>
      <c r="C174" t="n">
        <v/>
      </c>
    </row>
    <row r="175">
      <c r="A175" s="82" t="n">
        <v>43617</v>
      </c>
      <c r="B175" t="n">
        <v>49.4</v>
      </c>
      <c r="C175" t="n">
        <v/>
      </c>
    </row>
    <row r="176">
      <c r="A176" s="82" t="n">
        <v>43647</v>
      </c>
      <c r="B176" t="n">
        <v>49.7</v>
      </c>
      <c r="C176" t="n">
        <v>0.06</v>
      </c>
    </row>
    <row r="177">
      <c r="A177" s="82" t="n">
        <v>43678</v>
      </c>
      <c r="B177" t="n">
        <v>49.5</v>
      </c>
      <c r="C177" t="n">
        <v/>
      </c>
    </row>
    <row r="178">
      <c r="A178" s="82" t="n">
        <v>43709</v>
      </c>
      <c r="B178" t="n">
        <v>49.8</v>
      </c>
      <c r="C178" t="n">
        <v/>
      </c>
    </row>
    <row r="179">
      <c r="A179" s="82" t="n">
        <v>43739</v>
      </c>
      <c r="B179" t="n">
        <v>49.3</v>
      </c>
      <c r="C179" t="n">
        <v>0.059</v>
      </c>
    </row>
    <row r="180">
      <c r="A180" s="82" t="n">
        <v>43770</v>
      </c>
      <c r="B180" t="n">
        <v>50.2</v>
      </c>
      <c r="C180" t="n">
        <v/>
      </c>
    </row>
    <row r="181">
      <c r="A181" s="82" t="n">
        <v>43800</v>
      </c>
      <c r="B181" t="n">
        <v>50.2</v>
      </c>
      <c r="C181" t="n">
        <v/>
      </c>
    </row>
    <row r="182">
      <c r="A182" s="82" t="n">
        <v>43831</v>
      </c>
      <c r="B182" t="n">
        <v>50</v>
      </c>
      <c r="C182" t="n">
        <v>0.058</v>
      </c>
    </row>
    <row r="183">
      <c r="A183" s="82" t="n">
        <v>43862</v>
      </c>
      <c r="B183" t="n">
        <v>35.7</v>
      </c>
      <c r="C183" t="n">
        <v/>
      </c>
    </row>
    <row r="184">
      <c r="A184" s="82" t="n">
        <v>43891</v>
      </c>
      <c r="B184" t="n">
        <v>52</v>
      </c>
      <c r="C184" t="n">
        <v/>
      </c>
    </row>
    <row r="185">
      <c r="A185" s="82" t="n">
        <v>43922</v>
      </c>
      <c r="B185" t="n">
        <v>50.8</v>
      </c>
      <c r="C185" t="n">
        <v>-0.06900000000000001</v>
      </c>
    </row>
    <row r="186">
      <c r="A186" s="82" t="n">
        <v>43952</v>
      </c>
      <c r="B186" t="n">
        <v>50.6</v>
      </c>
      <c r="C186" t="n">
        <v/>
      </c>
    </row>
    <row r="187">
      <c r="A187" s="82" t="n">
        <v>43983</v>
      </c>
      <c r="B187" t="n">
        <v>50.9</v>
      </c>
      <c r="C187" t="n">
        <v/>
      </c>
    </row>
    <row r="188">
      <c r="A188" s="82" t="n">
        <v>44013</v>
      </c>
      <c r="B188" t="n">
        <v>51.1</v>
      </c>
      <c r="C188" t="n">
        <v>0.031</v>
      </c>
    </row>
    <row r="189">
      <c r="A189" s="82" t="n">
        <v>44044</v>
      </c>
      <c r="B189" t="n">
        <v>51</v>
      </c>
      <c r="C189" t="n">
        <v/>
      </c>
    </row>
    <row r="190">
      <c r="A190" s="82" t="n">
        <v>44075</v>
      </c>
      <c r="B190" t="n">
        <v>51.5</v>
      </c>
      <c r="C190" t="n">
        <v/>
      </c>
    </row>
    <row r="191">
      <c r="A191" s="82" t="n">
        <v>44105</v>
      </c>
      <c r="B191" t="n">
        <v>51.4</v>
      </c>
      <c r="C191" t="n">
        <v>0.048</v>
      </c>
    </row>
    <row r="192">
      <c r="A192" s="82" t="n">
        <v>44136</v>
      </c>
      <c r="B192" t="n">
        <v>52.1</v>
      </c>
      <c r="C192" t="n">
        <v/>
      </c>
    </row>
    <row r="193">
      <c r="A193" s="82" t="n">
        <v>44166</v>
      </c>
      <c r="B193" t="n">
        <v>51.9</v>
      </c>
      <c r="C193" t="n">
        <v/>
      </c>
    </row>
    <row r="194">
      <c r="A194" s="82" t="n">
        <v>44197</v>
      </c>
      <c r="B194" t="n">
        <v>51.3</v>
      </c>
      <c r="C194" t="n">
        <v>0.064</v>
      </c>
    </row>
    <row r="195">
      <c r="A195" s="82" t="n">
        <v>44228</v>
      </c>
      <c r="B195" t="n">
        <v>50.6</v>
      </c>
      <c r="C195" t="n">
        <v/>
      </c>
    </row>
    <row r="196">
      <c r="A196" s="82" t="n">
        <v>44256</v>
      </c>
      <c r="B196" t="n">
        <v>51.9</v>
      </c>
      <c r="C196" t="n">
        <v/>
      </c>
    </row>
    <row r="197">
      <c r="A197" s="82" t="n">
        <v>44287</v>
      </c>
      <c r="B197" t="n">
        <v>51.1</v>
      </c>
      <c r="C197" t="n">
        <v>0.183</v>
      </c>
    </row>
    <row r="198">
      <c r="A198" s="82" t="n">
        <v>44317</v>
      </c>
      <c r="B198" t="n">
        <v>51</v>
      </c>
      <c r="C198" t="n">
        <v/>
      </c>
    </row>
    <row r="199">
      <c r="A199" s="82" t="n">
        <v>44348</v>
      </c>
      <c r="B199" t="n">
        <v>50.9</v>
      </c>
      <c r="C199" t="n">
        <v/>
      </c>
    </row>
    <row r="200">
      <c r="A200" s="82" t="n">
        <v>44378</v>
      </c>
      <c r="B200" t="n">
        <v>50.4</v>
      </c>
      <c r="C200" t="n">
        <v>0.079</v>
      </c>
    </row>
    <row r="201">
      <c r="A201" s="82" t="n">
        <v>44409</v>
      </c>
      <c r="B201" t="n">
        <v>50.1</v>
      </c>
      <c r="C201" t="n">
        <v/>
      </c>
    </row>
    <row r="202">
      <c r="A202" s="82" t="n">
        <v>44440</v>
      </c>
      <c r="B202" t="n">
        <v>49.6</v>
      </c>
      <c r="C202" t="n">
        <v/>
      </c>
    </row>
    <row r="203">
      <c r="A203" s="82" t="n">
        <v>44470</v>
      </c>
      <c r="B203" t="n">
        <v>49.2</v>
      </c>
      <c r="C203" t="n">
        <v>0.049</v>
      </c>
    </row>
    <row r="204">
      <c r="A204" s="82" t="n">
        <v>44501</v>
      </c>
      <c r="B204" t="n">
        <v>50.1</v>
      </c>
      <c r="C204" t="n">
        <v/>
      </c>
    </row>
    <row r="205">
      <c r="A205" s="82" t="n">
        <v>44531</v>
      </c>
      <c r="B205" t="n">
        <v>50.3</v>
      </c>
      <c r="C205" t="n">
        <v/>
      </c>
    </row>
    <row r="206">
      <c r="A206" s="82" t="n">
        <v>44562</v>
      </c>
      <c r="B206" t="n">
        <v>50.1</v>
      </c>
      <c r="C206" t="n">
        <v>0.04</v>
      </c>
    </row>
    <row r="207">
      <c r="A207" s="82" t="n">
        <v>44652</v>
      </c>
      <c r="B207" t="n">
        <v/>
      </c>
      <c r="C207" t="n">
        <v/>
      </c>
    </row>
    <row r="208">
      <c r="A208" s="82" t="n">
        <v>44743</v>
      </c>
      <c r="B208" t="n">
        <v/>
      </c>
      <c r="C208" t="n">
        <v/>
      </c>
    </row>
    <row r="209">
      <c r="A209" s="82" t="n">
        <v>44835</v>
      </c>
      <c r="B209" t="n">
        <v/>
      </c>
      <c r="C209" t="n">
        <v/>
      </c>
    </row>
    <row r="210">
      <c r="A210" s="82" t="n">
        <v>44927</v>
      </c>
      <c r="B210" t="n">
        <v/>
      </c>
      <c r="C210" t="n">
        <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7"/>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3" min="1" max="17"/>
    <col width="10.83203125" customWidth="1" style="63" min="18"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4"/>
  <sheetViews>
    <sheetView zoomScale="150" zoomScaleNormal="150" workbookViewId="0">
      <pane xSplit="2" ySplit="11" topLeftCell="C71" activePane="bottomRight" state="frozen"/>
      <selection pane="topRight" activeCell="C1" sqref="C1"/>
      <selection pane="bottomLeft" activeCell="A12" sqref="A12"/>
      <selection pane="bottomRight" activeCell="L101" sqref="L101"/>
    </sheetView>
  </sheetViews>
  <sheetFormatPr baseColWidth="10" defaultColWidth="9.1640625" defaultRowHeight="15"/>
  <cols>
    <col width="9.1640625" customWidth="1" style="70" min="1" max="1"/>
    <col width="17.83203125" customWidth="1" style="63" min="2" max="2"/>
    <col width="6.1640625" customWidth="1" style="63" min="3" max="27"/>
    <col width="7.33203125" customWidth="1" style="63"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3" min="75" max="104"/>
    <col width="9.1640625" customWidth="1" style="63" min="105" max="16384"/>
  </cols>
  <sheetData>
    <row r="1" ht="16" customFormat="1" customHeight="1" s="70" thickBot="1">
      <c r="AD1" s="31" t="inlineStr">
        <is>
          <t>*to update</t>
        </is>
      </c>
      <c r="AE1" s="70" t="inlineStr">
        <is>
          <t>Last month</t>
        </is>
      </c>
      <c r="AG1" s="32" t="n">
        <v>44562</v>
      </c>
      <c r="AJ1" s="4" t="inlineStr">
        <is>
          <t>*modify max/min/avg</t>
        </is>
      </c>
    </row>
    <row r="2" ht="72.75" customHeight="1" s="63" thickBot="1">
      <c r="B2" s="37" t="n"/>
      <c r="C2" s="38" t="inlineStr">
        <is>
          <t>Global</t>
        </is>
      </c>
      <c r="D2" s="38" t="inlineStr">
        <is>
          <t>US ISM</t>
        </is>
      </c>
      <c r="E2" s="38" t="inlineStr">
        <is>
          <t>US</t>
        </is>
      </c>
      <c r="F2" s="38" t="inlineStr">
        <is>
          <t xml:space="preserve">China </t>
        </is>
      </c>
      <c r="G2" s="38" t="inlineStr">
        <is>
          <t>Eurozone</t>
        </is>
      </c>
      <c r="H2" s="38" t="inlineStr">
        <is>
          <t xml:space="preserve">Japan </t>
        </is>
      </c>
      <c r="I2" s="38" t="inlineStr">
        <is>
          <t>Germany</t>
        </is>
      </c>
      <c r="J2" s="38" t="inlineStr">
        <is>
          <t>France</t>
        </is>
      </c>
      <c r="K2" s="38" t="inlineStr">
        <is>
          <t>UK</t>
        </is>
      </c>
      <c r="L2" s="38" t="inlineStr">
        <is>
          <t xml:space="preserve">Italy </t>
        </is>
      </c>
      <c r="M2" s="38" t="inlineStr">
        <is>
          <t>Spain</t>
        </is>
      </c>
      <c r="N2" s="38" t="inlineStr">
        <is>
          <t>Brazil</t>
        </is>
      </c>
      <c r="O2" s="38" t="inlineStr">
        <is>
          <t>Mexico</t>
        </is>
      </c>
      <c r="P2" s="38" t="inlineStr">
        <is>
          <t>Russia</t>
        </is>
      </c>
      <c r="Q2" s="38" t="inlineStr">
        <is>
          <t>India</t>
        </is>
      </c>
      <c r="R2" s="38" t="inlineStr">
        <is>
          <t>Canada</t>
        </is>
      </c>
      <c r="S2" s="38" t="inlineStr">
        <is>
          <t>Australia</t>
        </is>
      </c>
      <c r="T2" s="39" t="inlineStr">
        <is>
          <t>Indonesia</t>
        </is>
      </c>
      <c r="U2" s="38" t="inlineStr">
        <is>
          <t xml:space="preserve">S Korea </t>
        </is>
      </c>
      <c r="V2" s="38" t="inlineStr">
        <is>
          <t>Taiwan</t>
        </is>
      </c>
      <c r="W2" s="38" t="inlineStr">
        <is>
          <t>Greece</t>
        </is>
      </c>
      <c r="X2" s="38" t="inlineStr">
        <is>
          <t>Ireland</t>
        </is>
      </c>
      <c r="Y2" s="38" t="inlineStr">
        <is>
          <t>Turkey</t>
        </is>
      </c>
      <c r="Z2" s="38" t="inlineStr">
        <is>
          <t xml:space="preserve">Czech </t>
        </is>
      </c>
      <c r="AA2" s="38" t="inlineStr">
        <is>
          <t>Poland</t>
        </is>
      </c>
      <c r="AB2" s="40" t="inlineStr">
        <is>
          <t>Denmark</t>
        </is>
      </c>
      <c r="AE2" s="70" t="inlineStr">
        <is>
          <t>Previous month</t>
        </is>
      </c>
      <c r="AG2" s="27">
        <f>DATE(YEAR(AG1),MONTH(AG1)-1,DAY(AG1))</f>
        <v/>
      </c>
    </row>
    <row r="3" hidden="1" s="63">
      <c r="B3" s="33" t="inlineStr">
        <is>
          <t>max 12m</t>
        </is>
      </c>
      <c r="C3" s="28">
        <f>MAX(C48:C59)</f>
        <v/>
      </c>
      <c r="D3" s="28">
        <f>MAX(D45:D56)</f>
        <v/>
      </c>
      <c r="E3" s="28">
        <f>MAX(E45:E56)</f>
        <v/>
      </c>
      <c r="F3" s="28">
        <f>MAX(F45:F56)</f>
        <v/>
      </c>
      <c r="G3" s="28">
        <f>MAX(G45:G56)</f>
        <v/>
      </c>
      <c r="H3" s="28">
        <f>MAX(H45:H56)</f>
        <v/>
      </c>
      <c r="I3" s="28">
        <f>MAX(I45:I56)</f>
        <v/>
      </c>
      <c r="J3" s="28">
        <f>MAX(J45:J56)</f>
        <v/>
      </c>
      <c r="K3" s="28">
        <f>MAX(K45:K56)</f>
        <v/>
      </c>
      <c r="L3" s="28">
        <f>MAX(L45:L56)</f>
        <v/>
      </c>
      <c r="M3" s="28">
        <f>MAX(M45:M56)</f>
        <v/>
      </c>
      <c r="N3" s="28">
        <f>MAX(N45:N56)</f>
        <v/>
      </c>
      <c r="O3" s="28">
        <f>MAX(O45:O56)</f>
        <v/>
      </c>
      <c r="P3" s="28">
        <f>MAX(P45:P56)</f>
        <v/>
      </c>
      <c r="Q3" s="28">
        <f>MAX(Q45:Q56)</f>
        <v/>
      </c>
      <c r="R3" s="28">
        <f>MAX(R45:R56)</f>
        <v/>
      </c>
      <c r="S3" s="28">
        <f>MAX(S45:S56)</f>
        <v/>
      </c>
      <c r="T3" s="28">
        <f>MAX(T45:T56)</f>
        <v/>
      </c>
      <c r="U3" s="28">
        <f>MAX(U45:U56)</f>
        <v/>
      </c>
      <c r="V3" s="28">
        <f>MAX(V45:V56)</f>
        <v/>
      </c>
      <c r="W3" s="28">
        <f>MAX(W45:W56)</f>
        <v/>
      </c>
      <c r="X3" s="28">
        <f>MAX(X45:X56)</f>
        <v/>
      </c>
      <c r="Y3" s="28">
        <f>MAX(Y45:Y56)</f>
        <v/>
      </c>
      <c r="Z3" s="28">
        <f>MAX(Z45:Z56)</f>
        <v/>
      </c>
      <c r="AA3" s="28">
        <f>MAX(AA45:AA56)</f>
        <v/>
      </c>
      <c r="AB3" s="34">
        <f>MAX(AB45:AB56)</f>
        <v/>
      </c>
      <c r="AF3" s="70" t="inlineStr">
        <is>
          <t>12 months</t>
        </is>
      </c>
      <c r="AG3" s="27">
        <f>DATE(YEAR(AG1),MONTH(AG1)-12,DAY(AG1))</f>
        <v/>
      </c>
    </row>
    <row r="4" hidden="1" s="63">
      <c r="B4" s="33" t="inlineStr">
        <is>
          <t>min 12m</t>
        </is>
      </c>
      <c r="C4" s="28">
        <f>MIN(C48:C59)</f>
        <v/>
      </c>
      <c r="D4" s="28">
        <f>MIN(D45:D56)</f>
        <v/>
      </c>
      <c r="E4" s="28">
        <f>MIN(E45:E56)</f>
        <v/>
      </c>
      <c r="F4" s="28">
        <f>MIN(F45:F56)</f>
        <v/>
      </c>
      <c r="G4" s="28">
        <f>MIN(G45:G56)</f>
        <v/>
      </c>
      <c r="H4" s="28">
        <f>MIN(H45:H56)</f>
        <v/>
      </c>
      <c r="I4" s="28">
        <f>MIN(I45:I56)</f>
        <v/>
      </c>
      <c r="J4" s="28">
        <f>MIN(J45:J56)</f>
        <v/>
      </c>
      <c r="K4" s="28">
        <f>MIN(K45:K56)</f>
        <v/>
      </c>
      <c r="L4" s="28">
        <f>MIN(L45:L56)</f>
        <v/>
      </c>
      <c r="M4" s="28">
        <f>MIN(M45:M56)</f>
        <v/>
      </c>
      <c r="N4" s="28">
        <f>MIN(N45:N56)</f>
        <v/>
      </c>
      <c r="O4" s="28">
        <f>MIN(O45:O56)</f>
        <v/>
      </c>
      <c r="P4" s="28">
        <f>MIN(P45:P56)</f>
        <v/>
      </c>
      <c r="Q4" s="28">
        <f>MIN(Q45:Q56)</f>
        <v/>
      </c>
      <c r="R4" s="28">
        <f>MIN(R45:R56)</f>
        <v/>
      </c>
      <c r="S4" s="28">
        <f>MIN(S45:S56)</f>
        <v/>
      </c>
      <c r="T4" s="28">
        <f>MIN(T45:T56)</f>
        <v/>
      </c>
      <c r="U4" s="28">
        <f>MIN(U45:U56)</f>
        <v/>
      </c>
      <c r="V4" s="28">
        <f>MIN(V45:V56)</f>
        <v/>
      </c>
      <c r="W4" s="28">
        <f>MIN(W45:W56)</f>
        <v/>
      </c>
      <c r="X4" s="28">
        <f>MIN(X45:X56)</f>
        <v/>
      </c>
      <c r="Y4" s="28">
        <f>MIN(Y45:Y56)</f>
        <v/>
      </c>
      <c r="Z4" s="28">
        <f>MIN(Z45:Z56)</f>
        <v/>
      </c>
      <c r="AA4" s="28">
        <f>MIN(AA45:AA56)</f>
        <v/>
      </c>
      <c r="AB4" s="34">
        <f>MIN(AB45:AB56)</f>
        <v/>
      </c>
    </row>
    <row r="5" hidden="1" s="63">
      <c r="B5" s="33" t="inlineStr">
        <is>
          <t>12m avg</t>
        </is>
      </c>
      <c r="C5" s="41">
        <f>AVERAGE(C48:C59)</f>
        <v/>
      </c>
      <c r="D5" s="41">
        <f>AVERAGE(D45:D56)</f>
        <v/>
      </c>
      <c r="E5" s="41">
        <f>AVERAGE(E45:E56)</f>
        <v/>
      </c>
      <c r="F5" s="41">
        <f>AVERAGE(F45:F56)</f>
        <v/>
      </c>
      <c r="G5" s="41">
        <f>AVERAGE(G45:G56)</f>
        <v/>
      </c>
      <c r="H5" s="41">
        <f>AVERAGE(H45:H56)</f>
        <v/>
      </c>
      <c r="I5" s="41">
        <f>AVERAGE(I45:I56)</f>
        <v/>
      </c>
      <c r="J5" s="41">
        <f>AVERAGE(J45:J56)</f>
        <v/>
      </c>
      <c r="K5" s="41">
        <f>AVERAGE(K45:K56)</f>
        <v/>
      </c>
      <c r="L5" s="41">
        <f>AVERAGE(L45:L56)</f>
        <v/>
      </c>
      <c r="M5" s="41">
        <f>AVERAGE(M45:M56)</f>
        <v/>
      </c>
      <c r="N5" s="41">
        <f>AVERAGE(N45:N56)</f>
        <v/>
      </c>
      <c r="O5" s="41">
        <f>AVERAGE(O45:O56)</f>
        <v/>
      </c>
      <c r="P5" s="41">
        <f>AVERAGE(P45:P56)</f>
        <v/>
      </c>
      <c r="Q5" s="41">
        <f>AVERAGE(Q45:Q56)</f>
        <v/>
      </c>
      <c r="R5" s="41">
        <f>AVERAGE(R45:R56)</f>
        <v/>
      </c>
      <c r="S5" s="41">
        <f>AVERAGE(S45:S56)</f>
        <v/>
      </c>
      <c r="T5" s="41">
        <f>AVERAGE(T45:T56)</f>
        <v/>
      </c>
      <c r="U5" s="41">
        <f>AVERAGE(U45:U56)</f>
        <v/>
      </c>
      <c r="V5" s="41">
        <f>AVERAGE(V45:V56)</f>
        <v/>
      </c>
      <c r="W5" s="41">
        <f>AVERAGE(W45:W56)</f>
        <v/>
      </c>
      <c r="X5" s="41">
        <f>AVERAGE(X45:X56)</f>
        <v/>
      </c>
      <c r="Y5" s="41">
        <f>AVERAGE(Y45:Y56)</f>
        <v/>
      </c>
      <c r="Z5" s="41">
        <f>AVERAGE(Z45:Z56)</f>
        <v/>
      </c>
      <c r="AA5" s="41">
        <f>AVERAGE(AA45:AA56)</f>
        <v/>
      </c>
      <c r="AB5" s="42">
        <f>AVERAGE(AB45:AB56)</f>
        <v/>
      </c>
    </row>
    <row r="6">
      <c r="B6" s="51" t="inlineStr">
        <is>
          <t>Last vs 12m avg</t>
        </is>
      </c>
      <c r="C6" s="43">
        <f>IF((VLOOKUP($AG$1,$B:$AA,MATCH(C2,$B$2:$AA$2,),))&gt;C5,"above","below")</f>
        <v/>
      </c>
      <c r="D6" s="44">
        <f>IF((VLOOKUP($AG$1,$B:$AA,MATCH(D2,$B$2:$AA$2,),))&gt;D5,"above","below")</f>
        <v/>
      </c>
      <c r="E6" s="44">
        <f>IF((VLOOKUP($AG$1,$B:$AA,MATCH(E2,$B$2:$AA$2,),))&gt;E5,"above","below")</f>
        <v/>
      </c>
      <c r="F6" s="44">
        <f>IF((VLOOKUP($AG$1,$B:$AA,MATCH(F2,$B$2:$AA$2,),))&gt;F5,"above","below")</f>
        <v/>
      </c>
      <c r="G6" s="44">
        <f>IF((VLOOKUP($AG$1,$B:$AA,MATCH(G2,$B$2:$AA$2,),))&gt;G5,"above","below")</f>
        <v/>
      </c>
      <c r="H6" s="44">
        <f>IF((VLOOKUP($AG$1,$B:$AA,MATCH(H2,$B$2:$AA$2,),))&gt;H5,"above","below")</f>
        <v/>
      </c>
      <c r="I6" s="44">
        <f>IF((VLOOKUP($AG$1,$B:$AA,MATCH(I2,$B$2:$AA$2,),))&gt;I5,"above","below")</f>
        <v/>
      </c>
      <c r="J6" s="44">
        <f>IF((VLOOKUP($AG$1,$B:$AA,MATCH(J2,$B$2:$AA$2,),))&gt;J5,"above","below")</f>
        <v/>
      </c>
      <c r="K6" s="44">
        <f>IF((VLOOKUP($AG$1,$B:$AA,MATCH(K2,$B$2:$AA$2,),))&gt;K5,"above","below")</f>
        <v/>
      </c>
      <c r="L6" s="44">
        <f>IF((VLOOKUP($AG$1,$B:$AA,MATCH(L2,$B$2:$AA$2,),))&gt;L5,"above","below")</f>
        <v/>
      </c>
      <c r="M6" s="44">
        <f>IF((VLOOKUP($AG$1,$B:$AA,MATCH(M2,$B$2:$AA$2,),))&gt;M5,"above","below")</f>
        <v/>
      </c>
      <c r="N6" s="44">
        <f>IF((VLOOKUP($AG$1,$B:$AA,MATCH(N2,$B$2:$AA$2,),))&gt;N5,"above","below")</f>
        <v/>
      </c>
      <c r="O6" s="44">
        <f>IF((VLOOKUP($AG$1,$B:$AA,MATCH(O2,$B$2:$AA$2,),))&gt;O5,"above","below")</f>
        <v/>
      </c>
      <c r="P6" s="44">
        <f>IF((VLOOKUP($AG$1,$B:$AA,MATCH(P2,$B$2:$AA$2,),))&gt;P5,"above","below")</f>
        <v/>
      </c>
      <c r="Q6" s="44">
        <f>IF((VLOOKUP($AG$1,$B:$AA,MATCH(Q2,$B$2:$AA$2,),))&gt;Q5,"above","below")</f>
        <v/>
      </c>
      <c r="R6" s="44">
        <f>IF((VLOOKUP($AG$1,$B:$AA,MATCH(R2,$B$2:$AA$2,),))&gt;R5,"above","below")</f>
        <v/>
      </c>
      <c r="S6" s="44">
        <f>IF((VLOOKUP($AG$1,$B:$AA,MATCH(S2,$B$2:$AA$2,),))&gt;S5,"above","below")</f>
        <v/>
      </c>
      <c r="T6" s="44">
        <f>IF((VLOOKUP($AG$1,$B:$AA,MATCH(T2,$B$2:$AA$2,),))&gt;T5,"above","below")</f>
        <v/>
      </c>
      <c r="U6" s="44">
        <f>IF((VLOOKUP($AG$1,$B:$AA,MATCH(U2,$B$2:$AA$2,),))&gt;U5,"above","below")</f>
        <v/>
      </c>
      <c r="V6" s="44">
        <f>IF((VLOOKUP($AG$1,$B:$AA,MATCH(V2,$B$2:$AA$2,),))&gt;V5,"above","below")</f>
        <v/>
      </c>
      <c r="W6" s="44">
        <f>IF((VLOOKUP($AG$1,$B:$AA,MATCH(W2,$B$2:$AA$2,),))&gt;W5,"above","below")</f>
        <v/>
      </c>
      <c r="X6" s="44">
        <f>IF((VLOOKUP($AG$1,$B:$AA,MATCH(X2,$B$2:$AA$2,),))&gt;X5,"above","below")</f>
        <v/>
      </c>
      <c r="Y6" s="44">
        <f>IF((VLOOKUP($AG$1,$B:$AA,MATCH(Y2,$B$2:$AA$2,),))&gt;Y5,"above","below")</f>
        <v/>
      </c>
      <c r="Z6" s="44">
        <f>IF((VLOOKUP($AG$1,$B:$AA,MATCH(Z2,$B$2:$AA$2,),))&gt;Z5,"above","below")</f>
        <v/>
      </c>
      <c r="AA6" s="44">
        <f>IF((VLOOKUP($AG$1,$B:$AA,MATCH(AA2,$B$2:$AA$2,),))&gt;AA5,"above","below")</f>
        <v/>
      </c>
      <c r="AB6" s="45">
        <f>IF((VLOOKUP($AG$1,$B:$AB,MATCH(AB2,$B$2:$AB$2,),))&gt;AB5,"above","below")</f>
        <v/>
      </c>
    </row>
    <row r="7">
      <c r="B7" s="51" t="inlineStr">
        <is>
          <t>Y/Y</t>
        </is>
      </c>
      <c r="C7" s="46">
        <f>VLOOKUP($AG$1,$B:$AA,MATCH(C2,$B$2:$AA$2,),)-VLOOKUP($AG$3,$B:$AA,MATCH(C2,$B$2:$AA$2,),)</f>
        <v/>
      </c>
      <c r="D7" s="28">
        <f>VLOOKUP($AG$1,$B:$AA,MATCH(D2,$B$2:$AA$2,),)-VLOOKUP($AG$3,$B:$AA,MATCH(D2,$B$2:$AA$2,),)</f>
        <v/>
      </c>
      <c r="E7" s="28">
        <f>VLOOKUP($AG$1,$B:$AA,MATCH(E2,$B$2:$AA$2,),)-VLOOKUP($AG$3,$B:$AA,MATCH(E2,$B$2:$AA$2,),)</f>
        <v/>
      </c>
      <c r="F7" s="28">
        <f>VLOOKUP($AG$1,$B:$AA,MATCH(F2,$B$2:$AA$2,),)-VLOOKUP($AG$3,$B:$AA,MATCH(F2,$B$2:$AA$2,),)</f>
        <v/>
      </c>
      <c r="G7" s="28">
        <f>VLOOKUP($AG$1,$B:$AA,MATCH(G2,$B$2:$AA$2,),)-VLOOKUP($AG$3,$B:$AA,MATCH(G2,$B$2:$AA$2,),)</f>
        <v/>
      </c>
      <c r="H7" s="28">
        <f>VLOOKUP($AG$1,$B:$AA,MATCH(H2,$B$2:$AA$2,),)-VLOOKUP($AG$3,$B:$AA,MATCH(H2,$B$2:$AA$2,),)</f>
        <v/>
      </c>
      <c r="I7" s="28">
        <f>VLOOKUP($AG$1,$B:$AA,MATCH(I2,$B$2:$AA$2,),)-VLOOKUP($AG$3,$B:$AA,MATCH(I2,$B$2:$AA$2,),)</f>
        <v/>
      </c>
      <c r="J7" s="28">
        <f>VLOOKUP($AG$1,$B:$AA,MATCH(J2,$B$2:$AA$2,),)-VLOOKUP($AG$3,$B:$AA,MATCH(J2,$B$2:$AA$2,),)</f>
        <v/>
      </c>
      <c r="K7" s="28">
        <f>VLOOKUP($AG$1,$B:$AA,MATCH(K2,$B$2:$AA$2,),)-VLOOKUP($AG$3,$B:$AA,MATCH(K2,$B$2:$AA$2,),)</f>
        <v/>
      </c>
      <c r="L7" s="28">
        <f>VLOOKUP($AG$1,$B:$AA,MATCH(L2,$B$2:$AA$2,),)-VLOOKUP($AG$3,$B:$AA,MATCH(L2,$B$2:$AA$2,),)</f>
        <v/>
      </c>
      <c r="M7" s="28">
        <f>VLOOKUP($AG$1,$B:$AA,MATCH(M2,$B$2:$AA$2,),)-VLOOKUP($AG$3,$B:$AA,MATCH(M2,$B$2:$AA$2,),)</f>
        <v/>
      </c>
      <c r="N7" s="28">
        <f>VLOOKUP($AG$1,$B:$AA,MATCH(N2,$B$2:$AA$2,),)-VLOOKUP($AG$3,$B:$AA,MATCH(N2,$B$2:$AA$2,),)</f>
        <v/>
      </c>
      <c r="O7" s="28">
        <f>VLOOKUP($AG$1,$B:$AA,MATCH(O2,$B$2:$AA$2,),)-VLOOKUP($AG$3,$B:$AA,MATCH(O2,$B$2:$AA$2,),)</f>
        <v/>
      </c>
      <c r="P7" s="28">
        <f>VLOOKUP($AG$1,$B:$AA,MATCH(P2,$B$2:$AA$2,),)-VLOOKUP($AG$3,$B:$AA,MATCH(P2,$B$2:$AA$2,),)</f>
        <v/>
      </c>
      <c r="Q7" s="28">
        <f>VLOOKUP($AG$1,$B:$AA,MATCH(Q2,$B$2:$AA$2,),)-VLOOKUP($AG$3,$B:$AA,MATCH(Q2,$B$2:$AA$2,),)</f>
        <v/>
      </c>
      <c r="R7" s="28">
        <f>VLOOKUP($AG$1,$B:$AA,MATCH(R2,$B$2:$AA$2,),)-VLOOKUP($AG$3,$B:$AA,MATCH(R2,$B$2:$AA$2,),)</f>
        <v/>
      </c>
      <c r="S7" s="28">
        <f>VLOOKUP($AG$1,$B:$AA,MATCH(S2,$B$2:$AA$2,),)-VLOOKUP($AG$3,$B:$AA,MATCH(S2,$B$2:$AA$2,),)</f>
        <v/>
      </c>
      <c r="T7" s="28">
        <f>VLOOKUP($AG$1,$B:$AA,MATCH(T2,$B$2:$AA$2,),)-VLOOKUP($AG$3,$B:$AA,MATCH(T2,$B$2:$AA$2,),)</f>
        <v/>
      </c>
      <c r="U7" s="28">
        <f>VLOOKUP($AG$1,$B:$AA,MATCH(U2,$B$2:$AA$2,),)-VLOOKUP($AG$3,$B:$AA,MATCH(U2,$B$2:$AA$2,),)</f>
        <v/>
      </c>
      <c r="V7" s="28">
        <f>VLOOKUP($AG$1,$B:$AA,MATCH(V2,$B$2:$AA$2,),)-VLOOKUP($AG$3,$B:$AA,MATCH(V2,$B$2:$AA$2,),)</f>
        <v/>
      </c>
      <c r="W7" s="28">
        <f>VLOOKUP($AG$1,$B:$AA,MATCH(W2,$B$2:$AA$2,),)-VLOOKUP($AG$3,$B:$AA,MATCH(W2,$B$2:$AA$2,),)</f>
        <v/>
      </c>
      <c r="X7" s="28">
        <f>VLOOKUP($AG$1,$B:$AA,MATCH(X2,$B$2:$AA$2,),)-VLOOKUP($AG$3,$B:$AA,MATCH(X2,$B$2:$AA$2,),)</f>
        <v/>
      </c>
      <c r="Y7" s="28">
        <f>VLOOKUP($AG$1,$B:$AA,MATCH(Y2,$B$2:$AA$2,),)-VLOOKUP($AG$3,$B:$AA,MATCH(Y2,$B$2:$AA$2,),)</f>
        <v/>
      </c>
      <c r="Z7" s="28">
        <f>VLOOKUP($AG$1,$B:$AA,MATCH(Z2,$B$2:$AA$2,),)-VLOOKUP($AG$3,$B:$AA,MATCH(Z2,$B$2:$AA$2,),)</f>
        <v/>
      </c>
      <c r="AA7" s="28">
        <f>VLOOKUP($AG$1,$B:$AA,MATCH(AA2,$B$2:$AA$2,),)-VLOOKUP($AG$3,$B:$AA,MATCH(AA2,$B$2:$AA$2,),)</f>
        <v/>
      </c>
      <c r="AB7" s="34">
        <f>VLOOKUP($AG$1,$B:$AB,MATCH(AB2,$B$2:$AB$2,),)-VLOOKUP($AG$3,$B:$AB,MATCH(AB2,$B$2:$AB$2,),)</f>
        <v/>
      </c>
    </row>
    <row r="8">
      <c r="B8" s="51" t="inlineStr">
        <is>
          <t>M/M</t>
        </is>
      </c>
      <c r="C8" s="46">
        <f>VLOOKUP($AG$1,$B:$AA,MATCH(C2,$B$2:$AA$2,),)-VLOOKUP($AG$2,$B:$AA,MATCH(C2,$B$2:$AA$2,),)</f>
        <v/>
      </c>
      <c r="D8" s="28">
        <f>VLOOKUP($AG$1,$B:$AA,MATCH(D2,$B$2:$AA$2,),)-VLOOKUP($AG$2,$B:$AA,MATCH(D2,$B$2:$AA$2,),)</f>
        <v/>
      </c>
      <c r="E8" s="28">
        <f>VLOOKUP($AG$1,$B:$AA,MATCH(E2,$B$2:$AA$2,),)-VLOOKUP($AG$2,$B:$AA,MATCH(E2,$B$2:$AA$2,),)</f>
        <v/>
      </c>
      <c r="F8" s="28">
        <f>VLOOKUP($AG$1,$B:$AA,MATCH(F2,$B$2:$AA$2,),)-VLOOKUP($AG$2,$B:$AA,MATCH(F2,$B$2:$AA$2,),)</f>
        <v/>
      </c>
      <c r="G8" s="28">
        <f>VLOOKUP($AG$1,$B:$AA,MATCH(G2,$B$2:$AA$2,),)-VLOOKUP($AG$2,$B:$AA,MATCH(G2,$B$2:$AA$2,),)</f>
        <v/>
      </c>
      <c r="H8" s="28">
        <f>VLOOKUP($AG$1,$B:$AA,MATCH(H2,$B$2:$AA$2,),)-VLOOKUP($AG$2,$B:$AA,MATCH(H2,$B$2:$AA$2,),)</f>
        <v/>
      </c>
      <c r="I8" s="28">
        <f>VLOOKUP($AG$1,$B:$AA,MATCH(I2,$B$2:$AA$2,),)-VLOOKUP($AG$2,$B:$AA,MATCH(I2,$B$2:$AA$2,),)</f>
        <v/>
      </c>
      <c r="J8" s="28">
        <f>VLOOKUP($AG$1,$B:$AA,MATCH(J2,$B$2:$AA$2,),)-VLOOKUP($AG$2,$B:$AA,MATCH(J2,$B$2:$AA$2,),)</f>
        <v/>
      </c>
      <c r="K8" s="28">
        <f>VLOOKUP($AG$1,$B:$AA,MATCH(K2,$B$2:$AA$2,),)-VLOOKUP($AG$2,$B:$AA,MATCH(K2,$B$2:$AA$2,),)</f>
        <v/>
      </c>
      <c r="L8" s="28">
        <f>VLOOKUP($AG$1,$B:$AA,MATCH(L2,$B$2:$AA$2,),)-VLOOKUP($AG$2,$B:$AA,MATCH(L2,$B$2:$AA$2,),)</f>
        <v/>
      </c>
      <c r="M8" s="28">
        <f>VLOOKUP($AG$1,$B:$AA,MATCH(M2,$B$2:$AA$2,),)-VLOOKUP($AG$2,$B:$AA,MATCH(M2,$B$2:$AA$2,),)</f>
        <v/>
      </c>
      <c r="N8" s="28">
        <f>VLOOKUP($AG$1,$B:$AA,MATCH(N2,$B$2:$AA$2,),)-VLOOKUP($AG$2,$B:$AA,MATCH(N2,$B$2:$AA$2,),)</f>
        <v/>
      </c>
      <c r="O8" s="28">
        <f>VLOOKUP($AG$1,$B:$AA,MATCH(O2,$B$2:$AA$2,),)-VLOOKUP($AG$2,$B:$AA,MATCH(O2,$B$2:$AA$2,),)</f>
        <v/>
      </c>
      <c r="P8" s="28">
        <f>VLOOKUP($AG$1,$B:$AA,MATCH(P2,$B$2:$AA$2,),)-VLOOKUP($AG$2,$B:$AA,MATCH(P2,$B$2:$AA$2,),)</f>
        <v/>
      </c>
      <c r="Q8" s="28">
        <f>VLOOKUP($AG$1,$B:$AA,MATCH(Q2,$B$2:$AA$2,),)-VLOOKUP($AG$2,$B:$AA,MATCH(Q2,$B$2:$AA$2,),)</f>
        <v/>
      </c>
      <c r="R8" s="28">
        <f>VLOOKUP($AG$1,$B:$AA,MATCH(R2,$B$2:$AA$2,),)-VLOOKUP($AG$2,$B:$AA,MATCH(R2,$B$2:$AA$2,),)</f>
        <v/>
      </c>
      <c r="S8" s="28">
        <f>VLOOKUP($AG$1,$B:$AA,MATCH(S2,$B$2:$AA$2,),)-VLOOKUP($AG$2,$B:$AA,MATCH(S2,$B$2:$AA$2,),)</f>
        <v/>
      </c>
      <c r="T8" s="28">
        <f>VLOOKUP($AG$1,$B:$AA,MATCH(T2,$B$2:$AA$2,),)-VLOOKUP($AG$2,$B:$AA,MATCH(T2,$B$2:$AA$2,),)</f>
        <v/>
      </c>
      <c r="U8" s="28">
        <f>VLOOKUP($AG$1,$B:$AA,MATCH(U2,$B$2:$AA$2,),)-VLOOKUP($AG$2,$B:$AA,MATCH(U2,$B$2:$AA$2,),)</f>
        <v/>
      </c>
      <c r="V8" s="28">
        <f>VLOOKUP($AG$1,$B:$AA,MATCH(V2,$B$2:$AA$2,),)-VLOOKUP($AG$2,$B:$AA,MATCH(V2,$B$2:$AA$2,),)</f>
        <v/>
      </c>
      <c r="W8" s="28">
        <f>VLOOKUP($AG$1,$B:$AA,MATCH(W2,$B$2:$AA$2,),)-VLOOKUP($AG$2,$B:$AA,MATCH(W2,$B$2:$AA$2,),)</f>
        <v/>
      </c>
      <c r="X8" s="28">
        <f>VLOOKUP($AG$1,$B:$AA,MATCH(X2,$B$2:$AA$2,),)-VLOOKUP($AG$2,$B:$AA,MATCH(X2,$B$2:$AA$2,),)</f>
        <v/>
      </c>
      <c r="Y8" s="28">
        <f>VLOOKUP($AG$1,$B:$AA,MATCH(Y2,$B$2:$AA$2,),)-VLOOKUP($AG$2,$B:$AA,MATCH(Y2,$B$2:$AA$2,),)</f>
        <v/>
      </c>
      <c r="Z8" s="28">
        <f>VLOOKUP($AG$1,$B:$AA,MATCH(Z2,$B$2:$AA$2,),)-VLOOKUP($AG$2,$B:$AA,MATCH(Z2,$B$2:$AA$2,),)</f>
        <v/>
      </c>
      <c r="AA8" s="28">
        <f>VLOOKUP($AG$1,$B:$AA,MATCH(AA2,$B$2:$AA$2,),)-VLOOKUP($AG$2,$B:$AA,MATCH(AA2,$B$2:$AA$2,),)</f>
        <v/>
      </c>
      <c r="AB8" s="34">
        <f>VLOOKUP($AG$1,$B:$AB,MATCH(AB2,$B$2:$AB$2,),)-VLOOKUP($AG$2,$B:$AB,MATCH(AB2,$B$2:$AB$2,),)</f>
        <v/>
      </c>
    </row>
    <row r="9" ht="66.75" customHeight="1" s="63">
      <c r="B9" s="52" t="inlineStr">
        <is>
          <t>Growth / Contraction</t>
        </is>
      </c>
      <c r="C9" s="48">
        <f>IF(VLOOKUP($AG$1,$B:$AB,MATCH(C2,$B$2:$AB$2,),)&gt;50,"Growth","Contraction")</f>
        <v/>
      </c>
      <c r="D9" s="49">
        <f>IF(VLOOKUP($AG$1,$B:$AB,MATCH(D2,$B$2:$AB$2,),)&gt;50,"Growth","Contraction")</f>
        <v/>
      </c>
      <c r="E9" s="49">
        <f>IF(VLOOKUP($AG$1,$B:$AB,MATCH(E2,$B$2:$AB$2,),)&gt;50,"Growth","Contraction")</f>
        <v/>
      </c>
      <c r="F9" s="49">
        <f>IF(VLOOKUP($AG$1,$B:$AB,MATCH(F2,$B$2:$AB$2,),)&gt;50,"Growth","Contraction")</f>
        <v/>
      </c>
      <c r="G9" s="49">
        <f>IF(VLOOKUP($AG$1,$B:$AB,MATCH(G2,$B$2:$AB$2,),)&gt;50,"Growth","Contraction")</f>
        <v/>
      </c>
      <c r="H9" s="49">
        <f>IF(VLOOKUP($AG$1,$B:$AB,MATCH(H2,$B$2:$AB$2,),)&gt;50,"Growth","Contraction")</f>
        <v/>
      </c>
      <c r="I9" s="49">
        <f>IF(VLOOKUP($AG$1,$B:$AB,MATCH(I2,$B$2:$AB$2,),)&gt;50,"Growth","Contraction")</f>
        <v/>
      </c>
      <c r="J9" s="49">
        <f>IF(VLOOKUP($AG$1,$B:$AB,MATCH(J2,$B$2:$AB$2,),)&gt;50,"Growth","Contraction")</f>
        <v/>
      </c>
      <c r="K9" s="49">
        <f>IF(VLOOKUP($AG$1,$B:$AB,MATCH(K2,$B$2:$AB$2,),)&gt;50,"Growth","Contraction")</f>
        <v/>
      </c>
      <c r="L9" s="49">
        <f>IF(VLOOKUP($AG$1,$B:$AB,MATCH(L2,$B$2:$AB$2,),)&gt;50,"Growth","Contraction")</f>
        <v/>
      </c>
      <c r="M9" s="49">
        <f>IF(VLOOKUP($AG$1,$B:$AB,MATCH(M2,$B$2:$AB$2,),)&gt;50,"Growth","Contraction")</f>
        <v/>
      </c>
      <c r="N9" s="49">
        <f>IF(VLOOKUP($AG$1,$B:$AB,MATCH(N2,$B$2:$AB$2,),)&gt;50,"Growth","Contraction")</f>
        <v/>
      </c>
      <c r="O9" s="49">
        <f>IF(VLOOKUP($AG$1,$B:$AB,MATCH(O2,$B$2:$AB$2,),)&gt;50,"Growth","Contraction")</f>
        <v/>
      </c>
      <c r="P9" s="49">
        <f>IF(VLOOKUP($AG$1,$B:$AB,MATCH(P2,$B$2:$AB$2,),)&gt;50,"Growth","Contraction")</f>
        <v/>
      </c>
      <c r="Q9" s="49">
        <f>IF(VLOOKUP($AG$1,$B:$AB,MATCH(Q2,$B$2:$AB$2,),)&gt;50,"Growth","Contraction")</f>
        <v/>
      </c>
      <c r="R9" s="49">
        <f>IF(VLOOKUP($AG$1,$B:$AB,MATCH(R2,$B$2:$AB$2,),)&gt;50,"Growth","Contraction")</f>
        <v/>
      </c>
      <c r="S9" s="49">
        <f>IF(VLOOKUP($AG$1,$B:$AB,MATCH(S2,$B$2:$AB$2,),)&gt;50,"Growth","Contraction")</f>
        <v/>
      </c>
      <c r="T9" s="49">
        <f>IF(VLOOKUP($AG$1,$B:$AB,MATCH(T2,$B$2:$AB$2,),)&gt;50,"Growth","Contraction")</f>
        <v/>
      </c>
      <c r="U9" s="49">
        <f>IF(VLOOKUP($AG$1,$B:$AB,MATCH(U2,$B$2:$AB$2,),)&gt;50,"Growth","Contraction")</f>
        <v/>
      </c>
      <c r="V9" s="49">
        <f>IF(VLOOKUP($AG$1,$B:$AB,MATCH(V2,$B$2:$AB$2,),)&gt;50,"Growth","Contraction")</f>
        <v/>
      </c>
      <c r="W9" s="49">
        <f>IF(VLOOKUP($AG$1,$B:$AB,MATCH(W2,$B$2:$AB$2,),)&gt;50,"Growth","Contraction")</f>
        <v/>
      </c>
      <c r="X9" s="49">
        <f>IF(VLOOKUP($AG$1,$B:$AB,MATCH(X2,$B$2:$AB$2,),)&gt;50,"Growth","Contraction")</f>
        <v/>
      </c>
      <c r="Y9" s="49">
        <f>IF(VLOOKUP($AG$1,$B:$AB,MATCH(Y2,$B$2:$AB$2,),)&gt;50,"Growth","Contraction")</f>
        <v/>
      </c>
      <c r="Z9" s="49">
        <f>IF(VLOOKUP($AG$1,$B:$AB,MATCH(Z2,$B$2:$AB$2,),)&gt;50,"Growth","Contraction")</f>
        <v/>
      </c>
      <c r="AA9" s="49">
        <f>IF(VLOOKUP($AG$1,$B:$AB,MATCH(AA2,$B$2:$AB$2,),)&gt;50,"Growth","Contraction")</f>
        <v/>
      </c>
      <c r="AB9" s="50">
        <f>IF(VLOOKUP($AG$1,$B:$AB,MATCH(AB2,$B$2:$AB$2,),)&gt;50,"Growth","Contraction")</f>
        <v/>
      </c>
    </row>
    <row r="10" ht="26.25" customHeight="1" s="63" thickBot="1">
      <c r="B10" s="53" t="inlineStr">
        <is>
          <t>Slower/Faster</t>
        </is>
      </c>
      <c r="C10" s="47">
        <f>IF(C8&gt;0,"+","-")</f>
        <v/>
      </c>
      <c r="D10" s="35">
        <f>IF(D8&gt;0,"+","-")</f>
        <v/>
      </c>
      <c r="E10" s="35">
        <f>IF(E8&gt;0,"+","-")</f>
        <v/>
      </c>
      <c r="F10" s="35">
        <f>IF(F8&gt;0,"+","-")</f>
        <v/>
      </c>
      <c r="G10" s="35">
        <f>IF(G8&gt;0,"+","-")</f>
        <v/>
      </c>
      <c r="H10" s="35">
        <f>IF(H8&gt;0,"+","-")</f>
        <v/>
      </c>
      <c r="I10" s="35">
        <f>IF(I8&gt;0,"+","-")</f>
        <v/>
      </c>
      <c r="J10" s="35">
        <f>IF(J8&gt;0,"+","-")</f>
        <v/>
      </c>
      <c r="K10" s="35">
        <f>IF(K8&gt;0,"+","-")</f>
        <v/>
      </c>
      <c r="L10" s="35">
        <f>IF(L8&gt;0,"+","-")</f>
        <v/>
      </c>
      <c r="M10" s="35">
        <f>IF(M8&gt;0,"+","-")</f>
        <v/>
      </c>
      <c r="N10" s="35">
        <f>IF(N8&gt;0,"+","-")</f>
        <v/>
      </c>
      <c r="O10" s="35">
        <f>IF(O8&gt;0,"+","-")</f>
        <v/>
      </c>
      <c r="P10" s="35">
        <f>IF(P8&gt;0,"+","-")</f>
        <v/>
      </c>
      <c r="Q10" s="35">
        <f>IF(Q8&gt;0,"+","-")</f>
        <v/>
      </c>
      <c r="R10" s="35">
        <f>IF(R8&gt;0,"+","-")</f>
        <v/>
      </c>
      <c r="S10" s="35">
        <f>IF(S8&gt;0,"+","-")</f>
        <v/>
      </c>
      <c r="T10" s="35">
        <f>IF(T8&gt;0,"+","-")</f>
        <v/>
      </c>
      <c r="U10" s="35">
        <f>IF(U8&gt;0,"+","-")</f>
        <v/>
      </c>
      <c r="V10" s="35">
        <f>IF(V8&gt;0,"+","-")</f>
        <v/>
      </c>
      <c r="W10" s="35">
        <f>IF(W8&gt;0,"+","-")</f>
        <v/>
      </c>
      <c r="X10" s="35">
        <f>IF(X8&gt;0,"+","-")</f>
        <v/>
      </c>
      <c r="Y10" s="35">
        <f>IF(Y8&gt;0,"+","-")</f>
        <v/>
      </c>
      <c r="Z10" s="35">
        <f>IF(Z8&gt;0,"+","-")</f>
        <v/>
      </c>
      <c r="AA10" s="35">
        <f>IF(AA8&gt;0,"+","-")</f>
        <v/>
      </c>
      <c r="AB10" s="36">
        <f>IF(AB8&gt;0,"+","-")</f>
        <v/>
      </c>
    </row>
    <row r="11" ht="26.25" customHeight="1" s="63">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06" activePane="bottomLeft" state="frozen"/>
      <selection activeCell="O117" sqref="O117"/>
      <selection pane="bottomLeft" activeCell="S133" sqref="S133"/>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34"/>
    <col width="9.1640625" customWidth="1" style="70" min="35" max="16384"/>
  </cols>
  <sheetData>
    <row r="1">
      <c r="A1" s="70" t="inlineStr">
        <is>
          <t>Global Manufacturing PMI</t>
        </is>
      </c>
    </row>
    <row r="2">
      <c r="K2" s="70">
        <f>A1</f>
        <v/>
      </c>
    </row>
    <row r="4" ht="16" customHeight="1" s="63" thickBot="1"/>
    <row r="5" ht="16" customHeight="1" s="63"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1"/>
  <sheetViews>
    <sheetView zoomScale="160" zoomScaleNormal="160" workbookViewId="0">
      <pane ySplit="5" topLeftCell="A107" activePane="bottomLeft" state="frozen"/>
      <selection activeCell="O117" sqref="O117"/>
      <selection pane="bottomLeft" activeCell="R130" sqref="R130"/>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34"/>
    <col width="9.1640625" customWidth="1" style="70" min="35" max="16384"/>
  </cols>
  <sheetData>
    <row r="1">
      <c r="A1" s="70" t="inlineStr">
        <is>
          <t>United States</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50" zoomScaleNormal="150" workbookViewId="0">
      <pane ySplit="5" topLeftCell="A172" activePane="bottomLeft" state="frozen"/>
      <selection activeCell="K199" sqref="K199"/>
      <selection pane="bottomLeft" activeCell="W179" sqref="W17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34"/>
    <col width="9.1640625" customWidth="1" style="70" min="35"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3" thickBot="1"/>
    <row r="5" ht="16" customHeight="1" s="63"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4">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4">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4">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4">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4">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4">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4">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4">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4">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4">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4">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4">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4">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4">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4">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4">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4">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4">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4">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4">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4">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4">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4">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4">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4">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4">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4">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4">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4">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4">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4">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4">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4">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4">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4">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4">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4">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4">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4">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4">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4">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4">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4">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4">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4">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4">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4">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4">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4">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4">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4">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4">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4">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4">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4">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4">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4">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4">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4">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4">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4">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4">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4">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4">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4">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4">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4">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4">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4">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4">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4">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4">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4">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4">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4">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4">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4">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4">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4">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4">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4">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4">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4">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4">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4">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4">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4">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4">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4">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4">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4">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4">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4">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4">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4">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4">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4">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4">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4">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4">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4">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4">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4">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4">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4">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4">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4">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4">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4">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4">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4">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4">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4">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4">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4">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4">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4">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4">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4">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4">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4">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4">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4">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4">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4">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4">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4">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4">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4">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4">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4">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4">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4">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4">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4">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4">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4">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4">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4">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4">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4">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4">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4">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4">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4">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4">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4">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4">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4">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4">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4">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4">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4">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4">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4">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4">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4">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4">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4">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4">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4">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4">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4">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4">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4">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4">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4">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4">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4">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4">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4">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4">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4">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4">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4">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4">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4">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4">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4">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4">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4">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4">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4">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4">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4">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4">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4">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4">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4">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4">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4">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4">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4">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4">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4">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4">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4">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4">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4">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4">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4">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4">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4">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4">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4">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1"/>
  <sheetViews>
    <sheetView zoomScale="150" zoomScaleNormal="150" workbookViewId="0">
      <pane ySplit="5" topLeftCell="A177" activePane="bottomLeft" state="frozen"/>
      <selection activeCell="P121" sqref="P121"/>
      <selection pane="bottomLeft" activeCell="W202" sqref="W20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Euro Area</t>
        </is>
      </c>
      <c r="K1" s="70" t="inlineStr">
        <is>
          <t xml:space="preserve"> Manufacturing PMI</t>
        </is>
      </c>
    </row>
    <row r="2">
      <c r="K2" s="70">
        <f>A1&amp;K1</f>
        <v/>
      </c>
    </row>
    <row r="4" ht="16" customHeight="1" s="63" thickBot="1"/>
    <row r="5" ht="49" customHeight="1" s="63" thickBot="1">
      <c r="A5" s="55" t="inlineStr">
        <is>
          <t>Date</t>
        </is>
      </c>
      <c r="B5" s="56" t="inlineStr">
        <is>
          <t>Euro Area PMI</t>
        </is>
      </c>
      <c r="C5" s="56" t="inlineStr">
        <is>
          <t>mom</t>
        </is>
      </c>
      <c r="D5" s="57" t="inlineStr">
        <is>
          <t>EZU</t>
        </is>
      </c>
      <c r="E5" s="57" t="inlineStr">
        <is>
          <t>PMI yoy</t>
        </is>
      </c>
      <c r="F5" s="57" t="inlineStr">
        <is>
          <t>EZU yoy</t>
        </is>
      </c>
      <c r="G5" s="57"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4">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4">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4">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4">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4">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4">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4">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4">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4">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4">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4">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4">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4">
        <f>(Table13468111214[[#This Row],[EZU]]-D6)/D6</f>
        <v/>
      </c>
      <c r="G18" s="54">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4">
        <f>(Table13468111214[[#This Row],[EZU]]-D7)/D7</f>
        <v/>
      </c>
      <c r="G19" s="54">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4">
        <f>(Table13468111214[[#This Row],[EZU]]-D8)/D8</f>
        <v/>
      </c>
      <c r="G20" s="54">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4">
        <f>(Table13468111214[[#This Row],[EZU]]-D9)/D9</f>
        <v/>
      </c>
      <c r="G21" s="54">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4">
        <f>(Table13468111214[[#This Row],[EZU]]-D10)/D10</f>
        <v/>
      </c>
      <c r="G22" s="54">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4">
        <f>(Table13468111214[[#This Row],[EZU]]-D11)/D11</f>
        <v/>
      </c>
      <c r="G23" s="54">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4">
        <f>(Table13468111214[[#This Row],[EZU]]-D12)/D12</f>
        <v/>
      </c>
      <c r="G24" s="54">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4">
        <f>(Table13468111214[[#This Row],[EZU]]-D13)/D13</f>
        <v/>
      </c>
      <c r="G25" s="54">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4">
        <f>(Table13468111214[[#This Row],[EZU]]-D14)/D14</f>
        <v/>
      </c>
      <c r="G26" s="54">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4">
        <f>(Table13468111214[[#This Row],[EZU]]-D15)/D15</f>
        <v/>
      </c>
      <c r="G27" s="54">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4">
        <f>(Table13468111214[[#This Row],[EZU]]-D16)/D16</f>
        <v/>
      </c>
      <c r="G28" s="54">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4">
        <f>(Table13468111214[[#This Row],[EZU]]-D17)/D17</f>
        <v/>
      </c>
      <c r="G29" s="54">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4">
        <f>(Table13468111214[[#This Row],[EZU]]-D18)/D18</f>
        <v/>
      </c>
      <c r="G30" s="54">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4">
        <f>(Table13468111214[[#This Row],[EZU]]-D19)/D19</f>
        <v/>
      </c>
      <c r="G31" s="54">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4">
        <f>(Table13468111214[[#This Row],[EZU]]-D20)/D20</f>
        <v/>
      </c>
      <c r="G32" s="54">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4">
        <f>(Table13468111214[[#This Row],[EZU]]-D21)/D21</f>
        <v/>
      </c>
      <c r="G33" s="54">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4">
        <f>(Table13468111214[[#This Row],[EZU]]-D22)/D22</f>
        <v/>
      </c>
      <c r="G34" s="54">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4">
        <f>(Table13468111214[[#This Row],[EZU]]-D23)/D23</f>
        <v/>
      </c>
      <c r="G35" s="54">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4">
        <f>(Table13468111214[[#This Row],[EZU]]-D24)/D24</f>
        <v/>
      </c>
      <c r="G36" s="54">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4">
        <f>(Table13468111214[[#This Row],[EZU]]-D25)/D25</f>
        <v/>
      </c>
      <c r="G37" s="54">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4">
        <f>(Table13468111214[[#This Row],[EZU]]-D26)/D26</f>
        <v/>
      </c>
      <c r="G38" s="54">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4">
        <f>(Table13468111214[[#This Row],[EZU]]-D27)/D27</f>
        <v/>
      </c>
      <c r="G39" s="54">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4">
        <f>(Table13468111214[[#This Row],[EZU]]-D28)/D28</f>
        <v/>
      </c>
      <c r="G40" s="54">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4">
        <f>(Table13468111214[[#This Row],[EZU]]-D29)/D29</f>
        <v/>
      </c>
      <c r="G41" s="54">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4">
        <f>(Table13468111214[[#This Row],[EZU]]-D30)/D30</f>
        <v/>
      </c>
      <c r="G42" s="54">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4">
        <f>(Table13468111214[[#This Row],[EZU]]-D31)/D31</f>
        <v/>
      </c>
      <c r="G43" s="54">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4">
        <f>(Table13468111214[[#This Row],[EZU]]-D32)/D32</f>
        <v/>
      </c>
      <c r="G44" s="54">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4">
        <f>(Table13468111214[[#This Row],[EZU]]-D33)/D33</f>
        <v/>
      </c>
      <c r="G45" s="54">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4">
        <f>(Table13468111214[[#This Row],[EZU]]-D34)/D34</f>
        <v/>
      </c>
      <c r="G46" s="54">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4">
        <f>(Table13468111214[[#This Row],[EZU]]-D35)/D35</f>
        <v/>
      </c>
      <c r="G47" s="54">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4">
        <f>(Table13468111214[[#This Row],[EZU]]-D36)/D36</f>
        <v/>
      </c>
      <c r="G48" s="54">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4">
        <f>(Table13468111214[[#This Row],[EZU]]-D37)/D37</f>
        <v/>
      </c>
      <c r="G49" s="54">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4">
        <f>(Table13468111214[[#This Row],[EZU]]-D38)/D38</f>
        <v/>
      </c>
      <c r="G50" s="54">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4">
        <f>(Table13468111214[[#This Row],[EZU]]-D39)/D39</f>
        <v/>
      </c>
      <c r="G51" s="54">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4">
        <f>(Table13468111214[[#This Row],[EZU]]-D40)/D40</f>
        <v/>
      </c>
      <c r="G52" s="54">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4">
        <f>(Table13468111214[[#This Row],[EZU]]-D41)/D41</f>
        <v/>
      </c>
      <c r="G53" s="54">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4">
        <f>(Table13468111214[[#This Row],[EZU]]-D42)/D42</f>
        <v/>
      </c>
      <c r="G54" s="54">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4">
        <f>(Table13468111214[[#This Row],[EZU]]-D43)/D43</f>
        <v/>
      </c>
      <c r="G55" s="54">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4">
        <f>(Table13468111214[[#This Row],[EZU]]-D44)/D44</f>
        <v/>
      </c>
      <c r="G56" s="54">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4">
        <f>(Table13468111214[[#This Row],[EZU]]-D45)/D45</f>
        <v/>
      </c>
      <c r="G57" s="54">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4">
        <f>(Table13468111214[[#This Row],[EZU]]-D46)/D46</f>
        <v/>
      </c>
      <c r="G58" s="54">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4">
        <f>(Table13468111214[[#This Row],[EZU]]-D47)/D47</f>
        <v/>
      </c>
      <c r="G59" s="54">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4">
        <f>(Table13468111214[[#This Row],[EZU]]-D48)/D48</f>
        <v/>
      </c>
      <c r="G60" s="54">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4">
        <f>(Table13468111214[[#This Row],[EZU]]-D49)/D49</f>
        <v/>
      </c>
      <c r="G61" s="54">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4">
        <f>(Table13468111214[[#This Row],[EZU]]-D50)/D50</f>
        <v/>
      </c>
      <c r="G62" s="54">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4">
        <f>(Table13468111214[[#This Row],[EZU]]-D51)/D51</f>
        <v/>
      </c>
      <c r="G63" s="54">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4">
        <f>(Table13468111214[[#This Row],[EZU]]-D52)/D52</f>
        <v/>
      </c>
      <c r="G64" s="54">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4">
        <f>(Table13468111214[[#This Row],[EZU]]-D53)/D53</f>
        <v/>
      </c>
      <c r="G65" s="54">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4">
        <f>(Table13468111214[[#This Row],[EZU]]-D54)/D54</f>
        <v/>
      </c>
      <c r="G66" s="54">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4">
        <f>(Table13468111214[[#This Row],[EZU]]-D55)/D55</f>
        <v/>
      </c>
      <c r="G67" s="54">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4">
        <f>(Table13468111214[[#This Row],[EZU]]-D56)/D56</f>
        <v/>
      </c>
      <c r="G68" s="54">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4">
        <f>(Table13468111214[[#This Row],[EZU]]-D57)/D57</f>
        <v/>
      </c>
      <c r="G69" s="54">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4">
        <f>(Table13468111214[[#This Row],[EZU]]-D58)/D58</f>
        <v/>
      </c>
      <c r="G70" s="54">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4">
        <f>(Table13468111214[[#This Row],[EZU]]-D59)/D59</f>
        <v/>
      </c>
      <c r="G71" s="54">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4">
        <f>(Table13468111214[[#This Row],[EZU]]-D60)/D60</f>
        <v/>
      </c>
      <c r="G72" s="54">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4">
        <f>(Table13468111214[[#This Row],[EZU]]-D61)/D61</f>
        <v/>
      </c>
      <c r="G73" s="54">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4">
        <f>(Table13468111214[[#This Row],[EZU]]-D62)/D62</f>
        <v/>
      </c>
      <c r="G74" s="54">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4">
        <f>(Table13468111214[[#This Row],[EZU]]-D63)/D63</f>
        <v/>
      </c>
      <c r="G75" s="54">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4">
        <f>(Table13468111214[[#This Row],[EZU]]-D64)/D64</f>
        <v/>
      </c>
      <c r="G76" s="54">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4">
        <f>(Table13468111214[[#This Row],[EZU]]-D65)/D65</f>
        <v/>
      </c>
      <c r="G77" s="54">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4">
        <f>(Table13468111214[[#This Row],[EZU]]-D66)/D66</f>
        <v/>
      </c>
      <c r="G78" s="54">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4">
        <f>(Table13468111214[[#This Row],[EZU]]-D67)/D67</f>
        <v/>
      </c>
      <c r="G79" s="54">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4">
        <f>(Table13468111214[[#This Row],[EZU]]-D68)/D68</f>
        <v/>
      </c>
      <c r="G80" s="54">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4">
        <f>(Table13468111214[[#This Row],[EZU]]-D69)/D69</f>
        <v/>
      </c>
      <c r="G81" s="54">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4">
        <f>(Table13468111214[[#This Row],[EZU]]-D70)/D70</f>
        <v/>
      </c>
      <c r="G82" s="54">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4">
        <f>(Table13468111214[[#This Row],[EZU]]-D71)/D71</f>
        <v/>
      </c>
      <c r="G83" s="54">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4">
        <f>(Table13468111214[[#This Row],[EZU]]-D72)/D72</f>
        <v/>
      </c>
      <c r="G84" s="54">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4">
        <f>(Table13468111214[[#This Row],[EZU]]-D73)/D73</f>
        <v/>
      </c>
      <c r="G85" s="54">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4">
        <f>(Table13468111214[[#This Row],[EZU]]-D74)/D74</f>
        <v/>
      </c>
      <c r="G86" s="54">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4">
        <f>(Table13468111214[[#This Row],[EZU]]-D75)/D75</f>
        <v/>
      </c>
      <c r="G87" s="54">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4">
        <f>(Table13468111214[[#This Row],[EZU]]-D76)/D76</f>
        <v/>
      </c>
      <c r="G88" s="54">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4">
        <f>(Table13468111214[[#This Row],[EZU]]-D77)/D77</f>
        <v/>
      </c>
      <c r="G89" s="54">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4">
        <f>(Table13468111214[[#This Row],[EZU]]-D78)/D78</f>
        <v/>
      </c>
      <c r="G90" s="54">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4">
        <f>(Table13468111214[[#This Row],[EZU]]-D79)/D79</f>
        <v/>
      </c>
      <c r="G91" s="54">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4">
        <f>(Table13468111214[[#This Row],[EZU]]-D80)/D80</f>
        <v/>
      </c>
      <c r="G92" s="54">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4">
        <f>(Table13468111214[[#This Row],[EZU]]-D81)/D81</f>
        <v/>
      </c>
      <c r="G93" s="54">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4">
        <f>(Table13468111214[[#This Row],[EZU]]-D82)/D82</f>
        <v/>
      </c>
      <c r="G94" s="54">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4">
        <f>(Table13468111214[[#This Row],[EZU]]-D83)/D83</f>
        <v/>
      </c>
      <c r="G95" s="54">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4">
        <f>(Table13468111214[[#This Row],[EZU]]-D84)/D84</f>
        <v/>
      </c>
      <c r="G96" s="54">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4">
        <f>(Table13468111214[[#This Row],[EZU]]-D85)/D85</f>
        <v/>
      </c>
      <c r="G97" s="54">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4">
        <f>(Table13468111214[[#This Row],[EZU]]-D86)/D86</f>
        <v/>
      </c>
      <c r="G98" s="54">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4">
        <f>(Table13468111214[[#This Row],[EZU]]-D87)/D87</f>
        <v/>
      </c>
      <c r="G99" s="54">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4">
        <f>(Table13468111214[[#This Row],[EZU]]-D88)/D88</f>
        <v/>
      </c>
      <c r="G100" s="54">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4">
        <f>(Table13468111214[[#This Row],[EZU]]-D89)/D89</f>
        <v/>
      </c>
      <c r="G101" s="54">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4">
        <f>(Table13468111214[[#This Row],[EZU]]-D90)/D90</f>
        <v/>
      </c>
      <c r="G102" s="54">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4">
        <f>(Table13468111214[[#This Row],[EZU]]-D91)/D91</f>
        <v/>
      </c>
      <c r="G103" s="54">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4">
        <f>(Table13468111214[[#This Row],[EZU]]-D92)/D92</f>
        <v/>
      </c>
      <c r="G104" s="54">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4">
        <f>(Table13468111214[[#This Row],[EZU]]-D93)/D93</f>
        <v/>
      </c>
      <c r="G105" s="54">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4">
        <f>(Table13468111214[[#This Row],[EZU]]-D94)/D94</f>
        <v/>
      </c>
      <c r="G106" s="54">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4">
        <f>(Table13468111214[[#This Row],[EZU]]-D95)/D95</f>
        <v/>
      </c>
      <c r="G107" s="54">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4">
        <f>(Table13468111214[[#This Row],[EZU]]-D96)/D96</f>
        <v/>
      </c>
      <c r="G108" s="54">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4">
        <f>(Table13468111214[[#This Row],[EZU]]-D97)/D97</f>
        <v/>
      </c>
      <c r="G109" s="54">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4">
        <f>(Table13468111214[[#This Row],[EZU]]-D98)/D98</f>
        <v/>
      </c>
      <c r="G110" s="54">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4">
        <f>(Table13468111214[[#This Row],[EZU]]-D99)/D99</f>
        <v/>
      </c>
      <c r="G111" s="54">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4">
        <f>(Table13468111214[[#This Row],[EZU]]-D100)/D100</f>
        <v/>
      </c>
      <c r="G112" s="54">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4">
        <f>(Table13468111214[[#This Row],[EZU]]-D101)/D101</f>
        <v/>
      </c>
      <c r="G113" s="54">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4">
        <f>(Table13468111214[[#This Row],[EZU]]-D102)/D102</f>
        <v/>
      </c>
      <c r="G114" s="54">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4">
        <f>(Table13468111214[[#This Row],[EZU]]-D103)/D103</f>
        <v/>
      </c>
      <c r="G115" s="54">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4">
        <f>(Table13468111214[[#This Row],[EZU]]-D104)/D104</f>
        <v/>
      </c>
      <c r="G116" s="54">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4">
        <f>(Table13468111214[[#This Row],[EZU]]-D105)/D105</f>
        <v/>
      </c>
      <c r="G117" s="54">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4">
        <f>(Table13468111214[[#This Row],[EZU]]-D106)/D106</f>
        <v/>
      </c>
      <c r="G118" s="54">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4">
        <f>(Table13468111214[[#This Row],[EZU]]-D107)/D107</f>
        <v/>
      </c>
      <c r="G119" s="54">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4">
        <f>(Table13468111214[[#This Row],[EZU]]-D108)/D108</f>
        <v/>
      </c>
      <c r="G120" s="54">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4">
        <f>(Table13468111214[[#This Row],[EZU]]-D109)/D109</f>
        <v/>
      </c>
      <c r="G121" s="54">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4">
        <f>(Table13468111214[[#This Row],[EZU]]-D110)/D110</f>
        <v/>
      </c>
      <c r="G122" s="54">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4">
        <f>(Table13468111214[[#This Row],[EZU]]-D111)/D111</f>
        <v/>
      </c>
      <c r="G123" s="54">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4">
        <f>(Table13468111214[[#This Row],[EZU]]-D112)/D112</f>
        <v/>
      </c>
      <c r="G124" s="54">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4">
        <f>(Table13468111214[[#This Row],[EZU]]-D113)/D113</f>
        <v/>
      </c>
      <c r="G125" s="54">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4">
        <f>(Table13468111214[[#This Row],[EZU]]-D114)/D114</f>
        <v/>
      </c>
      <c r="G126" s="54">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4">
        <f>(Table13468111214[[#This Row],[EZU]]-D115)/D115</f>
        <v/>
      </c>
      <c r="G127" s="54">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4">
        <f>(Table13468111214[[#This Row],[EZU]]-D116)/D116</f>
        <v/>
      </c>
      <c r="G128" s="54">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4">
        <f>(Table13468111214[[#This Row],[EZU]]-D117)/D117</f>
        <v/>
      </c>
      <c r="G129" s="54">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4">
        <f>(Table13468111214[[#This Row],[EZU]]-D118)/D118</f>
        <v/>
      </c>
      <c r="G130" s="54">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4">
        <f>(Table13468111214[[#This Row],[EZU]]-D119)/D119</f>
        <v/>
      </c>
      <c r="G131" s="54">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4">
        <f>(Table13468111214[[#This Row],[EZU]]-D120)/D120</f>
        <v/>
      </c>
      <c r="G132" s="54">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4">
        <f>(Table13468111214[[#This Row],[EZU]]-D121)/D121</f>
        <v/>
      </c>
      <c r="G133" s="54">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4">
        <f>(Table13468111214[[#This Row],[EZU]]-D122)/D122</f>
        <v/>
      </c>
      <c r="G134" s="54">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4">
        <f>(Table13468111214[[#This Row],[EZU]]-D123)/D123</f>
        <v/>
      </c>
      <c r="G135" s="54">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4">
        <f>(Table13468111214[[#This Row],[EZU]]-D124)/D124</f>
        <v/>
      </c>
      <c r="G136" s="54">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4">
        <f>(Table13468111214[[#This Row],[EZU]]-D125)/D125</f>
        <v/>
      </c>
      <c r="G137" s="54">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4">
        <f>(Table13468111214[[#This Row],[EZU]]-D126)/D126</f>
        <v/>
      </c>
      <c r="G138" s="54">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4">
        <f>(Table13468111214[[#This Row],[EZU]]-D127)/D127</f>
        <v/>
      </c>
      <c r="G139" s="54">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4">
        <f>(Table13468111214[[#This Row],[EZU]]-D128)/D128</f>
        <v/>
      </c>
      <c r="G140" s="54">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4">
        <f>(Table13468111214[[#This Row],[EZU]]-D129)/D129</f>
        <v/>
      </c>
      <c r="G141" s="54">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4">
        <f>(Table13468111214[[#This Row],[EZU]]-D130)/D130</f>
        <v/>
      </c>
      <c r="G142" s="54">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4">
        <f>(Table13468111214[[#This Row],[EZU]]-D131)/D131</f>
        <v/>
      </c>
      <c r="G143" s="54">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4">
        <f>(Table13468111214[[#This Row],[EZU]]-D132)/D132</f>
        <v/>
      </c>
      <c r="G144" s="54">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4">
        <f>(Table13468111214[[#This Row],[EZU]]-D133)/D133</f>
        <v/>
      </c>
      <c r="G145" s="54">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4">
        <f>(Table13468111214[[#This Row],[EZU]]-D134)/D134</f>
        <v/>
      </c>
      <c r="G146" s="54">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4">
        <f>(Table13468111214[[#This Row],[EZU]]-D135)/D135</f>
        <v/>
      </c>
      <c r="G147" s="54">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4">
        <f>(Table13468111214[[#This Row],[EZU]]-D136)/D136</f>
        <v/>
      </c>
      <c r="G148" s="54">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4">
        <f>(Table13468111214[[#This Row],[EZU]]-D137)/D137</f>
        <v/>
      </c>
      <c r="G149" s="54">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4">
        <f>(Table13468111214[[#This Row],[EZU]]-D138)/D138</f>
        <v/>
      </c>
      <c r="G150" s="54">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4">
        <f>(Table13468111214[[#This Row],[EZU]]-D139)/D139</f>
        <v/>
      </c>
      <c r="G151" s="54">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4">
        <f>(Table13468111214[[#This Row],[EZU]]-D140)/D140</f>
        <v/>
      </c>
      <c r="G152" s="54">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4">
        <f>(Table13468111214[[#This Row],[EZU]]-D141)/D141</f>
        <v/>
      </c>
      <c r="G153" s="54">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4">
        <f>(Table13468111214[[#This Row],[EZU]]-D142)/D142</f>
        <v/>
      </c>
      <c r="G154" s="54">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4">
        <f>(Table13468111214[[#This Row],[EZU]]-D143)/D143</f>
        <v/>
      </c>
      <c r="G155" s="54">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4">
        <f>(Table13468111214[[#This Row],[EZU]]-D144)/D144</f>
        <v/>
      </c>
      <c r="G156" s="54">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4">
        <f>(Table13468111214[[#This Row],[EZU]]-D145)/D145</f>
        <v/>
      </c>
      <c r="G157" s="54">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4">
        <f>(Table13468111214[[#This Row],[EZU]]-D146)/D146</f>
        <v/>
      </c>
      <c r="G158" s="54">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4">
        <f>(Table13468111214[[#This Row],[EZU]]-D147)/D147</f>
        <v/>
      </c>
      <c r="G159" s="54">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4">
        <f>(Table13468111214[[#This Row],[EZU]]-D148)/D148</f>
        <v/>
      </c>
      <c r="G160" s="54">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4">
        <f>(Table13468111214[[#This Row],[EZU]]-D149)/D149</f>
        <v/>
      </c>
      <c r="G161" s="54">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4">
        <f>(Table13468111214[[#This Row],[EZU]]-D150)/D150</f>
        <v/>
      </c>
      <c r="G162" s="54">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4">
        <f>(Table13468111214[[#This Row],[EZU]]-D151)/D151</f>
        <v/>
      </c>
      <c r="G163" s="54">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4">
        <f>(Table13468111214[[#This Row],[EZU]]-D152)/D152</f>
        <v/>
      </c>
      <c r="G164" s="54">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4">
        <f>(Table13468111214[[#This Row],[EZU]]-D153)/D153</f>
        <v/>
      </c>
      <c r="G165" s="54">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4">
        <f>(Table13468111214[[#This Row],[EZU]]-D154)/D154</f>
        <v/>
      </c>
      <c r="G166" s="54">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4">
        <f>(Table13468111214[[#This Row],[EZU]]-D155)/D155</f>
        <v/>
      </c>
      <c r="G167" s="54">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4">
        <f>(Table13468111214[[#This Row],[EZU]]-D156)/D156</f>
        <v/>
      </c>
      <c r="G168" s="54">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4">
        <f>(Table13468111214[[#This Row],[EZU]]-D157)/D157</f>
        <v/>
      </c>
      <c r="G169" s="54">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4">
        <f>(Table13468111214[[#This Row],[EZU]]-D158)/D158</f>
        <v/>
      </c>
      <c r="G170" s="54">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4">
        <f>(Table13468111214[[#This Row],[EZU]]-D159)/D159</f>
        <v/>
      </c>
      <c r="G171" s="54">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4">
        <f>(Table13468111214[[#This Row],[EZU]]-D160)/D160</f>
        <v/>
      </c>
      <c r="G172" s="54">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4">
        <f>(Table13468111214[[#This Row],[EZU]]-D161)/D161</f>
        <v/>
      </c>
      <c r="G173" s="54">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4">
        <f>(Table13468111214[[#This Row],[EZU]]-D162)/D162</f>
        <v/>
      </c>
      <c r="G174" s="54">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4">
        <f>(Table13468111214[[#This Row],[EZU]]-D163)/D163</f>
        <v/>
      </c>
      <c r="G175" s="54">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4">
        <f>(Table13468111214[[#This Row],[EZU]]-D164)/D164</f>
        <v/>
      </c>
      <c r="G176" s="54">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4">
        <f>(Table13468111214[[#This Row],[EZU]]-D165)/D165</f>
        <v/>
      </c>
      <c r="G177" s="54">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4">
        <f>(Table13468111214[[#This Row],[EZU]]-D166)/D166</f>
        <v/>
      </c>
      <c r="G178" s="54">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4">
        <f>(Table13468111214[[#This Row],[EZU]]-D167)/D167</f>
        <v/>
      </c>
      <c r="G179" s="54">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4">
        <f>(Table13468111214[[#This Row],[EZU]]-D168)/D168</f>
        <v/>
      </c>
      <c r="G180" s="54">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4">
        <f>(Table13468111214[[#This Row],[EZU]]-D169)/D169</f>
        <v/>
      </c>
      <c r="G181" s="54">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4">
        <f>(Table13468111214[[#This Row],[EZU]]-D170)/D170</f>
        <v/>
      </c>
      <c r="G182" s="54">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4">
        <f>(Table13468111214[[#This Row],[EZU]]-D171)/D171</f>
        <v/>
      </c>
      <c r="G183" s="54">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4">
        <f>(Table13468111214[[#This Row],[EZU]]-D172)/D172</f>
        <v/>
      </c>
      <c r="G184" s="54">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4">
        <f>(Table13468111214[[#This Row],[EZU]]-D173)/D173</f>
        <v/>
      </c>
      <c r="G185" s="54">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4">
        <f>(Table13468111214[[#This Row],[EZU]]-D174)/D174</f>
        <v/>
      </c>
      <c r="G186" s="54">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4">
        <f>(Table13468111214[[#This Row],[EZU]]-D175)/D175</f>
        <v/>
      </c>
      <c r="G187" s="54">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4">
        <f>(Table13468111214[[#This Row],[EZU]]-D176)/D176</f>
        <v/>
      </c>
      <c r="G188" s="54">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4">
        <f>(Table13468111214[[#This Row],[EZU]]-D177)/D177</f>
        <v/>
      </c>
      <c r="G189" s="54">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4">
        <f>(Table13468111214[[#This Row],[EZU]]-D178)/D178</f>
        <v/>
      </c>
      <c r="G190" s="54">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4">
        <f>(Table13468111214[[#This Row],[EZU]]-D179)/D179</f>
        <v/>
      </c>
      <c r="G191" s="54">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4">
        <f>(Table13468111214[[#This Row],[EZU]]-D180)/D180</f>
        <v/>
      </c>
      <c r="G192" s="54">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4">
        <f>(Table13468111214[[#This Row],[EZU]]-D181)/D181</f>
        <v/>
      </c>
      <c r="G193" s="54">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4">
        <f>(Table13468111214[[#This Row],[EZU]]-D182)/D182</f>
        <v/>
      </c>
      <c r="G194" s="54">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4">
        <f>(Table13468111214[[#This Row],[EZU]]-D183)/D183</f>
        <v/>
      </c>
      <c r="G195" s="54">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4">
        <f>(Table13468111214[[#This Row],[EZU]]-D184)/D184</f>
        <v/>
      </c>
      <c r="G196" s="54">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4">
        <f>(Table13468111214[[#This Row],[EZU]]-D185)/D185</f>
        <v/>
      </c>
      <c r="G197" s="54">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4">
        <f>(Table13468111214[[#This Row],[EZU]]-D186)/D186</f>
        <v/>
      </c>
      <c r="G198" s="54">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4">
        <f>(Table13468111214[[#This Row],[EZU]]-D187)/D187</f>
        <v/>
      </c>
      <c r="G199" s="54">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4">
        <f>(Table13468111214[[#This Row],[EZU]]-D188)/D188</f>
        <v/>
      </c>
      <c r="G200" s="54">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4">
        <f>(Table13468111214[[#This Row],[EZU]]-D189)/D189</f>
        <v/>
      </c>
      <c r="G201" s="54">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4">
        <f>(Table13468111214[[#This Row],[EZU]]-D190)/D190</f>
        <v/>
      </c>
      <c r="G202" s="54">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4">
        <f>(Table13468111214[[#This Row],[EZU]]-D191)/D191</f>
        <v/>
      </c>
      <c r="G203" s="54">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4">
        <f>(Table13468111214[[#This Row],[EZU]]-D192)/D192</f>
        <v/>
      </c>
      <c r="G204" s="54">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4">
        <f>(Table13468111214[[#This Row],[EZU]]-D193)/D193</f>
        <v/>
      </c>
      <c r="G205" s="54">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4">
        <f>(Table13468111214[[#This Row],[EZU]]-D194)/D194</f>
        <v/>
      </c>
      <c r="G206" s="54">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4">
        <f>(Table13468111214[[#This Row],[EZU]]-D195)/D195</f>
        <v/>
      </c>
      <c r="G207" s="54">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4">
        <f>(Table13468111214[[#This Row],[EZU]]-D196)/D196</f>
        <v/>
      </c>
      <c r="G208" s="54">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4">
        <f>(Table13468111214[[#This Row],[EZU]]-D197)/D197</f>
        <v/>
      </c>
      <c r="G209" s="54">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4">
        <f>(Table13468111214[[#This Row],[EZU]]-D198)/D198</f>
        <v/>
      </c>
      <c r="G210" s="54">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4">
        <f>(Table13468111214[[#This Row],[EZU]]-D199)/D199</f>
        <v/>
      </c>
      <c r="G211" s="54">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3"/>
  <sheetViews>
    <sheetView zoomScale="150" zoomScaleNormal="150" workbookViewId="0">
      <pane ySplit="5" topLeftCell="A140" activePane="bottomLeft" state="frozen"/>
      <selection pane="bottomLeft" activeCell="X173" sqref="X17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Japan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Germany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7"/>
  <sheetViews>
    <sheetView zoomScale="140" zoomScaleNormal="140" workbookViewId="0">
      <pane ySplit="5" topLeftCell="A129" activePane="bottomLeft" state="frozen"/>
      <selection pane="bottomLeft" activeCell="U171" sqref="U17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France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1"/>
  <sheetViews>
    <sheetView zoomScale="150" zoomScaleNormal="150" workbookViewId="0">
      <pane ySplit="5" topLeftCell="A169" activePane="bottomLeft" state="frozen"/>
      <selection activeCell="P121" sqref="P121"/>
      <selection pane="bottomLeft" activeCell="V188" sqref="V188"/>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United Kingdom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4">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4">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4">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4">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4">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4">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4">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4">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4">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4">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4">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4">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4">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4">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4">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4">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4">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4">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4">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4">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4">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4">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4">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4">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4">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4">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4">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4">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4">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4">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4">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4">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4">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4">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4">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4">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4">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4">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4">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4">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4">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4">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4">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4">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4">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4">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4">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4">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4">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4">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4">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4">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4">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4">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4">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4">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4">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4">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4">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4">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4">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4">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4">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4">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4">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4">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4">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4">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4">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4">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4">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4">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4">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4">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4">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4">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4">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4">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4">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4">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4">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4">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4">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4">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4">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4">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4">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4">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4">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4">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4">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4">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4">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4">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4">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4">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4">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4">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4">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4">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4">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4">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4">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4">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4">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4">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4">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4">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4">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4">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4">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4">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4">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4">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4">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4">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4">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4">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4">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4">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4">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4">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4">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4">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4">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4">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4">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4">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4">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4">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4">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4">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4">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4">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4">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4">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4">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4">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4">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4">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4">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4">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4">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4">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4">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4">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4">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4">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4">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4">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4">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4">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4">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4">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4">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4">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4">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4">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4">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4">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4">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4">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4">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4">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4">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4">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4">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4">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4">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4">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4">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4">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4">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4">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4">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4">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4">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4">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4">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4">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4">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4">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4">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4">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4">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4">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4">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4">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4">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4">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4">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4">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4">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4">
        <f>(Table134681112[[#This Row],[EWU]]-D199)/D199</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Italy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Spain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1"/>
  <sheetViews>
    <sheetView zoomScale="150" zoomScaleNormal="150" workbookViewId="0">
      <pane ySplit="5" topLeftCell="A108"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Brazil</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5"/>
  <sheetViews>
    <sheetView zoomScale="150" zoomScaleNormal="150" workbookViewId="0">
      <pane ySplit="5" topLeftCell="A94" activePane="bottomLeft" state="frozen"/>
      <selection pane="bottomLeft" activeCell="V111" sqref="V11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Mexico</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1"/>
  <sheetViews>
    <sheetView zoomScale="150" zoomScaleNormal="150" workbookViewId="0">
      <pane ySplit="5" topLeftCell="A102" activePane="bottomLeft" state="frozen"/>
      <selection pane="bottomLeft" activeCell="Q120" sqref="Q120"/>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Russia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1"/>
  <sheetViews>
    <sheetView zoomScale="160" zoomScaleNormal="160" workbookViewId="0">
      <pane ySplit="5" topLeftCell="A109" activePane="bottomLeft" state="frozen"/>
      <selection pane="bottomLeft" activeCell="T122" sqref="T12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India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5"/>
  <sheetViews>
    <sheetView zoomScale="160" zoomScaleNormal="160" workbookViewId="0">
      <pane ySplit="5" topLeftCell="A98" activePane="bottomLeft" state="frozen"/>
      <selection pane="bottomLeft" activeCell="U113" sqref="U11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Canada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Australia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5"/>
  <sheetViews>
    <sheetView zoomScale="170" zoomScaleNormal="170" workbookViewId="0">
      <pane ySplit="5" topLeftCell="A103" activePane="bottomLeft" state="frozen"/>
      <selection pane="bottomLeft" activeCell="T121" sqref="T12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Indonesia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9"/>
  <sheetViews>
    <sheetView zoomScale="160" zoomScaleNormal="160" workbookViewId="0">
      <pane ySplit="5" topLeftCell="A104" activePane="bottomLeft" state="frozen"/>
      <selection pane="bottomLeft" activeCell="Q128" sqref="Q128"/>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South Korea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1"/>
  <sheetViews>
    <sheetView zoomScale="170" zoomScaleNormal="170" workbookViewId="0">
      <pane ySplit="5" topLeftCell="A108"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Taiwan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pane="bottomLeft" activeCell="R117" sqref="R117"/>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Greece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1"/>
  <sheetViews>
    <sheetView zoomScale="180" zoomScaleNormal="180" workbookViewId="0">
      <pane ySplit="5" topLeftCell="A115" activePane="bottomLeft" state="frozen"/>
      <selection pane="bottomLeft" activeCell="S122" sqref="S12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Ireland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1"/>
  <sheetViews>
    <sheetView zoomScale="170" zoomScaleNormal="170" workbookViewId="0">
      <pane ySplit="5" topLeftCell="A106" activePane="bottomLeft" state="frozen"/>
      <selection pane="bottomLeft" activeCell="S115" sqref="S115"/>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Turkey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1"/>
  <sheetViews>
    <sheetView zoomScale="160" zoomScaleNormal="160" workbookViewId="0">
      <pane ySplit="5" topLeftCell="A102" activePane="bottomLeft" state="frozen"/>
      <selection pane="bottomLeft" activeCell="S125" sqref="S125"/>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Czech Republic</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Poland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2"/>
  <sheetViews>
    <sheetView zoomScale="160" zoomScaleNormal="160" workbookViewId="0">
      <pane ySplit="5" topLeftCell="A302" activePane="bottomLeft" state="frozen"/>
      <selection pane="bottomLeft" activeCell="V313" sqref="V313"/>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Denmark</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0"/>
  <sheetViews>
    <sheetView zoomScale="160" zoomScaleNormal="160" workbookViewId="0">
      <pane ySplit="5" topLeftCell="A83" activePane="bottomLeft" state="frozen"/>
      <selection activeCell="P121" sqref="P121"/>
      <selection pane="bottomLeft" activeCell="U96" sqref="U96"/>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Vietnam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50" sqref="R50"/>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Thailand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5" sqref="T245"/>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South Africa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1" activePane="bottomLeft" state="frozen"/>
      <selection pane="bottomLeft" activeCell="U91" sqref="U91"/>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Hong Kong</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65" activePane="bottomLeft" state="frozen"/>
      <selection pane="bottomLeft" activeCell="T82" sqref="T82"/>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Saudi Arabia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200" activePane="bottomLeft" state="frozen"/>
      <selection pane="bottomLeft" activeCell="S214" sqref="S214"/>
    </sheetView>
  </sheetViews>
  <sheetFormatPr baseColWidth="10" defaultColWidth="9.1640625" defaultRowHeight="15"/>
  <cols>
    <col width="13.5" customWidth="1" style="70" min="1" max="1"/>
    <col width="11.33203125" customWidth="1" style="70" min="2" max="2"/>
    <col width="9.1640625" customWidth="1" style="70" min="3" max="32"/>
    <col width="9.1640625" customWidth="1" style="70" min="33" max="16384"/>
  </cols>
  <sheetData>
    <row r="1">
      <c r="A1" s="70" t="inlineStr">
        <is>
          <t>New Zealand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2022-02-03T16:34:48Z</dcterms:modified>
  <cp:lastModifiedBy>Mark Mukherjee</cp:lastModifiedBy>
</cp:coreProperties>
</file>